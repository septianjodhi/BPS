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15. COST\Term 85\TRN\"/>
    </mc:Choice>
  </mc:AlternateContent>
  <xr:revisionPtr revIDLastSave="0" documentId="13_ncr:1_{D4B72F22-9689-4A6A-A549-4BE896C8C21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LAN BUDGET SAMI-TF" sheetId="1" r:id="rId1"/>
    <sheet name="SUMMARY" sheetId="2" r:id="rId2"/>
    <sheet name="ANALYSIS" sheetId="3" r:id="rId3"/>
    <sheet name="TAKI GRAPH" sheetId="4" r:id="rId4"/>
  </sheets>
  <definedNames>
    <definedName name="_xlnm._FilterDatabase" localSheetId="0" hidden="1">'PLAN BUDGET SAMI-TF'!$A$11:$BZ$280</definedName>
    <definedName name="_xlnm._FilterDatabase" localSheetId="1" hidden="1">SUMMARY!$A$8:$AJ$184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9" i="3" l="1"/>
  <c r="K189" i="3" s="1"/>
  <c r="F189" i="3"/>
  <c r="J188" i="3"/>
  <c r="F188" i="3"/>
  <c r="J187" i="3"/>
  <c r="H187" i="3" s="1"/>
  <c r="F187" i="3"/>
  <c r="J186" i="3"/>
  <c r="G186" i="3" s="1"/>
  <c r="F186" i="3"/>
  <c r="J185" i="3"/>
  <c r="F185" i="3"/>
  <c r="J184" i="3"/>
  <c r="G184" i="3" s="1"/>
  <c r="F184" i="3"/>
  <c r="J183" i="3"/>
  <c r="H183" i="3" s="1"/>
  <c r="F183" i="3"/>
  <c r="J182" i="3"/>
  <c r="F182" i="3"/>
  <c r="J181" i="3"/>
  <c r="F181" i="3"/>
  <c r="J180" i="3"/>
  <c r="G180" i="3" s="1"/>
  <c r="H180" i="3"/>
  <c r="F180" i="3"/>
  <c r="J179" i="3"/>
  <c r="G179" i="3" s="1"/>
  <c r="F179" i="3"/>
  <c r="K179" i="3" s="1"/>
  <c r="J178" i="3"/>
  <c r="H178" i="3" s="1"/>
  <c r="F178" i="3"/>
  <c r="J177" i="3"/>
  <c r="G177" i="3" s="1"/>
  <c r="F177" i="3"/>
  <c r="J176" i="3"/>
  <c r="G176" i="3" s="1"/>
  <c r="F176" i="3"/>
  <c r="J175" i="3"/>
  <c r="F175" i="3"/>
  <c r="J174" i="3"/>
  <c r="F174" i="3"/>
  <c r="J173" i="3"/>
  <c r="G173" i="3" s="1"/>
  <c r="F173" i="3"/>
  <c r="J172" i="3"/>
  <c r="G172" i="3"/>
  <c r="F172" i="3"/>
  <c r="J171" i="3"/>
  <c r="F171" i="3"/>
  <c r="J170" i="3"/>
  <c r="F170" i="3"/>
  <c r="J169" i="3"/>
  <c r="H169" i="3" s="1"/>
  <c r="F169" i="3"/>
  <c r="J168" i="3"/>
  <c r="K168" i="3" s="1"/>
  <c r="F168" i="3"/>
  <c r="J167" i="3"/>
  <c r="F167" i="3"/>
  <c r="J166" i="3"/>
  <c r="K166" i="3" s="1"/>
  <c r="F166" i="3"/>
  <c r="J165" i="3"/>
  <c r="F165" i="3"/>
  <c r="J164" i="3"/>
  <c r="H164" i="3" s="1"/>
  <c r="F164" i="3"/>
  <c r="J163" i="3"/>
  <c r="G163" i="3" s="1"/>
  <c r="F163" i="3"/>
  <c r="J162" i="3"/>
  <c r="H162" i="3" s="1"/>
  <c r="F162" i="3"/>
  <c r="J161" i="3"/>
  <c r="F161" i="3"/>
  <c r="J160" i="3"/>
  <c r="F160" i="3"/>
  <c r="J159" i="3"/>
  <c r="K159" i="3" s="1"/>
  <c r="F159" i="3"/>
  <c r="J158" i="3"/>
  <c r="G158" i="3" s="1"/>
  <c r="F158" i="3"/>
  <c r="J157" i="3"/>
  <c r="F157" i="3"/>
  <c r="J156" i="3"/>
  <c r="G156" i="3" s="1"/>
  <c r="F156" i="3"/>
  <c r="J155" i="3"/>
  <c r="G155" i="3" s="1"/>
  <c r="F155" i="3"/>
  <c r="J154" i="3"/>
  <c r="G154" i="3" s="1"/>
  <c r="F154" i="3"/>
  <c r="J153" i="3"/>
  <c r="F153" i="3"/>
  <c r="J152" i="3"/>
  <c r="F152" i="3"/>
  <c r="J151" i="3"/>
  <c r="G151" i="3" s="1"/>
  <c r="F151" i="3"/>
  <c r="J150" i="3"/>
  <c r="F150" i="3"/>
  <c r="J149" i="3"/>
  <c r="G149" i="3" s="1"/>
  <c r="F149" i="3"/>
  <c r="J148" i="3"/>
  <c r="F148" i="3"/>
  <c r="J147" i="3"/>
  <c r="G147" i="3" s="1"/>
  <c r="F147" i="3"/>
  <c r="J146" i="3"/>
  <c r="F146" i="3"/>
  <c r="J145" i="3"/>
  <c r="F145" i="3"/>
  <c r="J144" i="3"/>
  <c r="F144" i="3"/>
  <c r="J143" i="3"/>
  <c r="F143" i="3"/>
  <c r="J142" i="3"/>
  <c r="F142" i="3"/>
  <c r="J141" i="3"/>
  <c r="F141" i="3"/>
  <c r="J140" i="3"/>
  <c r="G140" i="3" s="1"/>
  <c r="F140" i="3"/>
  <c r="J139" i="3"/>
  <c r="F139" i="3"/>
  <c r="J138" i="3"/>
  <c r="F138" i="3"/>
  <c r="J137" i="3"/>
  <c r="F137" i="3"/>
  <c r="J136" i="3"/>
  <c r="K136" i="3" s="1"/>
  <c r="F136" i="3"/>
  <c r="J135" i="3"/>
  <c r="F135" i="3"/>
  <c r="J134" i="3"/>
  <c r="H134" i="3" s="1"/>
  <c r="F134" i="3"/>
  <c r="J133" i="3"/>
  <c r="K133" i="3" s="1"/>
  <c r="F133" i="3"/>
  <c r="J132" i="3"/>
  <c r="F132" i="3"/>
  <c r="J131" i="3"/>
  <c r="F131" i="3"/>
  <c r="J130" i="3"/>
  <c r="G130" i="3" s="1"/>
  <c r="F130" i="3"/>
  <c r="J129" i="3"/>
  <c r="K129" i="3" s="1"/>
  <c r="F129" i="3"/>
  <c r="J128" i="3"/>
  <c r="G128" i="3" s="1"/>
  <c r="F128" i="3"/>
  <c r="J127" i="3"/>
  <c r="F127" i="3"/>
  <c r="J126" i="3"/>
  <c r="G126" i="3" s="1"/>
  <c r="F126" i="3"/>
  <c r="J125" i="3"/>
  <c r="F125" i="3"/>
  <c r="J124" i="3"/>
  <c r="G124" i="3" s="1"/>
  <c r="F124" i="3"/>
  <c r="J123" i="3"/>
  <c r="G123" i="3" s="1"/>
  <c r="F123" i="3"/>
  <c r="J122" i="3"/>
  <c r="G122" i="3" s="1"/>
  <c r="F122" i="3"/>
  <c r="J121" i="3"/>
  <c r="F121" i="3"/>
  <c r="F108" i="3"/>
  <c r="K108" i="3" s="1"/>
  <c r="F76" i="3"/>
  <c r="F69" i="3"/>
  <c r="F66" i="3"/>
  <c r="F43" i="3"/>
  <c r="F36" i="3"/>
  <c r="J12" i="3"/>
  <c r="F12" i="3"/>
  <c r="E12" i="3"/>
  <c r="D12" i="3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BO280" i="1"/>
  <c r="AZ280" i="1"/>
  <c r="BA280" i="1" s="1"/>
  <c r="BO279" i="1"/>
  <c r="AZ279" i="1"/>
  <c r="BA279" i="1" s="1"/>
  <c r="BO278" i="1"/>
  <c r="J119" i="3" s="1"/>
  <c r="AZ278" i="1"/>
  <c r="BA278" i="1" s="1"/>
  <c r="BO277" i="1"/>
  <c r="BP277" i="1" s="1"/>
  <c r="AZ277" i="1"/>
  <c r="BA277" i="1" s="1"/>
  <c r="BO276" i="1"/>
  <c r="BP276" i="1" s="1"/>
  <c r="AZ276" i="1"/>
  <c r="BA276" i="1" s="1"/>
  <c r="BO275" i="1"/>
  <c r="BP275" i="1" s="1"/>
  <c r="AZ275" i="1"/>
  <c r="BA275" i="1" s="1"/>
  <c r="BO274" i="1"/>
  <c r="J99" i="3" s="1"/>
  <c r="AZ274" i="1"/>
  <c r="BA274" i="1" s="1"/>
  <c r="BO273" i="1"/>
  <c r="BP273" i="1" s="1"/>
  <c r="AZ273" i="1"/>
  <c r="BA273" i="1" s="1"/>
  <c r="BO272" i="1"/>
  <c r="J89" i="3" s="1"/>
  <c r="AZ272" i="1"/>
  <c r="BA272" i="1" s="1"/>
  <c r="BO271" i="1"/>
  <c r="J66" i="3" s="1"/>
  <c r="AZ271" i="1"/>
  <c r="BA271" i="1" s="1"/>
  <c r="BO270" i="1"/>
  <c r="J73" i="3" s="1"/>
  <c r="AZ270" i="1"/>
  <c r="BA270" i="1" s="1"/>
  <c r="BO269" i="1"/>
  <c r="BP269" i="1" s="1"/>
  <c r="AZ269" i="1"/>
  <c r="BA269" i="1" s="1"/>
  <c r="BO268" i="1"/>
  <c r="AZ268" i="1"/>
  <c r="BA268" i="1" s="1"/>
  <c r="BO267" i="1"/>
  <c r="AZ267" i="1"/>
  <c r="BA267" i="1" s="1"/>
  <c r="BO266" i="1"/>
  <c r="BP266" i="1" s="1"/>
  <c r="AZ266" i="1"/>
  <c r="BA266" i="1" s="1"/>
  <c r="BO265" i="1"/>
  <c r="AZ265" i="1"/>
  <c r="BA265" i="1" s="1"/>
  <c r="BO264" i="1"/>
  <c r="BP264" i="1" s="1"/>
  <c r="AZ264" i="1"/>
  <c r="BA264" i="1" s="1"/>
  <c r="BO263" i="1"/>
  <c r="J105" i="3" s="1"/>
  <c r="AZ263" i="1"/>
  <c r="BA263" i="1" s="1"/>
  <c r="BO262" i="1"/>
  <c r="BP262" i="1" s="1"/>
  <c r="AZ262" i="1"/>
  <c r="BA262" i="1" s="1"/>
  <c r="BO261" i="1"/>
  <c r="BP261" i="1" s="1"/>
  <c r="AZ261" i="1"/>
  <c r="BA261" i="1" s="1"/>
  <c r="BO260" i="1"/>
  <c r="BP260" i="1" s="1"/>
  <c r="AZ260" i="1"/>
  <c r="BA260" i="1" s="1"/>
  <c r="BO259" i="1"/>
  <c r="J111" i="3" s="1"/>
  <c r="AZ259" i="1"/>
  <c r="BA259" i="1" s="1"/>
  <c r="BO258" i="1"/>
  <c r="J71" i="3" s="1"/>
  <c r="AZ258" i="1"/>
  <c r="BA258" i="1" s="1"/>
  <c r="BO257" i="1"/>
  <c r="J78" i="3" s="1"/>
  <c r="AZ257" i="1"/>
  <c r="BA257" i="1" s="1"/>
  <c r="BO256" i="1"/>
  <c r="AZ256" i="1"/>
  <c r="BA256" i="1" s="1"/>
  <c r="BO255" i="1"/>
  <c r="BP255" i="1" s="1"/>
  <c r="AZ255" i="1"/>
  <c r="BA255" i="1" s="1"/>
  <c r="BO254" i="1"/>
  <c r="BP254" i="1" s="1"/>
  <c r="AZ254" i="1"/>
  <c r="BA254" i="1" s="1"/>
  <c r="BO253" i="1"/>
  <c r="AZ253" i="1"/>
  <c r="BA253" i="1" s="1"/>
  <c r="BO252" i="1"/>
  <c r="J100" i="3" s="1"/>
  <c r="AZ252" i="1"/>
  <c r="BA252" i="1" s="1"/>
  <c r="BO251" i="1"/>
  <c r="J77" i="3" s="1"/>
  <c r="AZ251" i="1"/>
  <c r="BA251" i="1" s="1"/>
  <c r="BO250" i="1"/>
  <c r="AZ250" i="1"/>
  <c r="BA250" i="1" s="1"/>
  <c r="BO249" i="1"/>
  <c r="BP249" i="1" s="1"/>
  <c r="AZ249" i="1"/>
  <c r="BA249" i="1" s="1"/>
  <c r="BO248" i="1"/>
  <c r="J68" i="3" s="1"/>
  <c r="AZ248" i="1"/>
  <c r="BA248" i="1" s="1"/>
  <c r="BO247" i="1"/>
  <c r="BP247" i="1" s="1"/>
  <c r="AZ247" i="1"/>
  <c r="BA247" i="1" s="1"/>
  <c r="BO246" i="1"/>
  <c r="BP246" i="1" s="1"/>
  <c r="AZ246" i="1"/>
  <c r="BA246" i="1" s="1"/>
  <c r="BO245" i="1"/>
  <c r="BP245" i="1" s="1"/>
  <c r="AZ245" i="1"/>
  <c r="BA245" i="1" s="1"/>
  <c r="BO244" i="1"/>
  <c r="J88" i="3" s="1"/>
  <c r="AZ244" i="1"/>
  <c r="BA244" i="1" s="1"/>
  <c r="BO243" i="1"/>
  <c r="J84" i="3" s="1"/>
  <c r="AZ243" i="1"/>
  <c r="BA243" i="1" s="1"/>
  <c r="BO242" i="1"/>
  <c r="BP242" i="1" s="1"/>
  <c r="AZ242" i="1"/>
  <c r="BA242" i="1" s="1"/>
  <c r="BO241" i="1"/>
  <c r="J92" i="3" s="1"/>
  <c r="AZ241" i="1"/>
  <c r="BA241" i="1" s="1"/>
  <c r="BO240" i="1"/>
  <c r="AZ240" i="1"/>
  <c r="BA240" i="1" s="1"/>
  <c r="BO239" i="1"/>
  <c r="BP239" i="1" s="1"/>
  <c r="AZ239" i="1"/>
  <c r="BA239" i="1" s="1"/>
  <c r="BO238" i="1"/>
  <c r="BP238" i="1" s="1"/>
  <c r="AZ238" i="1"/>
  <c r="BA238" i="1" s="1"/>
  <c r="BO237" i="1"/>
  <c r="AZ237" i="1"/>
  <c r="BA237" i="1" s="1"/>
  <c r="BO236" i="1"/>
  <c r="AZ236" i="1"/>
  <c r="BA236" i="1" s="1"/>
  <c r="BO235" i="1"/>
  <c r="BP235" i="1" s="1"/>
  <c r="AZ235" i="1"/>
  <c r="BA235" i="1" s="1"/>
  <c r="BO234" i="1"/>
  <c r="BP234" i="1" s="1"/>
  <c r="AZ234" i="1"/>
  <c r="BA234" i="1" s="1"/>
  <c r="BO233" i="1"/>
  <c r="AZ233" i="1"/>
  <c r="BA233" i="1" s="1"/>
  <c r="BO232" i="1"/>
  <c r="BP232" i="1" s="1"/>
  <c r="AZ232" i="1"/>
  <c r="BA232" i="1" s="1"/>
  <c r="BO231" i="1"/>
  <c r="J63" i="3" s="1"/>
  <c r="AZ231" i="1"/>
  <c r="BA231" i="1" s="1"/>
  <c r="BO230" i="1"/>
  <c r="BP230" i="1" s="1"/>
  <c r="AZ230" i="1"/>
  <c r="BA230" i="1" s="1"/>
  <c r="BO229" i="1"/>
  <c r="AZ229" i="1"/>
  <c r="BA229" i="1" s="1"/>
  <c r="BO228" i="1"/>
  <c r="BP228" i="1" s="1"/>
  <c r="AZ228" i="1"/>
  <c r="BA228" i="1" s="1"/>
  <c r="BO227" i="1"/>
  <c r="J67" i="3" s="1"/>
  <c r="AZ227" i="1"/>
  <c r="BA227" i="1" s="1"/>
  <c r="BO226" i="1"/>
  <c r="BP226" i="1" s="1"/>
  <c r="AZ226" i="1"/>
  <c r="BA226" i="1" s="1"/>
  <c r="BO225" i="1"/>
  <c r="AZ225" i="1"/>
  <c r="BA225" i="1" s="1"/>
  <c r="BO224" i="1"/>
  <c r="J117" i="3" s="1"/>
  <c r="AZ224" i="1"/>
  <c r="BA224" i="1" s="1"/>
  <c r="BO223" i="1"/>
  <c r="AZ223" i="1"/>
  <c r="BA223" i="1" s="1"/>
  <c r="BO222" i="1"/>
  <c r="BP222" i="1" s="1"/>
  <c r="AZ222" i="1"/>
  <c r="BA222" i="1" s="1"/>
  <c r="BO221" i="1"/>
  <c r="AZ221" i="1"/>
  <c r="BA221" i="1" s="1"/>
  <c r="BO220" i="1"/>
  <c r="AZ220" i="1"/>
  <c r="BA220" i="1" s="1"/>
  <c r="BO219" i="1"/>
  <c r="BP219" i="1" s="1"/>
  <c r="AZ219" i="1"/>
  <c r="BA219" i="1" s="1"/>
  <c r="BO218" i="1"/>
  <c r="BP218" i="1" s="1"/>
  <c r="AZ218" i="1"/>
  <c r="BA218" i="1" s="1"/>
  <c r="BO217" i="1"/>
  <c r="BP217" i="1" s="1"/>
  <c r="AZ217" i="1"/>
  <c r="BA217" i="1" s="1"/>
  <c r="BO216" i="1"/>
  <c r="J79" i="3" s="1"/>
  <c r="AZ216" i="1"/>
  <c r="BA216" i="1" s="1"/>
  <c r="BO215" i="1"/>
  <c r="BP215" i="1" s="1"/>
  <c r="AZ215" i="1"/>
  <c r="BA215" i="1" s="1"/>
  <c r="BO214" i="1"/>
  <c r="AZ214" i="1"/>
  <c r="BA214" i="1" s="1"/>
  <c r="BO213" i="1"/>
  <c r="J95" i="3" s="1"/>
  <c r="AZ213" i="1"/>
  <c r="BA213" i="1" s="1"/>
  <c r="BO212" i="1"/>
  <c r="AZ212" i="1"/>
  <c r="BA212" i="1" s="1"/>
  <c r="BO211" i="1"/>
  <c r="BP211" i="1" s="1"/>
  <c r="AZ211" i="1"/>
  <c r="BA211" i="1" s="1"/>
  <c r="BO210" i="1"/>
  <c r="AZ210" i="1"/>
  <c r="BA210" i="1" s="1"/>
  <c r="BO209" i="1"/>
  <c r="BP209" i="1" s="1"/>
  <c r="AZ209" i="1"/>
  <c r="BA209" i="1" s="1"/>
  <c r="BO208" i="1"/>
  <c r="J75" i="3" s="1"/>
  <c r="AZ208" i="1"/>
  <c r="BA208" i="1" s="1"/>
  <c r="BO207" i="1"/>
  <c r="BP207" i="1" s="1"/>
  <c r="AZ207" i="1"/>
  <c r="BA207" i="1" s="1"/>
  <c r="BO206" i="1"/>
  <c r="J104" i="3" s="1"/>
  <c r="AZ206" i="1"/>
  <c r="BA206" i="1" s="1"/>
  <c r="BO205" i="1"/>
  <c r="AZ205" i="1"/>
  <c r="BA205" i="1" s="1"/>
  <c r="BO204" i="1"/>
  <c r="BP204" i="1" s="1"/>
  <c r="AZ204" i="1"/>
  <c r="BA204" i="1" s="1"/>
  <c r="BO203" i="1"/>
  <c r="AZ203" i="1"/>
  <c r="BA203" i="1" s="1"/>
  <c r="BO202" i="1"/>
  <c r="BP202" i="1" s="1"/>
  <c r="AZ202" i="1"/>
  <c r="BA202" i="1" s="1"/>
  <c r="BO201" i="1"/>
  <c r="J36" i="3" s="1"/>
  <c r="AZ201" i="1"/>
  <c r="BA201" i="1" s="1"/>
  <c r="BO200" i="1"/>
  <c r="BP200" i="1" s="1"/>
  <c r="AZ200" i="1"/>
  <c r="BA200" i="1" s="1"/>
  <c r="BO199" i="1"/>
  <c r="BP199" i="1" s="1"/>
  <c r="AZ199" i="1"/>
  <c r="BA199" i="1" s="1"/>
  <c r="BO198" i="1"/>
  <c r="BP198" i="1" s="1"/>
  <c r="AZ198" i="1"/>
  <c r="BA198" i="1" s="1"/>
  <c r="BO197" i="1"/>
  <c r="BP197" i="1" s="1"/>
  <c r="AZ197" i="1"/>
  <c r="BA197" i="1" s="1"/>
  <c r="BO196" i="1"/>
  <c r="BP196" i="1" s="1"/>
  <c r="AZ196" i="1"/>
  <c r="BA196" i="1" s="1"/>
  <c r="BO195" i="1"/>
  <c r="BP195" i="1" s="1"/>
  <c r="AZ195" i="1"/>
  <c r="BA195" i="1" s="1"/>
  <c r="BO194" i="1"/>
  <c r="BP194" i="1" s="1"/>
  <c r="AZ194" i="1"/>
  <c r="BA194" i="1" s="1"/>
  <c r="BO193" i="1"/>
  <c r="BP193" i="1" s="1"/>
  <c r="AZ193" i="1"/>
  <c r="BA193" i="1" s="1"/>
  <c r="BO192" i="1"/>
  <c r="BP192" i="1" s="1"/>
  <c r="AZ192" i="1"/>
  <c r="BA192" i="1" s="1"/>
  <c r="BO191" i="1"/>
  <c r="BP191" i="1" s="1"/>
  <c r="AZ191" i="1"/>
  <c r="BA191" i="1" s="1"/>
  <c r="BO190" i="1"/>
  <c r="BP190" i="1" s="1"/>
  <c r="AZ190" i="1"/>
  <c r="BA190" i="1" s="1"/>
  <c r="BO189" i="1"/>
  <c r="J29" i="3" s="1"/>
  <c r="AZ189" i="1"/>
  <c r="BA189" i="1" s="1"/>
  <c r="BO188" i="1"/>
  <c r="J27" i="3" s="1"/>
  <c r="AZ188" i="1"/>
  <c r="BA188" i="1" s="1"/>
  <c r="BO187" i="1"/>
  <c r="BP187" i="1" s="1"/>
  <c r="AZ187" i="1"/>
  <c r="BA187" i="1" s="1"/>
  <c r="BO186" i="1"/>
  <c r="BP186" i="1" s="1"/>
  <c r="AZ186" i="1"/>
  <c r="BA186" i="1" s="1"/>
  <c r="BO185" i="1"/>
  <c r="BP185" i="1" s="1"/>
  <c r="AZ185" i="1"/>
  <c r="BA185" i="1" s="1"/>
  <c r="BO184" i="1"/>
  <c r="BP184" i="1" s="1"/>
  <c r="AZ184" i="1"/>
  <c r="BA184" i="1" s="1"/>
  <c r="BO183" i="1"/>
  <c r="BP183" i="1" s="1"/>
  <c r="AZ183" i="1"/>
  <c r="BA183" i="1" s="1"/>
  <c r="BO182" i="1"/>
  <c r="BP182" i="1" s="1"/>
  <c r="AZ182" i="1"/>
  <c r="BA182" i="1" s="1"/>
  <c r="BO181" i="1"/>
  <c r="BP181" i="1" s="1"/>
  <c r="AZ181" i="1"/>
  <c r="BA181" i="1" s="1"/>
  <c r="BO180" i="1"/>
  <c r="BP180" i="1" s="1"/>
  <c r="AZ180" i="1"/>
  <c r="BA180" i="1" s="1"/>
  <c r="BO179" i="1"/>
  <c r="BP179" i="1" s="1"/>
  <c r="AZ179" i="1"/>
  <c r="BA179" i="1" s="1"/>
  <c r="BO178" i="1"/>
  <c r="BP178" i="1" s="1"/>
  <c r="AZ178" i="1"/>
  <c r="BA178" i="1" s="1"/>
  <c r="BO177" i="1"/>
  <c r="AZ177" i="1"/>
  <c r="BA177" i="1" s="1"/>
  <c r="BO176" i="1"/>
  <c r="BP176" i="1" s="1"/>
  <c r="AZ176" i="1"/>
  <c r="BA176" i="1" s="1"/>
  <c r="BO175" i="1"/>
  <c r="BP175" i="1" s="1"/>
  <c r="AZ175" i="1"/>
  <c r="BA175" i="1" s="1"/>
  <c r="BO174" i="1"/>
  <c r="BP174" i="1" s="1"/>
  <c r="AZ174" i="1"/>
  <c r="BA174" i="1" s="1"/>
  <c r="BO173" i="1"/>
  <c r="J23" i="3" s="1"/>
  <c r="AZ173" i="1"/>
  <c r="BA173" i="1" s="1"/>
  <c r="BO172" i="1"/>
  <c r="AZ172" i="1"/>
  <c r="BA172" i="1" s="1"/>
  <c r="BO171" i="1"/>
  <c r="BP171" i="1" s="1"/>
  <c r="AZ171" i="1"/>
  <c r="BA171" i="1" s="1"/>
  <c r="BO170" i="1"/>
  <c r="AZ170" i="1"/>
  <c r="BA170" i="1" s="1"/>
  <c r="BO169" i="1"/>
  <c r="BP169" i="1" s="1"/>
  <c r="AZ169" i="1"/>
  <c r="BA169" i="1" s="1"/>
  <c r="BO168" i="1"/>
  <c r="BP168" i="1" s="1"/>
  <c r="AZ168" i="1"/>
  <c r="BA168" i="1" s="1"/>
  <c r="BO167" i="1"/>
  <c r="BP167" i="1" s="1"/>
  <c r="AZ167" i="1"/>
  <c r="BA167" i="1" s="1"/>
  <c r="BO166" i="1"/>
  <c r="BP166" i="1" s="1"/>
  <c r="AZ166" i="1"/>
  <c r="BA166" i="1" s="1"/>
  <c r="BO165" i="1"/>
  <c r="BP165" i="1" s="1"/>
  <c r="AZ165" i="1"/>
  <c r="BA165" i="1" s="1"/>
  <c r="BO164" i="1"/>
  <c r="BP164" i="1" s="1"/>
  <c r="AZ164" i="1"/>
  <c r="BA164" i="1" s="1"/>
  <c r="BO163" i="1"/>
  <c r="BP163" i="1" s="1"/>
  <c r="AZ163" i="1"/>
  <c r="BA163" i="1" s="1"/>
  <c r="BO162" i="1"/>
  <c r="BP162" i="1" s="1"/>
  <c r="AZ162" i="1"/>
  <c r="BA162" i="1" s="1"/>
  <c r="BO161" i="1"/>
  <c r="BP161" i="1" s="1"/>
  <c r="AZ161" i="1"/>
  <c r="BA161" i="1" s="1"/>
  <c r="BO160" i="1"/>
  <c r="BP160" i="1" s="1"/>
  <c r="AZ160" i="1"/>
  <c r="BA160" i="1" s="1"/>
  <c r="BO159" i="1"/>
  <c r="BP159" i="1" s="1"/>
  <c r="AZ159" i="1"/>
  <c r="BA159" i="1" s="1"/>
  <c r="BO158" i="1"/>
  <c r="BP158" i="1" s="1"/>
  <c r="AZ158" i="1"/>
  <c r="BA158" i="1" s="1"/>
  <c r="BO157" i="1"/>
  <c r="BP157" i="1" s="1"/>
  <c r="AZ157" i="1"/>
  <c r="BA157" i="1" s="1"/>
  <c r="BO156" i="1"/>
  <c r="BP156" i="1" s="1"/>
  <c r="AZ156" i="1"/>
  <c r="BA156" i="1" s="1"/>
  <c r="BO155" i="1"/>
  <c r="BP155" i="1" s="1"/>
  <c r="AZ155" i="1"/>
  <c r="BA155" i="1" s="1"/>
  <c r="BO154" i="1"/>
  <c r="BP154" i="1" s="1"/>
  <c r="AZ154" i="1"/>
  <c r="BA154" i="1" s="1"/>
  <c r="BO153" i="1"/>
  <c r="BP153" i="1" s="1"/>
  <c r="AZ153" i="1"/>
  <c r="BA153" i="1" s="1"/>
  <c r="BO152" i="1"/>
  <c r="BP152" i="1" s="1"/>
  <c r="AZ152" i="1"/>
  <c r="BA152" i="1" s="1"/>
  <c r="BO151" i="1"/>
  <c r="BP151" i="1" s="1"/>
  <c r="AZ151" i="1"/>
  <c r="BA151" i="1" s="1"/>
  <c r="BO150" i="1"/>
  <c r="BP150" i="1" s="1"/>
  <c r="AZ150" i="1"/>
  <c r="BA150" i="1" s="1"/>
  <c r="BO149" i="1"/>
  <c r="BP149" i="1" s="1"/>
  <c r="AZ149" i="1"/>
  <c r="BA149" i="1" s="1"/>
  <c r="BO148" i="1"/>
  <c r="BP148" i="1" s="1"/>
  <c r="AZ148" i="1"/>
  <c r="BA148" i="1" s="1"/>
  <c r="BO147" i="1"/>
  <c r="BP147" i="1" s="1"/>
  <c r="AZ147" i="1"/>
  <c r="BA147" i="1" s="1"/>
  <c r="BO146" i="1"/>
  <c r="J57" i="3" s="1"/>
  <c r="AZ146" i="1"/>
  <c r="BA146" i="1" s="1"/>
  <c r="BO145" i="1"/>
  <c r="BP145" i="1" s="1"/>
  <c r="AZ145" i="1"/>
  <c r="BA145" i="1" s="1"/>
  <c r="BO144" i="1"/>
  <c r="BP144" i="1" s="1"/>
  <c r="AZ144" i="1"/>
  <c r="BA144" i="1" s="1"/>
  <c r="BO143" i="1"/>
  <c r="AZ143" i="1"/>
  <c r="BA143" i="1" s="1"/>
  <c r="BO142" i="1"/>
  <c r="BP142" i="1" s="1"/>
  <c r="AZ142" i="1"/>
  <c r="BA142" i="1" s="1"/>
  <c r="BO141" i="1"/>
  <c r="BP141" i="1" s="1"/>
  <c r="AZ141" i="1"/>
  <c r="BA141" i="1" s="1"/>
  <c r="BO140" i="1"/>
  <c r="J37" i="3" s="1"/>
  <c r="AZ140" i="1"/>
  <c r="BA140" i="1" s="1"/>
  <c r="BO139" i="1"/>
  <c r="BP139" i="1" s="1"/>
  <c r="AZ139" i="1"/>
  <c r="BA139" i="1" s="1"/>
  <c r="BO138" i="1"/>
  <c r="BP138" i="1" s="1"/>
  <c r="AZ138" i="1"/>
  <c r="BA138" i="1" s="1"/>
  <c r="BO137" i="1"/>
  <c r="BP137" i="1" s="1"/>
  <c r="AZ137" i="1"/>
  <c r="BA137" i="1" s="1"/>
  <c r="BO136" i="1"/>
  <c r="BP136" i="1" s="1"/>
  <c r="AZ136" i="1"/>
  <c r="BA136" i="1" s="1"/>
  <c r="BO135" i="1"/>
  <c r="BP135" i="1" s="1"/>
  <c r="AZ135" i="1"/>
  <c r="BA135" i="1" s="1"/>
  <c r="BO134" i="1"/>
  <c r="BP134" i="1" s="1"/>
  <c r="AZ134" i="1"/>
  <c r="BA134" i="1" s="1"/>
  <c r="BO133" i="1"/>
  <c r="BP133" i="1" s="1"/>
  <c r="AZ133" i="1"/>
  <c r="BA133" i="1" s="1"/>
  <c r="BO132" i="1"/>
  <c r="BP132" i="1" s="1"/>
  <c r="AZ132" i="1"/>
  <c r="BA132" i="1" s="1"/>
  <c r="BO131" i="1"/>
  <c r="BP131" i="1" s="1"/>
  <c r="AZ131" i="1"/>
  <c r="BA131" i="1" s="1"/>
  <c r="BO130" i="1"/>
  <c r="BP130" i="1" s="1"/>
  <c r="AZ130" i="1"/>
  <c r="BA130" i="1" s="1"/>
  <c r="BO129" i="1"/>
  <c r="BP129" i="1" s="1"/>
  <c r="AZ129" i="1"/>
  <c r="BA129" i="1" s="1"/>
  <c r="BO128" i="1"/>
  <c r="BP128" i="1" s="1"/>
  <c r="AZ128" i="1"/>
  <c r="BA128" i="1" s="1"/>
  <c r="BO127" i="1"/>
  <c r="BP127" i="1" s="1"/>
  <c r="AZ127" i="1"/>
  <c r="BA127" i="1" s="1"/>
  <c r="BO126" i="1"/>
  <c r="BP126" i="1" s="1"/>
  <c r="AZ126" i="1"/>
  <c r="BA126" i="1" s="1"/>
  <c r="BO125" i="1"/>
  <c r="BP125" i="1" s="1"/>
  <c r="AZ125" i="1"/>
  <c r="BA125" i="1" s="1"/>
  <c r="BO124" i="1"/>
  <c r="BP124" i="1" s="1"/>
  <c r="AZ124" i="1"/>
  <c r="BA124" i="1" s="1"/>
  <c r="BO123" i="1"/>
  <c r="BP123" i="1" s="1"/>
  <c r="AZ123" i="1"/>
  <c r="BA123" i="1" s="1"/>
  <c r="BO122" i="1"/>
  <c r="BP122" i="1" s="1"/>
  <c r="AZ122" i="1"/>
  <c r="BA122" i="1" s="1"/>
  <c r="BO121" i="1"/>
  <c r="BP121" i="1" s="1"/>
  <c r="AZ121" i="1"/>
  <c r="BA121" i="1" s="1"/>
  <c r="BO120" i="1"/>
  <c r="AZ120" i="1"/>
  <c r="BA120" i="1" s="1"/>
  <c r="BO119" i="1"/>
  <c r="J50" i="3" s="1"/>
  <c r="AZ119" i="1"/>
  <c r="BA119" i="1" s="1"/>
  <c r="BO118" i="1"/>
  <c r="AZ118" i="1"/>
  <c r="BA118" i="1" s="1"/>
  <c r="BO117" i="1"/>
  <c r="BP117" i="1" s="1"/>
  <c r="AZ117" i="1"/>
  <c r="BA117" i="1" s="1"/>
  <c r="BO116" i="1"/>
  <c r="BP116" i="1" s="1"/>
  <c r="AZ116" i="1"/>
  <c r="BA116" i="1" s="1"/>
  <c r="BO115" i="1"/>
  <c r="BP115" i="1" s="1"/>
  <c r="AZ115" i="1"/>
  <c r="BA115" i="1" s="1"/>
  <c r="BO114" i="1"/>
  <c r="BP114" i="1" s="1"/>
  <c r="AZ114" i="1"/>
  <c r="BA114" i="1" s="1"/>
  <c r="BO113" i="1"/>
  <c r="BP113" i="1" s="1"/>
  <c r="AZ113" i="1"/>
  <c r="BA113" i="1" s="1"/>
  <c r="BO112" i="1"/>
  <c r="BP112" i="1" s="1"/>
  <c r="AZ112" i="1"/>
  <c r="BA112" i="1" s="1"/>
  <c r="BO111" i="1"/>
  <c r="BP111" i="1" s="1"/>
  <c r="AZ111" i="1"/>
  <c r="BA111" i="1" s="1"/>
  <c r="BO110" i="1"/>
  <c r="BP110" i="1" s="1"/>
  <c r="AZ110" i="1"/>
  <c r="BA110" i="1" s="1"/>
  <c r="BO109" i="1"/>
  <c r="AZ109" i="1"/>
  <c r="BA109" i="1" s="1"/>
  <c r="BO108" i="1"/>
  <c r="BP108" i="1" s="1"/>
  <c r="AZ108" i="1"/>
  <c r="BA108" i="1" s="1"/>
  <c r="BO107" i="1"/>
  <c r="BP107" i="1" s="1"/>
  <c r="AZ107" i="1"/>
  <c r="BA107" i="1" s="1"/>
  <c r="BO106" i="1"/>
  <c r="BP106" i="1" s="1"/>
  <c r="AZ106" i="1"/>
  <c r="BA106" i="1" s="1"/>
  <c r="BO105" i="1"/>
  <c r="BP105" i="1" s="1"/>
  <c r="AZ105" i="1"/>
  <c r="BA105" i="1" s="1"/>
  <c r="BO104" i="1"/>
  <c r="BP104" i="1" s="1"/>
  <c r="AZ104" i="1"/>
  <c r="BA104" i="1" s="1"/>
  <c r="BO103" i="1"/>
  <c r="BP103" i="1" s="1"/>
  <c r="AZ103" i="1"/>
  <c r="BA103" i="1" s="1"/>
  <c r="BO102" i="1"/>
  <c r="BP102" i="1" s="1"/>
  <c r="AZ102" i="1"/>
  <c r="BA102" i="1" s="1"/>
  <c r="BO101" i="1"/>
  <c r="BP101" i="1" s="1"/>
  <c r="AZ101" i="1"/>
  <c r="BA101" i="1" s="1"/>
  <c r="BO100" i="1"/>
  <c r="BP100" i="1" s="1"/>
  <c r="AZ100" i="1"/>
  <c r="BA100" i="1" s="1"/>
  <c r="BO99" i="1"/>
  <c r="BP99" i="1" s="1"/>
  <c r="AZ99" i="1"/>
  <c r="BA99" i="1" s="1"/>
  <c r="BO98" i="1"/>
  <c r="BP98" i="1" s="1"/>
  <c r="AZ98" i="1"/>
  <c r="BA98" i="1" s="1"/>
  <c r="BO97" i="1"/>
  <c r="BP97" i="1" s="1"/>
  <c r="AZ97" i="1"/>
  <c r="BA97" i="1" s="1"/>
  <c r="BO96" i="1"/>
  <c r="BP96" i="1" s="1"/>
  <c r="AZ96" i="1"/>
  <c r="BA96" i="1" s="1"/>
  <c r="BO95" i="1"/>
  <c r="BP95" i="1" s="1"/>
  <c r="AZ95" i="1"/>
  <c r="BA95" i="1" s="1"/>
  <c r="BO94" i="1"/>
  <c r="BP94" i="1" s="1"/>
  <c r="AZ94" i="1"/>
  <c r="BA94" i="1" s="1"/>
  <c r="BO93" i="1"/>
  <c r="AZ93" i="1"/>
  <c r="BA93" i="1" s="1"/>
  <c r="BO92" i="1"/>
  <c r="BP92" i="1" s="1"/>
  <c r="AZ92" i="1"/>
  <c r="BA92" i="1" s="1"/>
  <c r="BO91" i="1"/>
  <c r="BP91" i="1" s="1"/>
  <c r="AZ91" i="1"/>
  <c r="BA91" i="1" s="1"/>
  <c r="BO90" i="1"/>
  <c r="BP90" i="1" s="1"/>
  <c r="AZ90" i="1"/>
  <c r="BA90" i="1" s="1"/>
  <c r="BO89" i="1"/>
  <c r="BP89" i="1" s="1"/>
  <c r="AZ89" i="1"/>
  <c r="BA89" i="1" s="1"/>
  <c r="BO88" i="1"/>
  <c r="BP88" i="1" s="1"/>
  <c r="AZ88" i="1"/>
  <c r="BA88" i="1" s="1"/>
  <c r="BO87" i="1"/>
  <c r="BP87" i="1" s="1"/>
  <c r="AZ87" i="1"/>
  <c r="BA87" i="1" s="1"/>
  <c r="BO86" i="1"/>
  <c r="BP86" i="1" s="1"/>
  <c r="AZ86" i="1"/>
  <c r="BA86" i="1" s="1"/>
  <c r="BO85" i="1"/>
  <c r="BP85" i="1" s="1"/>
  <c r="AZ85" i="1"/>
  <c r="BA85" i="1" s="1"/>
  <c r="BO84" i="1"/>
  <c r="BP84" i="1" s="1"/>
  <c r="AZ84" i="1"/>
  <c r="BA84" i="1" s="1"/>
  <c r="BO83" i="1"/>
  <c r="BP83" i="1" s="1"/>
  <c r="AZ83" i="1"/>
  <c r="BA83" i="1" s="1"/>
  <c r="BO82" i="1"/>
  <c r="J14" i="3" s="1"/>
  <c r="AZ82" i="1"/>
  <c r="BA82" i="1" s="1"/>
  <c r="BO81" i="1"/>
  <c r="BP81" i="1" s="1"/>
  <c r="AZ81" i="1"/>
  <c r="BA81" i="1" s="1"/>
  <c r="BO80" i="1"/>
  <c r="BP80" i="1" s="1"/>
  <c r="AZ80" i="1"/>
  <c r="BA80" i="1" s="1"/>
  <c r="BO79" i="1"/>
  <c r="AZ79" i="1"/>
  <c r="BA79" i="1" s="1"/>
  <c r="BO78" i="1"/>
  <c r="BP78" i="1" s="1"/>
  <c r="AZ78" i="1"/>
  <c r="BA78" i="1" s="1"/>
  <c r="BO77" i="1"/>
  <c r="BP77" i="1" s="1"/>
  <c r="AZ77" i="1"/>
  <c r="BA77" i="1" s="1"/>
  <c r="BO76" i="1"/>
  <c r="BP76" i="1" s="1"/>
  <c r="AZ76" i="1"/>
  <c r="BA76" i="1" s="1"/>
  <c r="BO75" i="1"/>
  <c r="BP75" i="1" s="1"/>
  <c r="AZ75" i="1"/>
  <c r="BA75" i="1" s="1"/>
  <c r="BO74" i="1"/>
  <c r="BP74" i="1" s="1"/>
  <c r="AZ74" i="1"/>
  <c r="BA74" i="1" s="1"/>
  <c r="BO73" i="1"/>
  <c r="BP73" i="1" s="1"/>
  <c r="AZ73" i="1"/>
  <c r="BA73" i="1" s="1"/>
  <c r="BO72" i="1"/>
  <c r="BP72" i="1" s="1"/>
  <c r="AZ72" i="1"/>
  <c r="BA72" i="1" s="1"/>
  <c r="BO71" i="1"/>
  <c r="BP71" i="1" s="1"/>
  <c r="AZ71" i="1"/>
  <c r="BA71" i="1" s="1"/>
  <c r="BO70" i="1"/>
  <c r="BP70" i="1" s="1"/>
  <c r="AZ70" i="1"/>
  <c r="BA70" i="1" s="1"/>
  <c r="BO69" i="1"/>
  <c r="AZ69" i="1"/>
  <c r="BA69" i="1" s="1"/>
  <c r="BO68" i="1"/>
  <c r="J44" i="3" s="1"/>
  <c r="AZ68" i="1"/>
  <c r="BA68" i="1" s="1"/>
  <c r="BO67" i="1"/>
  <c r="AZ67" i="1"/>
  <c r="BA67" i="1" s="1"/>
  <c r="BO66" i="1"/>
  <c r="BP66" i="1" s="1"/>
  <c r="AZ66" i="1"/>
  <c r="BA66" i="1" s="1"/>
  <c r="BO65" i="1"/>
  <c r="BP65" i="1" s="1"/>
  <c r="AZ65" i="1"/>
  <c r="BA65" i="1" s="1"/>
  <c r="BO64" i="1"/>
  <c r="AZ64" i="1"/>
  <c r="BA64" i="1" s="1"/>
  <c r="BO63" i="1"/>
  <c r="BP63" i="1" s="1"/>
  <c r="AZ63" i="1"/>
  <c r="BA63" i="1" s="1"/>
  <c r="BO62" i="1"/>
  <c r="BP62" i="1" s="1"/>
  <c r="AZ62" i="1"/>
  <c r="BA62" i="1" s="1"/>
  <c r="BO61" i="1"/>
  <c r="BP61" i="1" s="1"/>
  <c r="AZ61" i="1"/>
  <c r="BA61" i="1" s="1"/>
  <c r="BO60" i="1"/>
  <c r="BP60" i="1" s="1"/>
  <c r="AZ60" i="1"/>
  <c r="BA60" i="1" s="1"/>
  <c r="BO59" i="1"/>
  <c r="BP59" i="1" s="1"/>
  <c r="AZ59" i="1"/>
  <c r="BA59" i="1" s="1"/>
  <c r="BO58" i="1"/>
  <c r="BP58" i="1" s="1"/>
  <c r="AZ58" i="1"/>
  <c r="BA58" i="1" s="1"/>
  <c r="BO57" i="1"/>
  <c r="AZ57" i="1"/>
  <c r="BA57" i="1" s="1"/>
  <c r="BO56" i="1"/>
  <c r="AZ56" i="1"/>
  <c r="BA56" i="1" s="1"/>
  <c r="BO55" i="1"/>
  <c r="BP55" i="1" s="1"/>
  <c r="AZ55" i="1"/>
  <c r="BA55" i="1" s="1"/>
  <c r="BO54" i="1"/>
  <c r="BP54" i="1" s="1"/>
  <c r="AZ54" i="1"/>
  <c r="BA54" i="1" s="1"/>
  <c r="BO53" i="1"/>
  <c r="BP53" i="1" s="1"/>
  <c r="AZ53" i="1"/>
  <c r="BA53" i="1" s="1"/>
  <c r="BO52" i="1"/>
  <c r="BP52" i="1" s="1"/>
  <c r="AZ52" i="1"/>
  <c r="BA52" i="1" s="1"/>
  <c r="BO51" i="1"/>
  <c r="BP51" i="1" s="1"/>
  <c r="AZ51" i="1"/>
  <c r="BA51" i="1" s="1"/>
  <c r="BO50" i="1"/>
  <c r="BP50" i="1" s="1"/>
  <c r="AZ50" i="1"/>
  <c r="BA50" i="1" s="1"/>
  <c r="BO49" i="1"/>
  <c r="BP49" i="1" s="1"/>
  <c r="AZ49" i="1"/>
  <c r="BA49" i="1" s="1"/>
  <c r="BO48" i="1"/>
  <c r="BP48" i="1" s="1"/>
  <c r="AZ48" i="1"/>
  <c r="BA48" i="1" s="1"/>
  <c r="BO47" i="1"/>
  <c r="BP47" i="1" s="1"/>
  <c r="AZ47" i="1"/>
  <c r="BA47" i="1" s="1"/>
  <c r="BO46" i="1"/>
  <c r="AZ46" i="1"/>
  <c r="BA46" i="1" s="1"/>
  <c r="BO45" i="1"/>
  <c r="BP45" i="1" s="1"/>
  <c r="AZ45" i="1"/>
  <c r="BA45" i="1" s="1"/>
  <c r="BO44" i="1"/>
  <c r="BP44" i="1" s="1"/>
  <c r="AZ44" i="1"/>
  <c r="BA44" i="1" s="1"/>
  <c r="BO43" i="1"/>
  <c r="BP43" i="1" s="1"/>
  <c r="AZ43" i="1"/>
  <c r="BA43" i="1" s="1"/>
  <c r="BO42" i="1"/>
  <c r="BP42" i="1" s="1"/>
  <c r="AZ42" i="1"/>
  <c r="BA42" i="1" s="1"/>
  <c r="BO41" i="1"/>
  <c r="BP41" i="1" s="1"/>
  <c r="AZ41" i="1"/>
  <c r="BA41" i="1" s="1"/>
  <c r="BO40" i="1"/>
  <c r="BP40" i="1" s="1"/>
  <c r="AZ40" i="1"/>
  <c r="BA40" i="1" s="1"/>
  <c r="BO39" i="1"/>
  <c r="J22" i="3" s="1"/>
  <c r="AZ39" i="1"/>
  <c r="BA39" i="1" s="1"/>
  <c r="BO38" i="1"/>
  <c r="BP38" i="1" s="1"/>
  <c r="AZ38" i="1"/>
  <c r="BA38" i="1" s="1"/>
  <c r="BO37" i="1"/>
  <c r="BP37" i="1" s="1"/>
  <c r="AZ37" i="1"/>
  <c r="BA37" i="1" s="1"/>
  <c r="BO36" i="1"/>
  <c r="BP36" i="1" s="1"/>
  <c r="AZ36" i="1"/>
  <c r="BA36" i="1" s="1"/>
  <c r="BO35" i="1"/>
  <c r="BP35" i="1" s="1"/>
  <c r="AZ35" i="1"/>
  <c r="BA35" i="1" s="1"/>
  <c r="BO34" i="1"/>
  <c r="BP34" i="1" s="1"/>
  <c r="AZ34" i="1"/>
  <c r="BA34" i="1" s="1"/>
  <c r="BO33" i="1"/>
  <c r="BP33" i="1" s="1"/>
  <c r="AZ33" i="1"/>
  <c r="BA33" i="1" s="1"/>
  <c r="BO32" i="1"/>
  <c r="AZ32" i="1"/>
  <c r="BA32" i="1" s="1"/>
  <c r="BO31" i="1"/>
  <c r="AZ31" i="1"/>
  <c r="BA31" i="1" s="1"/>
  <c r="BO30" i="1"/>
  <c r="BP30" i="1" s="1"/>
  <c r="AZ30" i="1"/>
  <c r="BA30" i="1" s="1"/>
  <c r="BO29" i="1"/>
  <c r="BP29" i="1" s="1"/>
  <c r="AZ29" i="1"/>
  <c r="BA29" i="1" s="1"/>
  <c r="BO28" i="1"/>
  <c r="BP28" i="1" s="1"/>
  <c r="AZ28" i="1"/>
  <c r="BA28" i="1" s="1"/>
  <c r="BO27" i="1"/>
  <c r="BP27" i="1" s="1"/>
  <c r="AZ27" i="1"/>
  <c r="BA27" i="1" s="1"/>
  <c r="BO26" i="1"/>
  <c r="BP26" i="1" s="1"/>
  <c r="AZ26" i="1"/>
  <c r="BA26" i="1" s="1"/>
  <c r="BO25" i="1"/>
  <c r="BP25" i="1" s="1"/>
  <c r="AZ25" i="1"/>
  <c r="BA25" i="1" s="1"/>
  <c r="BO24" i="1"/>
  <c r="BP24" i="1" s="1"/>
  <c r="AZ24" i="1"/>
  <c r="BA24" i="1" s="1"/>
  <c r="BO23" i="1"/>
  <c r="AZ23" i="1"/>
  <c r="BA23" i="1" s="1"/>
  <c r="BO22" i="1"/>
  <c r="AZ22" i="1"/>
  <c r="BA22" i="1" s="1"/>
  <c r="BO21" i="1"/>
  <c r="J52" i="3" s="1"/>
  <c r="AZ21" i="1"/>
  <c r="BA21" i="1" s="1"/>
  <c r="BO20" i="1"/>
  <c r="AZ20" i="1"/>
  <c r="BA20" i="1" s="1"/>
  <c r="BO19" i="1"/>
  <c r="J56" i="3" s="1"/>
  <c r="AZ19" i="1"/>
  <c r="BA19" i="1" s="1"/>
  <c r="BO18" i="1"/>
  <c r="AZ18" i="1"/>
  <c r="BA18" i="1" s="1"/>
  <c r="BO17" i="1"/>
  <c r="AZ17" i="1"/>
  <c r="BA17" i="1" s="1"/>
  <c r="BO16" i="1"/>
  <c r="BP16" i="1" s="1"/>
  <c r="AZ16" i="1"/>
  <c r="BA16" i="1" s="1"/>
  <c r="BO15" i="1"/>
  <c r="AZ15" i="1"/>
  <c r="BA15" i="1" s="1"/>
  <c r="BO14" i="1"/>
  <c r="BP14" i="1" s="1"/>
  <c r="AZ14" i="1"/>
  <c r="BA14" i="1" s="1"/>
  <c r="BO13" i="1"/>
  <c r="BP13" i="1" s="1"/>
  <c r="AZ13" i="1"/>
  <c r="BA13" i="1" s="1"/>
  <c r="BO12" i="1"/>
  <c r="AZ12" i="1"/>
  <c r="BA12" i="1" s="1"/>
  <c r="K186" i="3" l="1"/>
  <c r="H168" i="3"/>
  <c r="K134" i="3"/>
  <c r="H155" i="3"/>
  <c r="K162" i="3"/>
  <c r="K170" i="3"/>
  <c r="K157" i="3"/>
  <c r="J49" i="3"/>
  <c r="G162" i="3"/>
  <c r="M162" i="3" s="1"/>
  <c r="K169" i="3"/>
  <c r="G187" i="3"/>
  <c r="M187" i="3" s="1"/>
  <c r="H136" i="3"/>
  <c r="H143" i="3"/>
  <c r="K150" i="3"/>
  <c r="J108" i="3"/>
  <c r="G108" i="3" s="1"/>
  <c r="J48" i="3"/>
  <c r="J43" i="3"/>
  <c r="G43" i="3" s="1"/>
  <c r="AD51" i="2"/>
  <c r="AI51" i="2" s="1"/>
  <c r="AD58" i="2"/>
  <c r="AI58" i="2" s="1"/>
  <c r="AD121" i="2"/>
  <c r="AI121" i="2" s="1"/>
  <c r="K151" i="3"/>
  <c r="J113" i="3"/>
  <c r="J45" i="3"/>
  <c r="M155" i="3"/>
  <c r="J93" i="3"/>
  <c r="J97" i="3"/>
  <c r="AD117" i="2"/>
  <c r="AI117" i="2" s="1"/>
  <c r="J101" i="3"/>
  <c r="K164" i="3"/>
  <c r="G133" i="3"/>
  <c r="AC43" i="2"/>
  <c r="AH43" i="2" s="1"/>
  <c r="AD46" i="2"/>
  <c r="AI46" i="2" s="1"/>
  <c r="J102" i="3"/>
  <c r="J31" i="3"/>
  <c r="AD34" i="2"/>
  <c r="AI34" i="2" s="1"/>
  <c r="AD99" i="2"/>
  <c r="AI99" i="2" s="1"/>
  <c r="AD32" i="2"/>
  <c r="AI32" i="2" s="1"/>
  <c r="BP21" i="1"/>
  <c r="J16" i="3"/>
  <c r="AD20" i="2"/>
  <c r="AI20" i="2" s="1"/>
  <c r="AC168" i="2"/>
  <c r="AH168" i="2" s="1"/>
  <c r="AC170" i="2"/>
  <c r="AH170" i="2" s="1"/>
  <c r="AC176" i="2"/>
  <c r="AH176" i="2" s="1"/>
  <c r="K171" i="3"/>
  <c r="K177" i="3"/>
  <c r="AD48" i="2"/>
  <c r="AI48" i="2" s="1"/>
  <c r="AD47" i="2"/>
  <c r="AI47" i="2" s="1"/>
  <c r="AD89" i="2"/>
  <c r="AI89" i="2" s="1"/>
  <c r="AD103" i="2"/>
  <c r="AI103" i="2" s="1"/>
  <c r="AC98" i="2"/>
  <c r="AH98" i="2" s="1"/>
  <c r="AD33" i="2"/>
  <c r="AI33" i="2" s="1"/>
  <c r="AC31" i="2"/>
  <c r="AH31" i="2" s="1"/>
  <c r="AD181" i="2"/>
  <c r="AI181" i="2" s="1"/>
  <c r="AD19" i="2"/>
  <c r="AI19" i="2" s="1"/>
  <c r="AD21" i="2"/>
  <c r="AI21" i="2" s="1"/>
  <c r="AD76" i="2"/>
  <c r="AI76" i="2" s="1"/>
  <c r="AD77" i="2"/>
  <c r="AI77" i="2" s="1"/>
  <c r="AC148" i="2"/>
  <c r="AH148" i="2" s="1"/>
  <c r="J54" i="3"/>
  <c r="K128" i="3"/>
  <c r="AD180" i="2"/>
  <c r="AI180" i="2" s="1"/>
  <c r="AD43" i="2"/>
  <c r="AI43" i="2" s="1"/>
  <c r="AD90" i="2"/>
  <c r="AI90" i="2" s="1"/>
  <c r="AD18" i="2"/>
  <c r="AI18" i="2" s="1"/>
  <c r="AD75" i="2"/>
  <c r="AI75" i="2" s="1"/>
  <c r="AC144" i="2"/>
  <c r="AH144" i="2" s="1"/>
  <c r="AC158" i="2"/>
  <c r="AH158" i="2" s="1"/>
  <c r="J55" i="3"/>
  <c r="G134" i="3"/>
  <c r="M134" i="3" s="1"/>
  <c r="AC24" i="2"/>
  <c r="AH24" i="2" s="1"/>
  <c r="AC9" i="2"/>
  <c r="AH9" i="2" s="1"/>
  <c r="AD14" i="2"/>
  <c r="AI14" i="2" s="1"/>
  <c r="AD17" i="2"/>
  <c r="AI17" i="2" s="1"/>
  <c r="AC62" i="2"/>
  <c r="AH62" i="2" s="1"/>
  <c r="AC65" i="2"/>
  <c r="AH65" i="2" s="1"/>
  <c r="AC72" i="2"/>
  <c r="AH72" i="2" s="1"/>
  <c r="AD72" i="2"/>
  <c r="AI72" i="2" s="1"/>
  <c r="AC133" i="2"/>
  <c r="AH133" i="2" s="1"/>
  <c r="AD143" i="2"/>
  <c r="AI143" i="2" s="1"/>
  <c r="K123" i="3"/>
  <c r="AD116" i="2"/>
  <c r="AI116" i="2" s="1"/>
  <c r="AD42" i="2"/>
  <c r="AI42" i="2" s="1"/>
  <c r="AC21" i="2"/>
  <c r="AH21" i="2" s="1"/>
  <c r="AD24" i="2"/>
  <c r="AI24" i="2" s="1"/>
  <c r="AD31" i="2"/>
  <c r="AI31" i="2" s="1"/>
  <c r="AD74" i="2"/>
  <c r="AI74" i="2" s="1"/>
  <c r="J41" i="3"/>
  <c r="BP278" i="1"/>
  <c r="AD61" i="2"/>
  <c r="AI61" i="2" s="1"/>
  <c r="K155" i="3"/>
  <c r="AD98" i="2"/>
  <c r="AI98" i="2" s="1"/>
  <c r="AD59" i="2"/>
  <c r="AI59" i="2" s="1"/>
  <c r="AD62" i="2"/>
  <c r="AI62" i="2" s="1"/>
  <c r="AD118" i="2"/>
  <c r="AI118" i="2" s="1"/>
  <c r="AC124" i="2"/>
  <c r="AH124" i="2" s="1"/>
  <c r="AD125" i="2"/>
  <c r="AI125" i="2" s="1"/>
  <c r="K142" i="3"/>
  <c r="K149" i="3"/>
  <c r="H161" i="3"/>
  <c r="BP223" i="1"/>
  <c r="J103" i="3"/>
  <c r="H131" i="3"/>
  <c r="G131" i="3"/>
  <c r="K175" i="3"/>
  <c r="G175" i="3"/>
  <c r="AD88" i="2"/>
  <c r="AI88" i="2" s="1"/>
  <c r="J107" i="3"/>
  <c r="BP256" i="1"/>
  <c r="J106" i="3"/>
  <c r="BP250" i="1"/>
  <c r="AD115" i="2"/>
  <c r="AI115" i="2" s="1"/>
  <c r="AD104" i="2"/>
  <c r="AI104" i="2" s="1"/>
  <c r="AC111" i="2"/>
  <c r="AH111" i="2" s="1"/>
  <c r="AD111" i="2"/>
  <c r="AI111" i="2" s="1"/>
  <c r="AC115" i="2"/>
  <c r="AH115" i="2" s="1"/>
  <c r="AC136" i="2"/>
  <c r="AH136" i="2" s="1"/>
  <c r="AC141" i="2"/>
  <c r="AH141" i="2" s="1"/>
  <c r="AD173" i="2"/>
  <c r="AI173" i="2" s="1"/>
  <c r="J109" i="3"/>
  <c r="K183" i="3"/>
  <c r="AD50" i="2"/>
  <c r="AI50" i="2" s="1"/>
  <c r="AC27" i="2"/>
  <c r="AH27" i="2" s="1"/>
  <c r="AD94" i="2"/>
  <c r="AI94" i="2" s="1"/>
  <c r="AC152" i="2"/>
  <c r="AH152" i="2" s="1"/>
  <c r="AC20" i="2"/>
  <c r="AH20" i="2" s="1"/>
  <c r="AD38" i="2"/>
  <c r="AI38" i="2" s="1"/>
  <c r="AD53" i="2"/>
  <c r="AI53" i="2" s="1"/>
  <c r="AC61" i="2"/>
  <c r="AH61" i="2" s="1"/>
  <c r="AC86" i="2"/>
  <c r="AH86" i="2" s="1"/>
  <c r="AC101" i="2"/>
  <c r="AH101" i="2" s="1"/>
  <c r="AD112" i="2"/>
  <c r="AI112" i="2" s="1"/>
  <c r="AC142" i="2"/>
  <c r="AH142" i="2" s="1"/>
  <c r="AD9" i="2"/>
  <c r="AI9" i="2" s="1"/>
  <c r="AC71" i="2"/>
  <c r="AH71" i="2" s="1"/>
  <c r="AC174" i="2"/>
  <c r="AH174" i="2" s="1"/>
  <c r="AC75" i="2"/>
  <c r="AH75" i="2" s="1"/>
  <c r="AD142" i="2"/>
  <c r="AI142" i="2" s="1"/>
  <c r="J87" i="3"/>
  <c r="AC26" i="2"/>
  <c r="AH26" i="2" s="1"/>
  <c r="AC34" i="2"/>
  <c r="AH34" i="2" s="1"/>
  <c r="AC157" i="2"/>
  <c r="AH157" i="2" s="1"/>
  <c r="AC85" i="2"/>
  <c r="AH85" i="2" s="1"/>
  <c r="AD105" i="2"/>
  <c r="AI105" i="2" s="1"/>
  <c r="J21" i="3"/>
  <c r="J86" i="3"/>
  <c r="AC22" i="2"/>
  <c r="AH22" i="2" s="1"/>
  <c r="AD22" i="2"/>
  <c r="AI22" i="2" s="1"/>
  <c r="AD23" i="2"/>
  <c r="AI23" i="2" s="1"/>
  <c r="AC29" i="2"/>
  <c r="AH29" i="2" s="1"/>
  <c r="AD29" i="2"/>
  <c r="AI29" i="2" s="1"/>
  <c r="AC44" i="2"/>
  <c r="AH44" i="2" s="1"/>
  <c r="AC70" i="2"/>
  <c r="AH70" i="2" s="1"/>
  <c r="AD70" i="2"/>
  <c r="AI70" i="2" s="1"/>
  <c r="AC74" i="2"/>
  <c r="AH74" i="2" s="1"/>
  <c r="AC89" i="2"/>
  <c r="AH89" i="2" s="1"/>
  <c r="AC96" i="2"/>
  <c r="AH96" i="2" s="1"/>
  <c r="AD96" i="2"/>
  <c r="AI96" i="2" s="1"/>
  <c r="AC104" i="2"/>
  <c r="AH104" i="2" s="1"/>
  <c r="AC119" i="2"/>
  <c r="AH119" i="2" s="1"/>
  <c r="AC122" i="2"/>
  <c r="AH122" i="2" s="1"/>
  <c r="AD122" i="2"/>
  <c r="AI122" i="2" s="1"/>
  <c r="AC126" i="2"/>
  <c r="AH126" i="2" s="1"/>
  <c r="AC127" i="2"/>
  <c r="AH127" i="2" s="1"/>
  <c r="AC150" i="2"/>
  <c r="AH150" i="2" s="1"/>
  <c r="AC180" i="2"/>
  <c r="AH180" i="2" s="1"/>
  <c r="J112" i="3"/>
  <c r="K130" i="3"/>
  <c r="G168" i="3"/>
  <c r="G183" i="3"/>
  <c r="M183" i="3" s="1"/>
  <c r="AD16" i="2"/>
  <c r="AI16" i="2" s="1"/>
  <c r="AC50" i="2"/>
  <c r="AH50" i="2" s="1"/>
  <c r="AD57" i="2"/>
  <c r="AI57" i="2" s="1"/>
  <c r="AD83" i="2"/>
  <c r="AI83" i="2" s="1"/>
  <c r="AC138" i="2"/>
  <c r="AH138" i="2" s="1"/>
  <c r="AD169" i="2"/>
  <c r="AI169" i="2" s="1"/>
  <c r="AC46" i="2"/>
  <c r="AH46" i="2" s="1"/>
  <c r="AC38" i="2"/>
  <c r="AH38" i="2" s="1"/>
  <c r="AC42" i="2"/>
  <c r="AH42" i="2" s="1"/>
  <c r="AC64" i="2"/>
  <c r="AH64" i="2" s="1"/>
  <c r="AD41" i="2"/>
  <c r="AI41" i="2" s="1"/>
  <c r="AD56" i="2"/>
  <c r="AI56" i="2" s="1"/>
  <c r="AC108" i="2"/>
  <c r="AH108" i="2" s="1"/>
  <c r="AC165" i="2"/>
  <c r="AH165" i="2" s="1"/>
  <c r="J28" i="3"/>
  <c r="AC52" i="2"/>
  <c r="AH52" i="2" s="1"/>
  <c r="AC60" i="2"/>
  <c r="AH60" i="2" s="1"/>
  <c r="AD15" i="2"/>
  <c r="AI15" i="2" s="1"/>
  <c r="AC18" i="2"/>
  <c r="AH18" i="2" s="1"/>
  <c r="AC33" i="2"/>
  <c r="AH33" i="2" s="1"/>
  <c r="AC40" i="2"/>
  <c r="AH40" i="2" s="1"/>
  <c r="AD40" i="2"/>
  <c r="AI40" i="2" s="1"/>
  <c r="AD49" i="2"/>
  <c r="AI49" i="2" s="1"/>
  <c r="AC55" i="2"/>
  <c r="AH55" i="2" s="1"/>
  <c r="AD55" i="2"/>
  <c r="AI55" i="2" s="1"/>
  <c r="AD60" i="2"/>
  <c r="AI60" i="2" s="1"/>
  <c r="AC81" i="2"/>
  <c r="AH81" i="2" s="1"/>
  <c r="AD81" i="2"/>
  <c r="AI81" i="2" s="1"/>
  <c r="AC100" i="2"/>
  <c r="AH100" i="2" s="1"/>
  <c r="AC107" i="2"/>
  <c r="AH107" i="2" s="1"/>
  <c r="AC114" i="2"/>
  <c r="AH114" i="2" s="1"/>
  <c r="AD114" i="2"/>
  <c r="AI114" i="2" s="1"/>
  <c r="AC135" i="2"/>
  <c r="AH135" i="2" s="1"/>
  <c r="AC140" i="2"/>
  <c r="AH140" i="2" s="1"/>
  <c r="AD141" i="2"/>
  <c r="AI141" i="2" s="1"/>
  <c r="AC155" i="2"/>
  <c r="AH155" i="2" s="1"/>
  <c r="J69" i="3"/>
  <c r="H69" i="3" s="1"/>
  <c r="J115" i="3"/>
  <c r="H140" i="3"/>
  <c r="M140" i="3" s="1"/>
  <c r="AC16" i="2"/>
  <c r="AH16" i="2" s="1"/>
  <c r="AD27" i="2"/>
  <c r="AI27" i="2" s="1"/>
  <c r="AD120" i="2"/>
  <c r="AI120" i="2" s="1"/>
  <c r="AC35" i="2"/>
  <c r="AH35" i="2" s="1"/>
  <c r="AC79" i="2"/>
  <c r="AH79" i="2" s="1"/>
  <c r="AD102" i="2"/>
  <c r="AI102" i="2" s="1"/>
  <c r="AC143" i="2"/>
  <c r="AH143" i="2" s="1"/>
  <c r="AC166" i="2"/>
  <c r="AH166" i="2" s="1"/>
  <c r="AC45" i="2"/>
  <c r="AH45" i="2" s="1"/>
  <c r="AD91" i="2"/>
  <c r="AI91" i="2" s="1"/>
  <c r="AC97" i="2"/>
  <c r="AH97" i="2" s="1"/>
  <c r="AC137" i="2"/>
  <c r="AH137" i="2" s="1"/>
  <c r="AD175" i="2"/>
  <c r="AI175" i="2" s="1"/>
  <c r="AC184" i="2"/>
  <c r="AH184" i="2" s="1"/>
  <c r="AD11" i="2"/>
  <c r="AI11" i="2" s="1"/>
  <c r="AD67" i="2"/>
  <c r="AI67" i="2" s="1"/>
  <c r="AD127" i="2"/>
  <c r="AI127" i="2" s="1"/>
  <c r="AC156" i="2"/>
  <c r="AH156" i="2" s="1"/>
  <c r="AC15" i="2"/>
  <c r="AH15" i="2" s="1"/>
  <c r="AC49" i="2"/>
  <c r="AH49" i="2" s="1"/>
  <c r="AD52" i="2"/>
  <c r="AI52" i="2" s="1"/>
  <c r="AC78" i="2"/>
  <c r="AH78" i="2" s="1"/>
  <c r="AC48" i="2"/>
  <c r="AH48" i="2" s="1"/>
  <c r="AC66" i="2"/>
  <c r="AH66" i="2" s="1"/>
  <c r="AD66" i="2"/>
  <c r="AI66" i="2" s="1"/>
  <c r="AC73" i="2"/>
  <c r="AH73" i="2" s="1"/>
  <c r="AD73" i="2"/>
  <c r="AI73" i="2" s="1"/>
  <c r="AC92" i="2"/>
  <c r="AH92" i="2" s="1"/>
  <c r="AD92" i="2"/>
  <c r="AI92" i="2" s="1"/>
  <c r="AD93" i="2"/>
  <c r="AI93" i="2" s="1"/>
  <c r="AD119" i="2"/>
  <c r="AI119" i="2" s="1"/>
  <c r="AD126" i="2"/>
  <c r="AI126" i="2" s="1"/>
  <c r="AC162" i="2"/>
  <c r="AH162" i="2" s="1"/>
  <c r="AC172" i="2"/>
  <c r="AH172" i="2" s="1"/>
  <c r="AD172" i="2"/>
  <c r="AI172" i="2" s="1"/>
  <c r="J70" i="3"/>
  <c r="J116" i="3"/>
  <c r="AD68" i="2"/>
  <c r="AI68" i="2" s="1"/>
  <c r="AC30" i="2"/>
  <c r="AH30" i="2" s="1"/>
  <c r="AD64" i="2"/>
  <c r="AI64" i="2" s="1"/>
  <c r="AD35" i="2"/>
  <c r="AI35" i="2" s="1"/>
  <c r="AC82" i="2"/>
  <c r="AH82" i="2" s="1"/>
  <c r="AC90" i="2"/>
  <c r="AH90" i="2" s="1"/>
  <c r="BP146" i="1"/>
  <c r="AC67" i="2"/>
  <c r="AH67" i="2" s="1"/>
  <c r="AC128" i="2"/>
  <c r="AH128" i="2" s="1"/>
  <c r="AD85" i="2"/>
  <c r="AI85" i="2" s="1"/>
  <c r="AD10" i="2"/>
  <c r="AI10" i="2" s="1"/>
  <c r="AC17" i="2"/>
  <c r="AH17" i="2" s="1"/>
  <c r="AC36" i="2"/>
  <c r="AH36" i="2" s="1"/>
  <c r="AD36" i="2"/>
  <c r="AI36" i="2" s="1"/>
  <c r="AD37" i="2"/>
  <c r="AI37" i="2" s="1"/>
  <c r="AC51" i="2"/>
  <c r="AH51" i="2" s="1"/>
  <c r="AD84" i="2"/>
  <c r="AI84" i="2" s="1"/>
  <c r="AC88" i="2"/>
  <c r="AH88" i="2" s="1"/>
  <c r="AD100" i="2"/>
  <c r="AI100" i="2" s="1"/>
  <c r="AC103" i="2"/>
  <c r="AH103" i="2" s="1"/>
  <c r="AC110" i="2"/>
  <c r="AH110" i="2" s="1"/>
  <c r="AD110" i="2"/>
  <c r="AI110" i="2" s="1"/>
  <c r="AD155" i="2"/>
  <c r="AI155" i="2" s="1"/>
  <c r="AC179" i="2"/>
  <c r="AH179" i="2" s="1"/>
  <c r="AD179" i="2"/>
  <c r="AI179" i="2" s="1"/>
  <c r="K140" i="3"/>
  <c r="H154" i="3"/>
  <c r="M154" i="3" s="1"/>
  <c r="G164" i="3"/>
  <c r="M164" i="3" s="1"/>
  <c r="G169" i="3"/>
  <c r="M169" i="3" s="1"/>
  <c r="K184" i="3"/>
  <c r="H189" i="3"/>
  <c r="AC57" i="2"/>
  <c r="AH57" i="2" s="1"/>
  <c r="AC83" i="2"/>
  <c r="AH83" i="2" s="1"/>
  <c r="AC109" i="2"/>
  <c r="AH109" i="2" s="1"/>
  <c r="AC12" i="2"/>
  <c r="AH12" i="2" s="1"/>
  <c r="AC91" i="2"/>
  <c r="AH91" i="2" s="1"/>
  <c r="AC94" i="2"/>
  <c r="AH94" i="2" s="1"/>
  <c r="M180" i="3"/>
  <c r="AC53" i="2"/>
  <c r="AH53" i="2" s="1"/>
  <c r="AC129" i="2"/>
  <c r="AH129" i="2" s="1"/>
  <c r="AC23" i="2"/>
  <c r="AH23" i="2" s="1"/>
  <c r="AD30" i="2"/>
  <c r="AI30" i="2" s="1"/>
  <c r="AD45" i="2"/>
  <c r="AI45" i="2" s="1"/>
  <c r="AD71" i="2"/>
  <c r="AI71" i="2" s="1"/>
  <c r="AD97" i="2"/>
  <c r="AI97" i="2" s="1"/>
  <c r="AC116" i="2"/>
  <c r="AH116" i="2" s="1"/>
  <c r="AC41" i="2"/>
  <c r="AH41" i="2" s="1"/>
  <c r="AC56" i="2"/>
  <c r="AH56" i="2" s="1"/>
  <c r="AD82" i="2"/>
  <c r="AI82" i="2" s="1"/>
  <c r="AD108" i="2"/>
  <c r="AI108" i="2" s="1"/>
  <c r="AC19" i="2"/>
  <c r="AH19" i="2" s="1"/>
  <c r="AC93" i="2"/>
  <c r="AH93" i="2" s="1"/>
  <c r="AC37" i="2"/>
  <c r="AH37" i="2" s="1"/>
  <c r="AD79" i="2"/>
  <c r="AI79" i="2" s="1"/>
  <c r="AC10" i="2"/>
  <c r="AH10" i="2" s="1"/>
  <c r="AD25" i="2"/>
  <c r="AI25" i="2" s="1"/>
  <c r="AC59" i="2"/>
  <c r="AH59" i="2" s="1"/>
  <c r="AC63" i="2"/>
  <c r="AH63" i="2" s="1"/>
  <c r="J32" i="3"/>
  <c r="J38" i="3"/>
  <c r="BP119" i="1"/>
  <c r="BP227" i="1"/>
  <c r="BP244" i="1"/>
  <c r="AC13" i="2"/>
  <c r="AH13" i="2" s="1"/>
  <c r="AD13" i="2"/>
  <c r="AI13" i="2" s="1"/>
  <c r="AC28" i="2"/>
  <c r="AH28" i="2" s="1"/>
  <c r="AD28" i="2"/>
  <c r="AI28" i="2" s="1"/>
  <c r="AC32" i="2"/>
  <c r="AH32" i="2" s="1"/>
  <c r="AD44" i="2"/>
  <c r="AI44" i="2" s="1"/>
  <c r="AD63" i="2"/>
  <c r="AI63" i="2" s="1"/>
  <c r="AC69" i="2"/>
  <c r="AH69" i="2" s="1"/>
  <c r="AD69" i="2"/>
  <c r="AI69" i="2" s="1"/>
  <c r="AC95" i="2"/>
  <c r="AH95" i="2" s="1"/>
  <c r="AD95" i="2"/>
  <c r="AI95" i="2" s="1"/>
  <c r="AC99" i="2"/>
  <c r="AH99" i="2" s="1"/>
  <c r="AC118" i="2"/>
  <c r="AH118" i="2" s="1"/>
  <c r="AC121" i="2"/>
  <c r="AH121" i="2" s="1"/>
  <c r="AC125" i="2"/>
  <c r="AH125" i="2" s="1"/>
  <c r="AC171" i="2"/>
  <c r="AH171" i="2" s="1"/>
  <c r="AD171" i="2"/>
  <c r="AI171" i="2" s="1"/>
  <c r="AC178" i="2"/>
  <c r="AH178" i="2" s="1"/>
  <c r="AD178" i="2"/>
  <c r="AI178" i="2" s="1"/>
  <c r="J17" i="3"/>
  <c r="J76" i="3"/>
  <c r="H76" i="3" s="1"/>
  <c r="K121" i="3"/>
  <c r="H175" i="3"/>
  <c r="AC102" i="2"/>
  <c r="AH102" i="2" s="1"/>
  <c r="AD109" i="2"/>
  <c r="AI109" i="2" s="1"/>
  <c r="AC117" i="2"/>
  <c r="AH117" i="2" s="1"/>
  <c r="AD12" i="2"/>
  <c r="AI12" i="2" s="1"/>
  <c r="AC68" i="2"/>
  <c r="AH68" i="2" s="1"/>
  <c r="AC76" i="2"/>
  <c r="AH76" i="2" s="1"/>
  <c r="AC120" i="2"/>
  <c r="AH120" i="2" s="1"/>
  <c r="AD86" i="2"/>
  <c r="AI86" i="2" s="1"/>
  <c r="AD101" i="2"/>
  <c r="AI101" i="2" s="1"/>
  <c r="AC112" i="2"/>
  <c r="AH112" i="2" s="1"/>
  <c r="AD65" i="2"/>
  <c r="AI65" i="2" s="1"/>
  <c r="AC123" i="2"/>
  <c r="AH123" i="2" s="1"/>
  <c r="AD128" i="2"/>
  <c r="AI128" i="2" s="1"/>
  <c r="AD182" i="2"/>
  <c r="AI182" i="2" s="1"/>
  <c r="AC105" i="2"/>
  <c r="AH105" i="2" s="1"/>
  <c r="AC151" i="2"/>
  <c r="AH151" i="2" s="1"/>
  <c r="AC11" i="2"/>
  <c r="AH11" i="2" s="1"/>
  <c r="AD26" i="2"/>
  <c r="AI26" i="2" s="1"/>
  <c r="AD174" i="2"/>
  <c r="AI174" i="2" s="1"/>
  <c r="AC182" i="2"/>
  <c r="AH182" i="2" s="1"/>
  <c r="BP201" i="1"/>
  <c r="BP248" i="1"/>
  <c r="BP258" i="1"/>
  <c r="AD78" i="2"/>
  <c r="AI78" i="2" s="1"/>
  <c r="AC14" i="2"/>
  <c r="AH14" i="2" s="1"/>
  <c r="AC25" i="2"/>
  <c r="AH25" i="2" s="1"/>
  <c r="AC39" i="2"/>
  <c r="AH39" i="2" s="1"/>
  <c r="AD39" i="2"/>
  <c r="AI39" i="2" s="1"/>
  <c r="AC47" i="2"/>
  <c r="AH47" i="2" s="1"/>
  <c r="AC54" i="2"/>
  <c r="AH54" i="2" s="1"/>
  <c r="AD54" i="2"/>
  <c r="AI54" i="2" s="1"/>
  <c r="AC58" i="2"/>
  <c r="AH58" i="2" s="1"/>
  <c r="AC77" i="2"/>
  <c r="AH77" i="2" s="1"/>
  <c r="AC80" i="2"/>
  <c r="AH80" i="2" s="1"/>
  <c r="AD80" i="2"/>
  <c r="AI80" i="2" s="1"/>
  <c r="AC84" i="2"/>
  <c r="AH84" i="2" s="1"/>
  <c r="AC87" i="2"/>
  <c r="AH87" i="2" s="1"/>
  <c r="AD87" i="2"/>
  <c r="AI87" i="2" s="1"/>
  <c r="AC106" i="2"/>
  <c r="AH106" i="2" s="1"/>
  <c r="AD106" i="2"/>
  <c r="AI106" i="2" s="1"/>
  <c r="AD107" i="2"/>
  <c r="AI107" i="2" s="1"/>
  <c r="AC113" i="2"/>
  <c r="AH113" i="2" s="1"/>
  <c r="AD113" i="2"/>
  <c r="AI113" i="2" s="1"/>
  <c r="AC139" i="2"/>
  <c r="AH139" i="2" s="1"/>
  <c r="AD144" i="2"/>
  <c r="AI144" i="2" s="1"/>
  <c r="AC153" i="2"/>
  <c r="AH153" i="2" s="1"/>
  <c r="AC154" i="2"/>
  <c r="AH154" i="2" s="1"/>
  <c r="AC177" i="2"/>
  <c r="AH177" i="2" s="1"/>
  <c r="J19" i="3"/>
  <c r="J82" i="3"/>
  <c r="G136" i="3"/>
  <c r="J90" i="3"/>
  <c r="BP225" i="1"/>
  <c r="J30" i="3"/>
  <c r="BP67" i="1"/>
  <c r="BP236" i="1"/>
  <c r="G157" i="3"/>
  <c r="H157" i="3"/>
  <c r="J74" i="3"/>
  <c r="K126" i="3"/>
  <c r="H122" i="3"/>
  <c r="M122" i="3" s="1"/>
  <c r="K127" i="3"/>
  <c r="H127" i="3"/>
  <c r="G127" i="3"/>
  <c r="BP64" i="1"/>
  <c r="J60" i="3"/>
  <c r="BP271" i="1"/>
  <c r="BP172" i="1"/>
  <c r="J61" i="3"/>
  <c r="BP177" i="1"/>
  <c r="J26" i="3"/>
  <c r="G165" i="3"/>
  <c r="K69" i="3"/>
  <c r="K161" i="3"/>
  <c r="G161" i="3"/>
  <c r="BP241" i="1"/>
  <c r="K36" i="3"/>
  <c r="H36" i="3"/>
  <c r="G36" i="3"/>
  <c r="K153" i="3"/>
  <c r="H153" i="3"/>
  <c r="G153" i="3"/>
  <c r="J83" i="3"/>
  <c r="BP221" i="1"/>
  <c r="J65" i="3"/>
  <c r="BP237" i="1"/>
  <c r="AD140" i="2"/>
  <c r="AI140" i="2" s="1"/>
  <c r="BP46" i="1"/>
  <c r="BP216" i="1"/>
  <c r="K122" i="3"/>
  <c r="J110" i="3"/>
  <c r="BP212" i="1"/>
  <c r="BP17" i="1"/>
  <c r="J34" i="3"/>
  <c r="BP22" i="1"/>
  <c r="J47" i="3"/>
  <c r="J64" i="3"/>
  <c r="BP240" i="1"/>
  <c r="AD156" i="2"/>
  <c r="AI156" i="2" s="1"/>
  <c r="J91" i="3"/>
  <c r="AD139" i="2"/>
  <c r="AI139" i="2" s="1"/>
  <c r="K182" i="3"/>
  <c r="G182" i="3"/>
  <c r="BP18" i="1"/>
  <c r="BP93" i="1"/>
  <c r="H43" i="3"/>
  <c r="AD124" i="2"/>
  <c r="AI124" i="2" s="1"/>
  <c r="AC175" i="2"/>
  <c r="AH175" i="2" s="1"/>
  <c r="BP68" i="1"/>
  <c r="BP203" i="1"/>
  <c r="J98" i="3"/>
  <c r="BP274" i="1"/>
  <c r="J120" i="3"/>
  <c r="BP279" i="1"/>
  <c r="AD123" i="2"/>
  <c r="AI123" i="2" s="1"/>
  <c r="AD159" i="2"/>
  <c r="AI159" i="2" s="1"/>
  <c r="AC164" i="2"/>
  <c r="AH164" i="2" s="1"/>
  <c r="J39" i="3"/>
  <c r="BP224" i="1"/>
  <c r="BP270" i="1"/>
  <c r="K66" i="3"/>
  <c r="H66" i="3"/>
  <c r="G66" i="3"/>
  <c r="K138" i="3"/>
  <c r="H138" i="3"/>
  <c r="G138" i="3"/>
  <c r="AC181" i="2"/>
  <c r="AH181" i="2" s="1"/>
  <c r="BP143" i="1"/>
  <c r="BP173" i="1"/>
  <c r="BP208" i="1"/>
  <c r="G143" i="3"/>
  <c r="M143" i="3" s="1"/>
  <c r="K143" i="3"/>
  <c r="J25" i="3"/>
  <c r="BP233" i="1"/>
  <c r="J94" i="3"/>
  <c r="BP253" i="1"/>
  <c r="J114" i="3"/>
  <c r="J18" i="3"/>
  <c r="BP118" i="1"/>
  <c r="AC134" i="2"/>
  <c r="AH134" i="2" s="1"/>
  <c r="AC145" i="2"/>
  <c r="AH145" i="2" s="1"/>
  <c r="AC149" i="2"/>
  <c r="AH149" i="2" s="1"/>
  <c r="AD158" i="2"/>
  <c r="AI158" i="2" s="1"/>
  <c r="AC159" i="2"/>
  <c r="AH159" i="2" s="1"/>
  <c r="K160" i="3"/>
  <c r="H160" i="3"/>
  <c r="G160" i="3"/>
  <c r="BP109" i="1"/>
  <c r="BP220" i="1"/>
  <c r="J80" i="3"/>
  <c r="BP229" i="1"/>
  <c r="J118" i="3"/>
  <c r="BP280" i="1"/>
  <c r="AC130" i="2"/>
  <c r="AH130" i="2" s="1"/>
  <c r="AD157" i="2"/>
  <c r="AI157" i="2" s="1"/>
  <c r="AC163" i="2"/>
  <c r="AH163" i="2" s="1"/>
  <c r="K139" i="3"/>
  <c r="H139" i="3"/>
  <c r="G139" i="3"/>
  <c r="J51" i="3"/>
  <c r="AD138" i="2"/>
  <c r="AI138" i="2" s="1"/>
  <c r="AD184" i="2"/>
  <c r="AI184" i="2" s="1"/>
  <c r="F117" i="3"/>
  <c r="F110" i="3"/>
  <c r="F103" i="3"/>
  <c r="F96" i="3"/>
  <c r="F89" i="3"/>
  <c r="F82" i="3"/>
  <c r="F75" i="3"/>
  <c r="F68" i="3"/>
  <c r="F61" i="3"/>
  <c r="F54" i="3"/>
  <c r="F47" i="3"/>
  <c r="F40" i="3"/>
  <c r="F33" i="3"/>
  <c r="F26" i="3"/>
  <c r="F19" i="3"/>
  <c r="F119" i="3"/>
  <c r="F112" i="3"/>
  <c r="F105" i="3"/>
  <c r="F98" i="3"/>
  <c r="F91" i="3"/>
  <c r="F84" i="3"/>
  <c r="F77" i="3"/>
  <c r="F70" i="3"/>
  <c r="F63" i="3"/>
  <c r="F56" i="3"/>
  <c r="F49" i="3"/>
  <c r="F42" i="3"/>
  <c r="F35" i="3"/>
  <c r="F28" i="3"/>
  <c r="F21" i="3"/>
  <c r="F14" i="3"/>
  <c r="F114" i="3"/>
  <c r="F107" i="3"/>
  <c r="F100" i="3"/>
  <c r="F93" i="3"/>
  <c r="F86" i="3"/>
  <c r="F79" i="3"/>
  <c r="F72" i="3"/>
  <c r="F65" i="3"/>
  <c r="F58" i="3"/>
  <c r="F51" i="3"/>
  <c r="F44" i="3"/>
  <c r="F37" i="3"/>
  <c r="F30" i="3"/>
  <c r="F23" i="3"/>
  <c r="F16" i="3"/>
  <c r="F116" i="3"/>
  <c r="F109" i="3"/>
  <c r="F102" i="3"/>
  <c r="F95" i="3"/>
  <c r="F88" i="3"/>
  <c r="F81" i="3"/>
  <c r="F74" i="3"/>
  <c r="F67" i="3"/>
  <c r="F60" i="3"/>
  <c r="F53" i="3"/>
  <c r="F46" i="3"/>
  <c r="F39" i="3"/>
  <c r="F32" i="3"/>
  <c r="F25" i="3"/>
  <c r="F18" i="3"/>
  <c r="F118" i="3"/>
  <c r="F71" i="3"/>
  <c r="F24" i="3"/>
  <c r="F20" i="3"/>
  <c r="F85" i="3"/>
  <c r="F38" i="3"/>
  <c r="F34" i="3"/>
  <c r="F97" i="3"/>
  <c r="F59" i="3"/>
  <c r="F17" i="3"/>
  <c r="F101" i="3"/>
  <c r="F92" i="3"/>
  <c r="F50" i="3"/>
  <c r="F41" i="3"/>
  <c r="F113" i="3"/>
  <c r="F62" i="3"/>
  <c r="F106" i="3"/>
  <c r="F52" i="3"/>
  <c r="F111" i="3"/>
  <c r="F57" i="3"/>
  <c r="F83" i="3"/>
  <c r="F78" i="3"/>
  <c r="F73" i="3"/>
  <c r="F99" i="3"/>
  <c r="F45" i="3"/>
  <c r="F104" i="3"/>
  <c r="F94" i="3"/>
  <c r="F29" i="3"/>
  <c r="F27" i="3"/>
  <c r="K145" i="3"/>
  <c r="H145" i="3"/>
  <c r="G145" i="3"/>
  <c r="G150" i="3"/>
  <c r="BP31" i="1"/>
  <c r="BP56" i="1"/>
  <c r="J20" i="3"/>
  <c r="BP69" i="1"/>
  <c r="BP213" i="1"/>
  <c r="BP267" i="1"/>
  <c r="AD137" i="2"/>
  <c r="AI137" i="2" s="1"/>
  <c r="AC147" i="2"/>
  <c r="AH147" i="2" s="1"/>
  <c r="AD153" i="2"/>
  <c r="AI153" i="2" s="1"/>
  <c r="J53" i="3"/>
  <c r="H150" i="3"/>
  <c r="K154" i="3"/>
  <c r="G171" i="3"/>
  <c r="K187" i="3"/>
  <c r="BP19" i="1"/>
  <c r="BP23" i="1"/>
  <c r="BP82" i="1"/>
  <c r="BP140" i="1"/>
  <c r="BP170" i="1"/>
  <c r="J40" i="3"/>
  <c r="BP259" i="1"/>
  <c r="BP263" i="1"/>
  <c r="BP272" i="1"/>
  <c r="AD136" i="2"/>
  <c r="AI136" i="2" s="1"/>
  <c r="AD152" i="2"/>
  <c r="AI152" i="2" s="1"/>
  <c r="AD167" i="2"/>
  <c r="AI167" i="2" s="1"/>
  <c r="F80" i="3"/>
  <c r="F87" i="3"/>
  <c r="K141" i="3"/>
  <c r="H171" i="3"/>
  <c r="J42" i="3"/>
  <c r="BP15" i="1"/>
  <c r="J59" i="3"/>
  <c r="BP32" i="1"/>
  <c r="BP205" i="1"/>
  <c r="J62" i="3"/>
  <c r="BP251" i="1"/>
  <c r="BP268" i="1"/>
  <c r="J72" i="3"/>
  <c r="AC132" i="2"/>
  <c r="AH132" i="2" s="1"/>
  <c r="AD151" i="2"/>
  <c r="AI151" i="2" s="1"/>
  <c r="AC161" i="2"/>
  <c r="AH161" i="2" s="1"/>
  <c r="F64" i="3"/>
  <c r="G141" i="3"/>
  <c r="J46" i="3"/>
  <c r="BP57" i="1"/>
  <c r="BP120" i="1"/>
  <c r="J35" i="3"/>
  <c r="BP188" i="1"/>
  <c r="J81" i="3"/>
  <c r="BP214" i="1"/>
  <c r="AD131" i="2"/>
  <c r="AI131" i="2" s="1"/>
  <c r="AD150" i="2"/>
  <c r="AI150" i="2" s="1"/>
  <c r="AD166" i="2"/>
  <c r="AI166" i="2" s="1"/>
  <c r="AC167" i="2"/>
  <c r="AH167" i="2" s="1"/>
  <c r="AC173" i="2"/>
  <c r="AH173" i="2" s="1"/>
  <c r="F22" i="3"/>
  <c r="F31" i="3"/>
  <c r="F120" i="3"/>
  <c r="H141" i="3"/>
  <c r="H147" i="3"/>
  <c r="M147" i="3" s="1"/>
  <c r="J33" i="3"/>
  <c r="BP20" i="1"/>
  <c r="J58" i="3"/>
  <c r="J85" i="3"/>
  <c r="BP210" i="1"/>
  <c r="BP231" i="1"/>
  <c r="BP243" i="1"/>
  <c r="AC146" i="2"/>
  <c r="AH146" i="2" s="1"/>
  <c r="AD165" i="2"/>
  <c r="AI165" i="2" s="1"/>
  <c r="F15" i="3"/>
  <c r="F55" i="3"/>
  <c r="F90" i="3"/>
  <c r="H129" i="3"/>
  <c r="G129" i="3"/>
  <c r="G137" i="3"/>
  <c r="H159" i="3"/>
  <c r="G159" i="3"/>
  <c r="AD154" i="2"/>
  <c r="AI154" i="2" s="1"/>
  <c r="J15" i="3"/>
  <c r="AD130" i="2"/>
  <c r="AI130" i="2" s="1"/>
  <c r="AC131" i="2"/>
  <c r="AH131" i="2" s="1"/>
  <c r="AD145" i="2"/>
  <c r="AI145" i="2" s="1"/>
  <c r="AD164" i="2"/>
  <c r="AI164" i="2" s="1"/>
  <c r="AC183" i="2"/>
  <c r="AH183" i="2" s="1"/>
  <c r="AD183" i="2"/>
  <c r="AI183" i="2" s="1"/>
  <c r="F115" i="3"/>
  <c r="BP12" i="1"/>
  <c r="BP79" i="1"/>
  <c r="BP189" i="1"/>
  <c r="BP206" i="1"/>
  <c r="BP252" i="1"/>
  <c r="AD129" i="2"/>
  <c r="AI129" i="2" s="1"/>
  <c r="AC160" i="2"/>
  <c r="AH160" i="2" s="1"/>
  <c r="F48" i="3"/>
  <c r="G142" i="3"/>
  <c r="K147" i="3"/>
  <c r="K131" i="3"/>
  <c r="G135" i="3"/>
  <c r="K188" i="3"/>
  <c r="H188" i="3"/>
  <c r="G188" i="3"/>
  <c r="J96" i="3"/>
  <c r="AD135" i="2"/>
  <c r="AI135" i="2" s="1"/>
  <c r="AD149" i="2"/>
  <c r="AI149" i="2" s="1"/>
  <c r="AD163" i="2"/>
  <c r="AI163" i="2" s="1"/>
  <c r="AD170" i="2"/>
  <c r="AI170" i="2" s="1"/>
  <c r="K124" i="3"/>
  <c r="H124" i="3"/>
  <c r="M124" i="3" s="1"/>
  <c r="K132" i="3"/>
  <c r="H132" i="3"/>
  <c r="G132" i="3"/>
  <c r="K144" i="3"/>
  <c r="K148" i="3"/>
  <c r="H148" i="3"/>
  <c r="G166" i="3"/>
  <c r="K173" i="3"/>
  <c r="H173" i="3"/>
  <c r="M173" i="3" s="1"/>
  <c r="K180" i="3"/>
  <c r="J24" i="3"/>
  <c r="BP39" i="1"/>
  <c r="BP257" i="1"/>
  <c r="BP265" i="1"/>
  <c r="AD134" i="2"/>
  <c r="AI134" i="2" s="1"/>
  <c r="AD148" i="2"/>
  <c r="AI148" i="2" s="1"/>
  <c r="AD162" i="2"/>
  <c r="AI162" i="2" s="1"/>
  <c r="G144" i="3"/>
  <c r="G148" i="3"/>
  <c r="H166" i="3"/>
  <c r="AD133" i="2"/>
  <c r="AI133" i="2" s="1"/>
  <c r="AD147" i="2"/>
  <c r="AI147" i="2" s="1"/>
  <c r="AD161" i="2"/>
  <c r="AI161" i="2" s="1"/>
  <c r="AD176" i="2"/>
  <c r="AI176" i="2" s="1"/>
  <c r="AD177" i="2"/>
  <c r="AI177" i="2" s="1"/>
  <c r="H152" i="3"/>
  <c r="K152" i="3"/>
  <c r="G152" i="3"/>
  <c r="K156" i="3"/>
  <c r="K174" i="3"/>
  <c r="H174" i="3"/>
  <c r="G174" i="3"/>
  <c r="K178" i="3"/>
  <c r="K181" i="3"/>
  <c r="H181" i="3"/>
  <c r="G181" i="3"/>
  <c r="K185" i="3"/>
  <c r="H185" i="3"/>
  <c r="G185" i="3"/>
  <c r="AD132" i="2"/>
  <c r="AI132" i="2" s="1"/>
  <c r="AD146" i="2"/>
  <c r="AI146" i="2" s="1"/>
  <c r="AD160" i="2"/>
  <c r="AI160" i="2" s="1"/>
  <c r="H133" i="3"/>
  <c r="K163" i="3"/>
  <c r="G170" i="3"/>
  <c r="G178" i="3"/>
  <c r="M178" i="3" s="1"/>
  <c r="G121" i="3"/>
  <c r="K125" i="3"/>
  <c r="H125" i="3"/>
  <c r="G125" i="3"/>
  <c r="K135" i="3"/>
  <c r="K165" i="3"/>
  <c r="H182" i="3"/>
  <c r="AD168" i="2"/>
  <c r="AI168" i="2" s="1"/>
  <c r="AC169" i="2"/>
  <c r="AH169" i="2" s="1"/>
  <c r="K172" i="3"/>
  <c r="H126" i="3"/>
  <c r="M126" i="3" s="1"/>
  <c r="K176" i="3"/>
  <c r="H176" i="3"/>
  <c r="M176" i="3" s="1"/>
  <c r="K158" i="3"/>
  <c r="K167" i="3"/>
  <c r="H167" i="3"/>
  <c r="G167" i="3"/>
  <c r="K137" i="3"/>
  <c r="K146" i="3"/>
  <c r="H146" i="3"/>
  <c r="G146" i="3"/>
  <c r="H123" i="3"/>
  <c r="M123" i="3" s="1"/>
  <c r="H130" i="3"/>
  <c r="M130" i="3" s="1"/>
  <c r="H137" i="3"/>
  <c r="H144" i="3"/>
  <c r="H151" i="3"/>
  <c r="M151" i="3" s="1"/>
  <c r="H158" i="3"/>
  <c r="M158" i="3" s="1"/>
  <c r="H165" i="3"/>
  <c r="H172" i="3"/>
  <c r="M172" i="3" s="1"/>
  <c r="H179" i="3"/>
  <c r="M179" i="3" s="1"/>
  <c r="H186" i="3"/>
  <c r="M186" i="3" s="1"/>
  <c r="H121" i="3"/>
  <c r="H128" i="3"/>
  <c r="M128" i="3" s="1"/>
  <c r="H135" i="3"/>
  <c r="H142" i="3"/>
  <c r="H149" i="3"/>
  <c r="M149" i="3" s="1"/>
  <c r="H156" i="3"/>
  <c r="M156" i="3" s="1"/>
  <c r="H163" i="3"/>
  <c r="M163" i="3" s="1"/>
  <c r="H170" i="3"/>
  <c r="H177" i="3"/>
  <c r="M177" i="3" s="1"/>
  <c r="H184" i="3"/>
  <c r="M184" i="3" s="1"/>
  <c r="G189" i="3"/>
  <c r="M161" i="3" l="1"/>
  <c r="M168" i="3"/>
  <c r="M181" i="3"/>
  <c r="H108" i="3"/>
  <c r="M108" i="3" s="1"/>
  <c r="M131" i="3"/>
  <c r="M136" i="3"/>
  <c r="M139" i="3"/>
  <c r="M165" i="3"/>
  <c r="M146" i="3"/>
  <c r="K43" i="3"/>
  <c r="M167" i="3"/>
  <c r="M129" i="3"/>
  <c r="M170" i="3"/>
  <c r="K76" i="3"/>
  <c r="M137" i="3"/>
  <c r="M133" i="3"/>
  <c r="M152" i="3"/>
  <c r="M135" i="3"/>
  <c r="M141" i="3"/>
  <c r="M185" i="3"/>
  <c r="M142" i="3"/>
  <c r="M121" i="3"/>
  <c r="G76" i="3"/>
  <c r="M76" i="3" s="1"/>
  <c r="M182" i="3"/>
  <c r="M127" i="3"/>
  <c r="M174" i="3"/>
  <c r="M148" i="3"/>
  <c r="M188" i="3"/>
  <c r="M144" i="3"/>
  <c r="M132" i="3"/>
  <c r="M175" i="3"/>
  <c r="M160" i="3"/>
  <c r="G69" i="3"/>
  <c r="M69" i="3" s="1"/>
  <c r="M157" i="3"/>
  <c r="M166" i="3"/>
  <c r="M66" i="3"/>
  <c r="M150" i="3"/>
  <c r="M189" i="3"/>
  <c r="M125" i="3"/>
  <c r="M171" i="3"/>
  <c r="M145" i="3"/>
  <c r="M153" i="3"/>
  <c r="M43" i="3"/>
  <c r="M36" i="3"/>
  <c r="K99" i="3"/>
  <c r="H99" i="3"/>
  <c r="G99" i="3"/>
  <c r="H17" i="3"/>
  <c r="G17" i="3"/>
  <c r="K17" i="3"/>
  <c r="K37" i="3"/>
  <c r="H37" i="3"/>
  <c r="G37" i="3"/>
  <c r="H28" i="3"/>
  <c r="K28" i="3"/>
  <c r="G28" i="3"/>
  <c r="K19" i="3"/>
  <c r="H19" i="3"/>
  <c r="G19" i="3"/>
  <c r="K117" i="3"/>
  <c r="H117" i="3"/>
  <c r="G117" i="3"/>
  <c r="G80" i="3"/>
  <c r="K80" i="3"/>
  <c r="H80" i="3"/>
  <c r="H73" i="3"/>
  <c r="G73" i="3"/>
  <c r="K73" i="3"/>
  <c r="K59" i="3"/>
  <c r="H59" i="3"/>
  <c r="G59" i="3"/>
  <c r="K53" i="3"/>
  <c r="H53" i="3"/>
  <c r="G53" i="3"/>
  <c r="K44" i="3"/>
  <c r="H44" i="3"/>
  <c r="G44" i="3"/>
  <c r="H35" i="3"/>
  <c r="K35" i="3"/>
  <c r="G35" i="3"/>
  <c r="H26" i="3"/>
  <c r="G26" i="3"/>
  <c r="K26" i="3"/>
  <c r="K90" i="3"/>
  <c r="H90" i="3"/>
  <c r="G90" i="3"/>
  <c r="K97" i="3"/>
  <c r="H97" i="3"/>
  <c r="G97" i="3"/>
  <c r="K51" i="3"/>
  <c r="H51" i="3"/>
  <c r="G51" i="3"/>
  <c r="G33" i="3"/>
  <c r="H33" i="3"/>
  <c r="K33" i="3"/>
  <c r="K55" i="3"/>
  <c r="H55" i="3"/>
  <c r="G55" i="3"/>
  <c r="K15" i="3"/>
  <c r="H15" i="3"/>
  <c r="G15" i="3"/>
  <c r="K57" i="3"/>
  <c r="G57" i="3"/>
  <c r="H57" i="3"/>
  <c r="H38" i="3"/>
  <c r="K38" i="3"/>
  <c r="G38" i="3"/>
  <c r="K74" i="3"/>
  <c r="H74" i="3"/>
  <c r="G74" i="3"/>
  <c r="K65" i="3"/>
  <c r="H65" i="3"/>
  <c r="G65" i="3"/>
  <c r="H56" i="3"/>
  <c r="K56" i="3"/>
  <c r="G56" i="3"/>
  <c r="G47" i="3"/>
  <c r="K47" i="3"/>
  <c r="H47" i="3"/>
  <c r="K111" i="3"/>
  <c r="H111" i="3"/>
  <c r="G111" i="3"/>
  <c r="K85" i="3"/>
  <c r="H85" i="3"/>
  <c r="G85" i="3"/>
  <c r="K81" i="3"/>
  <c r="H81" i="3"/>
  <c r="G81" i="3"/>
  <c r="K72" i="3"/>
  <c r="H72" i="3"/>
  <c r="G72" i="3"/>
  <c r="H63" i="3"/>
  <c r="G63" i="3"/>
  <c r="K63" i="3"/>
  <c r="K54" i="3"/>
  <c r="H54" i="3"/>
  <c r="G54" i="3"/>
  <c r="G31" i="3"/>
  <c r="K31" i="3"/>
  <c r="H31" i="3"/>
  <c r="K106" i="3"/>
  <c r="H106" i="3"/>
  <c r="G106" i="3"/>
  <c r="H24" i="3"/>
  <c r="K24" i="3"/>
  <c r="G24" i="3"/>
  <c r="K95" i="3"/>
  <c r="H95" i="3"/>
  <c r="G95" i="3"/>
  <c r="K86" i="3"/>
  <c r="H86" i="3"/>
  <c r="G86" i="3"/>
  <c r="H77" i="3"/>
  <c r="K77" i="3"/>
  <c r="G77" i="3"/>
  <c r="H68" i="3"/>
  <c r="G68" i="3"/>
  <c r="K68" i="3"/>
  <c r="K62" i="3"/>
  <c r="H62" i="3"/>
  <c r="G62" i="3"/>
  <c r="K71" i="3"/>
  <c r="G71" i="3"/>
  <c r="H71" i="3"/>
  <c r="K102" i="3"/>
  <c r="H102" i="3"/>
  <c r="G102" i="3"/>
  <c r="K93" i="3"/>
  <c r="H93" i="3"/>
  <c r="G93" i="3"/>
  <c r="H75" i="3"/>
  <c r="K75" i="3"/>
  <c r="G75" i="3"/>
  <c r="K115" i="3"/>
  <c r="H115" i="3"/>
  <c r="G115" i="3"/>
  <c r="K27" i="3"/>
  <c r="H27" i="3"/>
  <c r="G27" i="3"/>
  <c r="K113" i="3"/>
  <c r="G113" i="3"/>
  <c r="H113" i="3"/>
  <c r="K118" i="3"/>
  <c r="H118" i="3"/>
  <c r="G118" i="3"/>
  <c r="K109" i="3"/>
  <c r="H109" i="3"/>
  <c r="G109" i="3"/>
  <c r="K100" i="3"/>
  <c r="H100" i="3"/>
  <c r="G100" i="3"/>
  <c r="M100" i="3" s="1"/>
  <c r="H91" i="3"/>
  <c r="G91" i="3"/>
  <c r="K91" i="3"/>
  <c r="G82" i="3"/>
  <c r="K82" i="3"/>
  <c r="H82" i="3"/>
  <c r="M159" i="3"/>
  <c r="K29" i="3"/>
  <c r="G29" i="3"/>
  <c r="H29" i="3"/>
  <c r="K41" i="3"/>
  <c r="H41" i="3"/>
  <c r="G41" i="3"/>
  <c r="M41" i="3"/>
  <c r="K18" i="3"/>
  <c r="H18" i="3"/>
  <c r="G18" i="3"/>
  <c r="K116" i="3"/>
  <c r="H116" i="3"/>
  <c r="G116" i="3"/>
  <c r="K107" i="3"/>
  <c r="H107" i="3"/>
  <c r="G107" i="3"/>
  <c r="H98" i="3"/>
  <c r="G98" i="3"/>
  <c r="K98" i="3"/>
  <c r="H89" i="3"/>
  <c r="K89" i="3"/>
  <c r="G89" i="3"/>
  <c r="G45" i="3"/>
  <c r="K45" i="3"/>
  <c r="H45" i="3"/>
  <c r="H101" i="3"/>
  <c r="K101" i="3"/>
  <c r="G101" i="3"/>
  <c r="K39" i="3"/>
  <c r="H39" i="3"/>
  <c r="G39" i="3"/>
  <c r="K30" i="3"/>
  <c r="H30" i="3"/>
  <c r="G30" i="3"/>
  <c r="H21" i="3"/>
  <c r="G21" i="3"/>
  <c r="K21" i="3"/>
  <c r="H119" i="3"/>
  <c r="K119" i="3"/>
  <c r="G119" i="3"/>
  <c r="M119" i="3" s="1"/>
  <c r="K110" i="3"/>
  <c r="H110" i="3"/>
  <c r="G110" i="3"/>
  <c r="K87" i="3"/>
  <c r="H87" i="3"/>
  <c r="G87" i="3"/>
  <c r="K46" i="3"/>
  <c r="H46" i="3"/>
  <c r="G46" i="3"/>
  <c r="M46" i="3" s="1"/>
  <c r="K78" i="3"/>
  <c r="G78" i="3"/>
  <c r="H78" i="3"/>
  <c r="K60" i="3"/>
  <c r="H60" i="3"/>
  <c r="G60" i="3"/>
  <c r="H42" i="3"/>
  <c r="G42" i="3"/>
  <c r="K42" i="3"/>
  <c r="K83" i="3"/>
  <c r="H83" i="3"/>
  <c r="G83" i="3"/>
  <c r="K34" i="3"/>
  <c r="H34" i="3"/>
  <c r="G34" i="3"/>
  <c r="K67" i="3"/>
  <c r="H67" i="3"/>
  <c r="G67" i="3"/>
  <c r="M67" i="3" s="1"/>
  <c r="K58" i="3"/>
  <c r="H58" i="3"/>
  <c r="G58" i="3"/>
  <c r="H49" i="3"/>
  <c r="K49" i="3"/>
  <c r="G49" i="3"/>
  <c r="K40" i="3"/>
  <c r="H40" i="3"/>
  <c r="G40" i="3"/>
  <c r="K120" i="3"/>
  <c r="H120" i="3"/>
  <c r="G120" i="3"/>
  <c r="K52" i="3"/>
  <c r="H52" i="3"/>
  <c r="G52" i="3"/>
  <c r="M52" i="3" s="1"/>
  <c r="K20" i="3"/>
  <c r="H20" i="3"/>
  <c r="G20" i="3"/>
  <c r="K88" i="3"/>
  <c r="H88" i="3"/>
  <c r="G88" i="3"/>
  <c r="K79" i="3"/>
  <c r="H79" i="3"/>
  <c r="G79" i="3"/>
  <c r="H70" i="3"/>
  <c r="K70" i="3"/>
  <c r="G70" i="3"/>
  <c r="K61" i="3"/>
  <c r="H61" i="3"/>
  <c r="G61" i="3"/>
  <c r="K22" i="3"/>
  <c r="H22" i="3"/>
  <c r="G22" i="3"/>
  <c r="H84" i="3"/>
  <c r="K84" i="3"/>
  <c r="G84" i="3"/>
  <c r="K64" i="3"/>
  <c r="H64" i="3"/>
  <c r="G64" i="3"/>
  <c r="K94" i="3"/>
  <c r="H94" i="3"/>
  <c r="G94" i="3"/>
  <c r="M94" i="3" s="1"/>
  <c r="K50" i="3"/>
  <c r="H50" i="3"/>
  <c r="G50" i="3"/>
  <c r="K25" i="3"/>
  <c r="H25" i="3"/>
  <c r="G25" i="3"/>
  <c r="K16" i="3"/>
  <c r="H16" i="3"/>
  <c r="G16" i="3"/>
  <c r="K114" i="3"/>
  <c r="H114" i="3"/>
  <c r="G114" i="3"/>
  <c r="H105" i="3"/>
  <c r="K105" i="3"/>
  <c r="G105" i="3"/>
  <c r="M105" i="3" s="1"/>
  <c r="G96" i="3"/>
  <c r="K96" i="3"/>
  <c r="H96" i="3"/>
  <c r="K48" i="3"/>
  <c r="H48" i="3"/>
  <c r="G48" i="3"/>
  <c r="K104" i="3"/>
  <c r="H104" i="3"/>
  <c r="G104" i="3"/>
  <c r="K92" i="3"/>
  <c r="G92" i="3"/>
  <c r="H92" i="3"/>
  <c r="K32" i="3"/>
  <c r="H32" i="3"/>
  <c r="G32" i="3"/>
  <c r="K23" i="3"/>
  <c r="H23" i="3"/>
  <c r="G23" i="3"/>
  <c r="H14" i="3"/>
  <c r="G14" i="3"/>
  <c r="K14" i="3"/>
  <c r="H112" i="3"/>
  <c r="K112" i="3"/>
  <c r="G112" i="3"/>
  <c r="M112" i="3" s="1"/>
  <c r="K103" i="3"/>
  <c r="H103" i="3"/>
  <c r="G103" i="3"/>
  <c r="M103" i="3" s="1"/>
  <c r="M138" i="3"/>
  <c r="M40" i="3" l="1"/>
  <c r="M30" i="3"/>
  <c r="M60" i="3"/>
  <c r="M116" i="3"/>
  <c r="M110" i="3"/>
  <c r="M14" i="3"/>
  <c r="M87" i="3"/>
  <c r="M117" i="3"/>
  <c r="M22" i="3"/>
  <c r="M93" i="3"/>
  <c r="M27" i="3"/>
  <c r="M73" i="3"/>
  <c r="M37" i="3"/>
  <c r="M64" i="3"/>
  <c r="M21" i="3"/>
  <c r="M89" i="3"/>
  <c r="M83" i="3"/>
  <c r="M62" i="3"/>
  <c r="M63" i="3"/>
  <c r="M44" i="3"/>
  <c r="M17" i="3"/>
  <c r="M91" i="3"/>
  <c r="M86" i="3"/>
  <c r="M49" i="3"/>
  <c r="M56" i="3"/>
  <c r="M58" i="3"/>
  <c r="M68" i="3"/>
  <c r="M106" i="3"/>
  <c r="M15" i="3"/>
  <c r="M19" i="3"/>
  <c r="M70" i="3"/>
  <c r="M85" i="3"/>
  <c r="M78" i="3"/>
  <c r="M20" i="3"/>
  <c r="M32" i="3"/>
  <c r="M42" i="3"/>
  <c r="M107" i="3"/>
  <c r="M97" i="3"/>
  <c r="M47" i="3"/>
  <c r="M57" i="3"/>
  <c r="M35" i="3"/>
  <c r="M114" i="3"/>
  <c r="M118" i="3"/>
  <c r="M24" i="3"/>
  <c r="M53" i="3"/>
  <c r="M80" i="3"/>
  <c r="M104" i="3"/>
  <c r="M120" i="3"/>
  <c r="M81" i="3"/>
  <c r="M39" i="3"/>
  <c r="M16" i="3"/>
  <c r="M82" i="3"/>
  <c r="M77" i="3"/>
  <c r="M65" i="3"/>
  <c r="M59" i="3"/>
  <c r="M84" i="3"/>
  <c r="M102" i="3"/>
  <c r="M55" i="3"/>
  <c r="M28" i="3"/>
  <c r="M54" i="3"/>
  <c r="M74" i="3"/>
  <c r="M48" i="3"/>
  <c r="M98" i="3"/>
  <c r="M115" i="3"/>
  <c r="M95" i="3"/>
  <c r="M111" i="3"/>
  <c r="M45" i="3"/>
  <c r="M31" i="3"/>
  <c r="M25" i="3"/>
  <c r="M79" i="3"/>
  <c r="M109" i="3"/>
  <c r="M38" i="3"/>
  <c r="M26" i="3"/>
  <c r="M90" i="3"/>
  <c r="M96" i="3"/>
  <c r="M101" i="3"/>
  <c r="M33" i="3"/>
  <c r="M99" i="3"/>
  <c r="M61" i="3"/>
  <c r="M18" i="3"/>
  <c r="M50" i="3"/>
  <c r="M88" i="3"/>
  <c r="M34" i="3"/>
  <c r="M72" i="3"/>
  <c r="M51" i="3"/>
  <c r="M23" i="3"/>
  <c r="M92" i="3"/>
  <c r="M29" i="3"/>
  <c r="M71" i="3"/>
  <c r="M75" i="3"/>
  <c r="M113" i="3"/>
</calcChain>
</file>

<file path=xl/sharedStrings.xml><?xml version="1.0" encoding="utf-8"?>
<sst xmlns="http://schemas.openxmlformats.org/spreadsheetml/2006/main" count="5106" uniqueCount="875">
  <si>
    <t>PT. SEMARANG AUTOCOMP MANUFACTURING INDONESIA</t>
  </si>
  <si>
    <t>BUDGET EXPENSE FORM</t>
  </si>
  <si>
    <t>EXCHANGE RATE TO USD</t>
  </si>
  <si>
    <t>PERIODE Jul-25 SD Jun-26</t>
  </si>
  <si>
    <t>IDR</t>
  </si>
  <si>
    <t>DEPARTMENT-SECTION : PGA-TRN</t>
  </si>
  <si>
    <t>JPY</t>
  </si>
  <si>
    <t>PHP</t>
  </si>
  <si>
    <t>THB</t>
  </si>
  <si>
    <t>USD</t>
  </si>
  <si>
    <t>EUR</t>
  </si>
  <si>
    <t>CHF</t>
  </si>
  <si>
    <t>SECTION</t>
  </si>
  <si>
    <t>BUDGET REF NO</t>
  </si>
  <si>
    <t>PART_NO</t>
  </si>
  <si>
    <t>PART  NAME</t>
  </si>
  <si>
    <t>DETAIL PART</t>
  </si>
  <si>
    <t>FUNGSI / TUJUAN</t>
  </si>
  <si>
    <t>SECTION CATEGORY</t>
  </si>
  <si>
    <t>ACC NO.</t>
  </si>
  <si>
    <t>ACCOUNT DESCRIPTION</t>
  </si>
  <si>
    <t>CATEGORY</t>
  </si>
  <si>
    <t>COST CENTER</t>
  </si>
  <si>
    <t>CARLINE</t>
  </si>
  <si>
    <t>CARMAKER</t>
  </si>
  <si>
    <t>UOM</t>
  </si>
  <si>
    <t>ORG CURR</t>
  </si>
  <si>
    <t>PRICE ORG CURR</t>
  </si>
  <si>
    <t>PRICE USD</t>
  </si>
  <si>
    <t>TOTAL</t>
  </si>
  <si>
    <t>AVERAGE</t>
  </si>
  <si>
    <t>SUB ACCOUNT</t>
  </si>
  <si>
    <t>KODE PROSES</t>
  </si>
  <si>
    <t>PURCHASING</t>
  </si>
  <si>
    <t>LEADTIME</t>
  </si>
  <si>
    <t>QTY</t>
  </si>
  <si>
    <t>AMT</t>
  </si>
  <si>
    <t>PENAWARAN</t>
  </si>
  <si>
    <t>PR</t>
  </si>
  <si>
    <t>PO</t>
  </si>
  <si>
    <t>KEDATANGAN</t>
  </si>
  <si>
    <t>VP</t>
  </si>
  <si>
    <t>PGA-TRN</t>
  </si>
  <si>
    <t>ATK025</t>
  </si>
  <si>
    <t>BALLPOINT</t>
  </si>
  <si>
    <t>BALLPOINT STANDARD AE7</t>
  </si>
  <si>
    <t>Untuk notulen</t>
  </si>
  <si>
    <t>OPEX</t>
  </si>
  <si>
    <t>RUTIN</t>
  </si>
  <si>
    <t>ALL</t>
  </si>
  <si>
    <t>PCS</t>
  </si>
  <si>
    <t>9.4058967250262679E-2</t>
  </si>
  <si>
    <t>C</t>
  </si>
  <si>
    <t>GA</t>
  </si>
  <si>
    <t>ATK051</t>
  </si>
  <si>
    <t>DOUBLE TAPE</t>
  </si>
  <si>
    <t>DOUBLE TAPE 1/2" NACHI</t>
  </si>
  <si>
    <t xml:space="preserve">Untuk perlengkapan 4M </t>
  </si>
  <si>
    <t>ROL</t>
  </si>
  <si>
    <t>ATK052</t>
  </si>
  <si>
    <t>DOUBLE TAPE HIJAU</t>
  </si>
  <si>
    <t>ATK079</t>
  </si>
  <si>
    <t>MIKA LAMINATING</t>
  </si>
  <si>
    <t>MIKA LAMINATING A3</t>
  </si>
  <si>
    <t>PAK</t>
  </si>
  <si>
    <t>ATK111</t>
  </si>
  <si>
    <t>STABILO</t>
  </si>
  <si>
    <t>STABILO BOSS</t>
  </si>
  <si>
    <t>Marking undangan training &amp; C/S audit</t>
  </si>
  <si>
    <t>ATK155</t>
  </si>
  <si>
    <t>LAKBAN</t>
  </si>
  <si>
    <t>LAKBAN OPP TAPE SIZE 48MM X 45MIC X 72Y BENING</t>
  </si>
  <si>
    <t>Untuk laminasi identitas</t>
  </si>
  <si>
    <t>ROLL</t>
  </si>
  <si>
    <t>CSB021</t>
  </si>
  <si>
    <t>PENGKI</t>
  </si>
  <si>
    <t>PENGKI GAGANG PANJANG</t>
  </si>
  <si>
    <t>Alat 7S di Produksi</t>
  </si>
  <si>
    <t>CSB035</t>
  </si>
  <si>
    <t>TEMPAT SAMPAH</t>
  </si>
  <si>
    <t>TEMPAT SAMPAH GREY 42 LITER</t>
  </si>
  <si>
    <t>Tempat sentralisasi sampah di Produksi</t>
  </si>
  <si>
    <t>CSB106</t>
  </si>
  <si>
    <t>KURSI</t>
  </si>
  <si>
    <t>PERBAIKAN KURSI TRAINING</t>
  </si>
  <si>
    <t>Untuk perbaikan kursi di area TRN</t>
  </si>
  <si>
    <t>CSB204</t>
  </si>
  <si>
    <t>SAPU</t>
  </si>
  <si>
    <t>SAPU IJUK NYLON</t>
  </si>
  <si>
    <t>Pcs</t>
  </si>
  <si>
    <t>GAGS021</t>
  </si>
  <si>
    <t>PERJALANAN DINAS LUAR NEGERI</t>
  </si>
  <si>
    <t>INTERNET ROAMING</t>
  </si>
  <si>
    <t>Training Renewal promotor OLS</t>
  </si>
  <si>
    <t>PAKET</t>
  </si>
  <si>
    <t>D</t>
  </si>
  <si>
    <t>MCU006</t>
  </si>
  <si>
    <t>MCU</t>
  </si>
  <si>
    <t>MCU KARYAWAN CALON MAGANG JEPANG(NMC)</t>
  </si>
  <si>
    <t>Magang Jepang Operator</t>
  </si>
  <si>
    <t>ORANG</t>
  </si>
  <si>
    <t>B</t>
  </si>
  <si>
    <t>MAGANG JEPANG TRAINING SKILL UP (NEW MEMBER)</t>
  </si>
  <si>
    <t>MJTP5</t>
  </si>
  <si>
    <t>MAGANG JEPANG TRAINING  PREPARATION</t>
  </si>
  <si>
    <t>SEWA TEMPAT TINGGAL</t>
  </si>
  <si>
    <t>MJTP6</t>
  </si>
  <si>
    <t>BIAYA SEWA PERALATAN</t>
  </si>
  <si>
    <t>MAGANG JEPANG TRAINING PREPARATION (ARO-PP MEMBER)</t>
  </si>
  <si>
    <t>MJTP8</t>
  </si>
  <si>
    <t>BIAYA BULANAN UNTUK AREA UMUM DI GEDUNG APARTEMEN (PENERANGAN, DLL.)</t>
  </si>
  <si>
    <t>PTK065</t>
  </si>
  <si>
    <t>FORM</t>
  </si>
  <si>
    <t>FORM NOTULEN RAPAT QCC (PUTIH-BIRU)</t>
  </si>
  <si>
    <t>Untuk pertemuan QCC circle</t>
  </si>
  <si>
    <t>RIM</t>
  </si>
  <si>
    <t>PTK263</t>
  </si>
  <si>
    <t>CHECKSHEET</t>
  </si>
  <si>
    <t>CHECKSHEET PERUBAHAN 4M FA (WARNA KUNING)</t>
  </si>
  <si>
    <t>Untuk record perubahan 4M di Produksi (proses penting)</t>
  </si>
  <si>
    <t>QCC006</t>
  </si>
  <si>
    <t>REWARD</t>
  </si>
  <si>
    <t>REWARD PARTICIPANT</t>
  </si>
  <si>
    <t>Acara konvensi internal QCC</t>
  </si>
  <si>
    <t>TEAM</t>
  </si>
  <si>
    <t>TMJ004</t>
  </si>
  <si>
    <t>TRAINING MAGANG JEPANG</t>
  </si>
  <si>
    <t>TRAINING MAGANG JEPANG FAREWELL &amp; WELLCOME PARTY</t>
  </si>
  <si>
    <t>TMJ015</t>
  </si>
  <si>
    <t>PEMBELIAN KEBUTUHAN SEHARI-HARI</t>
  </si>
  <si>
    <t xml:space="preserve">PD ke MKH,HIROSHIMA (Training Development)
AFTER BOBBY </t>
  </si>
  <si>
    <t>TMJ016</t>
  </si>
  <si>
    <t>COST SERAGAM</t>
  </si>
  <si>
    <t>TMJ019</t>
  </si>
  <si>
    <t>BIAYA PENGIRIMAN DOKUMEN INVITATION (ASEAN)</t>
  </si>
  <si>
    <t>TO020</t>
  </si>
  <si>
    <t>HOTEL</t>
  </si>
  <si>
    <t>HOTEL MEETING/BENCHMARK GOL IV(DALAM NEGERI)</t>
  </si>
  <si>
    <t>BENCHMARK QCC KE SUAI</t>
  </si>
  <si>
    <t>HARI</t>
  </si>
  <si>
    <t>TRN111</t>
  </si>
  <si>
    <t>TRAINING</t>
  </si>
  <si>
    <t>TRAINING PELATIHAN BAHASA JEPANG N5 TERMIN 2</t>
  </si>
  <si>
    <t>Pelatihan bahasa Jepang SPV up</t>
  </si>
  <si>
    <t>BATCH</t>
  </si>
  <si>
    <t>A</t>
  </si>
  <si>
    <t>UPD003</t>
  </si>
  <si>
    <t>UPD</t>
  </si>
  <si>
    <t>UANG SAKU PD DALAM NEGERI GOL III</t>
  </si>
  <si>
    <t>FESTIVAL KAIZEN TMC</t>
  </si>
  <si>
    <t>ATK043</t>
  </si>
  <si>
    <t>CLIP</t>
  </si>
  <si>
    <t>CLIP BANTEX PLASTIK 8850</t>
  </si>
  <si>
    <t>Untuk penjepit dokumen-dokumen TRN &amp; MOTO</t>
  </si>
  <si>
    <t>CSB032</t>
  </si>
  <si>
    <t>TEMPAT SAMPAH GREY 15 LITER</t>
  </si>
  <si>
    <t>CSB197</t>
  </si>
  <si>
    <t>PITA</t>
  </si>
  <si>
    <t>PITA JEPANG KREASI KOMBINASI WARNA</t>
  </si>
  <si>
    <t>Dekorasi konvensi QCC</t>
  </si>
  <si>
    <t>ENT001</t>
  </si>
  <si>
    <t>ENTERTAIN</t>
  </si>
  <si>
    <t>ENTERTAIN MAKAN SIANG</t>
  </si>
  <si>
    <t>Skill kontes SAMI (IL 2)</t>
  </si>
  <si>
    <t>MJTP13</t>
  </si>
  <si>
    <t>GAJI</t>
  </si>
  <si>
    <t>MJTP7</t>
  </si>
  <si>
    <t>BIAYA LISTRIK, GAS DAN AIR</t>
  </si>
  <si>
    <t>PCG028</t>
  </si>
  <si>
    <t>PLASTIK</t>
  </si>
  <si>
    <t>PLASTIK KLIP 6X10</t>
  </si>
  <si>
    <t>Untuk perlengkapan 4M</t>
  </si>
  <si>
    <t>PCG048</t>
  </si>
  <si>
    <t>STRECTH FILM</t>
  </si>
  <si>
    <t>STRECTH FILM SIZE 17MIC X 150M X 500MM</t>
  </si>
  <si>
    <t>Untuk wraping area simulasi saat libur lebaran</t>
  </si>
  <si>
    <t>PTK026</t>
  </si>
  <si>
    <t>CHECKSHEET C/S PERUBAHAN 4M FINAL ASSY</t>
  </si>
  <si>
    <t>Untuk record perubahan 4M di Produksi (FA)</t>
  </si>
  <si>
    <t>QCC002</t>
  </si>
  <si>
    <t>REWARD FINISH STORY QCC</t>
  </si>
  <si>
    <t>REWARD06</t>
  </si>
  <si>
    <t>SKILL KONTES JUARA 2</t>
  </si>
  <si>
    <t>TMJ001</t>
  </si>
  <si>
    <t>TRAINING MAGANG JEPANG PEMBUATAN VISA</t>
  </si>
  <si>
    <t>TMJ005</t>
  </si>
  <si>
    <t>TRAINING MAGANG JEPANG PEMBUATAN PASPOR</t>
  </si>
  <si>
    <t>TMJ006</t>
  </si>
  <si>
    <t>TRAINING MAGANG JEPANG UANG CADANGAN</t>
  </si>
  <si>
    <t>TO007</t>
  </si>
  <si>
    <t>PERJALANAN DINAS</t>
  </si>
  <si>
    <t xml:space="preserve">TIKET PESAWAT MEETING/BENCMARK LUAR NEGERI (JEPANG ) GOL IV </t>
  </si>
  <si>
    <t>TO011</t>
  </si>
  <si>
    <t>TIKET PESAWAT MEETING/BENCMARK LUAR NEGERI(ASIA KECUALI JEPANG ) GOL IV</t>
  </si>
  <si>
    <t>TO019</t>
  </si>
  <si>
    <t>HOTEL MEETING/BENCHMARK GOL III(DALAM NEGERI)</t>
  </si>
  <si>
    <t>TO052</t>
  </si>
  <si>
    <t xml:space="preserve">PERJALANAN DINAS </t>
  </si>
  <si>
    <t>VISA JEPANG</t>
  </si>
  <si>
    <t>LOT</t>
  </si>
  <si>
    <t>TRN024</t>
  </si>
  <si>
    <t>REWARD NILAI KIZUKAI KAIZEN A</t>
  </si>
  <si>
    <t>Reward Kizukai Kaizen</t>
  </si>
  <si>
    <t>TRN110</t>
  </si>
  <si>
    <t>TRAINING PELATIHAN BAHASA JEPANG N5 TERMIN 1</t>
  </si>
  <si>
    <t>TRN141</t>
  </si>
  <si>
    <t>BAHASA JEPANG CONVERSATION TERMIN 1</t>
  </si>
  <si>
    <t>UPD001</t>
  </si>
  <si>
    <t>UPD DALAM KOTA(PERBANTUAN KE JF)</t>
  </si>
  <si>
    <t>Meeting/support audit di SAMI JF</t>
  </si>
  <si>
    <t>UPD004</t>
  </si>
  <si>
    <t>UANG SAKU PD DALAM NEGERI GOL IV</t>
  </si>
  <si>
    <t>Konvensi QCC YIG</t>
  </si>
  <si>
    <t>ATK001</t>
  </si>
  <si>
    <t>KERTAS</t>
  </si>
  <si>
    <t>KERTAS A3 70 GR</t>
  </si>
  <si>
    <t>Print layout perubahan 4M &amp; training plan</t>
  </si>
  <si>
    <t>ATK002</t>
  </si>
  <si>
    <t>KERTAS A4 70GR WHITE</t>
  </si>
  <si>
    <t>Print license, OJT license</t>
  </si>
  <si>
    <t>ATK057</t>
  </si>
  <si>
    <t>ISI CUTTER</t>
  </si>
  <si>
    <t>ISI CUTTER BESAR KENKO</t>
  </si>
  <si>
    <t xml:space="preserve">Untuk proses pemotongan impraboard </t>
  </si>
  <si>
    <t>TUBE</t>
  </si>
  <si>
    <t>ATK087</t>
  </si>
  <si>
    <t>PENGHAPUS</t>
  </si>
  <si>
    <t>PENGHAPUS PENSIL STAEDLER</t>
  </si>
  <si>
    <t>Koreksi hasil kizukai kaizen</t>
  </si>
  <si>
    <t>ATK157</t>
  </si>
  <si>
    <t>BUKU</t>
  </si>
  <si>
    <t>BUKU QUARTO 200</t>
  </si>
  <si>
    <t>Untuk rekap distribusi dokumen TRN &amp; MOTO</t>
  </si>
  <si>
    <t>CSB046</t>
  </si>
  <si>
    <t>BATERAI</t>
  </si>
  <si>
    <t>BATERAI A3 ABC ALKALINE (1 SET= 6 PCS)</t>
  </si>
  <si>
    <t>Untuk mouse &amp; remote AC</t>
  </si>
  <si>
    <t>Aktivitas bulan MOTO</t>
  </si>
  <si>
    <t>MJTP10</t>
  </si>
  <si>
    <t>PERUMAHAN SOSIAL TERMASUK MATERI ASURANSI</t>
  </si>
  <si>
    <t>MOTO006</t>
  </si>
  <si>
    <t>JUARA 2 LOMBA DESAIN POSTER MOTO</t>
  </si>
  <si>
    <t>Orang</t>
  </si>
  <si>
    <t>MOTO008</t>
  </si>
  <si>
    <t>JUARA 1 LOMBA YEL-YEL MOTO</t>
  </si>
  <si>
    <t>Team</t>
  </si>
  <si>
    <t>MOTO009</t>
  </si>
  <si>
    <t>JUARA 2 LOMBA YEL-YEL MOTO</t>
  </si>
  <si>
    <t>MOTO010</t>
  </si>
  <si>
    <t>JUARA 3 LOMBA YEL-YEL MOTO</t>
  </si>
  <si>
    <t>PTK222</t>
  </si>
  <si>
    <t>MMT</t>
  </si>
  <si>
    <t>METER</t>
  </si>
  <si>
    <t>QCC005</t>
  </si>
  <si>
    <t>REWARD KONVENSI QCC JUARA 3</t>
  </si>
  <si>
    <t>QCC013</t>
  </si>
  <si>
    <t>SOUVENIR QCC</t>
  </si>
  <si>
    <t>SN000954</t>
  </si>
  <si>
    <t>ACRYLIC</t>
  </si>
  <si>
    <t>ACRYLIC CLEAR 4MM X 420 X 840 (1LEMBAR=5PCS)</t>
  </si>
  <si>
    <t>Untuk papan perubahan 4M</t>
  </si>
  <si>
    <t>SET</t>
  </si>
  <si>
    <t>MTP</t>
  </si>
  <si>
    <t>TMJ002</t>
  </si>
  <si>
    <t>TUNJANGAN MUSIM DINGIN</t>
  </si>
  <si>
    <t>TMJ009</t>
  </si>
  <si>
    <t>GAJI (REFERENSI)</t>
  </si>
  <si>
    <t>TMJ017</t>
  </si>
  <si>
    <t>COST STAMPLE TANDA TANGAN</t>
  </si>
  <si>
    <t>TMJ021</t>
  </si>
  <si>
    <t>RENTAL SEPEDA</t>
  </si>
  <si>
    <t>TO002</t>
  </si>
  <si>
    <t>TIKET PESAWAT MEETING/BENCHMARK GOL III(DALAM NEGERI)</t>
  </si>
  <si>
    <t>TRN035</t>
  </si>
  <si>
    <t>REWARD KONTES KIZUKAI KAIZEN JUARA 2</t>
  </si>
  <si>
    <t>Kontes Kizukai Kaizen</t>
  </si>
  <si>
    <t>TRN036</t>
  </si>
  <si>
    <t>REWARD KONTES KIZUKAI KAIZEN JUARA 3</t>
  </si>
  <si>
    <t>CSB014</t>
  </si>
  <si>
    <t>KEMOCENG</t>
  </si>
  <si>
    <t>KEMOCENG RAFIA</t>
  </si>
  <si>
    <t>CSB027</t>
  </si>
  <si>
    <t>PENGKI SHINPO</t>
  </si>
  <si>
    <t>CSB045</t>
  </si>
  <si>
    <t>BATERAI A2 ABC ALKALINE (1 SET= 6 PCS)</t>
  </si>
  <si>
    <t>Untuk remote TV</t>
  </si>
  <si>
    <t xml:space="preserve">Renewal license IL 1 </t>
  </si>
  <si>
    <t>ENT061</t>
  </si>
  <si>
    <t>BENCHMARK QCC</t>
  </si>
  <si>
    <t>BENCHMARK QCC TMC</t>
  </si>
  <si>
    <t>MJM023</t>
  </si>
  <si>
    <t>MAGANG JEPANG MANAGEMENT</t>
  </si>
  <si>
    <t>EKSTERNAL TRAINING MANAGEMENT</t>
  </si>
  <si>
    <t>MJTP4</t>
  </si>
  <si>
    <t>PEMBELIAN PERALATAN AWAL</t>
  </si>
  <si>
    <t>MOTO012</t>
  </si>
  <si>
    <t>SOUVENIR BULAN MOTO</t>
  </si>
  <si>
    <t>PTK053</t>
  </si>
  <si>
    <t>FORM Daftar hadir &amp; Pemberitahuan rapat QCC</t>
  </si>
  <si>
    <t>PTK110</t>
  </si>
  <si>
    <t>CHECKSHEET KARTU TEMPORARY LICENCE MULTI SKILL</t>
  </si>
  <si>
    <t>Untuk license card opt multiskill</t>
  </si>
  <si>
    <t>RENT048</t>
  </si>
  <si>
    <t>SEWA  MOBIL  INNOVA REBORN  ALL IN - (EXC  TOL, PARKIR DAN INAP DRIVER) -  SUBANG/KARAWANG</t>
  </si>
  <si>
    <t>UNIT</t>
  </si>
  <si>
    <t>TMJ003</t>
  </si>
  <si>
    <t>TRAINING MAGANG JEPANG TRAINING BAHASA JEPANG</t>
  </si>
  <si>
    <t>TMJ023</t>
  </si>
  <si>
    <t>COST PERJALANAN DINAS DALAM NEGERI (Haneda→MC/MC→Haneda)</t>
  </si>
  <si>
    <t>TMJ024</t>
  </si>
  <si>
    <t>COST PERJALANAN DINAS DALAM NEGERI (MC→Hiroshima/Hiroshima→MC)</t>
  </si>
  <si>
    <t>TO028</t>
  </si>
  <si>
    <t>HOTEL MEETING/BENCHMARK GOL IV LUAR NEGERI (ASIA KECUALI JEPANG)</t>
  </si>
  <si>
    <t>TO116</t>
  </si>
  <si>
    <t>VISA ASIA KECUALI JEPANG</t>
  </si>
  <si>
    <t>MJM020</t>
  </si>
  <si>
    <t>BUKU TEKS BAHASA JEPANG</t>
  </si>
  <si>
    <t>MJM024</t>
  </si>
  <si>
    <t>INTERPRETER TRAINING MANAGEMENT</t>
  </si>
  <si>
    <t>MOTO001</t>
  </si>
  <si>
    <t>REWARD MOTO KATEGORI AREA FA TERBAIK</t>
  </si>
  <si>
    <t>QCC007</t>
  </si>
  <si>
    <t>REWARD THE BEST ACHIEVER QCC</t>
  </si>
  <si>
    <t>TIM</t>
  </si>
  <si>
    <t>TMJ014</t>
  </si>
  <si>
    <t>COST MEDICAL CHECKUP</t>
  </si>
  <si>
    <t>TMJ025</t>
  </si>
  <si>
    <t>COST PERJALANAN DINAS DALAM NEGERI (Cost jika ada perjalanan dinas dalam negeri selama training）</t>
  </si>
  <si>
    <t>TO021</t>
  </si>
  <si>
    <t>HOTEL MEETING/BENCHMARK GOL V(DALAM NEGERI)</t>
  </si>
  <si>
    <t>TO113</t>
  </si>
  <si>
    <t>LAUNDRY PERJALANAN DINAS PER HARI</t>
  </si>
  <si>
    <t>TRN143</t>
  </si>
  <si>
    <t>BIAYA AUDIT LICENSE OLS</t>
  </si>
  <si>
    <t>BIAYA AUDIT EXTERNAL OLS DARI GTT YC</t>
  </si>
  <si>
    <t>Biaya audit external license dari GTT YC</t>
  </si>
  <si>
    <t>ATK095</t>
  </si>
  <si>
    <t>POST IT</t>
  </si>
  <si>
    <t>POST IT 653 AN ( NEON COLOUR )</t>
  </si>
  <si>
    <t>Untuk notulen QCC &amp; TRN</t>
  </si>
  <si>
    <t>CSB148</t>
  </si>
  <si>
    <t>LIQUID</t>
  </si>
  <si>
    <t>LIQUID MESIN ASAP ISI 4.5 LITER</t>
  </si>
  <si>
    <t>Simulasi mobil Training</t>
  </si>
  <si>
    <t>GALON</t>
  </si>
  <si>
    <t>MJTP9</t>
  </si>
  <si>
    <t>WI-FI (WI-FI SAKU)</t>
  </si>
  <si>
    <t>MOTO005</t>
  </si>
  <si>
    <t>JUARA 1 LOMBA DESAIN POSTER MOTO</t>
  </si>
  <si>
    <t>MOTO007</t>
  </si>
  <si>
    <t>JUARA 3 LOMBA DESAIN POSTER MOTO</t>
  </si>
  <si>
    <t>QCC003</t>
  </si>
  <si>
    <t>REWARD KONVENSI QCC JUARA 1</t>
  </si>
  <si>
    <t>QCC012</t>
  </si>
  <si>
    <t>DOORPRIZE QCC</t>
  </si>
  <si>
    <t>REWARD05</t>
  </si>
  <si>
    <t>SKILL KONTES JUARA 1</t>
  </si>
  <si>
    <t>TMJ010</t>
  </si>
  <si>
    <t>COST RENTAL PERABOT</t>
  </si>
  <si>
    <t>TMJ011</t>
  </si>
  <si>
    <t>TMJ012</t>
  </si>
  <si>
    <t>COST KONTRAK SMARTPHONE/SMARTPHONE COST</t>
  </si>
  <si>
    <t>TMJ013</t>
  </si>
  <si>
    <t>COST KONTRAK Wi-Fi/COST PEMBATALAN</t>
  </si>
  <si>
    <t>TMJ018</t>
  </si>
  <si>
    <t>BIAYA PEMBUATAN KTP, BIAYA DOKUMEN INVITATION</t>
  </si>
  <si>
    <t>TO001</t>
  </si>
  <si>
    <t>TIKET KERETA MEETING/BENCHMARK GOL I-III(DALAM NEGERI)</t>
  </si>
  <si>
    <t>TO003</t>
  </si>
  <si>
    <t>TIKET PESAWAT MEETING/BENCHMARK GOL IV(DALAM NEGERI)</t>
  </si>
  <si>
    <t>TRANS001</t>
  </si>
  <si>
    <t>LOCAL TRANSPORT PD</t>
  </si>
  <si>
    <t>LOKAL TRANSPORT PERJALANAN DINAS DALAM NEGERI</t>
  </si>
  <si>
    <t>TRN034</t>
  </si>
  <si>
    <t>REWARD KONTES KIZUKAI KAIZEN JUARA 1</t>
  </si>
  <si>
    <t>TRN142</t>
  </si>
  <si>
    <t>BAHASA JEPANG CONVERSATION TERMIN 2</t>
  </si>
  <si>
    <t>ATK004</t>
  </si>
  <si>
    <t>KERTAS A4 70 GR WARNA</t>
  </si>
  <si>
    <t>ATK120</t>
  </si>
  <si>
    <t>BOARD MARKER</t>
  </si>
  <si>
    <t>BOARD MARKER ARTLINE 157 R</t>
  </si>
  <si>
    <t>Notulen saat training in class/ meeting</t>
  </si>
  <si>
    <t>CSB079</t>
  </si>
  <si>
    <t>LITHINIUM BATTREY CR 2032 3 V</t>
  </si>
  <si>
    <t>Untuk stop watch</t>
  </si>
  <si>
    <t>JLPT N5</t>
  </si>
  <si>
    <t>TES BAHASA JEPANG</t>
  </si>
  <si>
    <t>TES BAHASA JEPANG (TES JLPT N5)</t>
  </si>
  <si>
    <t>PCG021</t>
  </si>
  <si>
    <t>PLASTIK KANBAN JOINT</t>
  </si>
  <si>
    <t>PTK188</t>
  </si>
  <si>
    <t>CHECKSHEET PENGHAPUSAN LICENSE</t>
  </si>
  <si>
    <t>Untuk record penghapusan license</t>
  </si>
  <si>
    <t>UPD012</t>
  </si>
  <si>
    <t>UPD LUAR NEGERI ASIA KECUALI JEPANG GOL IV</t>
  </si>
  <si>
    <t>ATK024</t>
  </si>
  <si>
    <t>BALLPOINT SNOWMAN V7</t>
  </si>
  <si>
    <t>ATK127</t>
  </si>
  <si>
    <t>TAPE</t>
  </si>
  <si>
    <t>TAPE MASKING TAPE NACHI UK.12MMX20YARD</t>
  </si>
  <si>
    <t xml:space="preserve">Pertemuan IL 1 </t>
  </si>
  <si>
    <t>MJTP2</t>
  </si>
  <si>
    <t>BIAYA SERAGAM</t>
  </si>
  <si>
    <t>MJTP3</t>
  </si>
  <si>
    <t>SEWA SEPEDA</t>
  </si>
  <si>
    <t>MOTO004</t>
  </si>
  <si>
    <t>REWARD MOTO KATEGORI AUDITOR TERBAIK</t>
  </si>
  <si>
    <t>PCG015</t>
  </si>
  <si>
    <t>PLASTIK ID CARD DEPAN/ID LICENCE</t>
  </si>
  <si>
    <t>Untuk license card</t>
  </si>
  <si>
    <t>PTK025</t>
  </si>
  <si>
    <t>CHECKSHEET C/S PERUBAHAN 4M CPA/PRE ASSY</t>
  </si>
  <si>
    <t>Untuk record perubahan 4M di Produksi (CPA)</t>
  </si>
  <si>
    <t>PTK189</t>
  </si>
  <si>
    <t>CHECKSHEET PERUBAHAN 4M CUTTING TUBE</t>
  </si>
  <si>
    <t>Untuk record perubahan 4M di Produksi (Cut Tube)</t>
  </si>
  <si>
    <t>QCC004</t>
  </si>
  <si>
    <t>REWARD KONVENSI QCC JUARA 2</t>
  </si>
  <si>
    <t>REWARD07</t>
  </si>
  <si>
    <t>SKILL KONTES JUARA 3</t>
  </si>
  <si>
    <t>REWARD09</t>
  </si>
  <si>
    <t>DOORPRIZE SKILL KONTES</t>
  </si>
  <si>
    <t>TMJ020</t>
  </si>
  <si>
    <t>BIAYA PENERBITAN KTP</t>
  </si>
  <si>
    <t>TO006</t>
  </si>
  <si>
    <t>TIKET PESAWAT MEETING/BENCMARK LUAR NEGERI(JEPANG ) GOL I-III</t>
  </si>
  <si>
    <t>ATK077</t>
  </si>
  <si>
    <t>MAP</t>
  </si>
  <si>
    <t>STOPMAP BIOLA</t>
  </si>
  <si>
    <t xml:space="preserve">Untuk approval </t>
  </si>
  <si>
    <t>ATK156</t>
  </si>
  <si>
    <t>BUKU QUARTO 100</t>
  </si>
  <si>
    <t>Untuk record member TRN &amp; MOTO</t>
  </si>
  <si>
    <t>CSB142</t>
  </si>
  <si>
    <t>VACUM</t>
  </si>
  <si>
    <t>VACUM CLEANER MAYAKA VC-2933</t>
  </si>
  <si>
    <t>CSB230</t>
  </si>
  <si>
    <t>DEKORASI QCC</t>
  </si>
  <si>
    <t xml:space="preserve">DEKORASI QCC PRA &amp; KONVENSI QCC INTERNAL </t>
  </si>
  <si>
    <t>MOTO002</t>
  </si>
  <si>
    <t>REWARD MOTO KATEGORI AREA CPA TERBAIK</t>
  </si>
  <si>
    <t>MOTO011</t>
  </si>
  <si>
    <t>FINALIS LOMBA YEL-YEL MOTO</t>
  </si>
  <si>
    <t>PTK052</t>
  </si>
  <si>
    <t>CHECKSHEET DAFTAR HADIR NEOP</t>
  </si>
  <si>
    <t>Untuk record training NEOP</t>
  </si>
  <si>
    <t>PTK054</t>
  </si>
  <si>
    <t>FORM DAFTAR HADIR TRAINING (PUTIH-BIRU)</t>
  </si>
  <si>
    <t>Untuk record training</t>
  </si>
  <si>
    <t>PTK109</t>
  </si>
  <si>
    <t>CHECKSHEET KARTU TEMPORARY LICENCE NEOP</t>
  </si>
  <si>
    <t>Untuk license card NEOP</t>
  </si>
  <si>
    <t>PTK186</t>
  </si>
  <si>
    <t>MMT IDENTITAS SAMPAH DALAM PRD</t>
  </si>
  <si>
    <t>Identitas sentralisasi tempat sampah di Produksi</t>
  </si>
  <si>
    <t>PTK242</t>
  </si>
  <si>
    <t>BUKU LAPORAN KEGIATAN PEMAGANGAN(NEOP)REV.1</t>
  </si>
  <si>
    <t>Opt magang (NEOP)</t>
  </si>
  <si>
    <t>SVR001</t>
  </si>
  <si>
    <t>SOVENIR AFILLIATE</t>
  </si>
  <si>
    <t>TRN025</t>
  </si>
  <si>
    <t>REWARD NILAI KIZUKAI KAIZEN B</t>
  </si>
  <si>
    <t>TRN037</t>
  </si>
  <si>
    <t>REWARD THE BEST ACHIEVER KIZUKAI KAIZEN</t>
  </si>
  <si>
    <t>UPD002</t>
  </si>
  <si>
    <t>UANG SAKU PD DALAM NEGERI GOL I-II</t>
  </si>
  <si>
    <t>ATK054</t>
  </si>
  <si>
    <t>GUNTING</t>
  </si>
  <si>
    <t>GUNTING BESAR</t>
  </si>
  <si>
    <t>Untuk pengganti gunting yang rusak</t>
  </si>
  <si>
    <t>ATK056</t>
  </si>
  <si>
    <t>ISI BALLPOINT</t>
  </si>
  <si>
    <t>ISI BALLPOINT SNOWMAN V1V2</t>
  </si>
  <si>
    <t>5.7030369779600722E-2</t>
  </si>
  <si>
    <t>MJM025</t>
  </si>
  <si>
    <t>BIAYA PENERBITAN KARTU PENDUDUK RESIDENT CARD</t>
  </si>
  <si>
    <t>MJTP11</t>
  </si>
  <si>
    <t>BIAYA PERJALANAN DI DALAM JEPANG SELAMA MENINGGALKAN RUMAH DAN KEGIATAN LAINNYA.</t>
  </si>
  <si>
    <t>MOTO003</t>
  </si>
  <si>
    <t>REWARD MOTO KATEGORI AREA OFFICE TERBAIK</t>
  </si>
  <si>
    <t>QCC001</t>
  </si>
  <si>
    <t>REWARD KEHADIRAN QCC</t>
  </si>
  <si>
    <t>TMJ022</t>
  </si>
  <si>
    <t>ASURANSI SEPEDA</t>
  </si>
  <si>
    <t>TO004</t>
  </si>
  <si>
    <t>TIKET PESAWAT MEETING/BENCHMARK GOL V EKONOMI (DALAM NEGERI)</t>
  </si>
  <si>
    <t>TO124</t>
  </si>
  <si>
    <t>TIKET PESAWAT  TRAINING LUAR NEGERI (JEPANG) GOL I-III</t>
  </si>
  <si>
    <t>TRANS004</t>
  </si>
  <si>
    <t xml:space="preserve">LOCAL TRANSPORT </t>
  </si>
  <si>
    <t>PERJALANAN DINAS LUAR NEGERI(ASIA KECUALI JEPANG)GOL IV</t>
  </si>
  <si>
    <t>UPD005</t>
  </si>
  <si>
    <t>UANG SAKU PD DALAM NEGERI GOL V</t>
  </si>
  <si>
    <t>CSB144</t>
  </si>
  <si>
    <t>SCOTLET</t>
  </si>
  <si>
    <t>SCOTLET RED 126X100CM GILAP</t>
  </si>
  <si>
    <t>Untuk tempat sampah B3</t>
  </si>
  <si>
    <t>INSIDENTAL</t>
  </si>
  <si>
    <t>CSB146</t>
  </si>
  <si>
    <t>SCOTLET YELLOW 126X100CM GILAP</t>
  </si>
  <si>
    <t>Untuk tempat sampah</t>
  </si>
  <si>
    <t>ELC229</t>
  </si>
  <si>
    <t>APLIKASI</t>
  </si>
  <si>
    <t>APLIKASI VEGAS PRO</t>
  </si>
  <si>
    <t>editing vidio dan rendering</t>
  </si>
  <si>
    <t>ELC762</t>
  </si>
  <si>
    <t>STABILIZER CAMERA</t>
  </si>
  <si>
    <t>DJI RONIN RS 4 PRO</t>
  </si>
  <si>
    <t xml:space="preserve">penambahan alat Live streamin aktivitas TRN &amp;  MOTO </t>
  </si>
  <si>
    <t>ELC765</t>
  </si>
  <si>
    <t>MIC WIRELES CAMERA</t>
  </si>
  <si>
    <t>HOLLYLAND LARK MAX MICROPHONE WIRELESS AND RECORDER 8GB STORAGE</t>
  </si>
  <si>
    <t>Dokumentasi foto aktivitas TRN &amp; MOTO</t>
  </si>
  <si>
    <t>ELC693</t>
  </si>
  <si>
    <t>HDMI WIRELESS</t>
  </si>
  <si>
    <t>WIRELESS VIDEO TRANSMITTER SYSTEM CAMERA RECIVER 200M PX JM300 PRO</t>
  </si>
  <si>
    <t>ELC761</t>
  </si>
  <si>
    <t>TRIGER FLASH</t>
  </si>
  <si>
    <t>GODOX XPRO II TTL WIRELES FOR CANON</t>
  </si>
  <si>
    <t>ELC763</t>
  </si>
  <si>
    <t>LENSA</t>
  </si>
  <si>
    <t>LENSA ZEISS FE 35MM F1.4 FOR SONY</t>
  </si>
  <si>
    <t>ELC764</t>
  </si>
  <si>
    <t>LENSA SIGMA 18-35MM HSM ART F1.8 FOR CANON</t>
  </si>
  <si>
    <t>ELC767</t>
  </si>
  <si>
    <t>TRIPOD</t>
  </si>
  <si>
    <t>TAKARA HYDRO B18</t>
  </si>
  <si>
    <t>ELC772</t>
  </si>
  <si>
    <t>MONITOR KAMERA</t>
  </si>
  <si>
    <t>VILTROXDC 550 PRO</t>
  </si>
  <si>
    <t>ATK010</t>
  </si>
  <si>
    <t>KERTAS PLOTER A0 BIMA 50M</t>
  </si>
  <si>
    <t>Improvent area training</t>
  </si>
  <si>
    <t>ELC</t>
  </si>
  <si>
    <t>WITALK</t>
  </si>
  <si>
    <t>SARAMONIC WITALK WT3S FULL-DUPLEX WIRELESS INTERCOM HEADSET SYSTEM</t>
  </si>
  <si>
    <t>ELC695</t>
  </si>
  <si>
    <t>KABEL</t>
  </si>
  <si>
    <t>UGREEN 20137 CONVERTER MINI HDMI TO HDMI FEMALE ADAPTER MINI</t>
  </si>
  <si>
    <t>ELC760</t>
  </si>
  <si>
    <t>LAMPU FLASH</t>
  </si>
  <si>
    <t>GODOX V1 PRO TTL ROUND HEAD FLASH FOR CANON</t>
  </si>
  <si>
    <t>ELC699</t>
  </si>
  <si>
    <t>LENSA KAMERA</t>
  </si>
  <si>
    <t>SIGMA 70-200MM F/4L USM FOR CANON APSC + HOOD</t>
  </si>
  <si>
    <t>ELC299</t>
  </si>
  <si>
    <t>TV MONITOR</t>
  </si>
  <si>
    <t>TV MONITOR LED TV 65 INCH</t>
  </si>
  <si>
    <t>view tamu / peserta bisa melihan acara / event dengan jelas meskipun lokasinya jauh</t>
  </si>
  <si>
    <t>ELC698</t>
  </si>
  <si>
    <t>SIGMA 18-35MM F1.8 DC HSM ART FOR CANON APSC</t>
  </si>
  <si>
    <t>ELC703</t>
  </si>
  <si>
    <t>LAMPU STUDIO</t>
  </si>
  <si>
    <t>GODOX SL-200-III + SOFTBOX+LIGHSTAND</t>
  </si>
  <si>
    <t>ELC768</t>
  </si>
  <si>
    <t>FOCUSRITE AUDIO</t>
  </si>
  <si>
    <t>SCARLETT 8I6 3RD GEN USB AUDIO INTERFACE</t>
  </si>
  <si>
    <t>ELC777</t>
  </si>
  <si>
    <t>SPEAKER</t>
  </si>
  <si>
    <t>SIMBADDA CST907N+POSEIDON BASS SOUNDBAR DUAL SUBWOFER</t>
  </si>
  <si>
    <t>Perlengkapan untuk event TRN</t>
  </si>
  <si>
    <t>ELC779</t>
  </si>
  <si>
    <t>WITALK SRH</t>
  </si>
  <si>
    <t>SARAMONIC WITALK SRH INTERCOME REMOTE HANDSET</t>
  </si>
  <si>
    <t>ELC766</t>
  </si>
  <si>
    <t>MIC RECORDING</t>
  </si>
  <si>
    <t>MICROPHONE SHURE SM7B</t>
  </si>
  <si>
    <t>ELC770</t>
  </si>
  <si>
    <t>KABEL HDMI</t>
  </si>
  <si>
    <t>UGREEN MICRO HDMI TO HDMI FEMALE</t>
  </si>
  <si>
    <t>ELC773</t>
  </si>
  <si>
    <t>BATERAI MONITOR KAMERA</t>
  </si>
  <si>
    <t>BATERAI VILTROXDC 550 PRO</t>
  </si>
  <si>
    <t>ELC776</t>
  </si>
  <si>
    <t>MIC WIRELES TABLE</t>
  </si>
  <si>
    <t>KREZT MC-821UR WIRELESS MICROPHONE</t>
  </si>
  <si>
    <t>ELC771</t>
  </si>
  <si>
    <t>UGREEN MINI HDMI TO HDMI FEMALE</t>
  </si>
  <si>
    <t>ELC778</t>
  </si>
  <si>
    <t>WALKIE TALKIE</t>
  </si>
  <si>
    <t>MEIJIA WALKIE TALKIE 3 HT DUAL BAND 5W 5100MAH</t>
  </si>
  <si>
    <t>ELC789</t>
  </si>
  <si>
    <t>AUDIO INTERFACE</t>
  </si>
  <si>
    <t>MAONO AME2 PAKET MICROPHONE PD400X DYNAMIC DAN MH601</t>
  </si>
  <si>
    <t>ELC774</t>
  </si>
  <si>
    <t>HDMI WIRELES AUDIO VIDIO</t>
  </si>
  <si>
    <t>HDMI EXTENDER TRANSMITTER RECIVER PX WTR-PROO3 200M</t>
  </si>
  <si>
    <t>ELC788</t>
  </si>
  <si>
    <t>MIROR VIEW</t>
  </si>
  <si>
    <t>DESVIEW TP150 PORTABLE TELEPROMPTER</t>
  </si>
  <si>
    <t>ELC791</t>
  </si>
  <si>
    <t>LIGHTING</t>
  </si>
  <si>
    <t>ULAZI VL119 RGB</t>
  </si>
  <si>
    <t>ELC787</t>
  </si>
  <si>
    <t>CARGER HUB</t>
  </si>
  <si>
    <t>INSTA 360 X3 3SLOT</t>
  </si>
  <si>
    <t>ELC793</t>
  </si>
  <si>
    <t>FOLLOW SPOT 350W 17R + STAND</t>
  </si>
  <si>
    <t>ELC780</t>
  </si>
  <si>
    <t>BATERAI KAMERA</t>
  </si>
  <si>
    <t>BATERAI CANON LP-E6 ORIGINAL</t>
  </si>
  <si>
    <t>ELC782</t>
  </si>
  <si>
    <t>BATERAI SONY A6600</t>
  </si>
  <si>
    <t>ELC786</t>
  </si>
  <si>
    <t>BATERAI INSTA 360 X3</t>
  </si>
  <si>
    <t>ELC795</t>
  </si>
  <si>
    <t>BACKGROUND PAPER</t>
  </si>
  <si>
    <t>BACKGROUND PAPER POLOS SEAMLESS 2,7M X 6 M</t>
  </si>
  <si>
    <t>ELC775</t>
  </si>
  <si>
    <t>MIC WIRELES PRESENTASI</t>
  </si>
  <si>
    <t>HARDWELL C2 MIC WIRELESS</t>
  </si>
  <si>
    <t>ELC783</t>
  </si>
  <si>
    <t>BATERAI CANON EOS RP</t>
  </si>
  <si>
    <t>ELC794</t>
  </si>
  <si>
    <t>LEMARI KAMERA</t>
  </si>
  <si>
    <t>DRY BOX CABINET ANDBON AD-100S</t>
  </si>
  <si>
    <t>ELC797</t>
  </si>
  <si>
    <t>MACHINE SPARK</t>
  </si>
  <si>
    <t>MESIN COLD SPARK SPARKULAR 650 WATT</t>
  </si>
  <si>
    <t>ELC781</t>
  </si>
  <si>
    <t>BATERAI SONY A7C</t>
  </si>
  <si>
    <t>ELC784</t>
  </si>
  <si>
    <t>BATERAI SONY FDR AX53 UHD 4K</t>
  </si>
  <si>
    <t>ELC792</t>
  </si>
  <si>
    <t>PAKET LAMPU GVM 800D RGB + STAND</t>
  </si>
  <si>
    <t>ELC796</t>
  </si>
  <si>
    <t>BREKET TV</t>
  </si>
  <si>
    <t>NB BARCKET TV LED SWIVEL NB-P5</t>
  </si>
  <si>
    <t>ELC798</t>
  </si>
  <si>
    <t>SERBUK MACHINE SPARK</t>
  </si>
  <si>
    <t xml:space="preserve">	
SERBUK KEMBANG / POWDER MACHINE SPARK</t>
  </si>
  <si>
    <t>ELC799</t>
  </si>
  <si>
    <t>STAND LAPTOP</t>
  </si>
  <si>
    <t>COOLING PAD SUNCELL X6</t>
  </si>
  <si>
    <t>ELC801</t>
  </si>
  <si>
    <t>HUB CARGER</t>
  </si>
  <si>
    <t>ORICO 16 PORT USB HUB WITH INDIVIDUAL SWITCHES - BT2U3</t>
  </si>
  <si>
    <t>Charger tablet</t>
  </si>
  <si>
    <t>PED127</t>
  </si>
  <si>
    <t>SEKOLAH</t>
  </si>
  <si>
    <t>SEKOLAH - ALAT TEST</t>
  </si>
  <si>
    <t>Alat simulasi peraga</t>
  </si>
  <si>
    <t>ELC805</t>
  </si>
  <si>
    <t>VACUM CLEANER</t>
  </si>
  <si>
    <t>KARCHER NT 30L</t>
  </si>
  <si>
    <t>Alat 7S di produksi</t>
  </si>
  <si>
    <t>ELC804</t>
  </si>
  <si>
    <t xml:space="preserve">REFLEKTOR </t>
  </si>
  <si>
    <t>REFLEKTOR 5 IN 1 OVAL 150X200 FOR GODOX YOUNGNO</t>
  </si>
  <si>
    <t>PED106</t>
  </si>
  <si>
    <t>TRAINING DEVELOPMENT GA</t>
  </si>
  <si>
    <t>Public Speaking</t>
  </si>
  <si>
    <t>TRAINING PUBLIC SPEAKING</t>
  </si>
  <si>
    <t>PTK178</t>
  </si>
  <si>
    <t>TINTA STAMP</t>
  </si>
  <si>
    <t>TINTA STAMP TINTA ISTIMEWA BIRU</t>
  </si>
  <si>
    <t>Untuk stempel form OJT &amp; daftar hadir training</t>
  </si>
  <si>
    <t>ELC800</t>
  </si>
  <si>
    <t>HUB CONVERTER</t>
  </si>
  <si>
    <t>USB HUB C 3.1 HDMI MMC SD RJ45 FAST CHARGING AUX VGA 12IN1 PX UCH120B MACBOOK LAPTOP</t>
  </si>
  <si>
    <t>ELC803</t>
  </si>
  <si>
    <t>HANDPHONE</t>
  </si>
  <si>
    <t>XIAOMI 14T PRO 5G NFC 12GB/512GB INCLUDE CAPCUT PRO , GOOGLE DRIVE 2TB</t>
  </si>
  <si>
    <t>MB465</t>
  </si>
  <si>
    <t>TV</t>
  </si>
  <si>
    <t>TV  TV 43 IN RUANG LOBBY BARU DAN STAND BRAKET</t>
  </si>
  <si>
    <t>UNTUK DIGITAL OUT PUT CV BARU TRN</t>
  </si>
  <si>
    <t>ELC802</t>
  </si>
  <si>
    <t>GODOX ML60II BI COLOR PORTABLE LED LIGHT GODOX ML60 II BI</t>
  </si>
  <si>
    <t>PTK180</t>
  </si>
  <si>
    <t>TINTA STAMP TINTA ISTIMEWA MERAH</t>
  </si>
  <si>
    <t>PTK179</t>
  </si>
  <si>
    <t>TINTA STAMP TINTA ISTIMEWA HITAM</t>
  </si>
  <si>
    <t>PTK238</t>
  </si>
  <si>
    <t>STAMP</t>
  </si>
  <si>
    <t>STAMP S82D</t>
  </si>
  <si>
    <t>Benchmark museum untuk compare dengan training room saat ini</t>
  </si>
  <si>
    <t>ELC146</t>
  </si>
  <si>
    <t>HARDISK</t>
  </si>
  <si>
    <t>HARDISK EXTERNAL SEAGATE 1TB</t>
  </si>
  <si>
    <t>pemindahan file besar</t>
  </si>
  <si>
    <t>ELC759</t>
  </si>
  <si>
    <t>GODOX AD400PRO + TRIPOD MATVEL SUN 300 LIGHT STAND + SOFTBOX AD-S65S</t>
  </si>
  <si>
    <t>ELC769</t>
  </si>
  <si>
    <t>HDMI CAMERA WIRELES</t>
  </si>
  <si>
    <t>HOLLY LAND PYRO H 4K HDMI WIRELESS (400M)</t>
  </si>
  <si>
    <t>ELC785</t>
  </si>
  <si>
    <t>BATERAI KAMERA HANDYCAMP</t>
  </si>
  <si>
    <t>BATERAI SONY HXR MC2500</t>
  </si>
  <si>
    <t>ELC790</t>
  </si>
  <si>
    <t>MIC PODCAST</t>
  </si>
  <si>
    <t>MAONO PD400X</t>
  </si>
  <si>
    <t>SN015346</t>
  </si>
  <si>
    <t>SOLDER</t>
  </si>
  <si>
    <t>SOLDER TOFUDA 80 WATT</t>
  </si>
  <si>
    <t>Untuk prepare item TAIKAN di safety dojo</t>
  </si>
  <si>
    <t>PCE</t>
  </si>
  <si>
    <t>SRV417</t>
  </si>
  <si>
    <t>SCREWDRIVER</t>
  </si>
  <si>
    <t>2607019506 SCREWDRIVER BOSCH ACC 38-PIECE MIXED SET</t>
  </si>
  <si>
    <t>TO018</t>
  </si>
  <si>
    <t>HOTEL MEETING/BENCHMARK GOL I-II(DALAM NEGERI)</t>
  </si>
  <si>
    <t>TO153</t>
  </si>
  <si>
    <t>TIKET MASUK UNTUK BENCHMARK</t>
  </si>
  <si>
    <t>ALT074</t>
  </si>
  <si>
    <t>LEMARI</t>
  </si>
  <si>
    <t>LEMARI TABLET CUSTOM</t>
  </si>
  <si>
    <t>Untuk penyimpanan tablet NEOP</t>
  </si>
  <si>
    <t>IMPROVEMENT</t>
  </si>
  <si>
    <t>PTK298</t>
  </si>
  <si>
    <t>STIKER</t>
  </si>
  <si>
    <t>MATERIAL STIKER IDENTITAS NEON BOX 60 X 40 CM</t>
  </si>
  <si>
    <t>Untuk pajangan informasi di area TRN</t>
  </si>
  <si>
    <t>ELC807</t>
  </si>
  <si>
    <t>ALAT KEJUT</t>
  </si>
  <si>
    <t xml:space="preserve">ALAT KEJUT LISTRIK </t>
  </si>
  <si>
    <t>Untuk membuat taikan safety Dojo</t>
  </si>
  <si>
    <t>STP QTY</t>
  </si>
  <si>
    <t>STP AMT</t>
  </si>
  <si>
    <t>TERM 85</t>
  </si>
  <si>
    <t>TERM 84</t>
  </si>
  <si>
    <t>ACC NO</t>
  </si>
  <si>
    <t>ACC DESCRIPTION</t>
  </si>
  <si>
    <t>PART NAME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</si>
  <si>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</si>
  <si>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</si>
  <si>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</si>
  <si>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</si>
  <si>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</si>
  <si>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</si>
  <si>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</si>
  <si>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</si>
  <si>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</si>
  <si>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</si>
  <si>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</si>
  <si>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</si>
  <si>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TOTAL QTY</t>
  </si>
  <si>
    <t>TOTAL AMT</t>
  </si>
  <si>
    <t>PERCENTAGE QTY</t>
  </si>
  <si>
    <t>PERCENTAGE AMT</t>
  </si>
  <si>
    <t>REMARKS</t>
  </si>
  <si>
    <t>0.64* 17P+1.5 20P F(RETAINER O/D TYPE)</t>
  </si>
  <si>
    <t>Budget di Term 85 tidak ada, sedangkan di Term 84 ada.</t>
  </si>
  <si>
    <t>0.64-2 10P+1.5 8P M</t>
  </si>
  <si>
    <t>064 3 20P + 2.3 2 6P F I/F</t>
  </si>
  <si>
    <t>1P F LANCE ALLAXIS I/F</t>
  </si>
  <si>
    <t>3P FORK(SUS,UP/DOWN,LOCK TYPE)</t>
  </si>
  <si>
    <t>Aluminium Frame</t>
  </si>
  <si>
    <t>Aluminium Frames</t>
  </si>
  <si>
    <t>ASESORIES</t>
  </si>
  <si>
    <t>ASSEMBLY FIXTURE</t>
  </si>
  <si>
    <t>CABLE</t>
  </si>
  <si>
    <t>CHECKER FIXTURE</t>
  </si>
  <si>
    <t>CIRCUIT BOARD</t>
  </si>
  <si>
    <t>CLIP LOCATING TOOL</t>
  </si>
  <si>
    <t>CONN HOLDER JIG</t>
  </si>
  <si>
    <t>CONN HOLDER JIG (BLACK)(LOCK=U)</t>
  </si>
  <si>
    <t>CONN HOLDER JIG (BLUE)(FOR FP)</t>
  </si>
  <si>
    <t>CONN HOLDER JIG (GRAY)(FOR FP)</t>
  </si>
  <si>
    <t>COVER</t>
  </si>
  <si>
    <t>CUP</t>
  </si>
  <si>
    <t>ELEKTRICKAL</t>
  </si>
  <si>
    <t>FLASHDISK</t>
  </si>
  <si>
    <t>IF40</t>
  </si>
  <si>
    <t>IMPRABOARD</t>
  </si>
  <si>
    <t>KABEL PLC</t>
  </si>
  <si>
    <t>KABEL RJ12</t>
  </si>
  <si>
    <t>KABEL RS232</t>
  </si>
  <si>
    <t>KABEL RS-232</t>
  </si>
  <si>
    <t>KAWAT SELING</t>
  </si>
  <si>
    <t>LAMPU</t>
  </si>
  <si>
    <t>LED</t>
  </si>
  <si>
    <t>MASTER UNIT</t>
  </si>
  <si>
    <t>MONITOR</t>
  </si>
  <si>
    <t>Nuts</t>
  </si>
  <si>
    <t>PCB</t>
  </si>
  <si>
    <t>PEMOTONG KERTAS</t>
  </si>
  <si>
    <t>PLACON</t>
  </si>
  <si>
    <t>PLCS</t>
  </si>
  <si>
    <t>SCANNER</t>
  </si>
  <si>
    <t>Screws</t>
  </si>
  <si>
    <t>SEKRUP</t>
  </si>
  <si>
    <t>SOK TRUNGKING</t>
  </si>
  <si>
    <t>SOLENOID CONTROLLER</t>
  </si>
  <si>
    <t>STAINLESS</t>
  </si>
  <si>
    <t>STAND</t>
  </si>
  <si>
    <t>TALI ID CARD</t>
  </si>
  <si>
    <t>TOMBOL EMERGENCY</t>
  </si>
  <si>
    <t>U FORK(SUS,UP/DOWN,LOCK TYPE)</t>
  </si>
  <si>
    <t>ACCO FASTENER</t>
  </si>
  <si>
    <t>IDENTITAS</t>
  </si>
  <si>
    <t>LAMPU LED</t>
  </si>
  <si>
    <t>ROLL BANNER</t>
  </si>
  <si>
    <t>STICKER</t>
  </si>
  <si>
    <t>TIKET PERJALANAN DINAS</t>
  </si>
  <si>
    <t>TROLLY BARANG</t>
  </si>
  <si>
    <t>VIDEO SWITCHER</t>
  </si>
  <si>
    <t>PROJECT</t>
  </si>
  <si>
    <t>CELEMEK</t>
  </si>
  <si>
    <t>BALON</t>
  </si>
  <si>
    <t>DEKORASI</t>
  </si>
  <si>
    <t>BUDGET ANALYSIS SHEETS</t>
  </si>
  <si>
    <t>F</t>
  </si>
  <si>
    <t>FIXED COST</t>
  </si>
  <si>
    <t>CHECKED 2</t>
  </si>
  <si>
    <t>CHECKED 1</t>
  </si>
  <si>
    <t>PREPARED</t>
  </si>
  <si>
    <t>TERM 85 (JULY 2025 - JUNE 2026)</t>
  </si>
  <si>
    <t>V</t>
  </si>
  <si>
    <t>VARIABLE COST</t>
  </si>
  <si>
    <t>DEPART/SECT : PGA-TRN</t>
  </si>
  <si>
    <t>MGR/SM</t>
  </si>
  <si>
    <t>CO SPV/ASMAN</t>
  </si>
  <si>
    <t>SPV</t>
  </si>
  <si>
    <t>CTG</t>
  </si>
  <si>
    <t>Term 84</t>
  </si>
  <si>
    <t>Term 85</t>
  </si>
  <si>
    <t>PERCENTAGE</t>
  </si>
  <si>
    <t>Remarks</t>
  </si>
  <si>
    <t>STP</t>
  </si>
  <si>
    <t>Act+Forecast</t>
  </si>
  <si>
    <t>Nariyuki</t>
  </si>
  <si>
    <t>Cost Push</t>
  </si>
  <si>
    <t>Cost Reduction</t>
  </si>
  <si>
    <t>Other</t>
  </si>
  <si>
    <t>Amount</t>
  </si>
  <si>
    <t>E</t>
  </si>
  <si>
    <t>G</t>
  </si>
  <si>
    <t>H=(G-C)/C</t>
  </si>
  <si>
    <t>Production Manhour Total</t>
  </si>
  <si>
    <t>Production Manhour / Month</t>
  </si>
  <si>
    <t>CEK (Harus 0)</t>
  </si>
  <si>
    <t>Refleksi Term 84</t>
  </si>
  <si>
    <t>Additional Budget</t>
  </si>
  <si>
    <t>Item Tidak Dipakai</t>
  </si>
  <si>
    <t>STP Term 85</t>
  </si>
  <si>
    <t>Cost Push Harga Naik</t>
  </si>
  <si>
    <t>Cost Push Qty Naik</t>
  </si>
  <si>
    <t>Cost Push Item Baru</t>
  </si>
  <si>
    <t>No</t>
  </si>
  <si>
    <t>Item</t>
  </si>
  <si>
    <t>Remark</t>
  </si>
  <si>
    <t>Term</t>
  </si>
  <si>
    <t>Keterangan</t>
  </si>
  <si>
    <t>Measure for FY85 STP</t>
  </si>
  <si>
    <t>Budget magang Jepang managemen ganti part name di th 85</t>
  </si>
  <si>
    <t>Di th 85 penggantian ballpoint yang rusak</t>
  </si>
  <si>
    <t>Ada perubahan part name di th 85</t>
  </si>
  <si>
    <t>Ada kenaikan harga</t>
  </si>
  <si>
    <t>Plan rekrut NEOP di th 85 mengalami kenaikan dibandingkan aktual di th 84</t>
  </si>
  <si>
    <t>Di th 84 tidak ada seleksi calon magang operator ke Jepang karena menggunakan cadangan dari batch sebelumnya</t>
  </si>
  <si>
    <t>Ada penambahan qty karena ada penambahan jumlah kebutuhan sapu dari term 84</t>
  </si>
  <si>
    <t>Di th 85 tidak ada plan training nihonggo N4, hanya nihonggo N5</t>
  </si>
  <si>
    <t>Di th 85 tidak ada plan training bahasa Inggris TOEIC</t>
  </si>
  <si>
    <t>Ada penurunan harga</t>
  </si>
  <si>
    <t>-</t>
  </si>
  <si>
    <t>Di th 85 tidak ada pembelian penghapus white board</t>
  </si>
  <si>
    <t xml:space="preserve">Di th 85 plan penggantian tempat sampah B3 </t>
  </si>
  <si>
    <t>Di th 85 penggantian gunting yang rusak saja</t>
  </si>
  <si>
    <t>Di th 85 ada penambahan reward baru untuk skill kontes IL 2, penambahan qty untuk reward finish story</t>
  </si>
  <si>
    <t>Di th 85 part name training magang Jepang digunakan untuk magang Jepang operator, management &amp; developmen</t>
  </si>
  <si>
    <t>Di th 85 penambahan form daftar hadir QCC</t>
  </si>
  <si>
    <t>New item di th 85</t>
  </si>
  <si>
    <t>Di th 85 melanjutkan biaya member yang masih di Jepang &amp; biaya untuk member berikutnya yang akan training</t>
  </si>
  <si>
    <t>Di th 85 ada plan benchmark ke museum (new)</t>
  </si>
  <si>
    <t>Di th 84 ada penggantian revisi design ID tempat sampah, di th 85 untuk penggantian jika ada yang rusak</t>
  </si>
  <si>
    <t>Di th 85 untuk penggantian pita yang rusak</t>
  </si>
  <si>
    <t>Di th 84 ada additional plastik ID card karena ada kenaikan jumlah NEOP</t>
  </si>
  <si>
    <t>Di th 85 ada plan benchmark ke museum (new) &amp; benchmark ke SUAI</t>
  </si>
  <si>
    <t>Add qty untuk konvensi QCC, add qty untuk renewal IL 1, new item entertaint untuk pertemuan IL 1</t>
  </si>
  <si>
    <t>Di th 85 penambahan biaya untuk kertas plotter</t>
  </si>
  <si>
    <t>Ada penambahan qty karena ada penambahan jumlah kebutuhan pengki dari term 84</t>
  </si>
  <si>
    <t>Di th 85 hanya untuk penambahan saja</t>
  </si>
  <si>
    <t>Di th 85 tidak ada training karakuri, training robotic &amp; BM ke YHV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</si>
</sst>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 * #,##0.00_ ;_ * \-#,##0.00_ ;_ * &quot;-&quot;_ ;_ @_ 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1"/>
      <color rgb="FFFF0000"/>
      <name val="Calibri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FF66CC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FF99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/>
    <xf numFmtId="164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  <xf numFmtId="166" fontId="3" fillId="3" borderId="0" xfId="0" applyNumberFormat="1" applyFont="1" applyFill="1"/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0" fontId="0" fillId="0" borderId="1" xfId="0" applyNumberFormat="1" applyBorder="1"/>
    <xf numFmtId="0" fontId="0" fillId="6" borderId="0" xfId="0" applyFill="1"/>
    <xf numFmtId="0" fontId="1" fillId="7" borderId="2" xfId="0" applyFont="1" applyFill="1" applyBorder="1"/>
    <xf numFmtId="0" fontId="1" fillId="7" borderId="3" xfId="0" applyFont="1" applyFill="1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3" fontId="1" fillId="7" borderId="3" xfId="0" applyNumberFormat="1" applyFont="1" applyFill="1" applyBorder="1"/>
    <xf numFmtId="43" fontId="0" fillId="0" borderId="0" xfId="0" applyNumberFormat="1"/>
    <xf numFmtId="0" fontId="0" fillId="6" borderId="0" xfId="0" applyFill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0" applyNumberFormat="1" applyBorder="1"/>
    <xf numFmtId="9" fontId="0" fillId="0" borderId="1" xfId="0" applyNumberFormat="1" applyBorder="1"/>
    <xf numFmtId="165" fontId="0" fillId="0" borderId="1" xfId="0" applyNumberFormat="1" applyBorder="1" applyAlignment="1">
      <alignment wrapText="1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/>
    <xf numFmtId="0" fontId="1" fillId="8" borderId="3" xfId="0" applyFont="1" applyFill="1" applyBorder="1"/>
    <xf numFmtId="0" fontId="0" fillId="8" borderId="0" xfId="0" applyFill="1"/>
    <xf numFmtId="165" fontId="0" fillId="8" borderId="1" xfId="0" applyNumberFormat="1" applyFill="1" applyBorder="1"/>
    <xf numFmtId="0" fontId="1" fillId="9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2" xfId="0" applyFont="1" applyFill="1" applyBorder="1"/>
    <xf numFmtId="0" fontId="1" fillId="9" borderId="3" xfId="0" applyFont="1" applyFill="1" applyBorder="1"/>
    <xf numFmtId="0" fontId="0" fillId="9" borderId="0" xfId="0" applyFill="1"/>
    <xf numFmtId="165" fontId="0" fillId="9" borderId="1" xfId="0" applyNumberFormat="1" applyFill="1" applyBorder="1"/>
    <xf numFmtId="0" fontId="4" fillId="0" borderId="0" xfId="0" applyFont="1"/>
    <xf numFmtId="165" fontId="4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80"/>
  <sheetViews>
    <sheetView topLeftCell="AB1" zoomScale="70" workbookViewId="0">
      <selection activeCell="E290" sqref="E290"/>
    </sheetView>
  </sheetViews>
  <sheetFormatPr defaultRowHeight="14.5" x14ac:dyDescent="0.35"/>
  <cols>
    <col min="1" max="1" width="8.453125" customWidth="1"/>
    <col min="2" max="3" width="17.453125" customWidth="1"/>
    <col min="4" max="4" width="28.453125" customWidth="1"/>
    <col min="5" max="5" width="50" customWidth="1"/>
    <col min="6" max="6" width="45.7265625" customWidth="1"/>
    <col min="7" max="7" width="13" customWidth="1"/>
    <col min="8" max="8" width="12" customWidth="1"/>
    <col min="9" max="9" width="30" customWidth="1"/>
    <col min="10" max="13" width="19" customWidth="1"/>
    <col min="14" max="14" width="10" customWidth="1"/>
    <col min="15" max="66" width="12" customWidth="1"/>
    <col min="67" max="69" width="18" customWidth="1"/>
    <col min="70" max="78" width="9" customWidth="1"/>
  </cols>
  <sheetData>
    <row r="1" spans="1:78" x14ac:dyDescent="0.35">
      <c r="A1" s="3" t="s">
        <v>0</v>
      </c>
    </row>
    <row r="2" spans="1:78" x14ac:dyDescent="0.35">
      <c r="A2" s="3" t="s">
        <v>1</v>
      </c>
      <c r="N2" s="13" t="s">
        <v>2</v>
      </c>
      <c r="O2" s="13"/>
    </row>
    <row r="3" spans="1:78" x14ac:dyDescent="0.35">
      <c r="A3" s="3" t="s">
        <v>3</v>
      </c>
      <c r="N3" s="13" t="s">
        <v>4</v>
      </c>
      <c r="O3" s="13">
        <v>15798.6</v>
      </c>
    </row>
    <row r="4" spans="1:78" x14ac:dyDescent="0.35">
      <c r="A4" s="3" t="s">
        <v>5</v>
      </c>
      <c r="N4" s="13" t="s">
        <v>6</v>
      </c>
      <c r="O4" s="13">
        <v>151</v>
      </c>
    </row>
    <row r="5" spans="1:78" x14ac:dyDescent="0.35">
      <c r="A5" s="3"/>
      <c r="N5" s="13" t="s">
        <v>7</v>
      </c>
      <c r="O5" s="13">
        <v>57.670999999999999</v>
      </c>
    </row>
    <row r="6" spans="1:78" x14ac:dyDescent="0.35">
      <c r="N6" s="13" t="s">
        <v>8</v>
      </c>
      <c r="O6" s="13">
        <v>34.372999999999998</v>
      </c>
    </row>
    <row r="7" spans="1:78" x14ac:dyDescent="0.35">
      <c r="N7" s="13" t="s">
        <v>9</v>
      </c>
      <c r="O7" s="13">
        <v>1</v>
      </c>
    </row>
    <row r="8" spans="1:78" x14ac:dyDescent="0.35">
      <c r="N8" s="13" t="s">
        <v>10</v>
      </c>
      <c r="O8" s="13">
        <v>0.92600000000000005</v>
      </c>
    </row>
    <row r="9" spans="1:78" x14ac:dyDescent="0.35">
      <c r="N9" t="s">
        <v>11</v>
      </c>
      <c r="O9">
        <v>0.872</v>
      </c>
    </row>
    <row r="10" spans="1:78" x14ac:dyDescent="0.35">
      <c r="A10" s="51" t="s">
        <v>12</v>
      </c>
      <c r="B10" s="51" t="s">
        <v>13</v>
      </c>
      <c r="C10" s="51" t="s">
        <v>14</v>
      </c>
      <c r="D10" s="51" t="s">
        <v>15</v>
      </c>
      <c r="E10" s="51" t="s">
        <v>16</v>
      </c>
      <c r="F10" s="51" t="s">
        <v>17</v>
      </c>
      <c r="G10" s="52" t="s">
        <v>18</v>
      </c>
      <c r="H10" s="51" t="s">
        <v>19</v>
      </c>
      <c r="I10" s="51" t="s">
        <v>20</v>
      </c>
      <c r="J10" s="51" t="s">
        <v>21</v>
      </c>
      <c r="K10" s="51" t="s">
        <v>22</v>
      </c>
      <c r="L10" s="51" t="s">
        <v>23</v>
      </c>
      <c r="M10" s="51" t="s">
        <v>24</v>
      </c>
      <c r="N10" s="51" t="s">
        <v>25</v>
      </c>
      <c r="O10" s="51" t="s">
        <v>26</v>
      </c>
      <c r="P10" s="51" t="s">
        <v>27</v>
      </c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 t="s">
        <v>28</v>
      </c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6">
        <v>202507</v>
      </c>
      <c r="AO10" s="6">
        <v>202508</v>
      </c>
      <c r="AP10" s="6">
        <v>202509</v>
      </c>
      <c r="AQ10" s="6">
        <v>202510</v>
      </c>
      <c r="AR10" s="6">
        <v>202511</v>
      </c>
      <c r="AS10" s="6">
        <v>202512</v>
      </c>
      <c r="AT10" s="6">
        <v>202601</v>
      </c>
      <c r="AU10" s="6">
        <v>202602</v>
      </c>
      <c r="AV10" s="6">
        <v>202603</v>
      </c>
      <c r="AW10" s="6">
        <v>202604</v>
      </c>
      <c r="AX10" s="6">
        <v>202605</v>
      </c>
      <c r="AY10" s="6">
        <v>202606</v>
      </c>
      <c r="AZ10" s="51" t="s">
        <v>29</v>
      </c>
      <c r="BA10" s="51" t="s">
        <v>30</v>
      </c>
      <c r="BB10" s="5"/>
      <c r="BC10" s="6">
        <v>202507</v>
      </c>
      <c r="BD10" s="6">
        <v>202508</v>
      </c>
      <c r="BE10" s="6">
        <v>202509</v>
      </c>
      <c r="BF10" s="6">
        <v>202510</v>
      </c>
      <c r="BG10" s="6">
        <v>202511</v>
      </c>
      <c r="BH10" s="6">
        <v>202512</v>
      </c>
      <c r="BI10" s="6">
        <v>202601</v>
      </c>
      <c r="BJ10" s="6">
        <v>202602</v>
      </c>
      <c r="BK10" s="6">
        <v>202603</v>
      </c>
      <c r="BL10" s="6">
        <v>202604</v>
      </c>
      <c r="BM10" s="6">
        <v>202605</v>
      </c>
      <c r="BN10" s="6">
        <v>202606</v>
      </c>
      <c r="BO10" s="51" t="s">
        <v>29</v>
      </c>
      <c r="BP10" s="51" t="s">
        <v>30</v>
      </c>
      <c r="BQ10" s="6"/>
      <c r="BR10" s="53" t="s">
        <v>31</v>
      </c>
      <c r="BS10" s="53" t="s">
        <v>32</v>
      </c>
      <c r="BT10" s="53" t="s">
        <v>33</v>
      </c>
      <c r="BU10" s="53" t="s">
        <v>34</v>
      </c>
      <c r="BV10" s="53"/>
      <c r="BW10" s="53"/>
      <c r="BX10" s="53"/>
      <c r="BY10" s="53"/>
      <c r="BZ10" s="53"/>
    </row>
    <row r="11" spans="1:78" ht="30" customHeight="1" x14ac:dyDescent="0.3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6">
        <v>202507</v>
      </c>
      <c r="Q11" s="6">
        <v>202508</v>
      </c>
      <c r="R11" s="6">
        <v>202509</v>
      </c>
      <c r="S11" s="6">
        <v>202510</v>
      </c>
      <c r="T11" s="6">
        <v>202511</v>
      </c>
      <c r="U11" s="6">
        <v>202512</v>
      </c>
      <c r="V11" s="6">
        <v>202601</v>
      </c>
      <c r="W11" s="6">
        <v>202602</v>
      </c>
      <c r="X11" s="6">
        <v>202603</v>
      </c>
      <c r="Y11" s="6">
        <v>202604</v>
      </c>
      <c r="Z11" s="6">
        <v>202605</v>
      </c>
      <c r="AA11" s="6">
        <v>202606</v>
      </c>
      <c r="AB11" s="6">
        <v>202507</v>
      </c>
      <c r="AC11" s="6">
        <v>202508</v>
      </c>
      <c r="AD11" s="6">
        <v>202509</v>
      </c>
      <c r="AE11" s="6">
        <v>202510</v>
      </c>
      <c r="AF11" s="6">
        <v>202511</v>
      </c>
      <c r="AG11" s="6">
        <v>202512</v>
      </c>
      <c r="AH11" s="6">
        <v>202601</v>
      </c>
      <c r="AI11" s="6">
        <v>202602</v>
      </c>
      <c r="AJ11" s="6">
        <v>202603</v>
      </c>
      <c r="AK11" s="6">
        <v>202604</v>
      </c>
      <c r="AL11" s="6">
        <v>202605</v>
      </c>
      <c r="AM11" s="6">
        <v>202606</v>
      </c>
      <c r="AN11" s="6" t="s">
        <v>35</v>
      </c>
      <c r="AO11" s="6" t="s">
        <v>35</v>
      </c>
      <c r="AP11" s="6" t="s">
        <v>35</v>
      </c>
      <c r="AQ11" s="6" t="s">
        <v>35</v>
      </c>
      <c r="AR11" s="6" t="s">
        <v>35</v>
      </c>
      <c r="AS11" s="6" t="s">
        <v>35</v>
      </c>
      <c r="AT11" s="6" t="s">
        <v>35</v>
      </c>
      <c r="AU11" s="6" t="s">
        <v>35</v>
      </c>
      <c r="AV11" s="6" t="s">
        <v>35</v>
      </c>
      <c r="AW11" s="6" t="s">
        <v>35</v>
      </c>
      <c r="AX11" s="6" t="s">
        <v>35</v>
      </c>
      <c r="AY11" s="6" t="s">
        <v>35</v>
      </c>
      <c r="AZ11" s="51"/>
      <c r="BA11" s="51"/>
      <c r="BB11" s="5"/>
      <c r="BC11" s="6" t="s">
        <v>36</v>
      </c>
      <c r="BD11" s="6" t="s">
        <v>36</v>
      </c>
      <c r="BE11" s="6" t="s">
        <v>36</v>
      </c>
      <c r="BF11" s="6" t="s">
        <v>36</v>
      </c>
      <c r="BG11" s="6" t="s">
        <v>36</v>
      </c>
      <c r="BH11" s="6" t="s">
        <v>36</v>
      </c>
      <c r="BI11" s="6" t="s">
        <v>36</v>
      </c>
      <c r="BJ11" s="6" t="s">
        <v>36</v>
      </c>
      <c r="BK11" s="6" t="s">
        <v>36</v>
      </c>
      <c r="BL11" s="6" t="s">
        <v>36</v>
      </c>
      <c r="BM11" s="6" t="s">
        <v>36</v>
      </c>
      <c r="BN11" s="6" t="s">
        <v>36</v>
      </c>
      <c r="BO11" s="51"/>
      <c r="BP11" s="51"/>
      <c r="BQ11" s="6"/>
      <c r="BR11" s="53"/>
      <c r="BS11" s="53"/>
      <c r="BT11" s="53"/>
      <c r="BU11" s="8" t="s">
        <v>37</v>
      </c>
      <c r="BV11" s="8" t="s">
        <v>38</v>
      </c>
      <c r="BW11" s="8" t="s">
        <v>39</v>
      </c>
      <c r="BX11" s="8" t="s">
        <v>40</v>
      </c>
      <c r="BY11" s="8" t="s">
        <v>41</v>
      </c>
      <c r="BZ11" s="8"/>
    </row>
    <row r="12" spans="1:78" x14ac:dyDescent="0.35">
      <c r="A12" s="7" t="s">
        <v>42</v>
      </c>
      <c r="B12" s="7"/>
      <c r="C12" s="7" t="s">
        <v>43</v>
      </c>
      <c r="D12" s="7" t="s">
        <v>44</v>
      </c>
      <c r="E12" s="7" t="s">
        <v>45</v>
      </c>
      <c r="F12" s="7" t="s">
        <v>46</v>
      </c>
      <c r="G12" s="7" t="s">
        <v>47</v>
      </c>
      <c r="H12" s="7"/>
      <c r="I12" s="7"/>
      <c r="J12" s="7" t="s">
        <v>48</v>
      </c>
      <c r="K12" s="7" t="s">
        <v>49</v>
      </c>
      <c r="L12" s="7" t="s">
        <v>49</v>
      </c>
      <c r="M12" s="7" t="s">
        <v>49</v>
      </c>
      <c r="N12" s="7" t="s">
        <v>50</v>
      </c>
      <c r="O12" s="7" t="s">
        <v>4</v>
      </c>
      <c r="P12" s="7">
        <v>1486</v>
      </c>
      <c r="Q12" s="7">
        <v>1486</v>
      </c>
      <c r="R12" s="7">
        <v>1486</v>
      </c>
      <c r="S12" s="7">
        <v>1486</v>
      </c>
      <c r="T12" s="7">
        <v>1486</v>
      </c>
      <c r="U12" s="7">
        <v>1486</v>
      </c>
      <c r="V12" s="7">
        <v>1486</v>
      </c>
      <c r="W12" s="7">
        <v>1486</v>
      </c>
      <c r="X12" s="7">
        <v>1486</v>
      </c>
      <c r="Y12" s="7">
        <v>1486</v>
      </c>
      <c r="Z12" s="7">
        <v>1486</v>
      </c>
      <c r="AA12" s="7">
        <v>1486</v>
      </c>
      <c r="AB12" s="9" t="s">
        <v>51</v>
      </c>
      <c r="AC12" s="9" t="s">
        <v>51</v>
      </c>
      <c r="AD12" s="9" t="s">
        <v>51</v>
      </c>
      <c r="AE12" s="9" t="s">
        <v>51</v>
      </c>
      <c r="AF12" s="9" t="s">
        <v>51</v>
      </c>
      <c r="AG12" s="9" t="s">
        <v>51</v>
      </c>
      <c r="AH12" s="9" t="s">
        <v>51</v>
      </c>
      <c r="AI12" s="9" t="s">
        <v>51</v>
      </c>
      <c r="AJ12" s="9" t="s">
        <v>51</v>
      </c>
      <c r="AK12" s="9" t="s">
        <v>51</v>
      </c>
      <c r="AL12" s="9" t="s">
        <v>51</v>
      </c>
      <c r="AM12" s="9" t="s">
        <v>51</v>
      </c>
      <c r="AN12" s="10">
        <v>1</v>
      </c>
      <c r="AO12" s="10">
        <v>0</v>
      </c>
      <c r="AP12" s="10">
        <v>0</v>
      </c>
      <c r="AQ12" s="10">
        <v>1</v>
      </c>
      <c r="AR12" s="10">
        <v>0</v>
      </c>
      <c r="AS12" s="10">
        <v>0</v>
      </c>
      <c r="AT12" s="10">
        <v>1</v>
      </c>
      <c r="AU12" s="10">
        <v>0</v>
      </c>
      <c r="AV12" s="10">
        <v>0</v>
      </c>
      <c r="AW12" s="10">
        <v>1</v>
      </c>
      <c r="AX12" s="10">
        <v>0</v>
      </c>
      <c r="AY12" s="10">
        <v>0</v>
      </c>
      <c r="AZ12" s="7">
        <f t="shared" ref="AZ12:AZ75" si="0">SUM(AN12:AY12)</f>
        <v>4</v>
      </c>
      <c r="BA12" s="11">
        <f t="shared" ref="BA12:BA75" si="1">AZ12/12</f>
        <v>0.33333333333333331</v>
      </c>
      <c r="BC12" s="12" t="s">
        <v>51</v>
      </c>
      <c r="BD12" s="12">
        <v>0</v>
      </c>
      <c r="BE12" s="12">
        <v>0</v>
      </c>
      <c r="BF12" s="12" t="s">
        <v>51</v>
      </c>
      <c r="BG12" s="12">
        <v>0</v>
      </c>
      <c r="BH12" s="12">
        <v>0</v>
      </c>
      <c r="BI12" s="12" t="s">
        <v>51</v>
      </c>
      <c r="BJ12" s="12">
        <v>0</v>
      </c>
      <c r="BK12" s="12">
        <v>0</v>
      </c>
      <c r="BL12" s="12" t="s">
        <v>51</v>
      </c>
      <c r="BM12" s="12">
        <v>0</v>
      </c>
      <c r="BN12" s="12">
        <v>0</v>
      </c>
      <c r="BO12" s="12">
        <f t="shared" ref="BO12:BO75" si="2">SUM(BC12:BN12)</f>
        <v>0</v>
      </c>
      <c r="BP12" s="12">
        <f t="shared" ref="BP12:BP75" si="3">BO12/12</f>
        <v>0</v>
      </c>
      <c r="BQ12" s="7"/>
      <c r="BR12" s="7"/>
      <c r="BS12" s="7" t="s">
        <v>52</v>
      </c>
      <c r="BT12" s="7" t="s">
        <v>53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/>
    </row>
    <row r="13" spans="1:78" x14ac:dyDescent="0.35">
      <c r="A13" s="7" t="s">
        <v>42</v>
      </c>
      <c r="B13" s="7"/>
      <c r="C13" s="7" t="s">
        <v>54</v>
      </c>
      <c r="D13" s="7" t="s">
        <v>55</v>
      </c>
      <c r="E13" s="7" t="s">
        <v>56</v>
      </c>
      <c r="F13" s="7" t="s">
        <v>57</v>
      </c>
      <c r="G13" s="7" t="s">
        <v>47</v>
      </c>
      <c r="H13" s="7"/>
      <c r="I13" s="7"/>
      <c r="J13" s="7" t="s">
        <v>48</v>
      </c>
      <c r="K13" s="7" t="s">
        <v>49</v>
      </c>
      <c r="L13" s="7" t="s">
        <v>49</v>
      </c>
      <c r="M13" s="7" t="s">
        <v>49</v>
      </c>
      <c r="N13" s="7" t="s">
        <v>58</v>
      </c>
      <c r="O13" s="7" t="s">
        <v>4</v>
      </c>
      <c r="P13" s="7">
        <v>2432</v>
      </c>
      <c r="Q13" s="7">
        <v>2432</v>
      </c>
      <c r="R13" s="7">
        <v>2432</v>
      </c>
      <c r="S13" s="7">
        <v>2432</v>
      </c>
      <c r="T13" s="7">
        <v>2432</v>
      </c>
      <c r="U13" s="7">
        <v>2432</v>
      </c>
      <c r="V13" s="7">
        <v>2432</v>
      </c>
      <c r="W13" s="7">
        <v>2432</v>
      </c>
      <c r="X13" s="7">
        <v>2432</v>
      </c>
      <c r="Y13" s="7">
        <v>2432</v>
      </c>
      <c r="Z13" s="7">
        <v>2432</v>
      </c>
      <c r="AA13" s="7">
        <v>2432</v>
      </c>
      <c r="AB13" s="9">
        <v>0.15393769068145</v>
      </c>
      <c r="AC13" s="9">
        <v>0.15393769068145</v>
      </c>
      <c r="AD13" s="9">
        <v>0.15393769068145</v>
      </c>
      <c r="AE13" s="9">
        <v>0.15393769068145</v>
      </c>
      <c r="AF13" s="9">
        <v>0.15393769068145</v>
      </c>
      <c r="AG13" s="9">
        <v>0.15393769068145</v>
      </c>
      <c r="AH13" s="9">
        <v>0.15393769068145</v>
      </c>
      <c r="AI13" s="9">
        <v>0.15393769068145</v>
      </c>
      <c r="AJ13" s="9">
        <v>0.15393769068145</v>
      </c>
      <c r="AK13" s="9">
        <v>0.15393769068145</v>
      </c>
      <c r="AL13" s="9">
        <v>0.15393769068145</v>
      </c>
      <c r="AM13" s="9">
        <v>0.15393769068145</v>
      </c>
      <c r="AN13" s="10">
        <v>3</v>
      </c>
      <c r="AO13" s="10">
        <v>0</v>
      </c>
      <c r="AP13" s="10">
        <v>4</v>
      </c>
      <c r="AQ13" s="10">
        <v>0</v>
      </c>
      <c r="AR13" s="10">
        <v>3</v>
      </c>
      <c r="AS13" s="10">
        <v>0</v>
      </c>
      <c r="AT13" s="10">
        <v>4</v>
      </c>
      <c r="AU13" s="10">
        <v>0</v>
      </c>
      <c r="AV13" s="10">
        <v>3</v>
      </c>
      <c r="AW13" s="10">
        <v>0</v>
      </c>
      <c r="AX13" s="10">
        <v>4</v>
      </c>
      <c r="AY13" s="10">
        <v>0</v>
      </c>
      <c r="AZ13" s="7">
        <f t="shared" si="0"/>
        <v>21</v>
      </c>
      <c r="BA13" s="11">
        <f t="shared" si="1"/>
        <v>1.75</v>
      </c>
      <c r="BC13" s="12">
        <v>0.46181307204436001</v>
      </c>
      <c r="BD13" s="12">
        <v>0</v>
      </c>
      <c r="BE13" s="12">
        <v>0.61575076272580997</v>
      </c>
      <c r="BF13" s="12">
        <v>0</v>
      </c>
      <c r="BG13" s="12">
        <v>0.46181307204436001</v>
      </c>
      <c r="BH13" s="12">
        <v>0</v>
      </c>
      <c r="BI13" s="12">
        <v>0.61575076272580997</v>
      </c>
      <c r="BJ13" s="12">
        <v>0</v>
      </c>
      <c r="BK13" s="12">
        <v>0.46181307204436001</v>
      </c>
      <c r="BL13" s="12">
        <v>0</v>
      </c>
      <c r="BM13" s="12">
        <v>0.61575076272580997</v>
      </c>
      <c r="BN13" s="12">
        <v>0</v>
      </c>
      <c r="BO13" s="12">
        <f t="shared" si="2"/>
        <v>3.2326915043105098</v>
      </c>
      <c r="BP13" s="12">
        <f t="shared" si="3"/>
        <v>0.26939095869254248</v>
      </c>
      <c r="BQ13" s="7"/>
      <c r="BR13" s="7"/>
      <c r="BS13" s="7" t="s">
        <v>52</v>
      </c>
      <c r="BT13" s="7" t="s">
        <v>53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/>
    </row>
    <row r="14" spans="1:78" x14ac:dyDescent="0.35">
      <c r="A14" s="7" t="s">
        <v>42</v>
      </c>
      <c r="B14" s="7"/>
      <c r="C14" s="7" t="s">
        <v>59</v>
      </c>
      <c r="D14" s="7" t="s">
        <v>55</v>
      </c>
      <c r="E14" s="7" t="s">
        <v>60</v>
      </c>
      <c r="F14" s="7" t="s">
        <v>57</v>
      </c>
      <c r="G14" s="7" t="s">
        <v>47</v>
      </c>
      <c r="H14" s="7"/>
      <c r="I14" s="7"/>
      <c r="J14" s="7" t="s">
        <v>48</v>
      </c>
      <c r="K14" s="7" t="s">
        <v>49</v>
      </c>
      <c r="L14" s="7" t="s">
        <v>49</v>
      </c>
      <c r="M14" s="7" t="s">
        <v>49</v>
      </c>
      <c r="N14" s="7" t="s">
        <v>58</v>
      </c>
      <c r="O14" s="7" t="s">
        <v>4</v>
      </c>
      <c r="P14" s="7">
        <v>21036</v>
      </c>
      <c r="Q14" s="7">
        <v>21036</v>
      </c>
      <c r="R14" s="7">
        <v>21036</v>
      </c>
      <c r="S14" s="7">
        <v>21036</v>
      </c>
      <c r="T14" s="7">
        <v>21036</v>
      </c>
      <c r="U14" s="7">
        <v>21036</v>
      </c>
      <c r="V14" s="7">
        <v>21036</v>
      </c>
      <c r="W14" s="7">
        <v>21036</v>
      </c>
      <c r="X14" s="7">
        <v>21036</v>
      </c>
      <c r="Y14" s="7">
        <v>21036</v>
      </c>
      <c r="Z14" s="7">
        <v>21036</v>
      </c>
      <c r="AA14" s="7">
        <v>21036</v>
      </c>
      <c r="AB14" s="9">
        <v>1.3315103869963001</v>
      </c>
      <c r="AC14" s="9">
        <v>1.3315103869963001</v>
      </c>
      <c r="AD14" s="9">
        <v>1.3315103869963001</v>
      </c>
      <c r="AE14" s="9">
        <v>1.3315103869963001</v>
      </c>
      <c r="AF14" s="9">
        <v>1.3315103869963001</v>
      </c>
      <c r="AG14" s="9">
        <v>1.3315103869963001</v>
      </c>
      <c r="AH14" s="9">
        <v>1.3315103869963001</v>
      </c>
      <c r="AI14" s="9">
        <v>1.3315103869963001</v>
      </c>
      <c r="AJ14" s="9">
        <v>1.3315103869963001</v>
      </c>
      <c r="AK14" s="9">
        <v>1.3315103869963001</v>
      </c>
      <c r="AL14" s="9">
        <v>1.3315103869963001</v>
      </c>
      <c r="AM14" s="9">
        <v>1.3315103869963001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1</v>
      </c>
      <c r="AV14" s="10">
        <v>0</v>
      </c>
      <c r="AW14" s="10">
        <v>0</v>
      </c>
      <c r="AX14" s="10">
        <v>0</v>
      </c>
      <c r="AY14" s="10">
        <v>0</v>
      </c>
      <c r="AZ14" s="7">
        <f t="shared" si="0"/>
        <v>1</v>
      </c>
      <c r="BA14" s="11">
        <f t="shared" si="1"/>
        <v>8.3333333333333329E-2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1.3315103869963001</v>
      </c>
      <c r="BK14" s="12">
        <v>0</v>
      </c>
      <c r="BL14" s="12">
        <v>0</v>
      </c>
      <c r="BM14" s="12">
        <v>0</v>
      </c>
      <c r="BN14" s="12">
        <v>0</v>
      </c>
      <c r="BO14" s="12">
        <f t="shared" si="2"/>
        <v>1.3315103869963001</v>
      </c>
      <c r="BP14" s="12">
        <f t="shared" si="3"/>
        <v>0.11095919891635835</v>
      </c>
      <c r="BQ14" s="7"/>
      <c r="BR14" s="7"/>
      <c r="BS14" s="7" t="s">
        <v>52</v>
      </c>
      <c r="BT14" s="7" t="s">
        <v>53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/>
    </row>
    <row r="15" spans="1:78" x14ac:dyDescent="0.35">
      <c r="A15" s="7" t="s">
        <v>42</v>
      </c>
      <c r="B15" s="7"/>
      <c r="C15" s="7" t="s">
        <v>61</v>
      </c>
      <c r="D15" s="7" t="s">
        <v>62</v>
      </c>
      <c r="E15" s="7" t="s">
        <v>63</v>
      </c>
      <c r="F15" s="7" t="s">
        <v>57</v>
      </c>
      <c r="G15" s="7" t="s">
        <v>47</v>
      </c>
      <c r="H15" s="7"/>
      <c r="I15" s="7"/>
      <c r="J15" s="7" t="s">
        <v>48</v>
      </c>
      <c r="K15" s="7" t="s">
        <v>49</v>
      </c>
      <c r="L15" s="7" t="s">
        <v>49</v>
      </c>
      <c r="M15" s="7" t="s">
        <v>49</v>
      </c>
      <c r="N15" s="7" t="s">
        <v>64</v>
      </c>
      <c r="O15" s="7" t="s">
        <v>4</v>
      </c>
      <c r="P15" s="7">
        <v>230270</v>
      </c>
      <c r="Q15" s="7">
        <v>230270</v>
      </c>
      <c r="R15" s="7">
        <v>230270</v>
      </c>
      <c r="S15" s="7">
        <v>230270</v>
      </c>
      <c r="T15" s="7">
        <v>230270</v>
      </c>
      <c r="U15" s="7">
        <v>230270</v>
      </c>
      <c r="V15" s="7">
        <v>230270</v>
      </c>
      <c r="W15" s="7">
        <v>230270</v>
      </c>
      <c r="X15" s="7">
        <v>230270</v>
      </c>
      <c r="Y15" s="7">
        <v>230270</v>
      </c>
      <c r="Z15" s="7">
        <v>230270</v>
      </c>
      <c r="AA15" s="7">
        <v>230270</v>
      </c>
      <c r="AB15" s="9">
        <v>14.575342118922</v>
      </c>
      <c r="AC15" s="9">
        <v>14.575342118922</v>
      </c>
      <c r="AD15" s="9">
        <v>14.575342118922</v>
      </c>
      <c r="AE15" s="9">
        <v>14.575342118922</v>
      </c>
      <c r="AF15" s="9">
        <v>14.575342118922</v>
      </c>
      <c r="AG15" s="9">
        <v>14.575342118922</v>
      </c>
      <c r="AH15" s="9">
        <v>14.575342118922</v>
      </c>
      <c r="AI15" s="9">
        <v>14.575342118922</v>
      </c>
      <c r="AJ15" s="9">
        <v>14.575342118922</v>
      </c>
      <c r="AK15" s="9">
        <v>14.575342118922</v>
      </c>
      <c r="AL15" s="9">
        <v>14.575342118922</v>
      </c>
      <c r="AM15" s="9">
        <v>14.575342118922</v>
      </c>
      <c r="AN15" s="10">
        <v>1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1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7">
        <f t="shared" si="0"/>
        <v>2</v>
      </c>
      <c r="BA15" s="11">
        <f t="shared" si="1"/>
        <v>0.16666666666666666</v>
      </c>
      <c r="BC15" s="12">
        <v>14.575342118922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14.575342118922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f t="shared" si="2"/>
        <v>29.150684237844001</v>
      </c>
      <c r="BP15" s="12">
        <f t="shared" si="3"/>
        <v>2.429223686487</v>
      </c>
      <c r="BQ15" s="7"/>
      <c r="BR15" s="7"/>
      <c r="BS15" s="7" t="s">
        <v>52</v>
      </c>
      <c r="BT15" s="7" t="s">
        <v>53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/>
    </row>
    <row r="16" spans="1:78" x14ac:dyDescent="0.35">
      <c r="A16" s="7" t="s">
        <v>42</v>
      </c>
      <c r="B16" s="7"/>
      <c r="C16" s="7" t="s">
        <v>65</v>
      </c>
      <c r="D16" s="7" t="s">
        <v>66</v>
      </c>
      <c r="E16" s="7" t="s">
        <v>67</v>
      </c>
      <c r="F16" s="7" t="s">
        <v>68</v>
      </c>
      <c r="G16" s="7" t="s">
        <v>47</v>
      </c>
      <c r="H16" s="7"/>
      <c r="I16" s="7"/>
      <c r="J16" s="7" t="s">
        <v>48</v>
      </c>
      <c r="K16" s="7" t="s">
        <v>49</v>
      </c>
      <c r="L16" s="7" t="s">
        <v>49</v>
      </c>
      <c r="M16" s="7" t="s">
        <v>49</v>
      </c>
      <c r="N16" s="7" t="s">
        <v>50</v>
      </c>
      <c r="O16" s="7" t="s">
        <v>4</v>
      </c>
      <c r="P16" s="7">
        <v>9550</v>
      </c>
      <c r="Q16" s="7">
        <v>9550</v>
      </c>
      <c r="R16" s="7">
        <v>9550</v>
      </c>
      <c r="S16" s="7">
        <v>9550</v>
      </c>
      <c r="T16" s="7">
        <v>9550</v>
      </c>
      <c r="U16" s="7">
        <v>9550</v>
      </c>
      <c r="V16" s="7">
        <v>9550</v>
      </c>
      <c r="W16" s="7">
        <v>9550</v>
      </c>
      <c r="X16" s="7">
        <v>9550</v>
      </c>
      <c r="Y16" s="7">
        <v>9550</v>
      </c>
      <c r="Z16" s="7">
        <v>9550</v>
      </c>
      <c r="AA16" s="7">
        <v>9550</v>
      </c>
      <c r="AB16" s="9">
        <v>0.60448394161508001</v>
      </c>
      <c r="AC16" s="9">
        <v>0.60448394161508001</v>
      </c>
      <c r="AD16" s="9">
        <v>0.60448394161508001</v>
      </c>
      <c r="AE16" s="9">
        <v>0.60448394161508001</v>
      </c>
      <c r="AF16" s="9">
        <v>0.60448394161508001</v>
      </c>
      <c r="AG16" s="9">
        <v>0.60448394161508001</v>
      </c>
      <c r="AH16" s="9">
        <v>0.60448394161508001</v>
      </c>
      <c r="AI16" s="9">
        <v>0.60448394161508001</v>
      </c>
      <c r="AJ16" s="9">
        <v>0.60448394161508001</v>
      </c>
      <c r="AK16" s="9">
        <v>0.60448394161508001</v>
      </c>
      <c r="AL16" s="9">
        <v>0.60448394161508001</v>
      </c>
      <c r="AM16" s="9">
        <v>0.60448394161508001</v>
      </c>
      <c r="AN16" s="10">
        <v>0</v>
      </c>
      <c r="AO16" s="10">
        <v>0</v>
      </c>
      <c r="AP16" s="10">
        <v>1</v>
      </c>
      <c r="AQ16" s="10">
        <v>0</v>
      </c>
      <c r="AR16" s="10">
        <v>0</v>
      </c>
      <c r="AS16" s="10">
        <v>1</v>
      </c>
      <c r="AT16" s="10">
        <v>0</v>
      </c>
      <c r="AU16" s="10">
        <v>0</v>
      </c>
      <c r="AV16" s="10">
        <v>1</v>
      </c>
      <c r="AW16" s="10">
        <v>0</v>
      </c>
      <c r="AX16" s="10">
        <v>0</v>
      </c>
      <c r="AY16" s="10">
        <v>1</v>
      </c>
      <c r="AZ16" s="7">
        <f t="shared" si="0"/>
        <v>4</v>
      </c>
      <c r="BA16" s="11">
        <f t="shared" si="1"/>
        <v>0.33333333333333331</v>
      </c>
      <c r="BC16" s="12">
        <v>0</v>
      </c>
      <c r="BD16" s="12">
        <v>0</v>
      </c>
      <c r="BE16" s="12">
        <v>0.60448394161508001</v>
      </c>
      <c r="BF16" s="12">
        <v>0</v>
      </c>
      <c r="BG16" s="12">
        <v>0</v>
      </c>
      <c r="BH16" s="12">
        <v>0.60448394161508001</v>
      </c>
      <c r="BI16" s="12">
        <v>0</v>
      </c>
      <c r="BJ16" s="12">
        <v>0</v>
      </c>
      <c r="BK16" s="12">
        <v>0.60448394161508001</v>
      </c>
      <c r="BL16" s="12">
        <v>0</v>
      </c>
      <c r="BM16" s="12">
        <v>0</v>
      </c>
      <c r="BN16" s="12">
        <v>0.60448394161508001</v>
      </c>
      <c r="BO16" s="12">
        <f t="shared" si="2"/>
        <v>2.41793576646032</v>
      </c>
      <c r="BP16" s="12">
        <f t="shared" si="3"/>
        <v>0.20149464720502666</v>
      </c>
      <c r="BQ16" s="7"/>
      <c r="BR16" s="7"/>
      <c r="BS16" s="7" t="s">
        <v>52</v>
      </c>
      <c r="BT16" s="7" t="s">
        <v>53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/>
    </row>
    <row r="17" spans="1:78" x14ac:dyDescent="0.35">
      <c r="A17" s="7" t="s">
        <v>42</v>
      </c>
      <c r="B17" s="7"/>
      <c r="C17" s="7" t="s">
        <v>69</v>
      </c>
      <c r="D17" s="7" t="s">
        <v>70</v>
      </c>
      <c r="E17" s="7" t="s">
        <v>71</v>
      </c>
      <c r="F17" s="7" t="s">
        <v>72</v>
      </c>
      <c r="G17" s="7" t="s">
        <v>47</v>
      </c>
      <c r="H17" s="7"/>
      <c r="I17" s="7"/>
      <c r="J17" s="7" t="s">
        <v>48</v>
      </c>
      <c r="K17" s="7" t="s">
        <v>49</v>
      </c>
      <c r="L17" s="7" t="s">
        <v>49</v>
      </c>
      <c r="M17" s="7" t="s">
        <v>49</v>
      </c>
      <c r="N17" s="7" t="s">
        <v>73</v>
      </c>
      <c r="O17" s="7" t="s">
        <v>4</v>
      </c>
      <c r="P17" s="7">
        <v>8144.65</v>
      </c>
      <c r="Q17" s="7">
        <v>8144.65</v>
      </c>
      <c r="R17" s="7">
        <v>8144.65</v>
      </c>
      <c r="S17" s="7">
        <v>8144.65</v>
      </c>
      <c r="T17" s="7">
        <v>8144.65</v>
      </c>
      <c r="U17" s="7">
        <v>8144.65</v>
      </c>
      <c r="V17" s="7">
        <v>8144.65</v>
      </c>
      <c r="W17" s="7">
        <v>8144.65</v>
      </c>
      <c r="X17" s="7">
        <v>8144.65</v>
      </c>
      <c r="Y17" s="7">
        <v>8144.65</v>
      </c>
      <c r="Z17" s="7">
        <v>8144.65</v>
      </c>
      <c r="AA17" s="7">
        <v>8144.65</v>
      </c>
      <c r="AB17" s="9">
        <v>0.51552985707594001</v>
      </c>
      <c r="AC17" s="9">
        <v>0.51552985707594001</v>
      </c>
      <c r="AD17" s="9">
        <v>0.51552985707594001</v>
      </c>
      <c r="AE17" s="9">
        <v>0.51552985707594001</v>
      </c>
      <c r="AF17" s="9">
        <v>0.51552985707594001</v>
      </c>
      <c r="AG17" s="9">
        <v>0.51552985707594001</v>
      </c>
      <c r="AH17" s="9">
        <v>0.51552985707594001</v>
      </c>
      <c r="AI17" s="9">
        <v>0.51552985707594001</v>
      </c>
      <c r="AJ17" s="9">
        <v>0.51552985707594001</v>
      </c>
      <c r="AK17" s="9">
        <v>0.51552985707594001</v>
      </c>
      <c r="AL17" s="9">
        <v>0.51552985707594001</v>
      </c>
      <c r="AM17" s="9">
        <v>0.51552985707594001</v>
      </c>
      <c r="AN17" s="10">
        <v>0</v>
      </c>
      <c r="AO17" s="10">
        <v>1</v>
      </c>
      <c r="AP17" s="10">
        <v>0</v>
      </c>
      <c r="AQ17" s="10">
        <v>1</v>
      </c>
      <c r="AR17" s="10">
        <v>0</v>
      </c>
      <c r="AS17" s="10">
        <v>1</v>
      </c>
      <c r="AT17" s="10">
        <v>0</v>
      </c>
      <c r="AU17" s="10">
        <v>1</v>
      </c>
      <c r="AV17" s="10">
        <v>0</v>
      </c>
      <c r="AW17" s="10">
        <v>1</v>
      </c>
      <c r="AX17" s="10">
        <v>0</v>
      </c>
      <c r="AY17" s="10">
        <v>1</v>
      </c>
      <c r="AZ17" s="7">
        <f t="shared" si="0"/>
        <v>6</v>
      </c>
      <c r="BA17" s="11">
        <f t="shared" si="1"/>
        <v>0.5</v>
      </c>
      <c r="BC17" s="12">
        <v>0</v>
      </c>
      <c r="BD17" s="12">
        <v>0.51552985707594001</v>
      </c>
      <c r="BE17" s="12">
        <v>0</v>
      </c>
      <c r="BF17" s="12">
        <v>0.51552985707594001</v>
      </c>
      <c r="BG17" s="12">
        <v>0</v>
      </c>
      <c r="BH17" s="12">
        <v>0.51552985707594001</v>
      </c>
      <c r="BI17" s="12">
        <v>0</v>
      </c>
      <c r="BJ17" s="12">
        <v>0.51552985707594001</v>
      </c>
      <c r="BK17" s="12">
        <v>0</v>
      </c>
      <c r="BL17" s="12">
        <v>0.51552985707594001</v>
      </c>
      <c r="BM17" s="12">
        <v>0</v>
      </c>
      <c r="BN17" s="12">
        <v>0.51552985707594001</v>
      </c>
      <c r="BO17" s="12">
        <f t="shared" si="2"/>
        <v>3.0931791424556399</v>
      </c>
      <c r="BP17" s="12">
        <f t="shared" si="3"/>
        <v>0.25776492853797001</v>
      </c>
      <c r="BQ17" s="7"/>
      <c r="BR17" s="7"/>
      <c r="BS17" s="7" t="s">
        <v>52</v>
      </c>
      <c r="BT17" s="7" t="s">
        <v>53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/>
    </row>
    <row r="18" spans="1:78" x14ac:dyDescent="0.35">
      <c r="A18" s="7" t="s">
        <v>42</v>
      </c>
      <c r="B18" s="7"/>
      <c r="C18" s="7" t="s">
        <v>74</v>
      </c>
      <c r="D18" s="7" t="s">
        <v>75</v>
      </c>
      <c r="E18" s="7" t="s">
        <v>76</v>
      </c>
      <c r="F18" s="7" t="s">
        <v>77</v>
      </c>
      <c r="G18" s="7" t="s">
        <v>47</v>
      </c>
      <c r="H18" s="7"/>
      <c r="I18" s="7"/>
      <c r="J18" s="7" t="s">
        <v>48</v>
      </c>
      <c r="K18" s="7" t="s">
        <v>49</v>
      </c>
      <c r="L18" s="7" t="s">
        <v>49</v>
      </c>
      <c r="M18" s="7" t="s">
        <v>49</v>
      </c>
      <c r="N18" s="7" t="s">
        <v>50</v>
      </c>
      <c r="O18" s="7" t="s">
        <v>4</v>
      </c>
      <c r="P18" s="7">
        <v>7688</v>
      </c>
      <c r="Q18" s="7">
        <v>7688</v>
      </c>
      <c r="R18" s="7">
        <v>7688</v>
      </c>
      <c r="S18" s="7">
        <v>7688</v>
      </c>
      <c r="T18" s="7">
        <v>7688</v>
      </c>
      <c r="U18" s="7">
        <v>7688</v>
      </c>
      <c r="V18" s="7">
        <v>7688</v>
      </c>
      <c r="W18" s="7">
        <v>7688</v>
      </c>
      <c r="X18" s="7">
        <v>7688</v>
      </c>
      <c r="Y18" s="7">
        <v>7688</v>
      </c>
      <c r="Z18" s="7">
        <v>7688</v>
      </c>
      <c r="AA18" s="7">
        <v>7688</v>
      </c>
      <c r="AB18" s="9">
        <v>0.48662539718709003</v>
      </c>
      <c r="AC18" s="9">
        <v>0.48662539718709003</v>
      </c>
      <c r="AD18" s="9">
        <v>0.48662539718709003</v>
      </c>
      <c r="AE18" s="9">
        <v>0.48662539718709003</v>
      </c>
      <c r="AF18" s="9">
        <v>0.48662539718709003</v>
      </c>
      <c r="AG18" s="9">
        <v>0.48662539718709003</v>
      </c>
      <c r="AH18" s="9">
        <v>0.48662539718709003</v>
      </c>
      <c r="AI18" s="9">
        <v>0.48662539718709003</v>
      </c>
      <c r="AJ18" s="9">
        <v>0.48662539718709003</v>
      </c>
      <c r="AK18" s="9">
        <v>0.48662539718709003</v>
      </c>
      <c r="AL18" s="9">
        <v>0.48662539718709003</v>
      </c>
      <c r="AM18" s="9">
        <v>0.48662539718709003</v>
      </c>
      <c r="AN18" s="10">
        <v>1</v>
      </c>
      <c r="AO18" s="10">
        <v>0</v>
      </c>
      <c r="AP18" s="10">
        <v>1</v>
      </c>
      <c r="AQ18" s="10">
        <v>0</v>
      </c>
      <c r="AR18" s="10">
        <v>1</v>
      </c>
      <c r="AS18" s="10">
        <v>0</v>
      </c>
      <c r="AT18" s="10">
        <v>1</v>
      </c>
      <c r="AU18" s="10">
        <v>0</v>
      </c>
      <c r="AV18" s="10">
        <v>1</v>
      </c>
      <c r="AW18" s="10">
        <v>0</v>
      </c>
      <c r="AX18" s="10">
        <v>1</v>
      </c>
      <c r="AY18" s="10">
        <v>0</v>
      </c>
      <c r="AZ18" s="7">
        <f t="shared" si="0"/>
        <v>6</v>
      </c>
      <c r="BA18" s="11">
        <f t="shared" si="1"/>
        <v>0.5</v>
      </c>
      <c r="BC18" s="12">
        <v>0.48662539718709003</v>
      </c>
      <c r="BD18" s="12">
        <v>0</v>
      </c>
      <c r="BE18" s="12">
        <v>0.48662539718709003</v>
      </c>
      <c r="BF18" s="12">
        <v>0</v>
      </c>
      <c r="BG18" s="12">
        <v>0.48662539718709003</v>
      </c>
      <c r="BH18" s="12">
        <v>0</v>
      </c>
      <c r="BI18" s="12">
        <v>0.48662539718709003</v>
      </c>
      <c r="BJ18" s="12">
        <v>0</v>
      </c>
      <c r="BK18" s="12">
        <v>0.48662539718709003</v>
      </c>
      <c r="BL18" s="12">
        <v>0</v>
      </c>
      <c r="BM18" s="12">
        <v>0.48662539718709003</v>
      </c>
      <c r="BN18" s="12">
        <v>0</v>
      </c>
      <c r="BO18" s="12">
        <f t="shared" si="2"/>
        <v>2.9197523831225403</v>
      </c>
      <c r="BP18" s="12">
        <f t="shared" si="3"/>
        <v>0.24331269859354501</v>
      </c>
      <c r="BQ18" s="7"/>
      <c r="BR18" s="7"/>
      <c r="BS18" s="7" t="s">
        <v>52</v>
      </c>
      <c r="BT18" s="7" t="s">
        <v>53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/>
    </row>
    <row r="19" spans="1:78" x14ac:dyDescent="0.35">
      <c r="A19" s="7" t="s">
        <v>42</v>
      </c>
      <c r="B19" s="7"/>
      <c r="C19" s="7" t="s">
        <v>78</v>
      </c>
      <c r="D19" s="7" t="s">
        <v>79</v>
      </c>
      <c r="E19" s="7" t="s">
        <v>80</v>
      </c>
      <c r="F19" s="7" t="s">
        <v>81</v>
      </c>
      <c r="G19" s="7" t="s">
        <v>47</v>
      </c>
      <c r="H19" s="7"/>
      <c r="I19" s="7"/>
      <c r="J19" s="7" t="s">
        <v>48</v>
      </c>
      <c r="K19" s="7" t="s">
        <v>49</v>
      </c>
      <c r="L19" s="7" t="s">
        <v>49</v>
      </c>
      <c r="M19" s="7" t="s">
        <v>49</v>
      </c>
      <c r="N19" s="7" t="s">
        <v>50</v>
      </c>
      <c r="O19" s="7" t="s">
        <v>4</v>
      </c>
      <c r="P19" s="7">
        <v>76875</v>
      </c>
      <c r="Q19" s="7">
        <v>76875</v>
      </c>
      <c r="R19" s="7">
        <v>76875</v>
      </c>
      <c r="S19" s="7">
        <v>76875</v>
      </c>
      <c r="T19" s="7">
        <v>76875</v>
      </c>
      <c r="U19" s="7">
        <v>76875</v>
      </c>
      <c r="V19" s="7">
        <v>76875</v>
      </c>
      <c r="W19" s="7">
        <v>76875</v>
      </c>
      <c r="X19" s="7">
        <v>76875</v>
      </c>
      <c r="Y19" s="7">
        <v>76875</v>
      </c>
      <c r="Z19" s="7">
        <v>76875</v>
      </c>
      <c r="AA19" s="7">
        <v>76875</v>
      </c>
      <c r="AB19" s="9">
        <v>4.8659374881319</v>
      </c>
      <c r="AC19" s="9">
        <v>4.8659374881319</v>
      </c>
      <c r="AD19" s="9">
        <v>4.8659374881319</v>
      </c>
      <c r="AE19" s="9">
        <v>4.8659374881319</v>
      </c>
      <c r="AF19" s="9">
        <v>4.8659374881319</v>
      </c>
      <c r="AG19" s="9">
        <v>4.8659374881319</v>
      </c>
      <c r="AH19" s="9">
        <v>4.8659374881319</v>
      </c>
      <c r="AI19" s="9">
        <v>4.8659374881319</v>
      </c>
      <c r="AJ19" s="9">
        <v>4.8659374881319</v>
      </c>
      <c r="AK19" s="9">
        <v>4.8659374881319</v>
      </c>
      <c r="AL19" s="9">
        <v>4.8659374881319</v>
      </c>
      <c r="AM19" s="9">
        <v>4.8659374881319</v>
      </c>
      <c r="AN19" s="10">
        <v>5</v>
      </c>
      <c r="AO19" s="10">
        <v>5</v>
      </c>
      <c r="AP19" s="10">
        <v>5</v>
      </c>
      <c r="AQ19" s="10">
        <v>5</v>
      </c>
      <c r="AR19" s="10">
        <v>5</v>
      </c>
      <c r="AS19" s="10">
        <v>5</v>
      </c>
      <c r="AT19" s="10">
        <v>5</v>
      </c>
      <c r="AU19" s="10">
        <v>5</v>
      </c>
      <c r="AV19" s="10">
        <v>5</v>
      </c>
      <c r="AW19" s="10">
        <v>5</v>
      </c>
      <c r="AX19" s="10">
        <v>5</v>
      </c>
      <c r="AY19" s="10">
        <v>5</v>
      </c>
      <c r="AZ19" s="7">
        <f t="shared" si="0"/>
        <v>60</v>
      </c>
      <c r="BA19" s="11">
        <f t="shared" si="1"/>
        <v>5</v>
      </c>
      <c r="BC19" s="12">
        <v>24.329687440659001</v>
      </c>
      <c r="BD19" s="12">
        <v>24.329687440659001</v>
      </c>
      <c r="BE19" s="12">
        <v>24.329687440659001</v>
      </c>
      <c r="BF19" s="12">
        <v>24.329687440659001</v>
      </c>
      <c r="BG19" s="12">
        <v>24.329687440659001</v>
      </c>
      <c r="BH19" s="12">
        <v>24.329687440659001</v>
      </c>
      <c r="BI19" s="12">
        <v>24.329687440659001</v>
      </c>
      <c r="BJ19" s="12">
        <v>24.329687440659001</v>
      </c>
      <c r="BK19" s="12">
        <v>24.329687440659001</v>
      </c>
      <c r="BL19" s="12">
        <v>24.329687440659001</v>
      </c>
      <c r="BM19" s="12">
        <v>24.329687440659001</v>
      </c>
      <c r="BN19" s="12">
        <v>24.329687440659001</v>
      </c>
      <c r="BO19" s="12">
        <f t="shared" si="2"/>
        <v>291.95624928790801</v>
      </c>
      <c r="BP19" s="12">
        <f t="shared" si="3"/>
        <v>24.329687440659001</v>
      </c>
      <c r="BQ19" s="7"/>
      <c r="BR19" s="7"/>
      <c r="BS19" s="7" t="s">
        <v>52</v>
      </c>
      <c r="BT19" s="7" t="s">
        <v>53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/>
    </row>
    <row r="20" spans="1:78" x14ac:dyDescent="0.35">
      <c r="A20" s="7" t="s">
        <v>42</v>
      </c>
      <c r="B20" s="7"/>
      <c r="C20" s="7" t="s">
        <v>82</v>
      </c>
      <c r="D20" s="7" t="s">
        <v>83</v>
      </c>
      <c r="E20" s="7" t="s">
        <v>84</v>
      </c>
      <c r="F20" s="7" t="s">
        <v>85</v>
      </c>
      <c r="G20" s="7" t="s">
        <v>47</v>
      </c>
      <c r="H20" s="7"/>
      <c r="I20" s="7"/>
      <c r="J20" s="7" t="s">
        <v>48</v>
      </c>
      <c r="K20" s="7" t="s">
        <v>49</v>
      </c>
      <c r="L20" s="7" t="s">
        <v>49</v>
      </c>
      <c r="M20" s="7" t="s">
        <v>49</v>
      </c>
      <c r="N20" s="7" t="s">
        <v>50</v>
      </c>
      <c r="O20" s="7" t="s">
        <v>4</v>
      </c>
      <c r="P20" s="7">
        <v>153750</v>
      </c>
      <c r="Q20" s="7">
        <v>153750</v>
      </c>
      <c r="R20" s="7">
        <v>153750</v>
      </c>
      <c r="S20" s="7">
        <v>153750</v>
      </c>
      <c r="T20" s="7">
        <v>153750</v>
      </c>
      <c r="U20" s="7">
        <v>153750</v>
      </c>
      <c r="V20" s="7">
        <v>153750</v>
      </c>
      <c r="W20" s="7">
        <v>153750</v>
      </c>
      <c r="X20" s="7">
        <v>153750</v>
      </c>
      <c r="Y20" s="7">
        <v>153750</v>
      </c>
      <c r="Z20" s="7">
        <v>153750</v>
      </c>
      <c r="AA20" s="7">
        <v>153750</v>
      </c>
      <c r="AB20" s="9">
        <v>9.7318749762637005</v>
      </c>
      <c r="AC20" s="9">
        <v>9.7318749762637005</v>
      </c>
      <c r="AD20" s="9">
        <v>9.7318749762637005</v>
      </c>
      <c r="AE20" s="9">
        <v>9.7318749762637005</v>
      </c>
      <c r="AF20" s="9">
        <v>9.7318749762637005</v>
      </c>
      <c r="AG20" s="9">
        <v>9.7318749762637005</v>
      </c>
      <c r="AH20" s="9">
        <v>9.7318749762637005</v>
      </c>
      <c r="AI20" s="9">
        <v>9.7318749762637005</v>
      </c>
      <c r="AJ20" s="9">
        <v>9.7318749762637005</v>
      </c>
      <c r="AK20" s="9">
        <v>9.7318749762637005</v>
      </c>
      <c r="AL20" s="9">
        <v>9.7318749762637005</v>
      </c>
      <c r="AM20" s="9">
        <v>9.7318749762637005</v>
      </c>
      <c r="AN20" s="10">
        <v>50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50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7">
        <f t="shared" si="0"/>
        <v>100</v>
      </c>
      <c r="BA20" s="11">
        <f t="shared" si="1"/>
        <v>8.3333333333333339</v>
      </c>
      <c r="BC20" s="12">
        <v>486.59374881319002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486.59374881319002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f t="shared" si="2"/>
        <v>973.18749762638004</v>
      </c>
      <c r="BP20" s="12">
        <f t="shared" si="3"/>
        <v>81.098958135531674</v>
      </c>
      <c r="BQ20" s="7"/>
      <c r="BR20" s="7"/>
      <c r="BS20" s="7" t="s">
        <v>52</v>
      </c>
      <c r="BT20" s="7" t="s">
        <v>53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/>
    </row>
    <row r="21" spans="1:78" x14ac:dyDescent="0.35">
      <c r="A21" s="7" t="s">
        <v>42</v>
      </c>
      <c r="B21" s="7"/>
      <c r="C21" s="7" t="s">
        <v>86</v>
      </c>
      <c r="D21" s="7" t="s">
        <v>87</v>
      </c>
      <c r="E21" s="7" t="s">
        <v>88</v>
      </c>
      <c r="F21" s="7" t="s">
        <v>77</v>
      </c>
      <c r="G21" s="7" t="s">
        <v>47</v>
      </c>
      <c r="H21" s="7"/>
      <c r="I21" s="7"/>
      <c r="J21" s="7" t="s">
        <v>48</v>
      </c>
      <c r="K21" s="7" t="s">
        <v>49</v>
      </c>
      <c r="L21" s="7" t="s">
        <v>49</v>
      </c>
      <c r="M21" s="7" t="s">
        <v>49</v>
      </c>
      <c r="N21" s="7" t="s">
        <v>89</v>
      </c>
      <c r="O21" s="7" t="s">
        <v>4</v>
      </c>
      <c r="P21" s="7">
        <v>58938</v>
      </c>
      <c r="Q21" s="7">
        <v>58938</v>
      </c>
      <c r="R21" s="7">
        <v>58938</v>
      </c>
      <c r="S21" s="7">
        <v>58938</v>
      </c>
      <c r="T21" s="7">
        <v>58938</v>
      </c>
      <c r="U21" s="7">
        <v>58938</v>
      </c>
      <c r="V21" s="7">
        <v>58938</v>
      </c>
      <c r="W21" s="7">
        <v>58938</v>
      </c>
      <c r="X21" s="7">
        <v>58938</v>
      </c>
      <c r="Y21" s="7">
        <v>58938</v>
      </c>
      <c r="Z21" s="7">
        <v>58938</v>
      </c>
      <c r="AA21" s="7">
        <v>58938</v>
      </c>
      <c r="AB21" s="9">
        <v>3.7305837226083001</v>
      </c>
      <c r="AC21" s="9">
        <v>3.7305837226083001</v>
      </c>
      <c r="AD21" s="9">
        <v>3.7305837226083001</v>
      </c>
      <c r="AE21" s="9">
        <v>3.7305837226083001</v>
      </c>
      <c r="AF21" s="9">
        <v>3.7305837226083001</v>
      </c>
      <c r="AG21" s="9">
        <v>3.7305837226083001</v>
      </c>
      <c r="AH21" s="9">
        <v>3.7305837226083001</v>
      </c>
      <c r="AI21" s="9">
        <v>3.7305837226083001</v>
      </c>
      <c r="AJ21" s="9">
        <v>3.7305837226083001</v>
      </c>
      <c r="AK21" s="9">
        <v>3.7305837226083001</v>
      </c>
      <c r="AL21" s="9">
        <v>3.7305837226083001</v>
      </c>
      <c r="AM21" s="9">
        <v>3.7305837226083001</v>
      </c>
      <c r="AN21" s="10">
        <v>40</v>
      </c>
      <c r="AO21" s="10">
        <v>40</v>
      </c>
      <c r="AP21" s="10">
        <v>40</v>
      </c>
      <c r="AQ21" s="10">
        <v>40</v>
      </c>
      <c r="AR21" s="10">
        <v>40</v>
      </c>
      <c r="AS21" s="10">
        <v>40</v>
      </c>
      <c r="AT21" s="10">
        <v>40</v>
      </c>
      <c r="AU21" s="10">
        <v>40</v>
      </c>
      <c r="AV21" s="10">
        <v>40</v>
      </c>
      <c r="AW21" s="10">
        <v>40</v>
      </c>
      <c r="AX21" s="10">
        <v>40</v>
      </c>
      <c r="AY21" s="10">
        <v>40</v>
      </c>
      <c r="AZ21" s="7">
        <f t="shared" si="0"/>
        <v>480</v>
      </c>
      <c r="BA21" s="11">
        <f t="shared" si="1"/>
        <v>40</v>
      </c>
      <c r="BC21" s="12">
        <v>149.22334890433001</v>
      </c>
      <c r="BD21" s="12">
        <v>149.22334890433001</v>
      </c>
      <c r="BE21" s="12">
        <v>149.22334890433001</v>
      </c>
      <c r="BF21" s="12">
        <v>149.22334890433001</v>
      </c>
      <c r="BG21" s="12">
        <v>149.22334890433001</v>
      </c>
      <c r="BH21" s="12">
        <v>149.22334890433001</v>
      </c>
      <c r="BI21" s="12">
        <v>149.22334890433001</v>
      </c>
      <c r="BJ21" s="12">
        <v>149.22334890433001</v>
      </c>
      <c r="BK21" s="12">
        <v>149.22334890433001</v>
      </c>
      <c r="BL21" s="12">
        <v>149.22334890433001</v>
      </c>
      <c r="BM21" s="12">
        <v>149.22334890433001</v>
      </c>
      <c r="BN21" s="12">
        <v>149.22334890433001</v>
      </c>
      <c r="BO21" s="12">
        <f t="shared" si="2"/>
        <v>1790.6801868519606</v>
      </c>
      <c r="BP21" s="12">
        <f t="shared" si="3"/>
        <v>149.22334890433004</v>
      </c>
      <c r="BQ21" s="7"/>
      <c r="BR21" s="7"/>
      <c r="BS21" s="7" t="s">
        <v>52</v>
      </c>
      <c r="BT21" s="7" t="s">
        <v>53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/>
    </row>
    <row r="22" spans="1:78" x14ac:dyDescent="0.35">
      <c r="A22" s="7" t="s">
        <v>42</v>
      </c>
      <c r="B22" s="7"/>
      <c r="C22" s="7" t="s">
        <v>90</v>
      </c>
      <c r="D22" s="7" t="s">
        <v>91</v>
      </c>
      <c r="E22" s="7" t="s">
        <v>92</v>
      </c>
      <c r="F22" s="7" t="s">
        <v>93</v>
      </c>
      <c r="G22" s="7" t="s">
        <v>47</v>
      </c>
      <c r="H22" s="7"/>
      <c r="I22" s="7"/>
      <c r="J22" s="7" t="s">
        <v>48</v>
      </c>
      <c r="K22" s="7" t="s">
        <v>49</v>
      </c>
      <c r="L22" s="7" t="s">
        <v>49</v>
      </c>
      <c r="M22" s="7" t="s">
        <v>49</v>
      </c>
      <c r="N22" s="7" t="s">
        <v>94</v>
      </c>
      <c r="O22" s="7" t="s">
        <v>4</v>
      </c>
      <c r="P22" s="7">
        <v>512500</v>
      </c>
      <c r="Q22" s="7">
        <v>512500</v>
      </c>
      <c r="R22" s="7">
        <v>512500</v>
      </c>
      <c r="S22" s="7">
        <v>512500</v>
      </c>
      <c r="T22" s="7">
        <v>512500</v>
      </c>
      <c r="U22" s="7">
        <v>512500</v>
      </c>
      <c r="V22" s="7">
        <v>512500</v>
      </c>
      <c r="W22" s="7">
        <v>512500</v>
      </c>
      <c r="X22" s="7">
        <v>512500</v>
      </c>
      <c r="Y22" s="7">
        <v>512500</v>
      </c>
      <c r="Z22" s="7">
        <v>512500</v>
      </c>
      <c r="AA22" s="7">
        <v>512500</v>
      </c>
      <c r="AB22" s="9">
        <v>32.439583254212003</v>
      </c>
      <c r="AC22" s="9">
        <v>32.439583254212003</v>
      </c>
      <c r="AD22" s="9">
        <v>32.439583254212003</v>
      </c>
      <c r="AE22" s="9">
        <v>32.439583254212003</v>
      </c>
      <c r="AF22" s="9">
        <v>32.439583254212003</v>
      </c>
      <c r="AG22" s="9">
        <v>32.439583254212003</v>
      </c>
      <c r="AH22" s="9">
        <v>32.439583254212003</v>
      </c>
      <c r="AI22" s="9">
        <v>32.439583254212003</v>
      </c>
      <c r="AJ22" s="9">
        <v>32.439583254212003</v>
      </c>
      <c r="AK22" s="9">
        <v>32.439583254212003</v>
      </c>
      <c r="AL22" s="9">
        <v>32.439583254212003</v>
      </c>
      <c r="AM22" s="9">
        <v>32.439583254212003</v>
      </c>
      <c r="AN22" s="10">
        <v>0</v>
      </c>
      <c r="AO22" s="10">
        <v>0</v>
      </c>
      <c r="AP22" s="10">
        <v>2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7">
        <f t="shared" si="0"/>
        <v>2</v>
      </c>
      <c r="BA22" s="11">
        <f t="shared" si="1"/>
        <v>0.16666666666666666</v>
      </c>
      <c r="BC22" s="12">
        <v>0</v>
      </c>
      <c r="BD22" s="12">
        <v>0</v>
      </c>
      <c r="BE22" s="12">
        <v>64.879166508425001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f t="shared" si="2"/>
        <v>64.879166508425001</v>
      </c>
      <c r="BP22" s="12">
        <f t="shared" si="3"/>
        <v>5.4065972090354171</v>
      </c>
      <c r="BQ22" s="7"/>
      <c r="BR22" s="7"/>
      <c r="BS22" s="7" t="s">
        <v>95</v>
      </c>
      <c r="BT22" s="7" t="s">
        <v>53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/>
    </row>
    <row r="23" spans="1:78" x14ac:dyDescent="0.35">
      <c r="A23" s="7" t="s">
        <v>42</v>
      </c>
      <c r="B23" s="7"/>
      <c r="C23" s="7" t="s">
        <v>96</v>
      </c>
      <c r="D23" s="7" t="s">
        <v>97</v>
      </c>
      <c r="E23" s="7" t="s">
        <v>98</v>
      </c>
      <c r="F23" s="7" t="s">
        <v>99</v>
      </c>
      <c r="G23" s="7" t="s">
        <v>47</v>
      </c>
      <c r="H23" s="7"/>
      <c r="I23" s="7"/>
      <c r="J23" s="7" t="s">
        <v>48</v>
      </c>
      <c r="K23" s="7" t="s">
        <v>49</v>
      </c>
      <c r="L23" s="7" t="s">
        <v>49</v>
      </c>
      <c r="M23" s="7" t="s">
        <v>49</v>
      </c>
      <c r="N23" s="7" t="s">
        <v>100</v>
      </c>
      <c r="O23" s="7" t="s">
        <v>4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6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7">
        <f t="shared" si="0"/>
        <v>6</v>
      </c>
      <c r="BA23" s="11">
        <f t="shared" si="1"/>
        <v>0.5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f t="shared" si="2"/>
        <v>0</v>
      </c>
      <c r="BP23" s="12">
        <f t="shared" si="3"/>
        <v>0</v>
      </c>
      <c r="BQ23" s="7"/>
      <c r="BR23" s="7"/>
      <c r="BS23" s="7" t="s">
        <v>101</v>
      </c>
      <c r="BT23" s="7" t="s">
        <v>53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/>
    </row>
    <row r="24" spans="1:78" x14ac:dyDescent="0.35">
      <c r="A24" s="7" t="s">
        <v>42</v>
      </c>
      <c r="B24" s="7"/>
      <c r="C24" s="7" t="s">
        <v>96</v>
      </c>
      <c r="D24" s="7" t="s">
        <v>97</v>
      </c>
      <c r="E24" s="7" t="s">
        <v>98</v>
      </c>
      <c r="F24" s="7" t="s">
        <v>102</v>
      </c>
      <c r="G24" s="7" t="s">
        <v>47</v>
      </c>
      <c r="H24" s="7"/>
      <c r="I24" s="7"/>
      <c r="J24" s="7" t="s">
        <v>48</v>
      </c>
      <c r="K24" s="7" t="s">
        <v>49</v>
      </c>
      <c r="L24" s="7" t="s">
        <v>49</v>
      </c>
      <c r="M24" s="7" t="s">
        <v>49</v>
      </c>
      <c r="N24" s="7" t="s">
        <v>100</v>
      </c>
      <c r="O24" s="7" t="s">
        <v>4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10">
        <v>0</v>
      </c>
      <c r="AO24" s="10">
        <v>1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7">
        <f t="shared" si="0"/>
        <v>1</v>
      </c>
      <c r="BA24" s="11">
        <f t="shared" si="1"/>
        <v>8.3333333333333329E-2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f t="shared" si="2"/>
        <v>0</v>
      </c>
      <c r="BP24" s="12">
        <f t="shared" si="3"/>
        <v>0</v>
      </c>
      <c r="BQ24" s="7"/>
      <c r="BR24" s="7"/>
      <c r="BS24" s="7" t="s">
        <v>101</v>
      </c>
      <c r="BT24" s="7" t="s">
        <v>53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/>
    </row>
    <row r="25" spans="1:78" x14ac:dyDescent="0.35">
      <c r="A25" s="7" t="s">
        <v>42</v>
      </c>
      <c r="B25" s="7"/>
      <c r="C25" s="7" t="s">
        <v>103</v>
      </c>
      <c r="D25" s="7" t="s">
        <v>104</v>
      </c>
      <c r="E25" s="7" t="s">
        <v>105</v>
      </c>
      <c r="F25" s="7" t="s">
        <v>102</v>
      </c>
      <c r="G25" s="7" t="s">
        <v>47</v>
      </c>
      <c r="H25" s="7"/>
      <c r="I25" s="7"/>
      <c r="J25" s="7" t="s">
        <v>48</v>
      </c>
      <c r="K25" s="7" t="s">
        <v>49</v>
      </c>
      <c r="L25" s="7" t="s">
        <v>49</v>
      </c>
      <c r="M25" s="7" t="s">
        <v>49</v>
      </c>
      <c r="N25" s="7" t="s">
        <v>100</v>
      </c>
      <c r="O25" s="7" t="s">
        <v>6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1</v>
      </c>
      <c r="AU25" s="10">
        <v>1</v>
      </c>
      <c r="AV25" s="10">
        <v>1</v>
      </c>
      <c r="AW25" s="10">
        <v>1</v>
      </c>
      <c r="AX25" s="10">
        <v>1</v>
      </c>
      <c r="AY25" s="10">
        <v>1</v>
      </c>
      <c r="AZ25" s="7">
        <f t="shared" si="0"/>
        <v>6</v>
      </c>
      <c r="BA25" s="11">
        <f t="shared" si="1"/>
        <v>0.5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f t="shared" si="2"/>
        <v>0</v>
      </c>
      <c r="BP25" s="12">
        <f t="shared" si="3"/>
        <v>0</v>
      </c>
      <c r="BQ25" s="7"/>
      <c r="BR25" s="7"/>
      <c r="BS25" s="7" t="s">
        <v>95</v>
      </c>
      <c r="BT25" s="7" t="s">
        <v>53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/>
    </row>
    <row r="26" spans="1:78" x14ac:dyDescent="0.35">
      <c r="A26" s="7" t="s">
        <v>42</v>
      </c>
      <c r="B26" s="7"/>
      <c r="C26" s="7" t="s">
        <v>106</v>
      </c>
      <c r="D26" s="7" t="s">
        <v>104</v>
      </c>
      <c r="E26" s="7" t="s">
        <v>107</v>
      </c>
      <c r="F26" s="7" t="s">
        <v>108</v>
      </c>
      <c r="G26" s="7" t="s">
        <v>47</v>
      </c>
      <c r="H26" s="7"/>
      <c r="I26" s="7"/>
      <c r="J26" s="7" t="s">
        <v>48</v>
      </c>
      <c r="K26" s="7" t="s">
        <v>49</v>
      </c>
      <c r="L26" s="7" t="s">
        <v>49</v>
      </c>
      <c r="M26" s="7" t="s">
        <v>49</v>
      </c>
      <c r="N26" s="7" t="s">
        <v>100</v>
      </c>
      <c r="O26" s="7" t="s">
        <v>6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10">
        <v>1</v>
      </c>
      <c r="AO26" s="10">
        <v>1</v>
      </c>
      <c r="AP26" s="10">
        <v>1</v>
      </c>
      <c r="AQ26" s="10">
        <v>1</v>
      </c>
      <c r="AR26" s="10">
        <v>1</v>
      </c>
      <c r="AS26" s="10">
        <v>1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7">
        <f t="shared" si="0"/>
        <v>6</v>
      </c>
      <c r="BA26" s="11">
        <f t="shared" si="1"/>
        <v>0.5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f t="shared" si="2"/>
        <v>0</v>
      </c>
      <c r="BP26" s="12">
        <f t="shared" si="3"/>
        <v>0</v>
      </c>
      <c r="BQ26" s="7"/>
      <c r="BR26" s="7"/>
      <c r="BS26" s="7" t="s">
        <v>95</v>
      </c>
      <c r="BT26" s="7" t="s">
        <v>53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/>
    </row>
    <row r="27" spans="1:78" x14ac:dyDescent="0.35">
      <c r="A27" s="7" t="s">
        <v>42</v>
      </c>
      <c r="B27" s="7"/>
      <c r="C27" s="7" t="s">
        <v>106</v>
      </c>
      <c r="D27" s="7" t="s">
        <v>104</v>
      </c>
      <c r="E27" s="7" t="s">
        <v>107</v>
      </c>
      <c r="F27" s="7" t="s">
        <v>102</v>
      </c>
      <c r="G27" s="7" t="s">
        <v>47</v>
      </c>
      <c r="H27" s="7"/>
      <c r="I27" s="7"/>
      <c r="J27" s="7" t="s">
        <v>48</v>
      </c>
      <c r="K27" s="7" t="s">
        <v>49</v>
      </c>
      <c r="L27" s="7" t="s">
        <v>49</v>
      </c>
      <c r="M27" s="7" t="s">
        <v>49</v>
      </c>
      <c r="N27" s="7" t="s">
        <v>100</v>
      </c>
      <c r="O27" s="7" t="s">
        <v>6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1</v>
      </c>
      <c r="AU27" s="10">
        <v>1</v>
      </c>
      <c r="AV27" s="10">
        <v>1</v>
      </c>
      <c r="AW27" s="10">
        <v>1</v>
      </c>
      <c r="AX27" s="10">
        <v>1</v>
      </c>
      <c r="AY27" s="10">
        <v>1</v>
      </c>
      <c r="AZ27" s="7">
        <f t="shared" si="0"/>
        <v>6</v>
      </c>
      <c r="BA27" s="11">
        <f t="shared" si="1"/>
        <v>0.5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f t="shared" si="2"/>
        <v>0</v>
      </c>
      <c r="BP27" s="12">
        <f t="shared" si="3"/>
        <v>0</v>
      </c>
      <c r="BQ27" s="7"/>
      <c r="BR27" s="7"/>
      <c r="BS27" s="7" t="s">
        <v>95</v>
      </c>
      <c r="BT27" s="7" t="s">
        <v>53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/>
    </row>
    <row r="28" spans="1:78" x14ac:dyDescent="0.35">
      <c r="A28" s="7" t="s">
        <v>42</v>
      </c>
      <c r="B28" s="7"/>
      <c r="C28" s="7" t="s">
        <v>109</v>
      </c>
      <c r="D28" s="7" t="s">
        <v>104</v>
      </c>
      <c r="E28" s="7" t="s">
        <v>110</v>
      </c>
      <c r="F28" s="7" t="s">
        <v>102</v>
      </c>
      <c r="G28" s="7" t="s">
        <v>47</v>
      </c>
      <c r="H28" s="7"/>
      <c r="I28" s="7"/>
      <c r="J28" s="7" t="s">
        <v>48</v>
      </c>
      <c r="K28" s="7" t="s">
        <v>49</v>
      </c>
      <c r="L28" s="7" t="s">
        <v>49</v>
      </c>
      <c r="M28" s="7" t="s">
        <v>49</v>
      </c>
      <c r="N28" s="7" t="s">
        <v>100</v>
      </c>
      <c r="O28" s="7" t="s">
        <v>6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1</v>
      </c>
      <c r="AU28" s="10">
        <v>1</v>
      </c>
      <c r="AV28" s="10">
        <v>1</v>
      </c>
      <c r="AW28" s="10">
        <v>1</v>
      </c>
      <c r="AX28" s="10">
        <v>1</v>
      </c>
      <c r="AY28" s="10">
        <v>1</v>
      </c>
      <c r="AZ28" s="7">
        <f t="shared" si="0"/>
        <v>6</v>
      </c>
      <c r="BA28" s="11">
        <f t="shared" si="1"/>
        <v>0.5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f t="shared" si="2"/>
        <v>0</v>
      </c>
      <c r="BP28" s="12">
        <f t="shared" si="3"/>
        <v>0</v>
      </c>
      <c r="BQ28" s="7"/>
      <c r="BR28" s="7"/>
      <c r="BS28" s="7" t="s">
        <v>95</v>
      </c>
      <c r="BT28" s="7" t="s">
        <v>53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/>
    </row>
    <row r="29" spans="1:78" x14ac:dyDescent="0.35">
      <c r="A29" s="7" t="s">
        <v>42</v>
      </c>
      <c r="B29" s="7"/>
      <c r="C29" s="7" t="s">
        <v>111</v>
      </c>
      <c r="D29" s="7" t="s">
        <v>112</v>
      </c>
      <c r="E29" s="7" t="s">
        <v>113</v>
      </c>
      <c r="F29" s="7" t="s">
        <v>114</v>
      </c>
      <c r="G29" s="7" t="s">
        <v>47</v>
      </c>
      <c r="H29" s="7"/>
      <c r="I29" s="7"/>
      <c r="J29" s="7" t="s">
        <v>48</v>
      </c>
      <c r="K29" s="7" t="s">
        <v>49</v>
      </c>
      <c r="L29" s="7" t="s">
        <v>49</v>
      </c>
      <c r="M29" s="7" t="s">
        <v>49</v>
      </c>
      <c r="N29" s="7" t="s">
        <v>115</v>
      </c>
      <c r="O29" s="7" t="s">
        <v>4</v>
      </c>
      <c r="P29" s="7">
        <v>200000</v>
      </c>
      <c r="Q29" s="7">
        <v>200000</v>
      </c>
      <c r="R29" s="7">
        <v>200000</v>
      </c>
      <c r="S29" s="7">
        <v>200000</v>
      </c>
      <c r="T29" s="7">
        <v>200000</v>
      </c>
      <c r="U29" s="7">
        <v>200000</v>
      </c>
      <c r="V29" s="7">
        <v>200000</v>
      </c>
      <c r="W29" s="7">
        <v>200000</v>
      </c>
      <c r="X29" s="7">
        <v>200000</v>
      </c>
      <c r="Y29" s="7">
        <v>200000</v>
      </c>
      <c r="Z29" s="7">
        <v>200000</v>
      </c>
      <c r="AA29" s="7">
        <v>200000</v>
      </c>
      <c r="AB29" s="9">
        <v>12.659349562618999</v>
      </c>
      <c r="AC29" s="9">
        <v>12.659349562618999</v>
      </c>
      <c r="AD29" s="9">
        <v>12.659349562618999</v>
      </c>
      <c r="AE29" s="9">
        <v>12.659349562618999</v>
      </c>
      <c r="AF29" s="9">
        <v>12.659349562618999</v>
      </c>
      <c r="AG29" s="9">
        <v>12.659349562618999</v>
      </c>
      <c r="AH29" s="9">
        <v>12.659349562618999</v>
      </c>
      <c r="AI29" s="9">
        <v>12.659349562618999</v>
      </c>
      <c r="AJ29" s="9">
        <v>12.659349562618999</v>
      </c>
      <c r="AK29" s="9">
        <v>12.659349562618999</v>
      </c>
      <c r="AL29" s="9">
        <v>12.659349562618999</v>
      </c>
      <c r="AM29" s="9">
        <v>12.659349562618999</v>
      </c>
      <c r="AN29" s="10">
        <v>0</v>
      </c>
      <c r="AO29" s="10">
        <v>0</v>
      </c>
      <c r="AP29" s="10">
        <v>1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7">
        <f t="shared" si="0"/>
        <v>1</v>
      </c>
      <c r="BA29" s="11">
        <f t="shared" si="1"/>
        <v>8.3333333333333329E-2</v>
      </c>
      <c r="BC29" s="12">
        <v>0</v>
      </c>
      <c r="BD29" s="12">
        <v>0</v>
      </c>
      <c r="BE29" s="12">
        <v>12.659349562618999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f t="shared" si="2"/>
        <v>12.659349562618999</v>
      </c>
      <c r="BP29" s="12">
        <f t="shared" si="3"/>
        <v>1.0549457968849165</v>
      </c>
      <c r="BQ29" s="7"/>
      <c r="BR29" s="7"/>
      <c r="BS29" s="7" t="s">
        <v>52</v>
      </c>
      <c r="BT29" s="7" t="s">
        <v>53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/>
    </row>
    <row r="30" spans="1:78" x14ac:dyDescent="0.35">
      <c r="A30" s="7" t="s">
        <v>42</v>
      </c>
      <c r="B30" s="7"/>
      <c r="C30" s="7" t="s">
        <v>116</v>
      </c>
      <c r="D30" s="7" t="s">
        <v>117</v>
      </c>
      <c r="E30" s="7" t="s">
        <v>118</v>
      </c>
      <c r="F30" s="7" t="s">
        <v>119</v>
      </c>
      <c r="G30" s="7" t="s">
        <v>47</v>
      </c>
      <c r="H30" s="7"/>
      <c r="I30" s="7"/>
      <c r="J30" s="7" t="s">
        <v>48</v>
      </c>
      <c r="K30" s="7" t="s">
        <v>49</v>
      </c>
      <c r="L30" s="7" t="s">
        <v>49</v>
      </c>
      <c r="M30" s="7" t="s">
        <v>49</v>
      </c>
      <c r="N30" s="7" t="s">
        <v>115</v>
      </c>
      <c r="O30" s="7" t="s">
        <v>4</v>
      </c>
      <c r="P30" s="7">
        <v>90000</v>
      </c>
      <c r="Q30" s="7">
        <v>90000</v>
      </c>
      <c r="R30" s="7">
        <v>90000</v>
      </c>
      <c r="S30" s="7">
        <v>90000</v>
      </c>
      <c r="T30" s="7">
        <v>90000</v>
      </c>
      <c r="U30" s="7">
        <v>90000</v>
      </c>
      <c r="V30" s="7">
        <v>90000</v>
      </c>
      <c r="W30" s="7">
        <v>90000</v>
      </c>
      <c r="X30" s="7">
        <v>90000</v>
      </c>
      <c r="Y30" s="7">
        <v>90000</v>
      </c>
      <c r="Z30" s="7">
        <v>90000</v>
      </c>
      <c r="AA30" s="7">
        <v>90000</v>
      </c>
      <c r="AB30" s="9">
        <v>5.6967073031788003</v>
      </c>
      <c r="AC30" s="9">
        <v>5.6967073031788003</v>
      </c>
      <c r="AD30" s="9">
        <v>5.6967073031788003</v>
      </c>
      <c r="AE30" s="9">
        <v>5.6967073031788003</v>
      </c>
      <c r="AF30" s="9">
        <v>5.6967073031788003</v>
      </c>
      <c r="AG30" s="9">
        <v>5.6967073031788003</v>
      </c>
      <c r="AH30" s="9">
        <v>5.6967073031788003</v>
      </c>
      <c r="AI30" s="9">
        <v>5.6967073031788003</v>
      </c>
      <c r="AJ30" s="9">
        <v>5.6967073031788003</v>
      </c>
      <c r="AK30" s="9">
        <v>5.6967073031788003</v>
      </c>
      <c r="AL30" s="9">
        <v>5.6967073031788003</v>
      </c>
      <c r="AM30" s="9">
        <v>5.6967073031788003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1</v>
      </c>
      <c r="AV30" s="10">
        <v>0</v>
      </c>
      <c r="AW30" s="10">
        <v>0</v>
      </c>
      <c r="AX30" s="10">
        <v>0</v>
      </c>
      <c r="AY30" s="10">
        <v>0</v>
      </c>
      <c r="AZ30" s="7">
        <f t="shared" si="0"/>
        <v>1</v>
      </c>
      <c r="BA30" s="11">
        <f t="shared" si="1"/>
        <v>8.3333333333333329E-2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5.6967073031788003</v>
      </c>
      <c r="BK30" s="12">
        <v>0</v>
      </c>
      <c r="BL30" s="12">
        <v>0</v>
      </c>
      <c r="BM30" s="12">
        <v>0</v>
      </c>
      <c r="BN30" s="12">
        <v>0</v>
      </c>
      <c r="BO30" s="12">
        <f t="shared" si="2"/>
        <v>5.6967073031788003</v>
      </c>
      <c r="BP30" s="12">
        <f t="shared" si="3"/>
        <v>0.47472560859823337</v>
      </c>
      <c r="BQ30" s="7"/>
      <c r="BR30" s="7"/>
      <c r="BS30" s="7" t="s">
        <v>52</v>
      </c>
      <c r="BT30" s="7" t="s">
        <v>53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/>
    </row>
    <row r="31" spans="1:78" x14ac:dyDescent="0.35">
      <c r="A31" s="7" t="s">
        <v>42</v>
      </c>
      <c r="B31" s="7"/>
      <c r="C31" s="7" t="s">
        <v>120</v>
      </c>
      <c r="D31" s="7" t="s">
        <v>121</v>
      </c>
      <c r="E31" s="7" t="s">
        <v>122</v>
      </c>
      <c r="F31" s="7" t="s">
        <v>123</v>
      </c>
      <c r="G31" s="7" t="s">
        <v>47</v>
      </c>
      <c r="H31" s="7"/>
      <c r="I31" s="7"/>
      <c r="J31" s="7" t="s">
        <v>48</v>
      </c>
      <c r="K31" s="7" t="s">
        <v>49</v>
      </c>
      <c r="L31" s="7" t="s">
        <v>49</v>
      </c>
      <c r="M31" s="7" t="s">
        <v>49</v>
      </c>
      <c r="N31" s="7" t="s">
        <v>124</v>
      </c>
      <c r="O31" s="7" t="s">
        <v>4</v>
      </c>
      <c r="P31" s="7">
        <v>410000</v>
      </c>
      <c r="Q31" s="7">
        <v>410000</v>
      </c>
      <c r="R31" s="7">
        <v>410000</v>
      </c>
      <c r="S31" s="7">
        <v>410000</v>
      </c>
      <c r="T31" s="7">
        <v>410000</v>
      </c>
      <c r="U31" s="7">
        <v>410000</v>
      </c>
      <c r="V31" s="7">
        <v>410000</v>
      </c>
      <c r="W31" s="7">
        <v>410000</v>
      </c>
      <c r="X31" s="7">
        <v>410000</v>
      </c>
      <c r="Y31" s="7">
        <v>410000</v>
      </c>
      <c r="Z31" s="7">
        <v>410000</v>
      </c>
      <c r="AA31" s="7">
        <v>410000</v>
      </c>
      <c r="AB31" s="9">
        <v>25.951666603370001</v>
      </c>
      <c r="AC31" s="9">
        <v>25.951666603370001</v>
      </c>
      <c r="AD31" s="9">
        <v>25.951666603370001</v>
      </c>
      <c r="AE31" s="9">
        <v>25.951666603370001</v>
      </c>
      <c r="AF31" s="9">
        <v>25.951666603370001</v>
      </c>
      <c r="AG31" s="9">
        <v>25.951666603370001</v>
      </c>
      <c r="AH31" s="9">
        <v>25.951666603370001</v>
      </c>
      <c r="AI31" s="9">
        <v>25.951666603370001</v>
      </c>
      <c r="AJ31" s="9">
        <v>25.951666603370001</v>
      </c>
      <c r="AK31" s="9">
        <v>25.951666603370001</v>
      </c>
      <c r="AL31" s="9">
        <v>25.951666603370001</v>
      </c>
      <c r="AM31" s="9">
        <v>25.951666603370001</v>
      </c>
      <c r="AN31" s="10">
        <v>0</v>
      </c>
      <c r="AO31" s="10">
        <v>0</v>
      </c>
      <c r="AP31" s="10">
        <v>3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3</v>
      </c>
      <c r="AW31" s="10">
        <v>0</v>
      </c>
      <c r="AX31" s="10">
        <v>0</v>
      </c>
      <c r="AY31" s="10">
        <v>0</v>
      </c>
      <c r="AZ31" s="7">
        <f t="shared" si="0"/>
        <v>6</v>
      </c>
      <c r="BA31" s="11">
        <f t="shared" si="1"/>
        <v>0.5</v>
      </c>
      <c r="BC31" s="12">
        <v>0</v>
      </c>
      <c r="BD31" s="12">
        <v>0</v>
      </c>
      <c r="BE31" s="12">
        <v>77.854999810110002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77.854999810110002</v>
      </c>
      <c r="BL31" s="12">
        <v>0</v>
      </c>
      <c r="BM31" s="12">
        <v>0</v>
      </c>
      <c r="BN31" s="12">
        <v>0</v>
      </c>
      <c r="BO31" s="12">
        <f t="shared" si="2"/>
        <v>155.70999962022</v>
      </c>
      <c r="BP31" s="12">
        <f t="shared" si="3"/>
        <v>12.975833301685</v>
      </c>
      <c r="BQ31" s="7"/>
      <c r="BR31" s="7"/>
      <c r="BS31" s="7" t="s">
        <v>95</v>
      </c>
      <c r="BT31" s="7" t="s">
        <v>53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/>
    </row>
    <row r="32" spans="1:78" x14ac:dyDescent="0.35">
      <c r="A32" s="7" t="s">
        <v>42</v>
      </c>
      <c r="B32" s="7"/>
      <c r="C32" s="7" t="s">
        <v>125</v>
      </c>
      <c r="D32" s="7" t="s">
        <v>126</v>
      </c>
      <c r="E32" s="7" t="s">
        <v>127</v>
      </c>
      <c r="F32" s="7" t="s">
        <v>102</v>
      </c>
      <c r="G32" s="7" t="s">
        <v>47</v>
      </c>
      <c r="H32" s="7"/>
      <c r="I32" s="7"/>
      <c r="J32" s="7" t="s">
        <v>48</v>
      </c>
      <c r="K32" s="7" t="s">
        <v>49</v>
      </c>
      <c r="L32" s="7" t="s">
        <v>49</v>
      </c>
      <c r="M32" s="7" t="s">
        <v>49</v>
      </c>
      <c r="N32" s="7" t="s">
        <v>100</v>
      </c>
      <c r="O32" s="7" t="s">
        <v>4</v>
      </c>
      <c r="P32" s="7">
        <v>256250</v>
      </c>
      <c r="Q32" s="7">
        <v>256250</v>
      </c>
      <c r="R32" s="7">
        <v>256250</v>
      </c>
      <c r="S32" s="7">
        <v>256250</v>
      </c>
      <c r="T32" s="7">
        <v>256250</v>
      </c>
      <c r="U32" s="7">
        <v>256250</v>
      </c>
      <c r="V32" s="7">
        <v>256250</v>
      </c>
      <c r="W32" s="7">
        <v>256250</v>
      </c>
      <c r="X32" s="7">
        <v>256250</v>
      </c>
      <c r="Y32" s="7">
        <v>256250</v>
      </c>
      <c r="Z32" s="7">
        <v>256250</v>
      </c>
      <c r="AA32" s="7">
        <v>256250</v>
      </c>
      <c r="AB32" s="9">
        <v>16.219791627106002</v>
      </c>
      <c r="AC32" s="9">
        <v>16.219791627106002</v>
      </c>
      <c r="AD32" s="9">
        <v>16.219791627106002</v>
      </c>
      <c r="AE32" s="9">
        <v>16.219791627106002</v>
      </c>
      <c r="AF32" s="9">
        <v>16.219791627106002</v>
      </c>
      <c r="AG32" s="9">
        <v>16.219791627106002</v>
      </c>
      <c r="AH32" s="9">
        <v>16.219791627106002</v>
      </c>
      <c r="AI32" s="9">
        <v>16.219791627106002</v>
      </c>
      <c r="AJ32" s="9">
        <v>16.219791627106002</v>
      </c>
      <c r="AK32" s="9">
        <v>16.219791627106002</v>
      </c>
      <c r="AL32" s="9">
        <v>16.219791627106002</v>
      </c>
      <c r="AM32" s="9">
        <v>16.219791627106002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20</v>
      </c>
      <c r="AT32" s="10">
        <v>20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7">
        <f t="shared" si="0"/>
        <v>40</v>
      </c>
      <c r="BA32" s="11">
        <f t="shared" si="1"/>
        <v>3.3333333333333335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324.39583254211999</v>
      </c>
      <c r="BI32" s="12">
        <v>324.39583254211999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f t="shared" si="2"/>
        <v>648.79166508423998</v>
      </c>
      <c r="BP32" s="12">
        <f t="shared" si="3"/>
        <v>54.065972090353334</v>
      </c>
      <c r="BQ32" s="7"/>
      <c r="BR32" s="7"/>
      <c r="BS32" s="7" t="s">
        <v>95</v>
      </c>
      <c r="BT32" s="7" t="s">
        <v>53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/>
    </row>
    <row r="33" spans="1:78" x14ac:dyDescent="0.35">
      <c r="A33" s="7" t="s">
        <v>42</v>
      </c>
      <c r="B33" s="7"/>
      <c r="C33" s="7" t="s">
        <v>128</v>
      </c>
      <c r="D33" s="7" t="s">
        <v>126</v>
      </c>
      <c r="E33" s="7" t="s">
        <v>129</v>
      </c>
      <c r="F33" s="7" t="s">
        <v>130</v>
      </c>
      <c r="G33" s="7" t="s">
        <v>47</v>
      </c>
      <c r="H33" s="7"/>
      <c r="I33" s="7"/>
      <c r="J33" s="7" t="s">
        <v>48</v>
      </c>
      <c r="K33" s="7" t="s">
        <v>49</v>
      </c>
      <c r="L33" s="7" t="s">
        <v>49</v>
      </c>
      <c r="M33" s="7" t="s">
        <v>49</v>
      </c>
      <c r="N33" s="7" t="s">
        <v>100</v>
      </c>
      <c r="O33" s="7" t="s">
        <v>6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10">
        <v>0</v>
      </c>
      <c r="AO33" s="10">
        <v>0</v>
      </c>
      <c r="AP33" s="10">
        <v>0</v>
      </c>
      <c r="AQ33" s="10">
        <v>1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7">
        <f t="shared" si="0"/>
        <v>1</v>
      </c>
      <c r="BA33" s="11">
        <f t="shared" si="1"/>
        <v>8.3333333333333329E-2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f t="shared" si="2"/>
        <v>0</v>
      </c>
      <c r="BP33" s="12">
        <f t="shared" si="3"/>
        <v>0</v>
      </c>
      <c r="BQ33" s="7"/>
      <c r="BR33" s="7"/>
      <c r="BS33" s="7" t="s">
        <v>95</v>
      </c>
      <c r="BT33" s="7" t="s">
        <v>53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/>
    </row>
    <row r="34" spans="1:78" x14ac:dyDescent="0.35">
      <c r="A34" s="7" t="s">
        <v>42</v>
      </c>
      <c r="B34" s="7"/>
      <c r="C34" s="7" t="s">
        <v>131</v>
      </c>
      <c r="D34" s="7" t="s">
        <v>126</v>
      </c>
      <c r="E34" s="7" t="s">
        <v>132</v>
      </c>
      <c r="F34" s="7" t="s">
        <v>130</v>
      </c>
      <c r="G34" s="7" t="s">
        <v>47</v>
      </c>
      <c r="H34" s="7"/>
      <c r="I34" s="7"/>
      <c r="J34" s="7" t="s">
        <v>48</v>
      </c>
      <c r="K34" s="7" t="s">
        <v>49</v>
      </c>
      <c r="L34" s="7" t="s">
        <v>49</v>
      </c>
      <c r="M34" s="7" t="s">
        <v>49</v>
      </c>
      <c r="N34" s="7" t="s">
        <v>100</v>
      </c>
      <c r="O34" s="7" t="s">
        <v>6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10">
        <v>0</v>
      </c>
      <c r="AO34" s="10">
        <v>0</v>
      </c>
      <c r="AP34" s="10">
        <v>0</v>
      </c>
      <c r="AQ34" s="10">
        <v>1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7">
        <f t="shared" si="0"/>
        <v>1</v>
      </c>
      <c r="BA34" s="11">
        <f t="shared" si="1"/>
        <v>8.3333333333333329E-2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f t="shared" si="2"/>
        <v>0</v>
      </c>
      <c r="BP34" s="12">
        <f t="shared" si="3"/>
        <v>0</v>
      </c>
      <c r="BQ34" s="7"/>
      <c r="BR34" s="7"/>
      <c r="BS34" s="7" t="s">
        <v>95</v>
      </c>
      <c r="BT34" s="7" t="s">
        <v>53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/>
    </row>
    <row r="35" spans="1:78" x14ac:dyDescent="0.35">
      <c r="A35" s="7" t="s">
        <v>42</v>
      </c>
      <c r="B35" s="7"/>
      <c r="C35" s="7" t="s">
        <v>133</v>
      </c>
      <c r="D35" s="7" t="s">
        <v>126</v>
      </c>
      <c r="E35" s="7" t="s">
        <v>134</v>
      </c>
      <c r="F35" s="7" t="s">
        <v>130</v>
      </c>
      <c r="G35" s="7" t="s">
        <v>47</v>
      </c>
      <c r="H35" s="7"/>
      <c r="I35" s="7"/>
      <c r="J35" s="7" t="s">
        <v>48</v>
      </c>
      <c r="K35" s="7" t="s">
        <v>49</v>
      </c>
      <c r="L35" s="7" t="s">
        <v>49</v>
      </c>
      <c r="M35" s="7" t="s">
        <v>49</v>
      </c>
      <c r="N35" s="7" t="s">
        <v>100</v>
      </c>
      <c r="O35" s="7" t="s">
        <v>6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10">
        <v>0</v>
      </c>
      <c r="AO35" s="10">
        <v>0</v>
      </c>
      <c r="AP35" s="10">
        <v>0</v>
      </c>
      <c r="AQ35" s="10">
        <v>1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7">
        <f t="shared" si="0"/>
        <v>1</v>
      </c>
      <c r="BA35" s="11">
        <f t="shared" si="1"/>
        <v>8.3333333333333329E-2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f t="shared" si="2"/>
        <v>0</v>
      </c>
      <c r="BP35" s="12">
        <f t="shared" si="3"/>
        <v>0</v>
      </c>
      <c r="BQ35" s="7"/>
      <c r="BR35" s="7"/>
      <c r="BS35" s="7" t="s">
        <v>95</v>
      </c>
      <c r="BT35" s="7" t="s">
        <v>53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/>
    </row>
    <row r="36" spans="1:78" x14ac:dyDescent="0.35">
      <c r="A36" s="7" t="s">
        <v>42</v>
      </c>
      <c r="B36" s="7"/>
      <c r="C36" s="7" t="s">
        <v>135</v>
      </c>
      <c r="D36" s="7" t="s">
        <v>136</v>
      </c>
      <c r="E36" s="7" t="s">
        <v>137</v>
      </c>
      <c r="F36" s="7" t="s">
        <v>138</v>
      </c>
      <c r="G36" s="7" t="s">
        <v>47</v>
      </c>
      <c r="H36" s="7"/>
      <c r="I36" s="7"/>
      <c r="J36" s="7" t="s">
        <v>48</v>
      </c>
      <c r="K36" s="7" t="s">
        <v>49</v>
      </c>
      <c r="L36" s="7" t="s">
        <v>49</v>
      </c>
      <c r="M36" s="7" t="s">
        <v>49</v>
      </c>
      <c r="N36" s="7" t="s">
        <v>139</v>
      </c>
      <c r="O36" s="7" t="s">
        <v>4</v>
      </c>
      <c r="P36" s="7">
        <v>1200000</v>
      </c>
      <c r="Q36" s="7">
        <v>1200000</v>
      </c>
      <c r="R36" s="7">
        <v>1200000</v>
      </c>
      <c r="S36" s="7">
        <v>1200000</v>
      </c>
      <c r="T36" s="7">
        <v>1200000</v>
      </c>
      <c r="U36" s="7">
        <v>1200000</v>
      </c>
      <c r="V36" s="7">
        <v>1200000</v>
      </c>
      <c r="W36" s="7">
        <v>1200000</v>
      </c>
      <c r="X36" s="7">
        <v>1200000</v>
      </c>
      <c r="Y36" s="7">
        <v>1200000</v>
      </c>
      <c r="Z36" s="7">
        <v>1200000</v>
      </c>
      <c r="AA36" s="7">
        <v>1200000</v>
      </c>
      <c r="AB36" s="9">
        <v>75.956097375716993</v>
      </c>
      <c r="AC36" s="9">
        <v>75.956097375716993</v>
      </c>
      <c r="AD36" s="9">
        <v>75.956097375716993</v>
      </c>
      <c r="AE36" s="9">
        <v>75.956097375716993</v>
      </c>
      <c r="AF36" s="9">
        <v>75.956097375716993</v>
      </c>
      <c r="AG36" s="9">
        <v>75.956097375716993</v>
      </c>
      <c r="AH36" s="9">
        <v>75.956097375716993</v>
      </c>
      <c r="AI36" s="9">
        <v>75.956097375716993</v>
      </c>
      <c r="AJ36" s="9">
        <v>75.956097375716993</v>
      </c>
      <c r="AK36" s="9">
        <v>75.956097375716993</v>
      </c>
      <c r="AL36" s="9">
        <v>75.956097375716993</v>
      </c>
      <c r="AM36" s="9">
        <v>75.956097375716993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2</v>
      </c>
      <c r="AZ36" s="7">
        <f t="shared" si="0"/>
        <v>2</v>
      </c>
      <c r="BA36" s="11">
        <f t="shared" si="1"/>
        <v>0.16666666666666666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151.91219475143001</v>
      </c>
      <c r="BO36" s="12">
        <f t="shared" si="2"/>
        <v>151.91219475143001</v>
      </c>
      <c r="BP36" s="12">
        <f t="shared" si="3"/>
        <v>12.659349562619168</v>
      </c>
      <c r="BQ36" s="7"/>
      <c r="BR36" s="7"/>
      <c r="BS36" s="7" t="s">
        <v>95</v>
      </c>
      <c r="BT36" s="7" t="s">
        <v>53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/>
    </row>
    <row r="37" spans="1:78" x14ac:dyDescent="0.35">
      <c r="A37" s="7" t="s">
        <v>42</v>
      </c>
      <c r="B37" s="7"/>
      <c r="C37" s="7" t="s">
        <v>140</v>
      </c>
      <c r="D37" s="7" t="s">
        <v>141</v>
      </c>
      <c r="E37" s="7" t="s">
        <v>142</v>
      </c>
      <c r="F37" s="7" t="s">
        <v>143</v>
      </c>
      <c r="G37" s="7" t="s">
        <v>47</v>
      </c>
      <c r="H37" s="7"/>
      <c r="I37" s="7"/>
      <c r="J37" s="7" t="s">
        <v>48</v>
      </c>
      <c r="K37" s="7" t="s">
        <v>49</v>
      </c>
      <c r="L37" s="7" t="s">
        <v>49</v>
      </c>
      <c r="M37" s="7" t="s">
        <v>49</v>
      </c>
      <c r="N37" s="7" t="s">
        <v>144</v>
      </c>
      <c r="O37" s="7" t="s">
        <v>4</v>
      </c>
      <c r="P37" s="7">
        <v>23170000</v>
      </c>
      <c r="Q37" s="7">
        <v>23170000</v>
      </c>
      <c r="R37" s="7">
        <v>23170000</v>
      </c>
      <c r="S37" s="7">
        <v>23170000</v>
      </c>
      <c r="T37" s="7">
        <v>23170000</v>
      </c>
      <c r="U37" s="7">
        <v>23170000</v>
      </c>
      <c r="V37" s="7">
        <v>23170000</v>
      </c>
      <c r="W37" s="7">
        <v>23170000</v>
      </c>
      <c r="X37" s="7">
        <v>23170000</v>
      </c>
      <c r="Y37" s="7">
        <v>23170000</v>
      </c>
      <c r="Z37" s="7">
        <v>23170000</v>
      </c>
      <c r="AA37" s="7">
        <v>23170000</v>
      </c>
      <c r="AB37" s="9">
        <v>1466.5856468295001</v>
      </c>
      <c r="AC37" s="9">
        <v>1466.5856468295001</v>
      </c>
      <c r="AD37" s="9">
        <v>1466.5856468295001</v>
      </c>
      <c r="AE37" s="9">
        <v>1466.5856468295001</v>
      </c>
      <c r="AF37" s="9">
        <v>1466.5856468295001</v>
      </c>
      <c r="AG37" s="9">
        <v>1466.5856468295001</v>
      </c>
      <c r="AH37" s="9">
        <v>1466.5856468295001</v>
      </c>
      <c r="AI37" s="9">
        <v>1466.5856468295001</v>
      </c>
      <c r="AJ37" s="9">
        <v>1466.5856468295001</v>
      </c>
      <c r="AK37" s="9">
        <v>1466.5856468295001</v>
      </c>
      <c r="AL37" s="9">
        <v>1466.5856468295001</v>
      </c>
      <c r="AM37" s="9">
        <v>1466.5856468295001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1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7">
        <f t="shared" si="0"/>
        <v>1</v>
      </c>
      <c r="BA37" s="11">
        <f t="shared" si="1"/>
        <v>8.3333333333333329E-2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1466.5856468295001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f t="shared" si="2"/>
        <v>1466.5856468295001</v>
      </c>
      <c r="BP37" s="12">
        <f t="shared" si="3"/>
        <v>122.215470569125</v>
      </c>
      <c r="BQ37" s="7"/>
      <c r="BR37" s="7"/>
      <c r="BS37" s="7" t="s">
        <v>145</v>
      </c>
      <c r="BT37" s="7" t="s">
        <v>53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/>
    </row>
    <row r="38" spans="1:78" x14ac:dyDescent="0.35">
      <c r="A38" s="7" t="s">
        <v>42</v>
      </c>
      <c r="B38" s="7"/>
      <c r="C38" s="7" t="s">
        <v>146</v>
      </c>
      <c r="D38" s="7" t="s">
        <v>147</v>
      </c>
      <c r="E38" s="7" t="s">
        <v>148</v>
      </c>
      <c r="F38" s="7" t="s">
        <v>149</v>
      </c>
      <c r="G38" s="7" t="s">
        <v>47</v>
      </c>
      <c r="H38" s="7"/>
      <c r="I38" s="7"/>
      <c r="J38" s="7" t="s">
        <v>48</v>
      </c>
      <c r="K38" s="7" t="s">
        <v>49</v>
      </c>
      <c r="L38" s="7" t="s">
        <v>49</v>
      </c>
      <c r="M38" s="7" t="s">
        <v>49</v>
      </c>
      <c r="N38" s="7" t="s">
        <v>100</v>
      </c>
      <c r="O38" s="7" t="s">
        <v>4</v>
      </c>
      <c r="P38" s="7">
        <v>35000</v>
      </c>
      <c r="Q38" s="7">
        <v>35000</v>
      </c>
      <c r="R38" s="7">
        <v>35000</v>
      </c>
      <c r="S38" s="7">
        <v>35000</v>
      </c>
      <c r="T38" s="7">
        <v>35000</v>
      </c>
      <c r="U38" s="7">
        <v>35000</v>
      </c>
      <c r="V38" s="7">
        <v>35000</v>
      </c>
      <c r="W38" s="7">
        <v>35000</v>
      </c>
      <c r="X38" s="7">
        <v>35000</v>
      </c>
      <c r="Y38" s="7">
        <v>35000</v>
      </c>
      <c r="Z38" s="7">
        <v>35000</v>
      </c>
      <c r="AA38" s="7">
        <v>35000</v>
      </c>
      <c r="AB38" s="9">
        <v>2.2153861734584002</v>
      </c>
      <c r="AC38" s="9">
        <v>2.2153861734584002</v>
      </c>
      <c r="AD38" s="9">
        <v>2.2153861734584002</v>
      </c>
      <c r="AE38" s="9">
        <v>2.2153861734584002</v>
      </c>
      <c r="AF38" s="9">
        <v>2.2153861734584002</v>
      </c>
      <c r="AG38" s="9">
        <v>2.2153861734584002</v>
      </c>
      <c r="AH38" s="9">
        <v>2.2153861734584002</v>
      </c>
      <c r="AI38" s="9">
        <v>2.2153861734584002</v>
      </c>
      <c r="AJ38" s="9">
        <v>2.2153861734584002</v>
      </c>
      <c r="AK38" s="9">
        <v>2.2153861734584002</v>
      </c>
      <c r="AL38" s="9">
        <v>2.2153861734584002</v>
      </c>
      <c r="AM38" s="9">
        <v>2.2153861734584002</v>
      </c>
      <c r="AN38" s="10">
        <v>0</v>
      </c>
      <c r="AO38" s="10">
        <v>0</v>
      </c>
      <c r="AP38" s="10">
        <v>0</v>
      </c>
      <c r="AQ38" s="10">
        <v>0</v>
      </c>
      <c r="AR38" s="10">
        <v>6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7">
        <f t="shared" si="0"/>
        <v>6</v>
      </c>
      <c r="BA38" s="11">
        <f t="shared" si="1"/>
        <v>0.5</v>
      </c>
      <c r="BC38" s="12">
        <v>0</v>
      </c>
      <c r="BD38" s="12">
        <v>0</v>
      </c>
      <c r="BE38" s="12">
        <v>0</v>
      </c>
      <c r="BF38" s="12">
        <v>0</v>
      </c>
      <c r="BG38" s="12">
        <v>13.29231704075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f t="shared" si="2"/>
        <v>13.29231704075</v>
      </c>
      <c r="BP38" s="12">
        <f t="shared" si="3"/>
        <v>1.1076930867291666</v>
      </c>
      <c r="BQ38" s="7"/>
      <c r="BR38" s="7"/>
      <c r="BS38" s="7" t="s">
        <v>95</v>
      </c>
      <c r="BT38" s="7" t="s">
        <v>53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/>
    </row>
    <row r="39" spans="1:78" x14ac:dyDescent="0.35">
      <c r="A39" s="7" t="s">
        <v>42</v>
      </c>
      <c r="B39" s="7"/>
      <c r="C39" s="7" t="s">
        <v>150</v>
      </c>
      <c r="D39" s="7" t="s">
        <v>151</v>
      </c>
      <c r="E39" s="7" t="s">
        <v>152</v>
      </c>
      <c r="F39" s="7" t="s">
        <v>153</v>
      </c>
      <c r="G39" s="7" t="s">
        <v>47</v>
      </c>
      <c r="H39" s="7"/>
      <c r="I39" s="7"/>
      <c r="J39" s="7" t="s">
        <v>48</v>
      </c>
      <c r="K39" s="7" t="s">
        <v>49</v>
      </c>
      <c r="L39" s="7" t="s">
        <v>49</v>
      </c>
      <c r="M39" s="7" t="s">
        <v>49</v>
      </c>
      <c r="N39" s="7" t="s">
        <v>64</v>
      </c>
      <c r="O39" s="7" t="s">
        <v>4</v>
      </c>
      <c r="P39" s="7">
        <v>25000</v>
      </c>
      <c r="Q39" s="7">
        <v>25000</v>
      </c>
      <c r="R39" s="7">
        <v>25000</v>
      </c>
      <c r="S39" s="7">
        <v>25000</v>
      </c>
      <c r="T39" s="7">
        <v>25000</v>
      </c>
      <c r="U39" s="7">
        <v>25000</v>
      </c>
      <c r="V39" s="7">
        <v>25000</v>
      </c>
      <c r="W39" s="7">
        <v>25000</v>
      </c>
      <c r="X39" s="7">
        <v>25000</v>
      </c>
      <c r="Y39" s="7">
        <v>25000</v>
      </c>
      <c r="Z39" s="7">
        <v>25000</v>
      </c>
      <c r="AA39" s="7">
        <v>25000</v>
      </c>
      <c r="AB39" s="9">
        <v>1.5824186953274</v>
      </c>
      <c r="AC39" s="9">
        <v>1.5824186953274</v>
      </c>
      <c r="AD39" s="9">
        <v>1.5824186953274</v>
      </c>
      <c r="AE39" s="9">
        <v>1.5824186953274</v>
      </c>
      <c r="AF39" s="9">
        <v>1.5824186953274</v>
      </c>
      <c r="AG39" s="9">
        <v>1.5824186953274</v>
      </c>
      <c r="AH39" s="9">
        <v>1.5824186953274</v>
      </c>
      <c r="AI39" s="9">
        <v>1.5824186953274</v>
      </c>
      <c r="AJ39" s="9">
        <v>1.5824186953274</v>
      </c>
      <c r="AK39" s="9">
        <v>1.5824186953274</v>
      </c>
      <c r="AL39" s="9">
        <v>1.5824186953274</v>
      </c>
      <c r="AM39" s="9">
        <v>1.5824186953274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1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7">
        <f t="shared" si="0"/>
        <v>1</v>
      </c>
      <c r="BA39" s="11">
        <f t="shared" si="1"/>
        <v>8.3333333333333329E-2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1.5824186953274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f t="shared" si="2"/>
        <v>1.5824186953274</v>
      </c>
      <c r="BP39" s="12">
        <f t="shared" si="3"/>
        <v>0.13186822461061667</v>
      </c>
      <c r="BQ39" s="7"/>
      <c r="BR39" s="7"/>
      <c r="BS39" s="7" t="s">
        <v>52</v>
      </c>
      <c r="BT39" s="7" t="s">
        <v>53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/>
    </row>
    <row r="40" spans="1:78" x14ac:dyDescent="0.35">
      <c r="A40" s="7" t="s">
        <v>42</v>
      </c>
      <c r="B40" s="7"/>
      <c r="C40" s="7" t="s">
        <v>154</v>
      </c>
      <c r="D40" s="7" t="s">
        <v>79</v>
      </c>
      <c r="E40" s="7" t="s">
        <v>155</v>
      </c>
      <c r="F40" s="7" t="s">
        <v>81</v>
      </c>
      <c r="G40" s="7" t="s">
        <v>47</v>
      </c>
      <c r="H40" s="7"/>
      <c r="I40" s="7"/>
      <c r="J40" s="7" t="s">
        <v>48</v>
      </c>
      <c r="K40" s="7" t="s">
        <v>49</v>
      </c>
      <c r="L40" s="7" t="s">
        <v>49</v>
      </c>
      <c r="M40" s="7" t="s">
        <v>49</v>
      </c>
      <c r="N40" s="7" t="s">
        <v>50</v>
      </c>
      <c r="O40" s="7" t="s">
        <v>4</v>
      </c>
      <c r="P40" s="7">
        <v>33313</v>
      </c>
      <c r="Q40" s="7">
        <v>33313</v>
      </c>
      <c r="R40" s="7">
        <v>33313</v>
      </c>
      <c r="S40" s="7">
        <v>33313</v>
      </c>
      <c r="T40" s="7">
        <v>33313</v>
      </c>
      <c r="U40" s="7">
        <v>33313</v>
      </c>
      <c r="V40" s="7">
        <v>33313</v>
      </c>
      <c r="W40" s="7">
        <v>33313</v>
      </c>
      <c r="X40" s="7">
        <v>33313</v>
      </c>
      <c r="Y40" s="7">
        <v>33313</v>
      </c>
      <c r="Z40" s="7">
        <v>33313</v>
      </c>
      <c r="AA40" s="7">
        <v>33313</v>
      </c>
      <c r="AB40" s="9">
        <v>2.1086045598976999</v>
      </c>
      <c r="AC40" s="9">
        <v>2.1086045598976999</v>
      </c>
      <c r="AD40" s="9">
        <v>2.1086045598976999</v>
      </c>
      <c r="AE40" s="9">
        <v>2.1086045598976999</v>
      </c>
      <c r="AF40" s="9">
        <v>2.1086045598976999</v>
      </c>
      <c r="AG40" s="9">
        <v>2.1086045598976999</v>
      </c>
      <c r="AH40" s="9">
        <v>2.1086045598976999</v>
      </c>
      <c r="AI40" s="9">
        <v>2.1086045598976999</v>
      </c>
      <c r="AJ40" s="9">
        <v>2.1086045598976999</v>
      </c>
      <c r="AK40" s="9">
        <v>2.1086045598976999</v>
      </c>
      <c r="AL40" s="9">
        <v>2.1086045598976999</v>
      </c>
      <c r="AM40" s="9">
        <v>2.1086045598976999</v>
      </c>
      <c r="AN40" s="10">
        <v>0</v>
      </c>
      <c r="AO40" s="10">
        <v>0</v>
      </c>
      <c r="AP40" s="10">
        <v>0</v>
      </c>
      <c r="AQ40" s="10">
        <v>1</v>
      </c>
      <c r="AR40" s="10">
        <v>0</v>
      </c>
      <c r="AS40" s="10">
        <v>0</v>
      </c>
      <c r="AT40" s="10">
        <v>0</v>
      </c>
      <c r="AU40" s="10">
        <v>1</v>
      </c>
      <c r="AV40" s="10">
        <v>0</v>
      </c>
      <c r="AW40" s="10">
        <v>0</v>
      </c>
      <c r="AX40" s="10">
        <v>0</v>
      </c>
      <c r="AY40" s="10">
        <v>1</v>
      </c>
      <c r="AZ40" s="7">
        <f t="shared" si="0"/>
        <v>3</v>
      </c>
      <c r="BA40" s="11">
        <f t="shared" si="1"/>
        <v>0.25</v>
      </c>
      <c r="BC40" s="12">
        <v>0</v>
      </c>
      <c r="BD40" s="12">
        <v>0</v>
      </c>
      <c r="BE40" s="12">
        <v>0</v>
      </c>
      <c r="BF40" s="12">
        <v>2.1086045598976999</v>
      </c>
      <c r="BG40" s="12">
        <v>0</v>
      </c>
      <c r="BH40" s="12">
        <v>0</v>
      </c>
      <c r="BI40" s="12">
        <v>0</v>
      </c>
      <c r="BJ40" s="12">
        <v>2.1086045598976999</v>
      </c>
      <c r="BK40" s="12">
        <v>0</v>
      </c>
      <c r="BL40" s="12">
        <v>0</v>
      </c>
      <c r="BM40" s="12">
        <v>0</v>
      </c>
      <c r="BN40" s="12">
        <v>2.1086045598976999</v>
      </c>
      <c r="BO40" s="12">
        <f t="shared" si="2"/>
        <v>6.3258136796931002</v>
      </c>
      <c r="BP40" s="12">
        <f t="shared" si="3"/>
        <v>0.52715113997442498</v>
      </c>
      <c r="BQ40" s="7"/>
      <c r="BR40" s="7"/>
      <c r="BS40" s="7" t="s">
        <v>52</v>
      </c>
      <c r="BT40" s="7" t="s">
        <v>53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/>
    </row>
    <row r="41" spans="1:78" x14ac:dyDescent="0.35">
      <c r="A41" s="7" t="s">
        <v>42</v>
      </c>
      <c r="B41" s="7"/>
      <c r="C41" s="7" t="s">
        <v>156</v>
      </c>
      <c r="D41" s="7" t="s">
        <v>157</v>
      </c>
      <c r="E41" s="7" t="s">
        <v>158</v>
      </c>
      <c r="F41" s="7" t="s">
        <v>159</v>
      </c>
      <c r="G41" s="7" t="s">
        <v>47</v>
      </c>
      <c r="H41" s="7"/>
      <c r="I41" s="7"/>
      <c r="J41" s="7" t="s">
        <v>48</v>
      </c>
      <c r="K41" s="7" t="s">
        <v>49</v>
      </c>
      <c r="L41" s="7" t="s">
        <v>49</v>
      </c>
      <c r="M41" s="7" t="s">
        <v>49</v>
      </c>
      <c r="N41" s="7" t="s">
        <v>50</v>
      </c>
      <c r="O41" s="7" t="s">
        <v>4</v>
      </c>
      <c r="P41" s="7">
        <v>14350</v>
      </c>
      <c r="Q41" s="7">
        <v>14350</v>
      </c>
      <c r="R41" s="7">
        <v>14350</v>
      </c>
      <c r="S41" s="7">
        <v>14350</v>
      </c>
      <c r="T41" s="7">
        <v>14350</v>
      </c>
      <c r="U41" s="7">
        <v>14350</v>
      </c>
      <c r="V41" s="7">
        <v>14350</v>
      </c>
      <c r="W41" s="7">
        <v>14350</v>
      </c>
      <c r="X41" s="7">
        <v>14350</v>
      </c>
      <c r="Y41" s="7">
        <v>14350</v>
      </c>
      <c r="Z41" s="7">
        <v>14350</v>
      </c>
      <c r="AA41" s="7">
        <v>14350</v>
      </c>
      <c r="AB41" s="9">
        <v>0.90830833111794995</v>
      </c>
      <c r="AC41" s="9">
        <v>0.90830833111794995</v>
      </c>
      <c r="AD41" s="9">
        <v>0.90830833111794995</v>
      </c>
      <c r="AE41" s="9">
        <v>0.90830833111794995</v>
      </c>
      <c r="AF41" s="9">
        <v>0.90830833111794995</v>
      </c>
      <c r="AG41" s="9">
        <v>0.90830833111794995</v>
      </c>
      <c r="AH41" s="9">
        <v>0.90830833111794995</v>
      </c>
      <c r="AI41" s="9">
        <v>0.90830833111794995</v>
      </c>
      <c r="AJ41" s="9">
        <v>0.90830833111794995</v>
      </c>
      <c r="AK41" s="9">
        <v>0.90830833111794995</v>
      </c>
      <c r="AL41" s="9">
        <v>0.90830833111794995</v>
      </c>
      <c r="AM41" s="9">
        <v>0.90830833111794995</v>
      </c>
      <c r="AN41" s="10">
        <v>0</v>
      </c>
      <c r="AO41" s="10">
        <v>3</v>
      </c>
      <c r="AP41" s="10">
        <v>0</v>
      </c>
      <c r="AQ41" s="10">
        <v>0</v>
      </c>
      <c r="AR41" s="10">
        <v>0</v>
      </c>
      <c r="AS41" s="10">
        <v>0</v>
      </c>
      <c r="AT41" s="10">
        <v>3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7">
        <f t="shared" si="0"/>
        <v>6</v>
      </c>
      <c r="BA41" s="11">
        <f t="shared" si="1"/>
        <v>0.5</v>
      </c>
      <c r="BC41" s="12">
        <v>0</v>
      </c>
      <c r="BD41" s="12">
        <v>2.7249249933537998</v>
      </c>
      <c r="BE41" s="12">
        <v>0</v>
      </c>
      <c r="BF41" s="12">
        <v>0</v>
      </c>
      <c r="BG41" s="12">
        <v>0</v>
      </c>
      <c r="BH41" s="12">
        <v>0</v>
      </c>
      <c r="BI41" s="12">
        <v>2.7249249933537998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f t="shared" si="2"/>
        <v>5.4498499867075996</v>
      </c>
      <c r="BP41" s="12">
        <f t="shared" si="3"/>
        <v>0.45415416555896665</v>
      </c>
      <c r="BQ41" s="7"/>
      <c r="BR41" s="7"/>
      <c r="BS41" s="7" t="s">
        <v>52</v>
      </c>
      <c r="BT41" s="7" t="s">
        <v>53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/>
    </row>
    <row r="42" spans="1:78" x14ac:dyDescent="0.35">
      <c r="A42" s="7" t="s">
        <v>42</v>
      </c>
      <c r="B42" s="7"/>
      <c r="C42" s="7" t="s">
        <v>160</v>
      </c>
      <c r="D42" s="7" t="s">
        <v>161</v>
      </c>
      <c r="E42" s="7" t="s">
        <v>162</v>
      </c>
      <c r="F42" s="7" t="s">
        <v>163</v>
      </c>
      <c r="G42" s="7" t="s">
        <v>47</v>
      </c>
      <c r="H42" s="7"/>
      <c r="I42" s="7"/>
      <c r="J42" s="7" t="s">
        <v>48</v>
      </c>
      <c r="K42" s="7" t="s">
        <v>49</v>
      </c>
      <c r="L42" s="7" t="s">
        <v>49</v>
      </c>
      <c r="M42" s="7" t="s">
        <v>49</v>
      </c>
      <c r="N42" s="7" t="s">
        <v>100</v>
      </c>
      <c r="O42" s="7" t="s">
        <v>4</v>
      </c>
      <c r="P42" s="7">
        <v>50000</v>
      </c>
      <c r="Q42" s="7">
        <v>50000</v>
      </c>
      <c r="R42" s="7">
        <v>50000</v>
      </c>
      <c r="S42" s="7">
        <v>50000</v>
      </c>
      <c r="T42" s="7">
        <v>50000</v>
      </c>
      <c r="U42" s="7">
        <v>50000</v>
      </c>
      <c r="V42" s="7">
        <v>50000</v>
      </c>
      <c r="W42" s="7">
        <v>50000</v>
      </c>
      <c r="X42" s="7">
        <v>50000</v>
      </c>
      <c r="Y42" s="7">
        <v>50000</v>
      </c>
      <c r="Z42" s="7">
        <v>50000</v>
      </c>
      <c r="AA42" s="7">
        <v>50000</v>
      </c>
      <c r="AB42" s="9">
        <v>3.1648373906548999</v>
      </c>
      <c r="AC42" s="9">
        <v>3.1648373906548999</v>
      </c>
      <c r="AD42" s="9">
        <v>3.1648373906548999</v>
      </c>
      <c r="AE42" s="9">
        <v>3.1648373906548999</v>
      </c>
      <c r="AF42" s="9">
        <v>3.1648373906548999</v>
      </c>
      <c r="AG42" s="9">
        <v>3.1648373906548999</v>
      </c>
      <c r="AH42" s="9">
        <v>3.1648373906548999</v>
      </c>
      <c r="AI42" s="9">
        <v>3.1648373906548999</v>
      </c>
      <c r="AJ42" s="9">
        <v>3.1648373906548999</v>
      </c>
      <c r="AK42" s="9">
        <v>3.1648373906548999</v>
      </c>
      <c r="AL42" s="9">
        <v>3.1648373906548999</v>
      </c>
      <c r="AM42" s="9">
        <v>3.1648373906548999</v>
      </c>
      <c r="AN42" s="10">
        <v>0</v>
      </c>
      <c r="AO42" s="10">
        <v>0</v>
      </c>
      <c r="AP42" s="10">
        <v>80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7">
        <f t="shared" si="0"/>
        <v>80</v>
      </c>
      <c r="BA42" s="11">
        <f t="shared" si="1"/>
        <v>6.666666666666667</v>
      </c>
      <c r="BC42" s="12">
        <v>0</v>
      </c>
      <c r="BD42" s="12">
        <v>0</v>
      </c>
      <c r="BE42" s="12">
        <v>253.18699125238999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f t="shared" si="2"/>
        <v>253.18699125238999</v>
      </c>
      <c r="BP42" s="12">
        <f t="shared" si="3"/>
        <v>21.098915937699164</v>
      </c>
      <c r="BQ42" s="7"/>
      <c r="BR42" s="7"/>
      <c r="BS42" s="7" t="s">
        <v>95</v>
      </c>
      <c r="BT42" s="7" t="s">
        <v>53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/>
    </row>
    <row r="43" spans="1:78" x14ac:dyDescent="0.35">
      <c r="A43" s="7" t="s">
        <v>42</v>
      </c>
      <c r="B43" s="7"/>
      <c r="C43" s="7" t="s">
        <v>164</v>
      </c>
      <c r="D43" s="7" t="s">
        <v>104</v>
      </c>
      <c r="E43" s="7" t="s">
        <v>165</v>
      </c>
      <c r="F43" s="7" t="s">
        <v>108</v>
      </c>
      <c r="G43" s="7" t="s">
        <v>47</v>
      </c>
      <c r="H43" s="7"/>
      <c r="I43" s="7"/>
      <c r="J43" s="7" t="s">
        <v>48</v>
      </c>
      <c r="K43" s="7" t="s">
        <v>49</v>
      </c>
      <c r="L43" s="7" t="s">
        <v>49</v>
      </c>
      <c r="M43" s="7" t="s">
        <v>49</v>
      </c>
      <c r="N43" s="7" t="s">
        <v>100</v>
      </c>
      <c r="O43" s="7" t="s">
        <v>6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10">
        <v>1</v>
      </c>
      <c r="AO43" s="10">
        <v>1</v>
      </c>
      <c r="AP43" s="10">
        <v>1</v>
      </c>
      <c r="AQ43" s="10">
        <v>1</v>
      </c>
      <c r="AR43" s="10">
        <v>1</v>
      </c>
      <c r="AS43" s="10">
        <v>1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7">
        <f t="shared" si="0"/>
        <v>6</v>
      </c>
      <c r="BA43" s="11">
        <f t="shared" si="1"/>
        <v>0.5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f t="shared" si="2"/>
        <v>0</v>
      </c>
      <c r="BP43" s="12">
        <f t="shared" si="3"/>
        <v>0</v>
      </c>
      <c r="BQ43" s="7"/>
      <c r="BR43" s="7"/>
      <c r="BS43" s="7" t="s">
        <v>95</v>
      </c>
      <c r="BT43" s="7" t="s">
        <v>53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/>
    </row>
    <row r="44" spans="1:78" x14ac:dyDescent="0.35">
      <c r="A44" s="7" t="s">
        <v>42</v>
      </c>
      <c r="B44" s="7"/>
      <c r="C44" s="7" t="s">
        <v>164</v>
      </c>
      <c r="D44" s="7" t="s">
        <v>104</v>
      </c>
      <c r="E44" s="7" t="s">
        <v>165</v>
      </c>
      <c r="F44" s="7" t="s">
        <v>102</v>
      </c>
      <c r="G44" s="7" t="s">
        <v>47</v>
      </c>
      <c r="H44" s="7"/>
      <c r="I44" s="7"/>
      <c r="J44" s="7" t="s">
        <v>48</v>
      </c>
      <c r="K44" s="7" t="s">
        <v>49</v>
      </c>
      <c r="L44" s="7" t="s">
        <v>49</v>
      </c>
      <c r="M44" s="7" t="s">
        <v>49</v>
      </c>
      <c r="N44" s="7" t="s">
        <v>100</v>
      </c>
      <c r="O44" s="7" t="s">
        <v>6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1</v>
      </c>
      <c r="AU44" s="10">
        <v>1</v>
      </c>
      <c r="AV44" s="10">
        <v>1</v>
      </c>
      <c r="AW44" s="10">
        <v>1</v>
      </c>
      <c r="AX44" s="10">
        <v>1</v>
      </c>
      <c r="AY44" s="10">
        <v>1</v>
      </c>
      <c r="AZ44" s="7">
        <f t="shared" si="0"/>
        <v>6</v>
      </c>
      <c r="BA44" s="11">
        <f t="shared" si="1"/>
        <v>0.5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f t="shared" si="2"/>
        <v>0</v>
      </c>
      <c r="BP44" s="12">
        <f t="shared" si="3"/>
        <v>0</v>
      </c>
      <c r="BQ44" s="7"/>
      <c r="BR44" s="7"/>
      <c r="BS44" s="7" t="s">
        <v>95</v>
      </c>
      <c r="BT44" s="7" t="s">
        <v>53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/>
    </row>
    <row r="45" spans="1:78" x14ac:dyDescent="0.35">
      <c r="A45" s="7" t="s">
        <v>42</v>
      </c>
      <c r="B45" s="7"/>
      <c r="C45" s="7" t="s">
        <v>166</v>
      </c>
      <c r="D45" s="7" t="s">
        <v>104</v>
      </c>
      <c r="E45" s="7" t="s">
        <v>167</v>
      </c>
      <c r="F45" s="7" t="s">
        <v>108</v>
      </c>
      <c r="G45" s="7" t="s">
        <v>47</v>
      </c>
      <c r="H45" s="7"/>
      <c r="I45" s="7"/>
      <c r="J45" s="7" t="s">
        <v>48</v>
      </c>
      <c r="K45" s="7" t="s">
        <v>49</v>
      </c>
      <c r="L45" s="7" t="s">
        <v>49</v>
      </c>
      <c r="M45" s="7" t="s">
        <v>49</v>
      </c>
      <c r="N45" s="7" t="s">
        <v>100</v>
      </c>
      <c r="O45" s="7" t="s">
        <v>6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10">
        <v>1</v>
      </c>
      <c r="AO45" s="10">
        <v>1</v>
      </c>
      <c r="AP45" s="10">
        <v>1</v>
      </c>
      <c r="AQ45" s="10">
        <v>1</v>
      </c>
      <c r="AR45" s="10">
        <v>1</v>
      </c>
      <c r="AS45" s="10">
        <v>1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7">
        <f t="shared" si="0"/>
        <v>6</v>
      </c>
      <c r="BA45" s="11">
        <f t="shared" si="1"/>
        <v>0.5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f t="shared" si="2"/>
        <v>0</v>
      </c>
      <c r="BP45" s="12">
        <f t="shared" si="3"/>
        <v>0</v>
      </c>
      <c r="BQ45" s="7"/>
      <c r="BR45" s="7"/>
      <c r="BS45" s="7" t="s">
        <v>95</v>
      </c>
      <c r="BT45" s="7" t="s">
        <v>53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/>
    </row>
    <row r="46" spans="1:78" x14ac:dyDescent="0.35">
      <c r="A46" s="7" t="s">
        <v>42</v>
      </c>
      <c r="B46" s="7"/>
      <c r="C46" s="7" t="s">
        <v>168</v>
      </c>
      <c r="D46" s="7" t="s">
        <v>169</v>
      </c>
      <c r="E46" s="7" t="s">
        <v>170</v>
      </c>
      <c r="F46" s="7" t="s">
        <v>171</v>
      </c>
      <c r="G46" s="7" t="s">
        <v>47</v>
      </c>
      <c r="H46" s="7"/>
      <c r="I46" s="7"/>
      <c r="J46" s="7" t="s">
        <v>48</v>
      </c>
      <c r="K46" s="7" t="s">
        <v>49</v>
      </c>
      <c r="L46" s="7" t="s">
        <v>49</v>
      </c>
      <c r="M46" s="7" t="s">
        <v>49</v>
      </c>
      <c r="N46" s="7" t="s">
        <v>64</v>
      </c>
      <c r="O46" s="7" t="s">
        <v>4</v>
      </c>
      <c r="P46" s="7">
        <v>3395.8249999999998</v>
      </c>
      <c r="Q46" s="7">
        <v>3395.8249999999998</v>
      </c>
      <c r="R46" s="7">
        <v>3395.8249999999998</v>
      </c>
      <c r="S46" s="7">
        <v>3395.8249999999998</v>
      </c>
      <c r="T46" s="7">
        <v>3395.8249999999998</v>
      </c>
      <c r="U46" s="7">
        <v>3395.8249999999998</v>
      </c>
      <c r="V46" s="7">
        <v>3395.8249999999998</v>
      </c>
      <c r="W46" s="7">
        <v>3395.8249999999998</v>
      </c>
      <c r="X46" s="7">
        <v>3395.8249999999998</v>
      </c>
      <c r="Y46" s="7">
        <v>3395.8249999999998</v>
      </c>
      <c r="Z46" s="7">
        <v>3395.8249999999998</v>
      </c>
      <c r="AA46" s="7">
        <v>3395.8249999999998</v>
      </c>
      <c r="AB46" s="9">
        <v>0.21494467864240999</v>
      </c>
      <c r="AC46" s="9">
        <v>0.21494467864240999</v>
      </c>
      <c r="AD46" s="9">
        <v>0.21494467864240999</v>
      </c>
      <c r="AE46" s="9">
        <v>0.21494467864240999</v>
      </c>
      <c r="AF46" s="9">
        <v>0.21494467864240999</v>
      </c>
      <c r="AG46" s="9">
        <v>0.21494467864240999</v>
      </c>
      <c r="AH46" s="9">
        <v>0.21494467864240999</v>
      </c>
      <c r="AI46" s="9">
        <v>0.21494467864240999</v>
      </c>
      <c r="AJ46" s="9">
        <v>0.21494467864240999</v>
      </c>
      <c r="AK46" s="9">
        <v>0.21494467864240999</v>
      </c>
      <c r="AL46" s="9">
        <v>0.21494467864240999</v>
      </c>
      <c r="AM46" s="9">
        <v>0.21494467864240999</v>
      </c>
      <c r="AN46" s="10">
        <v>0</v>
      </c>
      <c r="AO46" s="10">
        <v>1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7">
        <f t="shared" si="0"/>
        <v>1</v>
      </c>
      <c r="BA46" s="11">
        <f t="shared" si="1"/>
        <v>8.3333333333333329E-2</v>
      </c>
      <c r="BC46" s="12">
        <v>0</v>
      </c>
      <c r="BD46" s="12">
        <v>0.21494467864240999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f t="shared" si="2"/>
        <v>0.21494467864240999</v>
      </c>
      <c r="BP46" s="12">
        <f t="shared" si="3"/>
        <v>1.7912056553534166E-2</v>
      </c>
      <c r="BQ46" s="7"/>
      <c r="BR46" s="7"/>
      <c r="BS46" s="7" t="s">
        <v>52</v>
      </c>
      <c r="BT46" s="7" t="s">
        <v>53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/>
    </row>
    <row r="47" spans="1:78" x14ac:dyDescent="0.35">
      <c r="A47" s="7" t="s">
        <v>42</v>
      </c>
      <c r="B47" s="7"/>
      <c r="C47" s="7" t="s">
        <v>172</v>
      </c>
      <c r="D47" s="7" t="s">
        <v>173</v>
      </c>
      <c r="E47" s="7" t="s">
        <v>174</v>
      </c>
      <c r="F47" s="7" t="s">
        <v>175</v>
      </c>
      <c r="G47" s="7" t="s">
        <v>47</v>
      </c>
      <c r="H47" s="7"/>
      <c r="I47" s="7"/>
      <c r="J47" s="7" t="s">
        <v>48</v>
      </c>
      <c r="K47" s="7" t="s">
        <v>49</v>
      </c>
      <c r="L47" s="7" t="s">
        <v>49</v>
      </c>
      <c r="M47" s="7" t="s">
        <v>49</v>
      </c>
      <c r="N47" s="7" t="s">
        <v>58</v>
      </c>
      <c r="O47" s="7" t="s">
        <v>4</v>
      </c>
      <c r="P47" s="7">
        <v>50000</v>
      </c>
      <c r="Q47" s="7">
        <v>50000</v>
      </c>
      <c r="R47" s="7">
        <v>50000</v>
      </c>
      <c r="S47" s="7">
        <v>50000</v>
      </c>
      <c r="T47" s="7">
        <v>50000</v>
      </c>
      <c r="U47" s="7">
        <v>50000</v>
      </c>
      <c r="V47" s="7">
        <v>50000</v>
      </c>
      <c r="W47" s="7">
        <v>50000</v>
      </c>
      <c r="X47" s="7">
        <v>50000</v>
      </c>
      <c r="Y47" s="7">
        <v>50000</v>
      </c>
      <c r="Z47" s="7">
        <v>50000</v>
      </c>
      <c r="AA47" s="7">
        <v>50000</v>
      </c>
      <c r="AB47" s="9">
        <v>3.1648373906548999</v>
      </c>
      <c r="AC47" s="9">
        <v>3.1648373906548999</v>
      </c>
      <c r="AD47" s="9">
        <v>3.1648373906548999</v>
      </c>
      <c r="AE47" s="9">
        <v>3.1648373906548999</v>
      </c>
      <c r="AF47" s="9">
        <v>3.1648373906548999</v>
      </c>
      <c r="AG47" s="9">
        <v>3.1648373906548999</v>
      </c>
      <c r="AH47" s="9">
        <v>3.1648373906548999</v>
      </c>
      <c r="AI47" s="9">
        <v>3.1648373906548999</v>
      </c>
      <c r="AJ47" s="9">
        <v>3.1648373906548999</v>
      </c>
      <c r="AK47" s="9">
        <v>3.1648373906548999</v>
      </c>
      <c r="AL47" s="9">
        <v>3.1648373906548999</v>
      </c>
      <c r="AM47" s="9">
        <v>3.1648373906548999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1</v>
      </c>
      <c r="AW47" s="10">
        <v>0</v>
      </c>
      <c r="AX47" s="10">
        <v>0</v>
      </c>
      <c r="AY47" s="10">
        <v>0</v>
      </c>
      <c r="AZ47" s="7">
        <f t="shared" si="0"/>
        <v>1</v>
      </c>
      <c r="BA47" s="11">
        <f t="shared" si="1"/>
        <v>8.3333333333333329E-2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3.1648373906548999</v>
      </c>
      <c r="BL47" s="12">
        <v>0</v>
      </c>
      <c r="BM47" s="12">
        <v>0</v>
      </c>
      <c r="BN47" s="12">
        <v>0</v>
      </c>
      <c r="BO47" s="12">
        <f t="shared" si="2"/>
        <v>3.1648373906548999</v>
      </c>
      <c r="BP47" s="12">
        <f t="shared" si="3"/>
        <v>0.26373644922124168</v>
      </c>
      <c r="BQ47" s="7"/>
      <c r="BR47" s="7"/>
      <c r="BS47" s="7" t="s">
        <v>52</v>
      </c>
      <c r="BT47" s="7" t="s">
        <v>53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/>
    </row>
    <row r="48" spans="1:78" x14ac:dyDescent="0.35">
      <c r="A48" s="7" t="s">
        <v>42</v>
      </c>
      <c r="B48" s="7"/>
      <c r="C48" s="7" t="s">
        <v>176</v>
      </c>
      <c r="D48" s="7" t="s">
        <v>117</v>
      </c>
      <c r="E48" s="7" t="s">
        <v>177</v>
      </c>
      <c r="F48" s="7" t="s">
        <v>178</v>
      </c>
      <c r="G48" s="7" t="s">
        <v>47</v>
      </c>
      <c r="H48" s="7"/>
      <c r="I48" s="7"/>
      <c r="J48" s="7" t="s">
        <v>48</v>
      </c>
      <c r="K48" s="7" t="s">
        <v>49</v>
      </c>
      <c r="L48" s="7" t="s">
        <v>49</v>
      </c>
      <c r="M48" s="7" t="s">
        <v>49</v>
      </c>
      <c r="N48" s="7" t="s">
        <v>115</v>
      </c>
      <c r="O48" s="7" t="s">
        <v>4</v>
      </c>
      <c r="P48" s="7">
        <v>75000</v>
      </c>
      <c r="Q48" s="7">
        <v>75000</v>
      </c>
      <c r="R48" s="7">
        <v>75000</v>
      </c>
      <c r="S48" s="7">
        <v>75000</v>
      </c>
      <c r="T48" s="7">
        <v>75000</v>
      </c>
      <c r="U48" s="7">
        <v>75000</v>
      </c>
      <c r="V48" s="7">
        <v>75000</v>
      </c>
      <c r="W48" s="7">
        <v>75000</v>
      </c>
      <c r="X48" s="7">
        <v>75000</v>
      </c>
      <c r="Y48" s="7">
        <v>75000</v>
      </c>
      <c r="Z48" s="7">
        <v>75000</v>
      </c>
      <c r="AA48" s="7">
        <v>75000</v>
      </c>
      <c r="AB48" s="9">
        <v>4.7472560859822996</v>
      </c>
      <c r="AC48" s="9">
        <v>4.7472560859822996</v>
      </c>
      <c r="AD48" s="9">
        <v>4.7472560859822996</v>
      </c>
      <c r="AE48" s="9">
        <v>4.7472560859822996</v>
      </c>
      <c r="AF48" s="9">
        <v>4.7472560859822996</v>
      </c>
      <c r="AG48" s="9">
        <v>4.7472560859822996</v>
      </c>
      <c r="AH48" s="9">
        <v>4.7472560859822996</v>
      </c>
      <c r="AI48" s="9">
        <v>4.7472560859822996</v>
      </c>
      <c r="AJ48" s="9">
        <v>4.7472560859822996</v>
      </c>
      <c r="AK48" s="9">
        <v>4.7472560859822996</v>
      </c>
      <c r="AL48" s="9">
        <v>4.7472560859822996</v>
      </c>
      <c r="AM48" s="9">
        <v>4.7472560859822996</v>
      </c>
      <c r="AN48" s="10">
        <v>3</v>
      </c>
      <c r="AO48" s="10">
        <v>3</v>
      </c>
      <c r="AP48" s="10">
        <v>3</v>
      </c>
      <c r="AQ48" s="10">
        <v>3</v>
      </c>
      <c r="AR48" s="10">
        <v>3</v>
      </c>
      <c r="AS48" s="10">
        <v>3</v>
      </c>
      <c r="AT48" s="10">
        <v>3</v>
      </c>
      <c r="AU48" s="10">
        <v>3</v>
      </c>
      <c r="AV48" s="10">
        <v>3</v>
      </c>
      <c r="AW48" s="10">
        <v>3</v>
      </c>
      <c r="AX48" s="10">
        <v>3</v>
      </c>
      <c r="AY48" s="10">
        <v>3</v>
      </c>
      <c r="AZ48" s="7">
        <f t="shared" si="0"/>
        <v>36</v>
      </c>
      <c r="BA48" s="11">
        <f t="shared" si="1"/>
        <v>3</v>
      </c>
      <c r="BC48" s="12">
        <v>14.241768257946999</v>
      </c>
      <c r="BD48" s="12">
        <v>14.241768257946999</v>
      </c>
      <c r="BE48" s="12">
        <v>14.241768257946999</v>
      </c>
      <c r="BF48" s="12">
        <v>14.241768257946999</v>
      </c>
      <c r="BG48" s="12">
        <v>14.241768257946999</v>
      </c>
      <c r="BH48" s="12">
        <v>14.241768257946999</v>
      </c>
      <c r="BI48" s="12">
        <v>14.241768257946999</v>
      </c>
      <c r="BJ48" s="12">
        <v>14.241768257946999</v>
      </c>
      <c r="BK48" s="12">
        <v>14.241768257946999</v>
      </c>
      <c r="BL48" s="12">
        <v>14.241768257946999</v>
      </c>
      <c r="BM48" s="12">
        <v>14.241768257946999</v>
      </c>
      <c r="BN48" s="12">
        <v>14.241768257946999</v>
      </c>
      <c r="BO48" s="12">
        <f t="shared" si="2"/>
        <v>170.90121909536398</v>
      </c>
      <c r="BP48" s="12">
        <f t="shared" si="3"/>
        <v>14.241768257946999</v>
      </c>
      <c r="BQ48" s="7"/>
      <c r="BR48" s="7"/>
      <c r="BS48" s="7" t="s">
        <v>52</v>
      </c>
      <c r="BT48" s="7" t="s">
        <v>53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/>
    </row>
    <row r="49" spans="1:78" x14ac:dyDescent="0.35">
      <c r="A49" s="7" t="s">
        <v>42</v>
      </c>
      <c r="B49" s="7"/>
      <c r="C49" s="7" t="s">
        <v>179</v>
      </c>
      <c r="D49" s="7" t="s">
        <v>121</v>
      </c>
      <c r="E49" s="7" t="s">
        <v>180</v>
      </c>
      <c r="F49" s="7" t="s">
        <v>123</v>
      </c>
      <c r="G49" s="7" t="s">
        <v>47</v>
      </c>
      <c r="H49" s="7"/>
      <c r="I49" s="7"/>
      <c r="J49" s="7" t="s">
        <v>48</v>
      </c>
      <c r="K49" s="7" t="s">
        <v>49</v>
      </c>
      <c r="L49" s="7" t="s">
        <v>49</v>
      </c>
      <c r="M49" s="7" t="s">
        <v>49</v>
      </c>
      <c r="N49" s="7" t="s">
        <v>124</v>
      </c>
      <c r="O49" s="7" t="s">
        <v>4</v>
      </c>
      <c r="P49" s="7">
        <v>307500</v>
      </c>
      <c r="Q49" s="7">
        <v>307500</v>
      </c>
      <c r="R49" s="7">
        <v>307500</v>
      </c>
      <c r="S49" s="7">
        <v>307500</v>
      </c>
      <c r="T49" s="7">
        <v>307500</v>
      </c>
      <c r="U49" s="7">
        <v>307500</v>
      </c>
      <c r="V49" s="7">
        <v>307500</v>
      </c>
      <c r="W49" s="7">
        <v>307500</v>
      </c>
      <c r="X49" s="7">
        <v>307500</v>
      </c>
      <c r="Y49" s="7">
        <v>307500</v>
      </c>
      <c r="Z49" s="7">
        <v>307500</v>
      </c>
      <c r="AA49" s="7">
        <v>307500</v>
      </c>
      <c r="AB49" s="9">
        <v>19.463749952526999</v>
      </c>
      <c r="AC49" s="9">
        <v>19.463749952526999</v>
      </c>
      <c r="AD49" s="9">
        <v>19.463749952526999</v>
      </c>
      <c r="AE49" s="9">
        <v>19.463749952526999</v>
      </c>
      <c r="AF49" s="9">
        <v>19.463749952526999</v>
      </c>
      <c r="AG49" s="9">
        <v>19.463749952526999</v>
      </c>
      <c r="AH49" s="9">
        <v>19.463749952526999</v>
      </c>
      <c r="AI49" s="9">
        <v>19.463749952526999</v>
      </c>
      <c r="AJ49" s="9">
        <v>19.463749952526999</v>
      </c>
      <c r="AK49" s="9">
        <v>19.463749952526999</v>
      </c>
      <c r="AL49" s="9">
        <v>19.463749952526999</v>
      </c>
      <c r="AM49" s="9">
        <v>19.463749952526999</v>
      </c>
      <c r="AN49" s="10">
        <v>0</v>
      </c>
      <c r="AO49" s="10">
        <v>0</v>
      </c>
      <c r="AP49" s="10">
        <v>27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27</v>
      </c>
      <c r="AW49" s="10">
        <v>0</v>
      </c>
      <c r="AX49" s="10">
        <v>0</v>
      </c>
      <c r="AY49" s="10">
        <v>0</v>
      </c>
      <c r="AZ49" s="7">
        <f t="shared" si="0"/>
        <v>54</v>
      </c>
      <c r="BA49" s="11">
        <f t="shared" si="1"/>
        <v>4.5</v>
      </c>
      <c r="BC49" s="12">
        <v>0</v>
      </c>
      <c r="BD49" s="12">
        <v>0</v>
      </c>
      <c r="BE49" s="12">
        <v>525.52124871824003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525.52124871824003</v>
      </c>
      <c r="BL49" s="12">
        <v>0</v>
      </c>
      <c r="BM49" s="12">
        <v>0</v>
      </c>
      <c r="BN49" s="12">
        <v>0</v>
      </c>
      <c r="BO49" s="12">
        <f t="shared" si="2"/>
        <v>1051.0424974364801</v>
      </c>
      <c r="BP49" s="12">
        <f t="shared" si="3"/>
        <v>87.586874786373343</v>
      </c>
      <c r="BQ49" s="7"/>
      <c r="BR49" s="7"/>
      <c r="BS49" s="7" t="s">
        <v>95</v>
      </c>
      <c r="BT49" s="7" t="s">
        <v>53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/>
    </row>
    <row r="50" spans="1:78" x14ac:dyDescent="0.35">
      <c r="A50" s="7" t="s">
        <v>42</v>
      </c>
      <c r="B50" s="7"/>
      <c r="C50" s="7" t="s">
        <v>181</v>
      </c>
      <c r="D50" s="7" t="s">
        <v>121</v>
      </c>
      <c r="E50" s="7" t="s">
        <v>182</v>
      </c>
      <c r="F50" s="7" t="s">
        <v>163</v>
      </c>
      <c r="G50" s="7" t="s">
        <v>47</v>
      </c>
      <c r="H50" s="7"/>
      <c r="I50" s="7"/>
      <c r="J50" s="7" t="s">
        <v>48</v>
      </c>
      <c r="K50" s="7" t="s">
        <v>49</v>
      </c>
      <c r="L50" s="7" t="s">
        <v>49</v>
      </c>
      <c r="M50" s="7" t="s">
        <v>49</v>
      </c>
      <c r="N50" s="7" t="s">
        <v>100</v>
      </c>
      <c r="O50" s="7" t="s">
        <v>4</v>
      </c>
      <c r="P50" s="7">
        <v>307500</v>
      </c>
      <c r="Q50" s="7">
        <v>307500</v>
      </c>
      <c r="R50" s="7">
        <v>307500</v>
      </c>
      <c r="S50" s="7">
        <v>307500</v>
      </c>
      <c r="T50" s="7">
        <v>307500</v>
      </c>
      <c r="U50" s="7">
        <v>307500</v>
      </c>
      <c r="V50" s="7">
        <v>307500</v>
      </c>
      <c r="W50" s="7">
        <v>307500</v>
      </c>
      <c r="X50" s="7">
        <v>307500</v>
      </c>
      <c r="Y50" s="7">
        <v>307500</v>
      </c>
      <c r="Z50" s="7">
        <v>307500</v>
      </c>
      <c r="AA50" s="7">
        <v>307500</v>
      </c>
      <c r="AB50" s="9">
        <v>19.463749952526999</v>
      </c>
      <c r="AC50" s="9">
        <v>19.463749952526999</v>
      </c>
      <c r="AD50" s="9">
        <v>19.463749952526999</v>
      </c>
      <c r="AE50" s="9">
        <v>19.463749952526999</v>
      </c>
      <c r="AF50" s="9">
        <v>19.463749952526999</v>
      </c>
      <c r="AG50" s="9">
        <v>19.463749952526999</v>
      </c>
      <c r="AH50" s="9">
        <v>19.463749952526999</v>
      </c>
      <c r="AI50" s="9">
        <v>19.463749952526999</v>
      </c>
      <c r="AJ50" s="9">
        <v>19.463749952526999</v>
      </c>
      <c r="AK50" s="9">
        <v>19.463749952526999</v>
      </c>
      <c r="AL50" s="9">
        <v>19.463749952526999</v>
      </c>
      <c r="AM50" s="9">
        <v>19.463749952526999</v>
      </c>
      <c r="AN50" s="10">
        <v>0</v>
      </c>
      <c r="AO50" s="10">
        <v>0</v>
      </c>
      <c r="AP50" s="10">
        <v>2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7">
        <f t="shared" si="0"/>
        <v>2</v>
      </c>
      <c r="BA50" s="11">
        <f t="shared" si="1"/>
        <v>0.16666666666666666</v>
      </c>
      <c r="BC50" s="12">
        <v>0</v>
      </c>
      <c r="BD50" s="12">
        <v>0</v>
      </c>
      <c r="BE50" s="12">
        <v>38.927499905055001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f t="shared" si="2"/>
        <v>38.927499905055001</v>
      </c>
      <c r="BP50" s="12">
        <f t="shared" si="3"/>
        <v>3.2439583254212501</v>
      </c>
      <c r="BQ50" s="7"/>
      <c r="BR50" s="7"/>
      <c r="BS50" s="7" t="s">
        <v>95</v>
      </c>
      <c r="BT50" s="7" t="s">
        <v>53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/>
    </row>
    <row r="51" spans="1:78" x14ac:dyDescent="0.35">
      <c r="A51" s="7" t="s">
        <v>42</v>
      </c>
      <c r="B51" s="7"/>
      <c r="C51" s="7" t="s">
        <v>183</v>
      </c>
      <c r="D51" s="7" t="s">
        <v>126</v>
      </c>
      <c r="E51" s="7" t="s">
        <v>184</v>
      </c>
      <c r="F51" s="7" t="s">
        <v>102</v>
      </c>
      <c r="G51" s="7" t="s">
        <v>47</v>
      </c>
      <c r="H51" s="7"/>
      <c r="I51" s="7"/>
      <c r="J51" s="7" t="s">
        <v>48</v>
      </c>
      <c r="K51" s="7" t="s">
        <v>49</v>
      </c>
      <c r="L51" s="7" t="s">
        <v>49</v>
      </c>
      <c r="M51" s="7" t="s">
        <v>49</v>
      </c>
      <c r="N51" s="7" t="s">
        <v>100</v>
      </c>
      <c r="O51" s="7" t="s">
        <v>4</v>
      </c>
      <c r="P51" s="7">
        <v>1025000</v>
      </c>
      <c r="Q51" s="7">
        <v>1025000</v>
      </c>
      <c r="R51" s="7">
        <v>1025000</v>
      </c>
      <c r="S51" s="7">
        <v>1025000</v>
      </c>
      <c r="T51" s="7">
        <v>1025000</v>
      </c>
      <c r="U51" s="7">
        <v>1025000</v>
      </c>
      <c r="V51" s="7">
        <v>1025000</v>
      </c>
      <c r="W51" s="7">
        <v>1025000</v>
      </c>
      <c r="X51" s="7">
        <v>1025000</v>
      </c>
      <c r="Y51" s="7">
        <v>1025000</v>
      </c>
      <c r="Z51" s="7">
        <v>1025000</v>
      </c>
      <c r="AA51" s="7">
        <v>1025000</v>
      </c>
      <c r="AB51" s="9">
        <v>64.879166508425001</v>
      </c>
      <c r="AC51" s="9">
        <v>64.879166508425001</v>
      </c>
      <c r="AD51" s="9">
        <v>64.879166508425001</v>
      </c>
      <c r="AE51" s="9">
        <v>64.879166508425001</v>
      </c>
      <c r="AF51" s="9">
        <v>64.879166508425001</v>
      </c>
      <c r="AG51" s="9">
        <v>64.879166508425001</v>
      </c>
      <c r="AH51" s="9">
        <v>64.879166508425001</v>
      </c>
      <c r="AI51" s="9">
        <v>64.879166508425001</v>
      </c>
      <c r="AJ51" s="9">
        <v>64.879166508425001</v>
      </c>
      <c r="AK51" s="9">
        <v>64.879166508425001</v>
      </c>
      <c r="AL51" s="9">
        <v>64.879166508425001</v>
      </c>
      <c r="AM51" s="9">
        <v>64.879166508425001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1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7">
        <f t="shared" si="0"/>
        <v>1</v>
      </c>
      <c r="BA51" s="11">
        <f t="shared" si="1"/>
        <v>8.3333333333333329E-2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64.879166508425001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f t="shared" si="2"/>
        <v>64.879166508425001</v>
      </c>
      <c r="BP51" s="12">
        <f t="shared" si="3"/>
        <v>5.4065972090354171</v>
      </c>
      <c r="BQ51" s="7"/>
      <c r="BR51" s="7"/>
      <c r="BS51" s="7" t="s">
        <v>95</v>
      </c>
      <c r="BT51" s="7" t="s">
        <v>53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/>
    </row>
    <row r="52" spans="1:78" x14ac:dyDescent="0.35">
      <c r="A52" s="7" t="s">
        <v>42</v>
      </c>
      <c r="B52" s="7"/>
      <c r="C52" s="7" t="s">
        <v>185</v>
      </c>
      <c r="D52" s="7" t="s">
        <v>126</v>
      </c>
      <c r="E52" s="7" t="s">
        <v>186</v>
      </c>
      <c r="F52" s="7" t="s">
        <v>99</v>
      </c>
      <c r="G52" s="7" t="s">
        <v>47</v>
      </c>
      <c r="H52" s="7"/>
      <c r="I52" s="7"/>
      <c r="J52" s="7" t="s">
        <v>48</v>
      </c>
      <c r="K52" s="7" t="s">
        <v>49</v>
      </c>
      <c r="L52" s="7" t="s">
        <v>49</v>
      </c>
      <c r="M52" s="7" t="s">
        <v>49</v>
      </c>
      <c r="N52" s="7" t="s">
        <v>100</v>
      </c>
      <c r="O52" s="7" t="s">
        <v>4</v>
      </c>
      <c r="P52" s="7">
        <v>820000</v>
      </c>
      <c r="Q52" s="7">
        <v>820000</v>
      </c>
      <c r="R52" s="7">
        <v>820000</v>
      </c>
      <c r="S52" s="7">
        <v>820000</v>
      </c>
      <c r="T52" s="7">
        <v>820000</v>
      </c>
      <c r="U52" s="7">
        <v>820000</v>
      </c>
      <c r="V52" s="7">
        <v>820000</v>
      </c>
      <c r="W52" s="7">
        <v>820000</v>
      </c>
      <c r="X52" s="7">
        <v>820000</v>
      </c>
      <c r="Y52" s="7">
        <v>820000</v>
      </c>
      <c r="Z52" s="7">
        <v>820000</v>
      </c>
      <c r="AA52" s="7">
        <v>820000</v>
      </c>
      <c r="AB52" s="9">
        <v>51.903333206740001</v>
      </c>
      <c r="AC52" s="9">
        <v>51.903333206740001</v>
      </c>
      <c r="AD52" s="9">
        <v>51.903333206740001</v>
      </c>
      <c r="AE52" s="9">
        <v>51.903333206740001</v>
      </c>
      <c r="AF52" s="9">
        <v>51.903333206740001</v>
      </c>
      <c r="AG52" s="9">
        <v>51.903333206740001</v>
      </c>
      <c r="AH52" s="9">
        <v>51.903333206740001</v>
      </c>
      <c r="AI52" s="9">
        <v>51.903333206740001</v>
      </c>
      <c r="AJ52" s="9">
        <v>51.903333206740001</v>
      </c>
      <c r="AK52" s="9">
        <v>51.903333206740001</v>
      </c>
      <c r="AL52" s="9">
        <v>51.903333206740001</v>
      </c>
      <c r="AM52" s="9">
        <v>51.903333206740001</v>
      </c>
      <c r="AN52" s="10">
        <v>2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7">
        <f t="shared" si="0"/>
        <v>2</v>
      </c>
      <c r="BA52" s="11">
        <f t="shared" si="1"/>
        <v>0.16666666666666666</v>
      </c>
      <c r="BC52" s="12">
        <v>103.80666641348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f t="shared" si="2"/>
        <v>103.80666641348</v>
      </c>
      <c r="BP52" s="12">
        <f t="shared" si="3"/>
        <v>8.6505555344566663</v>
      </c>
      <c r="BQ52" s="7"/>
      <c r="BR52" s="7"/>
      <c r="BS52" s="7" t="s">
        <v>95</v>
      </c>
      <c r="BT52" s="7" t="s">
        <v>53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/>
    </row>
    <row r="53" spans="1:78" x14ac:dyDescent="0.35">
      <c r="A53" s="7" t="s">
        <v>42</v>
      </c>
      <c r="B53" s="7"/>
      <c r="C53" s="7" t="s">
        <v>187</v>
      </c>
      <c r="D53" s="7" t="s">
        <v>126</v>
      </c>
      <c r="E53" s="7" t="s">
        <v>188</v>
      </c>
      <c r="F53" s="7" t="s">
        <v>99</v>
      </c>
      <c r="G53" s="7" t="s">
        <v>47</v>
      </c>
      <c r="H53" s="7"/>
      <c r="I53" s="7"/>
      <c r="J53" s="7" t="s">
        <v>48</v>
      </c>
      <c r="K53" s="7" t="s">
        <v>49</v>
      </c>
      <c r="L53" s="7" t="s">
        <v>49</v>
      </c>
      <c r="M53" s="7" t="s">
        <v>49</v>
      </c>
      <c r="N53" s="7" t="s">
        <v>100</v>
      </c>
      <c r="O53" s="7" t="s">
        <v>6</v>
      </c>
      <c r="P53" s="7">
        <v>51250</v>
      </c>
      <c r="Q53" s="7">
        <v>51250</v>
      </c>
      <c r="R53" s="7">
        <v>51250</v>
      </c>
      <c r="S53" s="7">
        <v>51250</v>
      </c>
      <c r="T53" s="7">
        <v>51250</v>
      </c>
      <c r="U53" s="7">
        <v>51250</v>
      </c>
      <c r="V53" s="7">
        <v>51250</v>
      </c>
      <c r="W53" s="7">
        <v>51250</v>
      </c>
      <c r="X53" s="7">
        <v>51250</v>
      </c>
      <c r="Y53" s="7">
        <v>51250</v>
      </c>
      <c r="Z53" s="7">
        <v>51250</v>
      </c>
      <c r="AA53" s="7">
        <v>51250</v>
      </c>
      <c r="AB53" s="9">
        <v>339.40397350992998</v>
      </c>
      <c r="AC53" s="9">
        <v>339.40397350992998</v>
      </c>
      <c r="AD53" s="9">
        <v>339.40397350992998</v>
      </c>
      <c r="AE53" s="9">
        <v>339.40397350992998</v>
      </c>
      <c r="AF53" s="9">
        <v>339.40397350992998</v>
      </c>
      <c r="AG53" s="9">
        <v>339.40397350992998</v>
      </c>
      <c r="AH53" s="9">
        <v>339.40397350992998</v>
      </c>
      <c r="AI53" s="9">
        <v>339.40397350992998</v>
      </c>
      <c r="AJ53" s="9">
        <v>339.40397350992998</v>
      </c>
      <c r="AK53" s="9">
        <v>339.40397350992998</v>
      </c>
      <c r="AL53" s="9">
        <v>339.40397350992998</v>
      </c>
      <c r="AM53" s="9">
        <v>339.40397350992998</v>
      </c>
      <c r="AN53" s="10">
        <v>2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7">
        <f t="shared" si="0"/>
        <v>2</v>
      </c>
      <c r="BA53" s="11">
        <f t="shared" si="1"/>
        <v>0.16666666666666666</v>
      </c>
      <c r="BC53" s="12">
        <v>678.80794701986997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f t="shared" si="2"/>
        <v>678.80794701986997</v>
      </c>
      <c r="BP53" s="12">
        <f t="shared" si="3"/>
        <v>56.567328918322495</v>
      </c>
      <c r="BQ53" s="7"/>
      <c r="BR53" s="7"/>
      <c r="BS53" s="7" t="s">
        <v>95</v>
      </c>
      <c r="BT53" s="7" t="s">
        <v>53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/>
    </row>
    <row r="54" spans="1:78" x14ac:dyDescent="0.35">
      <c r="A54" s="7" t="s">
        <v>42</v>
      </c>
      <c r="B54" s="7"/>
      <c r="C54" s="7" t="s">
        <v>189</v>
      </c>
      <c r="D54" s="7" t="s">
        <v>190</v>
      </c>
      <c r="E54" s="7" t="s">
        <v>191</v>
      </c>
      <c r="F54" s="7" t="s">
        <v>102</v>
      </c>
      <c r="G54" s="7" t="s">
        <v>47</v>
      </c>
      <c r="H54" s="7"/>
      <c r="I54" s="7"/>
      <c r="J54" s="7" t="s">
        <v>48</v>
      </c>
      <c r="K54" s="7" t="s">
        <v>49</v>
      </c>
      <c r="L54" s="7" t="s">
        <v>49</v>
      </c>
      <c r="M54" s="7" t="s">
        <v>49</v>
      </c>
      <c r="N54" s="7" t="s">
        <v>100</v>
      </c>
      <c r="O54" s="7" t="s">
        <v>4</v>
      </c>
      <c r="P54" s="7">
        <v>30000000</v>
      </c>
      <c r="Q54" s="7">
        <v>30000000</v>
      </c>
      <c r="R54" s="7">
        <v>30000000</v>
      </c>
      <c r="S54" s="7">
        <v>30000000</v>
      </c>
      <c r="T54" s="7">
        <v>30000000</v>
      </c>
      <c r="U54" s="7">
        <v>35000000</v>
      </c>
      <c r="V54" s="7">
        <v>35000000</v>
      </c>
      <c r="W54" s="7">
        <v>35000000</v>
      </c>
      <c r="X54" s="7">
        <v>30000000</v>
      </c>
      <c r="Y54" s="7">
        <v>30000000</v>
      </c>
      <c r="Z54" s="7">
        <v>30000000</v>
      </c>
      <c r="AA54" s="7">
        <v>30000000</v>
      </c>
      <c r="AB54" s="9">
        <v>1898.9024343929</v>
      </c>
      <c r="AC54" s="9">
        <v>1898.9024343929</v>
      </c>
      <c r="AD54" s="9">
        <v>1898.9024343929</v>
      </c>
      <c r="AE54" s="9">
        <v>1898.9024343929</v>
      </c>
      <c r="AF54" s="9">
        <v>1898.9024343929</v>
      </c>
      <c r="AG54" s="9">
        <v>2215.3861734584002</v>
      </c>
      <c r="AH54" s="9">
        <v>2215.3861734584002</v>
      </c>
      <c r="AI54" s="9">
        <v>2215.3861734584002</v>
      </c>
      <c r="AJ54" s="9">
        <v>1898.9024343929</v>
      </c>
      <c r="AK54" s="9">
        <v>1898.9024343929</v>
      </c>
      <c r="AL54" s="9">
        <v>1898.9024343929</v>
      </c>
      <c r="AM54" s="9">
        <v>1898.9024343929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1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7">
        <f t="shared" si="0"/>
        <v>1</v>
      </c>
      <c r="BA54" s="11">
        <f t="shared" si="1"/>
        <v>8.3333333333333329E-2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2215.3861734584002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f t="shared" si="2"/>
        <v>2215.3861734584002</v>
      </c>
      <c r="BP54" s="12">
        <f t="shared" si="3"/>
        <v>184.61551445486668</v>
      </c>
      <c r="BQ54" s="7"/>
      <c r="BR54" s="7"/>
      <c r="BS54" s="7" t="s">
        <v>95</v>
      </c>
      <c r="BT54" s="7" t="s">
        <v>53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/>
    </row>
    <row r="55" spans="1:78" x14ac:dyDescent="0.35">
      <c r="A55" s="7" t="s">
        <v>42</v>
      </c>
      <c r="B55" s="7"/>
      <c r="C55" s="7" t="s">
        <v>192</v>
      </c>
      <c r="D55" s="7" t="s">
        <v>190</v>
      </c>
      <c r="E55" s="7" t="s">
        <v>193</v>
      </c>
      <c r="F55" s="7" t="s">
        <v>93</v>
      </c>
      <c r="G55" s="7" t="s">
        <v>47</v>
      </c>
      <c r="H55" s="7"/>
      <c r="I55" s="7"/>
      <c r="J55" s="7" t="s">
        <v>48</v>
      </c>
      <c r="K55" s="7" t="s">
        <v>49</v>
      </c>
      <c r="L55" s="7" t="s">
        <v>49</v>
      </c>
      <c r="M55" s="7" t="s">
        <v>49</v>
      </c>
      <c r="N55" s="7" t="s">
        <v>100</v>
      </c>
      <c r="O55" s="7" t="s">
        <v>4</v>
      </c>
      <c r="P55" s="7">
        <v>16000000</v>
      </c>
      <c r="Q55" s="7">
        <v>16000000</v>
      </c>
      <c r="R55" s="7">
        <v>16000000</v>
      </c>
      <c r="S55" s="7">
        <v>16000000</v>
      </c>
      <c r="T55" s="7">
        <v>16000000</v>
      </c>
      <c r="U55" s="7">
        <v>16000000</v>
      </c>
      <c r="V55" s="7">
        <v>16000000</v>
      </c>
      <c r="W55" s="7">
        <v>16000000</v>
      </c>
      <c r="X55" s="7">
        <v>16000000</v>
      </c>
      <c r="Y55" s="7">
        <v>16000000</v>
      </c>
      <c r="Z55" s="7">
        <v>16000000</v>
      </c>
      <c r="AA55" s="7">
        <v>16000000</v>
      </c>
      <c r="AB55" s="9">
        <v>1012.7479650096</v>
      </c>
      <c r="AC55" s="9">
        <v>1012.7479650096</v>
      </c>
      <c r="AD55" s="9">
        <v>1012.7479650096</v>
      </c>
      <c r="AE55" s="9">
        <v>1012.7479650096</v>
      </c>
      <c r="AF55" s="9">
        <v>1012.7479650096</v>
      </c>
      <c r="AG55" s="9">
        <v>1012.7479650096</v>
      </c>
      <c r="AH55" s="9">
        <v>1012.7479650096</v>
      </c>
      <c r="AI55" s="9">
        <v>1012.7479650096</v>
      </c>
      <c r="AJ55" s="9">
        <v>1012.7479650096</v>
      </c>
      <c r="AK55" s="9">
        <v>1012.7479650096</v>
      </c>
      <c r="AL55" s="9">
        <v>1012.7479650096</v>
      </c>
      <c r="AM55" s="9">
        <v>1012.7479650096</v>
      </c>
      <c r="AN55" s="10">
        <v>0</v>
      </c>
      <c r="AO55" s="10">
        <v>0</v>
      </c>
      <c r="AP55" s="10">
        <v>2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7">
        <f t="shared" si="0"/>
        <v>2</v>
      </c>
      <c r="BA55" s="11">
        <f t="shared" si="1"/>
        <v>0.16666666666666666</v>
      </c>
      <c r="BC55" s="12">
        <v>0</v>
      </c>
      <c r="BD55" s="12">
        <v>0</v>
      </c>
      <c r="BE55" s="12">
        <v>2025.4959300190999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f t="shared" si="2"/>
        <v>2025.4959300190999</v>
      </c>
      <c r="BP55" s="12">
        <f t="shared" si="3"/>
        <v>168.79132750159167</v>
      </c>
      <c r="BQ55" s="7"/>
      <c r="BR55" s="7"/>
      <c r="BS55" s="7" t="s">
        <v>95</v>
      </c>
      <c r="BT55" s="7" t="s">
        <v>53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/>
    </row>
    <row r="56" spans="1:78" x14ac:dyDescent="0.35">
      <c r="A56" s="7" t="s">
        <v>42</v>
      </c>
      <c r="B56" s="7"/>
      <c r="C56" s="7" t="s">
        <v>194</v>
      </c>
      <c r="D56" s="7" t="s">
        <v>136</v>
      </c>
      <c r="E56" s="7" t="s">
        <v>195</v>
      </c>
      <c r="F56" s="7" t="s">
        <v>149</v>
      </c>
      <c r="G56" s="7" t="s">
        <v>47</v>
      </c>
      <c r="H56" s="7"/>
      <c r="I56" s="7"/>
      <c r="J56" s="7" t="s">
        <v>48</v>
      </c>
      <c r="K56" s="7" t="s">
        <v>49</v>
      </c>
      <c r="L56" s="7" t="s">
        <v>49</v>
      </c>
      <c r="M56" s="7" t="s">
        <v>49</v>
      </c>
      <c r="N56" s="7" t="s">
        <v>139</v>
      </c>
      <c r="O56" s="7" t="s">
        <v>4</v>
      </c>
      <c r="P56" s="7">
        <v>800000</v>
      </c>
      <c r="Q56" s="7">
        <v>800000</v>
      </c>
      <c r="R56" s="7">
        <v>800000</v>
      </c>
      <c r="S56" s="7">
        <v>800000</v>
      </c>
      <c r="T56" s="7">
        <v>800000</v>
      </c>
      <c r="U56" s="7">
        <v>800000</v>
      </c>
      <c r="V56" s="7">
        <v>800000</v>
      </c>
      <c r="W56" s="7">
        <v>800000</v>
      </c>
      <c r="X56" s="7">
        <v>800000</v>
      </c>
      <c r="Y56" s="7">
        <v>800000</v>
      </c>
      <c r="Z56" s="7">
        <v>800000</v>
      </c>
      <c r="AA56" s="7">
        <v>800000</v>
      </c>
      <c r="AB56" s="9">
        <v>50.637398250478</v>
      </c>
      <c r="AC56" s="9">
        <v>50.637398250478</v>
      </c>
      <c r="AD56" s="9">
        <v>50.637398250478</v>
      </c>
      <c r="AE56" s="9">
        <v>50.637398250478</v>
      </c>
      <c r="AF56" s="9">
        <v>50.637398250478</v>
      </c>
      <c r="AG56" s="9">
        <v>50.637398250478</v>
      </c>
      <c r="AH56" s="9">
        <v>50.637398250478</v>
      </c>
      <c r="AI56" s="9">
        <v>50.637398250478</v>
      </c>
      <c r="AJ56" s="9">
        <v>50.637398250478</v>
      </c>
      <c r="AK56" s="9">
        <v>50.637398250478</v>
      </c>
      <c r="AL56" s="9">
        <v>50.637398250478</v>
      </c>
      <c r="AM56" s="9">
        <v>50.637398250478</v>
      </c>
      <c r="AN56" s="10">
        <v>0</v>
      </c>
      <c r="AO56" s="10">
        <v>0</v>
      </c>
      <c r="AP56" s="10">
        <v>0</v>
      </c>
      <c r="AQ56" s="10">
        <v>0</v>
      </c>
      <c r="AR56" s="10">
        <v>2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7">
        <f t="shared" si="0"/>
        <v>2</v>
      </c>
      <c r="BA56" s="11">
        <f t="shared" si="1"/>
        <v>0.16666666666666666</v>
      </c>
      <c r="BC56" s="12">
        <v>0</v>
      </c>
      <c r="BD56" s="12">
        <v>0</v>
      </c>
      <c r="BE56" s="12">
        <v>0</v>
      </c>
      <c r="BF56" s="12">
        <v>0</v>
      </c>
      <c r="BG56" s="12">
        <v>101.27479650095999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f t="shared" si="2"/>
        <v>101.27479650095999</v>
      </c>
      <c r="BP56" s="12">
        <f t="shared" si="3"/>
        <v>8.4395663750800001</v>
      </c>
      <c r="BQ56" s="7"/>
      <c r="BR56" s="7"/>
      <c r="BS56" s="7" t="s">
        <v>95</v>
      </c>
      <c r="BT56" s="7" t="s">
        <v>53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/>
    </row>
    <row r="57" spans="1:78" x14ac:dyDescent="0.35">
      <c r="A57" s="7" t="s">
        <v>42</v>
      </c>
      <c r="B57" s="7"/>
      <c r="C57" s="7" t="s">
        <v>196</v>
      </c>
      <c r="D57" s="7" t="s">
        <v>197</v>
      </c>
      <c r="E57" s="7" t="s">
        <v>198</v>
      </c>
      <c r="F57" s="7" t="s">
        <v>130</v>
      </c>
      <c r="G57" s="7" t="s">
        <v>47</v>
      </c>
      <c r="H57" s="7"/>
      <c r="I57" s="7"/>
      <c r="J57" s="7" t="s">
        <v>48</v>
      </c>
      <c r="K57" s="7" t="s">
        <v>49</v>
      </c>
      <c r="L57" s="7" t="s">
        <v>49</v>
      </c>
      <c r="M57" s="7" t="s">
        <v>49</v>
      </c>
      <c r="N57" s="7" t="s">
        <v>199</v>
      </c>
      <c r="O57" s="7" t="s">
        <v>4</v>
      </c>
      <c r="P57" s="7">
        <v>1100000</v>
      </c>
      <c r="Q57" s="7">
        <v>1100000</v>
      </c>
      <c r="R57" s="7">
        <v>1100000</v>
      </c>
      <c r="S57" s="7">
        <v>1100000</v>
      </c>
      <c r="T57" s="7">
        <v>1100000</v>
      </c>
      <c r="U57" s="7">
        <v>1100000</v>
      </c>
      <c r="V57" s="7">
        <v>1100000</v>
      </c>
      <c r="W57" s="7">
        <v>1100000</v>
      </c>
      <c r="X57" s="7">
        <v>1100000</v>
      </c>
      <c r="Y57" s="7">
        <v>1100000</v>
      </c>
      <c r="Z57" s="7">
        <v>1100000</v>
      </c>
      <c r="AA57" s="7">
        <v>1100000</v>
      </c>
      <c r="AB57" s="9">
        <v>69.626422594407003</v>
      </c>
      <c r="AC57" s="9">
        <v>69.626422594407003</v>
      </c>
      <c r="AD57" s="9">
        <v>69.626422594407003</v>
      </c>
      <c r="AE57" s="9">
        <v>69.626422594407003</v>
      </c>
      <c r="AF57" s="9">
        <v>69.626422594407003</v>
      </c>
      <c r="AG57" s="9">
        <v>69.626422594407003</v>
      </c>
      <c r="AH57" s="9">
        <v>69.626422594407003</v>
      </c>
      <c r="AI57" s="9">
        <v>69.626422594407003</v>
      </c>
      <c r="AJ57" s="9">
        <v>69.626422594407003</v>
      </c>
      <c r="AK57" s="9">
        <v>69.626422594407003</v>
      </c>
      <c r="AL57" s="9">
        <v>69.626422594407003</v>
      </c>
      <c r="AM57" s="9">
        <v>69.626422594407003</v>
      </c>
      <c r="AN57" s="10">
        <v>0</v>
      </c>
      <c r="AO57" s="10">
        <v>1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7">
        <f t="shared" si="0"/>
        <v>1</v>
      </c>
      <c r="BA57" s="11">
        <f t="shared" si="1"/>
        <v>8.3333333333333329E-2</v>
      </c>
      <c r="BC57" s="12">
        <v>0</v>
      </c>
      <c r="BD57" s="12">
        <v>69.626422594407003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f t="shared" si="2"/>
        <v>69.626422594407003</v>
      </c>
      <c r="BP57" s="12">
        <f t="shared" si="3"/>
        <v>5.8022018828672506</v>
      </c>
      <c r="BQ57" s="7"/>
      <c r="BR57" s="7"/>
      <c r="BS57" s="7" t="s">
        <v>95</v>
      </c>
      <c r="BT57" s="7" t="s">
        <v>53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/>
    </row>
    <row r="58" spans="1:78" x14ac:dyDescent="0.35">
      <c r="A58" s="7" t="s">
        <v>42</v>
      </c>
      <c r="B58" s="7"/>
      <c r="C58" s="7" t="s">
        <v>200</v>
      </c>
      <c r="D58" s="7" t="s">
        <v>121</v>
      </c>
      <c r="E58" s="7" t="s">
        <v>201</v>
      </c>
      <c r="F58" s="7" t="s">
        <v>202</v>
      </c>
      <c r="G58" s="7" t="s">
        <v>47</v>
      </c>
      <c r="H58" s="7"/>
      <c r="I58" s="7"/>
      <c r="J58" s="7" t="s">
        <v>48</v>
      </c>
      <c r="K58" s="7" t="s">
        <v>49</v>
      </c>
      <c r="L58" s="7" t="s">
        <v>49</v>
      </c>
      <c r="M58" s="7" t="s">
        <v>49</v>
      </c>
      <c r="N58" s="7" t="s">
        <v>124</v>
      </c>
      <c r="O58" s="7" t="s">
        <v>4</v>
      </c>
      <c r="P58" s="7">
        <v>76875</v>
      </c>
      <c r="Q58" s="7">
        <v>76875</v>
      </c>
      <c r="R58" s="7">
        <v>76875</v>
      </c>
      <c r="S58" s="7">
        <v>76875</v>
      </c>
      <c r="T58" s="7">
        <v>76875</v>
      </c>
      <c r="U58" s="7">
        <v>76875</v>
      </c>
      <c r="V58" s="7">
        <v>76875</v>
      </c>
      <c r="W58" s="7">
        <v>76875</v>
      </c>
      <c r="X58" s="7">
        <v>76875</v>
      </c>
      <c r="Y58" s="7">
        <v>76875</v>
      </c>
      <c r="Z58" s="7">
        <v>76875</v>
      </c>
      <c r="AA58" s="7">
        <v>76875</v>
      </c>
      <c r="AB58" s="9">
        <v>4.8659374881319</v>
      </c>
      <c r="AC58" s="9">
        <v>4.8659374881319</v>
      </c>
      <c r="AD58" s="9">
        <v>4.8659374881319</v>
      </c>
      <c r="AE58" s="9">
        <v>4.8659374881319</v>
      </c>
      <c r="AF58" s="9">
        <v>4.8659374881319</v>
      </c>
      <c r="AG58" s="9">
        <v>4.8659374881319</v>
      </c>
      <c r="AH58" s="9">
        <v>4.8659374881319</v>
      </c>
      <c r="AI58" s="9">
        <v>4.8659374881319</v>
      </c>
      <c r="AJ58" s="9">
        <v>4.8659374881319</v>
      </c>
      <c r="AK58" s="9">
        <v>4.8659374881319</v>
      </c>
      <c r="AL58" s="9">
        <v>4.8659374881319</v>
      </c>
      <c r="AM58" s="9">
        <v>4.8659374881319</v>
      </c>
      <c r="AN58" s="10">
        <v>10</v>
      </c>
      <c r="AO58" s="10">
        <v>10</v>
      </c>
      <c r="AP58" s="10">
        <v>10</v>
      </c>
      <c r="AQ58" s="10">
        <v>10</v>
      </c>
      <c r="AR58" s="10">
        <v>10</v>
      </c>
      <c r="AS58" s="10">
        <v>10</v>
      </c>
      <c r="AT58" s="10">
        <v>10</v>
      </c>
      <c r="AU58" s="10">
        <v>10</v>
      </c>
      <c r="AV58" s="10">
        <v>10</v>
      </c>
      <c r="AW58" s="10">
        <v>10</v>
      </c>
      <c r="AX58" s="10">
        <v>10</v>
      </c>
      <c r="AY58" s="10">
        <v>10</v>
      </c>
      <c r="AZ58" s="7">
        <f t="shared" si="0"/>
        <v>120</v>
      </c>
      <c r="BA58" s="11">
        <f t="shared" si="1"/>
        <v>10</v>
      </c>
      <c r="BC58" s="12">
        <v>48.659374881319003</v>
      </c>
      <c r="BD58" s="12">
        <v>48.659374881319003</v>
      </c>
      <c r="BE58" s="12">
        <v>48.659374881319003</v>
      </c>
      <c r="BF58" s="12">
        <v>48.659374881319003</v>
      </c>
      <c r="BG58" s="12">
        <v>48.659374881319003</v>
      </c>
      <c r="BH58" s="12">
        <v>48.659374881319003</v>
      </c>
      <c r="BI58" s="12">
        <v>48.659374881319003</v>
      </c>
      <c r="BJ58" s="12">
        <v>48.659374881319003</v>
      </c>
      <c r="BK58" s="12">
        <v>48.659374881319003</v>
      </c>
      <c r="BL58" s="12">
        <v>48.659374881319003</v>
      </c>
      <c r="BM58" s="12">
        <v>48.659374881319003</v>
      </c>
      <c r="BN58" s="12">
        <v>48.659374881319003</v>
      </c>
      <c r="BO58" s="12">
        <f t="shared" si="2"/>
        <v>583.91249857582807</v>
      </c>
      <c r="BP58" s="12">
        <f t="shared" si="3"/>
        <v>48.659374881319003</v>
      </c>
      <c r="BQ58" s="7"/>
      <c r="BR58" s="7"/>
      <c r="BS58" s="7" t="s">
        <v>95</v>
      </c>
      <c r="BT58" s="7" t="s">
        <v>53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/>
    </row>
    <row r="59" spans="1:78" x14ac:dyDescent="0.35">
      <c r="A59" s="7" t="s">
        <v>42</v>
      </c>
      <c r="B59" s="7"/>
      <c r="C59" s="7" t="s">
        <v>203</v>
      </c>
      <c r="D59" s="7" t="s">
        <v>141</v>
      </c>
      <c r="E59" s="7" t="s">
        <v>204</v>
      </c>
      <c r="F59" s="7" t="s">
        <v>143</v>
      </c>
      <c r="G59" s="7" t="s">
        <v>47</v>
      </c>
      <c r="H59" s="7"/>
      <c r="I59" s="7"/>
      <c r="J59" s="7" t="s">
        <v>48</v>
      </c>
      <c r="K59" s="7" t="s">
        <v>49</v>
      </c>
      <c r="L59" s="7" t="s">
        <v>49</v>
      </c>
      <c r="M59" s="7" t="s">
        <v>49</v>
      </c>
      <c r="N59" s="7" t="s">
        <v>144</v>
      </c>
      <c r="O59" s="7" t="s">
        <v>4</v>
      </c>
      <c r="P59" s="7">
        <v>23170000</v>
      </c>
      <c r="Q59" s="7">
        <v>23170000</v>
      </c>
      <c r="R59" s="7">
        <v>23170000</v>
      </c>
      <c r="S59" s="7">
        <v>23170000</v>
      </c>
      <c r="T59" s="7">
        <v>23170000</v>
      </c>
      <c r="U59" s="7">
        <v>23170000</v>
      </c>
      <c r="V59" s="7">
        <v>23170000</v>
      </c>
      <c r="W59" s="7">
        <v>23170000</v>
      </c>
      <c r="X59" s="7">
        <v>23170000</v>
      </c>
      <c r="Y59" s="7">
        <v>23170000</v>
      </c>
      <c r="Z59" s="7">
        <v>23170000</v>
      </c>
      <c r="AA59" s="7">
        <v>23170000</v>
      </c>
      <c r="AB59" s="9">
        <v>1466.5856468295001</v>
      </c>
      <c r="AC59" s="9">
        <v>1466.5856468295001</v>
      </c>
      <c r="AD59" s="9">
        <v>1466.5856468295001</v>
      </c>
      <c r="AE59" s="9">
        <v>1466.5856468295001</v>
      </c>
      <c r="AF59" s="9">
        <v>1466.5856468295001</v>
      </c>
      <c r="AG59" s="9">
        <v>1466.5856468295001</v>
      </c>
      <c r="AH59" s="9">
        <v>1466.5856468295001</v>
      </c>
      <c r="AI59" s="9">
        <v>1466.5856468295001</v>
      </c>
      <c r="AJ59" s="9">
        <v>1466.5856468295001</v>
      </c>
      <c r="AK59" s="9">
        <v>1466.5856468295001</v>
      </c>
      <c r="AL59" s="9">
        <v>1466.5856468295001</v>
      </c>
      <c r="AM59" s="9">
        <v>1466.5856468295001</v>
      </c>
      <c r="AN59" s="10">
        <v>0</v>
      </c>
      <c r="AO59" s="10">
        <v>0</v>
      </c>
      <c r="AP59" s="10">
        <v>0</v>
      </c>
      <c r="AQ59" s="10">
        <v>1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7">
        <f t="shared" si="0"/>
        <v>1</v>
      </c>
      <c r="BA59" s="11">
        <f t="shared" si="1"/>
        <v>8.3333333333333329E-2</v>
      </c>
      <c r="BC59" s="12">
        <v>0</v>
      </c>
      <c r="BD59" s="12">
        <v>0</v>
      </c>
      <c r="BE59" s="12">
        <v>0</v>
      </c>
      <c r="BF59" s="12">
        <v>1466.5856468295001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f t="shared" si="2"/>
        <v>1466.5856468295001</v>
      </c>
      <c r="BP59" s="12">
        <f t="shared" si="3"/>
        <v>122.215470569125</v>
      </c>
      <c r="BQ59" s="7"/>
      <c r="BR59" s="7"/>
      <c r="BS59" s="7" t="s">
        <v>145</v>
      </c>
      <c r="BT59" s="7" t="s">
        <v>53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/>
    </row>
    <row r="60" spans="1:78" x14ac:dyDescent="0.35">
      <c r="A60" s="7" t="s">
        <v>42</v>
      </c>
      <c r="B60" s="7"/>
      <c r="C60" s="7" t="s">
        <v>205</v>
      </c>
      <c r="D60" s="7" t="s">
        <v>141</v>
      </c>
      <c r="E60" s="7" t="s">
        <v>206</v>
      </c>
      <c r="F60" s="7" t="s">
        <v>143</v>
      </c>
      <c r="G60" s="7" t="s">
        <v>47</v>
      </c>
      <c r="H60" s="7"/>
      <c r="I60" s="7"/>
      <c r="J60" s="7" t="s">
        <v>48</v>
      </c>
      <c r="K60" s="7" t="s">
        <v>49</v>
      </c>
      <c r="L60" s="7" t="s">
        <v>49</v>
      </c>
      <c r="M60" s="7" t="s">
        <v>49</v>
      </c>
      <c r="N60" s="7" t="s">
        <v>144</v>
      </c>
      <c r="O60" s="7" t="s">
        <v>4</v>
      </c>
      <c r="P60" s="7">
        <v>19374600</v>
      </c>
      <c r="Q60" s="7">
        <v>19374600</v>
      </c>
      <c r="R60" s="7">
        <v>19374600</v>
      </c>
      <c r="S60" s="7">
        <v>19374600</v>
      </c>
      <c r="T60" s="7">
        <v>19374600</v>
      </c>
      <c r="U60" s="7">
        <v>19374600</v>
      </c>
      <c r="V60" s="7">
        <v>19374600</v>
      </c>
      <c r="W60" s="7">
        <v>19374600</v>
      </c>
      <c r="X60" s="7">
        <v>19374600</v>
      </c>
      <c r="Y60" s="7">
        <v>19374600</v>
      </c>
      <c r="Z60" s="7">
        <v>19374600</v>
      </c>
      <c r="AA60" s="7">
        <v>19374600</v>
      </c>
      <c r="AB60" s="9">
        <v>1226.3491701795999</v>
      </c>
      <c r="AC60" s="9">
        <v>1226.3491701795999</v>
      </c>
      <c r="AD60" s="9">
        <v>1226.3491701795999</v>
      </c>
      <c r="AE60" s="9">
        <v>1226.3491701795999</v>
      </c>
      <c r="AF60" s="9">
        <v>1226.3491701795999</v>
      </c>
      <c r="AG60" s="9">
        <v>1226.3491701795999</v>
      </c>
      <c r="AH60" s="9">
        <v>1226.3491701795999</v>
      </c>
      <c r="AI60" s="9">
        <v>1226.3491701795999</v>
      </c>
      <c r="AJ60" s="9">
        <v>1226.3491701795999</v>
      </c>
      <c r="AK60" s="9">
        <v>1226.3491701795999</v>
      </c>
      <c r="AL60" s="9">
        <v>1226.3491701795999</v>
      </c>
      <c r="AM60" s="9">
        <v>1226.3491701795999</v>
      </c>
      <c r="AN60" s="10">
        <v>0</v>
      </c>
      <c r="AO60" s="10">
        <v>1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7">
        <f t="shared" si="0"/>
        <v>1</v>
      </c>
      <c r="BA60" s="11">
        <f t="shared" si="1"/>
        <v>8.3333333333333329E-2</v>
      </c>
      <c r="BC60" s="12">
        <v>0</v>
      </c>
      <c r="BD60" s="12">
        <v>1226.3491701795999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f t="shared" si="2"/>
        <v>1226.3491701795999</v>
      </c>
      <c r="BP60" s="12">
        <f t="shared" si="3"/>
        <v>102.19576418163332</v>
      </c>
      <c r="BQ60" s="7"/>
      <c r="BR60" s="7"/>
      <c r="BS60" s="7" t="s">
        <v>145</v>
      </c>
      <c r="BT60" s="7" t="s">
        <v>53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/>
    </row>
    <row r="61" spans="1:78" x14ac:dyDescent="0.35">
      <c r="A61" s="7" t="s">
        <v>42</v>
      </c>
      <c r="B61" s="7"/>
      <c r="C61" s="7" t="s">
        <v>207</v>
      </c>
      <c r="D61" s="7" t="s">
        <v>147</v>
      </c>
      <c r="E61" s="7" t="s">
        <v>208</v>
      </c>
      <c r="F61" s="7" t="s">
        <v>209</v>
      </c>
      <c r="G61" s="7" t="s">
        <v>47</v>
      </c>
      <c r="H61" s="7"/>
      <c r="I61" s="7"/>
      <c r="J61" s="7" t="s">
        <v>48</v>
      </c>
      <c r="K61" s="7" t="s">
        <v>49</v>
      </c>
      <c r="L61" s="7" t="s">
        <v>49</v>
      </c>
      <c r="M61" s="7" t="s">
        <v>49</v>
      </c>
      <c r="N61" s="7" t="s">
        <v>100</v>
      </c>
      <c r="O61" s="7" t="s">
        <v>4</v>
      </c>
      <c r="P61" s="7">
        <v>17000</v>
      </c>
      <c r="Q61" s="7">
        <v>17000</v>
      </c>
      <c r="R61" s="7">
        <v>17000</v>
      </c>
      <c r="S61" s="7">
        <v>17000</v>
      </c>
      <c r="T61" s="7">
        <v>17000</v>
      </c>
      <c r="U61" s="7">
        <v>17000</v>
      </c>
      <c r="V61" s="7">
        <v>17000</v>
      </c>
      <c r="W61" s="7">
        <v>17000</v>
      </c>
      <c r="X61" s="7">
        <v>17000</v>
      </c>
      <c r="Y61" s="7">
        <v>17000</v>
      </c>
      <c r="Z61" s="7">
        <v>17000</v>
      </c>
      <c r="AA61" s="7">
        <v>17000</v>
      </c>
      <c r="AB61" s="9">
        <v>1.0760447128227</v>
      </c>
      <c r="AC61" s="9">
        <v>1.0760447128227</v>
      </c>
      <c r="AD61" s="9">
        <v>1.0760447128227</v>
      </c>
      <c r="AE61" s="9">
        <v>1.0760447128227</v>
      </c>
      <c r="AF61" s="9">
        <v>1.0760447128227</v>
      </c>
      <c r="AG61" s="9">
        <v>1.0760447128227</v>
      </c>
      <c r="AH61" s="9">
        <v>1.0760447128227</v>
      </c>
      <c r="AI61" s="9">
        <v>1.0760447128227</v>
      </c>
      <c r="AJ61" s="9">
        <v>1.0760447128227</v>
      </c>
      <c r="AK61" s="9">
        <v>1.0760447128227</v>
      </c>
      <c r="AL61" s="9">
        <v>1.0760447128227</v>
      </c>
      <c r="AM61" s="9">
        <v>1.0760447128227</v>
      </c>
      <c r="AN61" s="10">
        <v>2</v>
      </c>
      <c r="AO61" s="10">
        <v>2</v>
      </c>
      <c r="AP61" s="10">
        <v>2</v>
      </c>
      <c r="AQ61" s="10">
        <v>2</v>
      </c>
      <c r="AR61" s="10">
        <v>2</v>
      </c>
      <c r="AS61" s="10">
        <v>2</v>
      </c>
      <c r="AT61" s="10">
        <v>2</v>
      </c>
      <c r="AU61" s="10">
        <v>2</v>
      </c>
      <c r="AV61" s="10">
        <v>2</v>
      </c>
      <c r="AW61" s="10">
        <v>2</v>
      </c>
      <c r="AX61" s="10">
        <v>2</v>
      </c>
      <c r="AY61" s="10">
        <v>2</v>
      </c>
      <c r="AZ61" s="7">
        <f t="shared" si="0"/>
        <v>24</v>
      </c>
      <c r="BA61" s="11">
        <f t="shared" si="1"/>
        <v>2</v>
      </c>
      <c r="BC61" s="12">
        <v>2.1520894256453</v>
      </c>
      <c r="BD61" s="12">
        <v>2.1520894256453</v>
      </c>
      <c r="BE61" s="12">
        <v>2.1520894256453</v>
      </c>
      <c r="BF61" s="12">
        <v>2.1520894256453</v>
      </c>
      <c r="BG61" s="12">
        <v>2.1520894256453</v>
      </c>
      <c r="BH61" s="12">
        <v>2.1520894256453</v>
      </c>
      <c r="BI61" s="12">
        <v>2.1520894256453</v>
      </c>
      <c r="BJ61" s="12">
        <v>2.1520894256453</v>
      </c>
      <c r="BK61" s="12">
        <v>2.1520894256453</v>
      </c>
      <c r="BL61" s="12">
        <v>2.1520894256453</v>
      </c>
      <c r="BM61" s="12">
        <v>2.1520894256453</v>
      </c>
      <c r="BN61" s="12">
        <v>2.1520894256453</v>
      </c>
      <c r="BO61" s="12">
        <f t="shared" si="2"/>
        <v>25.825073107743602</v>
      </c>
      <c r="BP61" s="12">
        <f t="shared" si="3"/>
        <v>2.1520894256453</v>
      </c>
      <c r="BQ61" s="7"/>
      <c r="BR61" s="7"/>
      <c r="BS61" s="7" t="s">
        <v>95</v>
      </c>
      <c r="BT61" s="7" t="s">
        <v>53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/>
    </row>
    <row r="62" spans="1:78" x14ac:dyDescent="0.35">
      <c r="A62" s="7" t="s">
        <v>42</v>
      </c>
      <c r="B62" s="7"/>
      <c r="C62" s="7" t="s">
        <v>146</v>
      </c>
      <c r="D62" s="7" t="s">
        <v>147</v>
      </c>
      <c r="E62" s="7" t="s">
        <v>148</v>
      </c>
      <c r="F62" s="7" t="s">
        <v>138</v>
      </c>
      <c r="G62" s="7" t="s">
        <v>47</v>
      </c>
      <c r="H62" s="7"/>
      <c r="I62" s="7"/>
      <c r="J62" s="7" t="s">
        <v>48</v>
      </c>
      <c r="K62" s="7" t="s">
        <v>49</v>
      </c>
      <c r="L62" s="7" t="s">
        <v>49</v>
      </c>
      <c r="M62" s="7" t="s">
        <v>49</v>
      </c>
      <c r="N62" s="7" t="s">
        <v>100</v>
      </c>
      <c r="O62" s="7" t="s">
        <v>4</v>
      </c>
      <c r="P62" s="7">
        <v>35000</v>
      </c>
      <c r="Q62" s="7">
        <v>35000</v>
      </c>
      <c r="R62" s="7">
        <v>35000</v>
      </c>
      <c r="S62" s="7">
        <v>35000</v>
      </c>
      <c r="T62" s="7">
        <v>35000</v>
      </c>
      <c r="U62" s="7">
        <v>35000</v>
      </c>
      <c r="V62" s="7">
        <v>35000</v>
      </c>
      <c r="W62" s="7">
        <v>35000</v>
      </c>
      <c r="X62" s="7">
        <v>35000</v>
      </c>
      <c r="Y62" s="7">
        <v>35000</v>
      </c>
      <c r="Z62" s="7">
        <v>35000</v>
      </c>
      <c r="AA62" s="7">
        <v>35000</v>
      </c>
      <c r="AB62" s="9">
        <v>2.2153861734584002</v>
      </c>
      <c r="AC62" s="9">
        <v>2.2153861734584002</v>
      </c>
      <c r="AD62" s="9">
        <v>2.2153861734584002</v>
      </c>
      <c r="AE62" s="9">
        <v>2.2153861734584002</v>
      </c>
      <c r="AF62" s="9">
        <v>2.2153861734584002</v>
      </c>
      <c r="AG62" s="9">
        <v>2.2153861734584002</v>
      </c>
      <c r="AH62" s="9">
        <v>2.2153861734584002</v>
      </c>
      <c r="AI62" s="9">
        <v>2.2153861734584002</v>
      </c>
      <c r="AJ62" s="9">
        <v>2.2153861734584002</v>
      </c>
      <c r="AK62" s="9">
        <v>2.2153861734584002</v>
      </c>
      <c r="AL62" s="9">
        <v>2.2153861734584002</v>
      </c>
      <c r="AM62" s="9">
        <v>2.2153861734584002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6</v>
      </c>
      <c r="AZ62" s="7">
        <f t="shared" si="0"/>
        <v>6</v>
      </c>
      <c r="BA62" s="11">
        <f t="shared" si="1"/>
        <v>0.5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13.29231704075</v>
      </c>
      <c r="BO62" s="12">
        <f t="shared" si="2"/>
        <v>13.29231704075</v>
      </c>
      <c r="BP62" s="12">
        <f t="shared" si="3"/>
        <v>1.1076930867291666</v>
      </c>
      <c r="BQ62" s="7"/>
      <c r="BR62" s="7"/>
      <c r="BS62" s="7" t="s">
        <v>95</v>
      </c>
      <c r="BT62" s="7" t="s">
        <v>53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/>
    </row>
    <row r="63" spans="1:78" x14ac:dyDescent="0.35">
      <c r="A63" s="7" t="s">
        <v>42</v>
      </c>
      <c r="B63" s="7"/>
      <c r="C63" s="7" t="s">
        <v>210</v>
      </c>
      <c r="D63" s="7" t="s">
        <v>147</v>
      </c>
      <c r="E63" s="7" t="s">
        <v>211</v>
      </c>
      <c r="F63" s="7" t="s">
        <v>149</v>
      </c>
      <c r="G63" s="7" t="s">
        <v>47</v>
      </c>
      <c r="H63" s="7"/>
      <c r="I63" s="7"/>
      <c r="J63" s="7" t="s">
        <v>48</v>
      </c>
      <c r="K63" s="7" t="s">
        <v>49</v>
      </c>
      <c r="L63" s="7" t="s">
        <v>49</v>
      </c>
      <c r="M63" s="7" t="s">
        <v>49</v>
      </c>
      <c r="N63" s="7" t="s">
        <v>100</v>
      </c>
      <c r="O63" s="7" t="s">
        <v>4</v>
      </c>
      <c r="P63" s="7">
        <v>40000</v>
      </c>
      <c r="Q63" s="7">
        <v>40000</v>
      </c>
      <c r="R63" s="7">
        <v>40000</v>
      </c>
      <c r="S63" s="7">
        <v>40000</v>
      </c>
      <c r="T63" s="7">
        <v>40000</v>
      </c>
      <c r="U63" s="7">
        <v>40000</v>
      </c>
      <c r="V63" s="7">
        <v>40000</v>
      </c>
      <c r="W63" s="7">
        <v>40000</v>
      </c>
      <c r="X63" s="7">
        <v>40000</v>
      </c>
      <c r="Y63" s="7">
        <v>40000</v>
      </c>
      <c r="Z63" s="7">
        <v>40000</v>
      </c>
      <c r="AA63" s="7">
        <v>40000</v>
      </c>
      <c r="AB63" s="9">
        <v>2.5318699125238999</v>
      </c>
      <c r="AC63" s="9">
        <v>2.5318699125238999</v>
      </c>
      <c r="AD63" s="9">
        <v>2.5318699125238999</v>
      </c>
      <c r="AE63" s="9">
        <v>2.5318699125238999</v>
      </c>
      <c r="AF63" s="9">
        <v>2.5318699125238999</v>
      </c>
      <c r="AG63" s="9">
        <v>2.5318699125238999</v>
      </c>
      <c r="AH63" s="9">
        <v>2.5318699125238999</v>
      </c>
      <c r="AI63" s="9">
        <v>2.5318699125238999</v>
      </c>
      <c r="AJ63" s="9">
        <v>2.5318699125238999</v>
      </c>
      <c r="AK63" s="9">
        <v>2.5318699125238999</v>
      </c>
      <c r="AL63" s="9">
        <v>2.5318699125238999</v>
      </c>
      <c r="AM63" s="9">
        <v>2.5318699125238999</v>
      </c>
      <c r="AN63" s="10">
        <v>0</v>
      </c>
      <c r="AO63" s="10">
        <v>0</v>
      </c>
      <c r="AP63" s="10">
        <v>0</v>
      </c>
      <c r="AQ63" s="10">
        <v>0</v>
      </c>
      <c r="AR63" s="10">
        <v>6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7">
        <f t="shared" si="0"/>
        <v>6</v>
      </c>
      <c r="BA63" s="11">
        <f t="shared" si="1"/>
        <v>0.5</v>
      </c>
      <c r="BC63" s="12">
        <v>0</v>
      </c>
      <c r="BD63" s="12">
        <v>0</v>
      </c>
      <c r="BE63" s="12">
        <v>0</v>
      </c>
      <c r="BF63" s="12">
        <v>0</v>
      </c>
      <c r="BG63" s="12">
        <v>15.191219475143001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f t="shared" si="2"/>
        <v>15.191219475143001</v>
      </c>
      <c r="BP63" s="12">
        <f t="shared" si="3"/>
        <v>1.2659349562619167</v>
      </c>
      <c r="BQ63" s="7"/>
      <c r="BR63" s="7"/>
      <c r="BS63" s="7" t="s">
        <v>95</v>
      </c>
      <c r="BT63" s="7" t="s">
        <v>53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/>
    </row>
    <row r="64" spans="1:78" x14ac:dyDescent="0.35">
      <c r="A64" s="7" t="s">
        <v>42</v>
      </c>
      <c r="B64" s="7"/>
      <c r="C64" s="7" t="s">
        <v>210</v>
      </c>
      <c r="D64" s="7" t="s">
        <v>147</v>
      </c>
      <c r="E64" s="7" t="s">
        <v>211</v>
      </c>
      <c r="F64" s="7" t="s">
        <v>212</v>
      </c>
      <c r="G64" s="7" t="s">
        <v>47</v>
      </c>
      <c r="H64" s="7"/>
      <c r="I64" s="7"/>
      <c r="J64" s="7" t="s">
        <v>48</v>
      </c>
      <c r="K64" s="7" t="s">
        <v>49</v>
      </c>
      <c r="L64" s="7" t="s">
        <v>49</v>
      </c>
      <c r="M64" s="7" t="s">
        <v>49</v>
      </c>
      <c r="N64" s="7" t="s">
        <v>100</v>
      </c>
      <c r="O64" s="7" t="s">
        <v>4</v>
      </c>
      <c r="P64" s="7">
        <v>40000</v>
      </c>
      <c r="Q64" s="7">
        <v>40000</v>
      </c>
      <c r="R64" s="7">
        <v>40000</v>
      </c>
      <c r="S64" s="7">
        <v>40000</v>
      </c>
      <c r="T64" s="7">
        <v>40000</v>
      </c>
      <c r="U64" s="7">
        <v>40000</v>
      </c>
      <c r="V64" s="7">
        <v>40000</v>
      </c>
      <c r="W64" s="7">
        <v>40000</v>
      </c>
      <c r="X64" s="7">
        <v>40000</v>
      </c>
      <c r="Y64" s="7">
        <v>40000</v>
      </c>
      <c r="Z64" s="7">
        <v>40000</v>
      </c>
      <c r="AA64" s="7">
        <v>40000</v>
      </c>
      <c r="AB64" s="9">
        <v>2.5318699125238999</v>
      </c>
      <c r="AC64" s="9">
        <v>2.5318699125238999</v>
      </c>
      <c r="AD64" s="9">
        <v>2.5318699125238999</v>
      </c>
      <c r="AE64" s="9">
        <v>2.5318699125238999</v>
      </c>
      <c r="AF64" s="9">
        <v>2.5318699125238999</v>
      </c>
      <c r="AG64" s="9">
        <v>2.5318699125238999</v>
      </c>
      <c r="AH64" s="9">
        <v>2.5318699125238999</v>
      </c>
      <c r="AI64" s="9">
        <v>2.5318699125238999</v>
      </c>
      <c r="AJ64" s="9">
        <v>2.5318699125238999</v>
      </c>
      <c r="AK64" s="9">
        <v>2.5318699125238999</v>
      </c>
      <c r="AL64" s="9">
        <v>2.5318699125238999</v>
      </c>
      <c r="AM64" s="9">
        <v>2.5318699125238999</v>
      </c>
      <c r="AN64" s="10">
        <v>0</v>
      </c>
      <c r="AO64" s="10">
        <v>0</v>
      </c>
      <c r="AP64" s="10">
        <v>0</v>
      </c>
      <c r="AQ64" s="10">
        <v>0</v>
      </c>
      <c r="AR64" s="10">
        <v>6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7">
        <f t="shared" si="0"/>
        <v>6</v>
      </c>
      <c r="BA64" s="11">
        <f t="shared" si="1"/>
        <v>0.5</v>
      </c>
      <c r="BC64" s="12">
        <v>0</v>
      </c>
      <c r="BD64" s="12">
        <v>0</v>
      </c>
      <c r="BE64" s="12">
        <v>0</v>
      </c>
      <c r="BF64" s="12">
        <v>0</v>
      </c>
      <c r="BG64" s="12">
        <v>15.191219475143001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f t="shared" si="2"/>
        <v>15.191219475143001</v>
      </c>
      <c r="BP64" s="12">
        <f t="shared" si="3"/>
        <v>1.2659349562619167</v>
      </c>
      <c r="BQ64" s="7"/>
      <c r="BR64" s="7"/>
      <c r="BS64" s="7" t="s">
        <v>95</v>
      </c>
      <c r="BT64" s="7" t="s">
        <v>53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/>
    </row>
    <row r="65" spans="1:78" x14ac:dyDescent="0.35">
      <c r="A65" s="7" t="s">
        <v>42</v>
      </c>
      <c r="B65" s="7"/>
      <c r="C65" s="7" t="s">
        <v>213</v>
      </c>
      <c r="D65" s="7" t="s">
        <v>214</v>
      </c>
      <c r="E65" s="7" t="s">
        <v>215</v>
      </c>
      <c r="F65" s="7" t="s">
        <v>216</v>
      </c>
      <c r="G65" s="7" t="s">
        <v>47</v>
      </c>
      <c r="H65" s="7"/>
      <c r="I65" s="7"/>
      <c r="J65" s="7" t="s">
        <v>48</v>
      </c>
      <c r="K65" s="7" t="s">
        <v>49</v>
      </c>
      <c r="L65" s="7" t="s">
        <v>49</v>
      </c>
      <c r="M65" s="7" t="s">
        <v>49</v>
      </c>
      <c r="N65" s="7" t="s">
        <v>115</v>
      </c>
      <c r="O65" s="7" t="s">
        <v>4</v>
      </c>
      <c r="P65" s="7">
        <v>85495</v>
      </c>
      <c r="Q65" s="7">
        <v>85495</v>
      </c>
      <c r="R65" s="7">
        <v>85495</v>
      </c>
      <c r="S65" s="7">
        <v>85495</v>
      </c>
      <c r="T65" s="7">
        <v>85495</v>
      </c>
      <c r="U65" s="7">
        <v>85495</v>
      </c>
      <c r="V65" s="7">
        <v>85495</v>
      </c>
      <c r="W65" s="7">
        <v>85495</v>
      </c>
      <c r="X65" s="7">
        <v>85495</v>
      </c>
      <c r="Y65" s="7">
        <v>85495</v>
      </c>
      <c r="Z65" s="7">
        <v>85495</v>
      </c>
      <c r="AA65" s="7">
        <v>85495</v>
      </c>
      <c r="AB65" s="9">
        <v>5.4115554542808004</v>
      </c>
      <c r="AC65" s="9">
        <v>5.4115554542808004</v>
      </c>
      <c r="AD65" s="9">
        <v>5.4115554542808004</v>
      </c>
      <c r="AE65" s="9">
        <v>5.4115554542808004</v>
      </c>
      <c r="AF65" s="9">
        <v>5.4115554542808004</v>
      </c>
      <c r="AG65" s="9">
        <v>5.4115554542808004</v>
      </c>
      <c r="AH65" s="9">
        <v>5.4115554542808004</v>
      </c>
      <c r="AI65" s="9">
        <v>5.4115554542808004</v>
      </c>
      <c r="AJ65" s="9">
        <v>5.4115554542808004</v>
      </c>
      <c r="AK65" s="9">
        <v>5.4115554542808004</v>
      </c>
      <c r="AL65" s="9">
        <v>5.4115554542808004</v>
      </c>
      <c r="AM65" s="9">
        <v>5.4115554542808004</v>
      </c>
      <c r="AN65" s="10">
        <v>1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1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7">
        <f t="shared" si="0"/>
        <v>2</v>
      </c>
      <c r="BA65" s="11">
        <f t="shared" si="1"/>
        <v>0.16666666666666666</v>
      </c>
      <c r="BC65" s="12">
        <v>5.4115554542808004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5.4115554542808004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f t="shared" si="2"/>
        <v>10.823110908561601</v>
      </c>
      <c r="BP65" s="12">
        <f t="shared" si="3"/>
        <v>0.90192590904680003</v>
      </c>
      <c r="BQ65" s="7"/>
      <c r="BR65" s="7"/>
      <c r="BS65" s="7" t="s">
        <v>52</v>
      </c>
      <c r="BT65" s="7" t="s">
        <v>53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/>
    </row>
    <row r="66" spans="1:78" x14ac:dyDescent="0.35">
      <c r="A66" s="7" t="s">
        <v>42</v>
      </c>
      <c r="B66" s="7"/>
      <c r="C66" s="7" t="s">
        <v>217</v>
      </c>
      <c r="D66" s="7" t="s">
        <v>214</v>
      </c>
      <c r="E66" s="7" t="s">
        <v>218</v>
      </c>
      <c r="F66" s="7" t="s">
        <v>219</v>
      </c>
      <c r="G66" s="7" t="s">
        <v>47</v>
      </c>
      <c r="H66" s="7"/>
      <c r="I66" s="7"/>
      <c r="J66" s="7" t="s">
        <v>48</v>
      </c>
      <c r="K66" s="7" t="s">
        <v>49</v>
      </c>
      <c r="L66" s="7" t="s">
        <v>49</v>
      </c>
      <c r="M66" s="7" t="s">
        <v>49</v>
      </c>
      <c r="N66" s="7" t="s">
        <v>115</v>
      </c>
      <c r="O66" s="7" t="s">
        <v>4</v>
      </c>
      <c r="P66" s="7">
        <v>40541</v>
      </c>
      <c r="Q66" s="7">
        <v>40541</v>
      </c>
      <c r="R66" s="7">
        <v>40541</v>
      </c>
      <c r="S66" s="7">
        <v>40541</v>
      </c>
      <c r="T66" s="7">
        <v>40541</v>
      </c>
      <c r="U66" s="7">
        <v>40541</v>
      </c>
      <c r="V66" s="7">
        <v>40541</v>
      </c>
      <c r="W66" s="7">
        <v>40541</v>
      </c>
      <c r="X66" s="7">
        <v>40541</v>
      </c>
      <c r="Y66" s="7">
        <v>40541</v>
      </c>
      <c r="Z66" s="7">
        <v>40541</v>
      </c>
      <c r="AA66" s="7">
        <v>40541</v>
      </c>
      <c r="AB66" s="9">
        <v>2.5661134530908001</v>
      </c>
      <c r="AC66" s="9">
        <v>2.5661134530908001</v>
      </c>
      <c r="AD66" s="9">
        <v>2.5661134530908001</v>
      </c>
      <c r="AE66" s="9">
        <v>2.5661134530908001</v>
      </c>
      <c r="AF66" s="9">
        <v>2.5661134530908001</v>
      </c>
      <c r="AG66" s="9">
        <v>2.5661134530908001</v>
      </c>
      <c r="AH66" s="9">
        <v>2.5661134530908001</v>
      </c>
      <c r="AI66" s="9">
        <v>2.5661134530908001</v>
      </c>
      <c r="AJ66" s="9">
        <v>2.5661134530908001</v>
      </c>
      <c r="AK66" s="9">
        <v>2.5661134530908001</v>
      </c>
      <c r="AL66" s="9">
        <v>2.5661134530908001</v>
      </c>
      <c r="AM66" s="9">
        <v>2.5661134530908001</v>
      </c>
      <c r="AN66" s="10">
        <v>3</v>
      </c>
      <c r="AO66" s="10">
        <v>0</v>
      </c>
      <c r="AP66" s="10">
        <v>0</v>
      </c>
      <c r="AQ66" s="10">
        <v>3</v>
      </c>
      <c r="AR66" s="10">
        <v>0</v>
      </c>
      <c r="AS66" s="10">
        <v>0</v>
      </c>
      <c r="AT66" s="10">
        <v>3</v>
      </c>
      <c r="AU66" s="10">
        <v>0</v>
      </c>
      <c r="AV66" s="10">
        <v>0</v>
      </c>
      <c r="AW66" s="10">
        <v>3</v>
      </c>
      <c r="AX66" s="10">
        <v>0</v>
      </c>
      <c r="AY66" s="10">
        <v>0</v>
      </c>
      <c r="AZ66" s="7">
        <f t="shared" si="0"/>
        <v>12</v>
      </c>
      <c r="BA66" s="11">
        <f t="shared" si="1"/>
        <v>1</v>
      </c>
      <c r="BC66" s="12">
        <v>7.6983403592722999</v>
      </c>
      <c r="BD66" s="12">
        <v>0</v>
      </c>
      <c r="BE66" s="12">
        <v>0</v>
      </c>
      <c r="BF66" s="12">
        <v>7.6983403592722999</v>
      </c>
      <c r="BG66" s="12">
        <v>0</v>
      </c>
      <c r="BH66" s="12">
        <v>0</v>
      </c>
      <c r="BI66" s="12">
        <v>7.6983403592722999</v>
      </c>
      <c r="BJ66" s="12">
        <v>0</v>
      </c>
      <c r="BK66" s="12">
        <v>0</v>
      </c>
      <c r="BL66" s="12">
        <v>7.6983403592722999</v>
      </c>
      <c r="BM66" s="12">
        <v>0</v>
      </c>
      <c r="BN66" s="12">
        <v>0</v>
      </c>
      <c r="BO66" s="12">
        <f t="shared" si="2"/>
        <v>30.793361437089199</v>
      </c>
      <c r="BP66" s="12">
        <f t="shared" si="3"/>
        <v>2.5661134530907668</v>
      </c>
      <c r="BQ66" s="7"/>
      <c r="BR66" s="7"/>
      <c r="BS66" s="7" t="s">
        <v>52</v>
      </c>
      <c r="BT66" s="7" t="s">
        <v>53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/>
    </row>
    <row r="67" spans="1:78" x14ac:dyDescent="0.35">
      <c r="A67" s="7" t="s">
        <v>42</v>
      </c>
      <c r="B67" s="7"/>
      <c r="C67" s="7" t="s">
        <v>220</v>
      </c>
      <c r="D67" s="7" t="s">
        <v>221</v>
      </c>
      <c r="E67" s="7" t="s">
        <v>222</v>
      </c>
      <c r="F67" s="7" t="s">
        <v>223</v>
      </c>
      <c r="G67" s="7" t="s">
        <v>47</v>
      </c>
      <c r="H67" s="7"/>
      <c r="I67" s="7"/>
      <c r="J67" s="7" t="s">
        <v>48</v>
      </c>
      <c r="K67" s="7" t="s">
        <v>49</v>
      </c>
      <c r="L67" s="7" t="s">
        <v>49</v>
      </c>
      <c r="M67" s="7" t="s">
        <v>49</v>
      </c>
      <c r="N67" s="7" t="s">
        <v>224</v>
      </c>
      <c r="O67" s="7" t="s">
        <v>4</v>
      </c>
      <c r="P67" s="7">
        <v>5405</v>
      </c>
      <c r="Q67" s="7">
        <v>5405</v>
      </c>
      <c r="R67" s="7">
        <v>5405</v>
      </c>
      <c r="S67" s="7">
        <v>5405</v>
      </c>
      <c r="T67" s="7">
        <v>5405</v>
      </c>
      <c r="U67" s="7">
        <v>5405</v>
      </c>
      <c r="V67" s="7">
        <v>5405</v>
      </c>
      <c r="W67" s="7">
        <v>5405</v>
      </c>
      <c r="X67" s="7">
        <v>5405</v>
      </c>
      <c r="Y67" s="7">
        <v>5405</v>
      </c>
      <c r="Z67" s="7">
        <v>5405</v>
      </c>
      <c r="AA67" s="7">
        <v>5405</v>
      </c>
      <c r="AB67" s="9">
        <v>0.34211892192978999</v>
      </c>
      <c r="AC67" s="9">
        <v>0.34211892192978999</v>
      </c>
      <c r="AD67" s="9">
        <v>0.34211892192978999</v>
      </c>
      <c r="AE67" s="9">
        <v>0.34211892192978999</v>
      </c>
      <c r="AF67" s="9">
        <v>0.34211892192978999</v>
      </c>
      <c r="AG67" s="9">
        <v>0.34211892192978999</v>
      </c>
      <c r="AH67" s="9">
        <v>0.34211892192978999</v>
      </c>
      <c r="AI67" s="9">
        <v>0.34211892192978999</v>
      </c>
      <c r="AJ67" s="9">
        <v>0.34211892192978999</v>
      </c>
      <c r="AK67" s="9">
        <v>0.34211892192978999</v>
      </c>
      <c r="AL67" s="9">
        <v>0.34211892192978999</v>
      </c>
      <c r="AM67" s="9">
        <v>0.34211892192978999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1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7">
        <f t="shared" si="0"/>
        <v>1</v>
      </c>
      <c r="BA67" s="11">
        <f t="shared" si="1"/>
        <v>8.3333333333333329E-2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0.34211892192978999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f t="shared" si="2"/>
        <v>0.34211892192978999</v>
      </c>
      <c r="BP67" s="12">
        <f t="shared" si="3"/>
        <v>2.8509910160815832E-2</v>
      </c>
      <c r="BQ67" s="7"/>
      <c r="BR67" s="7"/>
      <c r="BS67" s="7" t="s">
        <v>52</v>
      </c>
      <c r="BT67" s="7" t="s">
        <v>53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/>
    </row>
    <row r="68" spans="1:78" x14ac:dyDescent="0.35">
      <c r="A68" s="7" t="s">
        <v>42</v>
      </c>
      <c r="B68" s="7"/>
      <c r="C68" s="7" t="s">
        <v>225</v>
      </c>
      <c r="D68" s="7" t="s">
        <v>226</v>
      </c>
      <c r="E68" s="7" t="s">
        <v>227</v>
      </c>
      <c r="F68" s="7" t="s">
        <v>228</v>
      </c>
      <c r="G68" s="7" t="s">
        <v>47</v>
      </c>
      <c r="H68" s="7"/>
      <c r="I68" s="7"/>
      <c r="J68" s="7" t="s">
        <v>48</v>
      </c>
      <c r="K68" s="7" t="s">
        <v>49</v>
      </c>
      <c r="L68" s="7" t="s">
        <v>49</v>
      </c>
      <c r="M68" s="7" t="s">
        <v>49</v>
      </c>
      <c r="N68" s="7" t="s">
        <v>50</v>
      </c>
      <c r="O68" s="7" t="s">
        <v>4</v>
      </c>
      <c r="P68" s="7">
        <v>2477</v>
      </c>
      <c r="Q68" s="7">
        <v>2477</v>
      </c>
      <c r="R68" s="7">
        <v>2477</v>
      </c>
      <c r="S68" s="7">
        <v>2477</v>
      </c>
      <c r="T68" s="7">
        <v>2477</v>
      </c>
      <c r="U68" s="7">
        <v>2477</v>
      </c>
      <c r="V68" s="7">
        <v>2477</v>
      </c>
      <c r="W68" s="7">
        <v>2477</v>
      </c>
      <c r="X68" s="7">
        <v>2477</v>
      </c>
      <c r="Y68" s="7">
        <v>2477</v>
      </c>
      <c r="Z68" s="7">
        <v>2477</v>
      </c>
      <c r="AA68" s="7">
        <v>2477</v>
      </c>
      <c r="AB68" s="9">
        <v>0.15678604433304</v>
      </c>
      <c r="AC68" s="9">
        <v>0.15678604433304</v>
      </c>
      <c r="AD68" s="9">
        <v>0.15678604433304</v>
      </c>
      <c r="AE68" s="9">
        <v>0.15678604433304</v>
      </c>
      <c r="AF68" s="9">
        <v>0.15678604433304</v>
      </c>
      <c r="AG68" s="9">
        <v>0.15678604433304</v>
      </c>
      <c r="AH68" s="9">
        <v>0.15678604433304</v>
      </c>
      <c r="AI68" s="9">
        <v>0.15678604433304</v>
      </c>
      <c r="AJ68" s="9">
        <v>0.15678604433304</v>
      </c>
      <c r="AK68" s="9">
        <v>0.15678604433304</v>
      </c>
      <c r="AL68" s="9">
        <v>0.15678604433304</v>
      </c>
      <c r="AM68" s="9">
        <v>0.15678604433304</v>
      </c>
      <c r="AN68" s="10">
        <v>0</v>
      </c>
      <c r="AO68" s="10">
        <v>0</v>
      </c>
      <c r="AP68" s="10">
        <v>3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7">
        <f t="shared" si="0"/>
        <v>3</v>
      </c>
      <c r="BA68" s="11">
        <f t="shared" si="1"/>
        <v>0.25</v>
      </c>
      <c r="BC68" s="12">
        <v>0</v>
      </c>
      <c r="BD68" s="12">
        <v>0</v>
      </c>
      <c r="BE68" s="12">
        <v>0.47035813299912999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f t="shared" si="2"/>
        <v>0.47035813299912999</v>
      </c>
      <c r="BP68" s="12">
        <f t="shared" si="3"/>
        <v>3.9196511083260832E-2</v>
      </c>
      <c r="BQ68" s="7"/>
      <c r="BR68" s="7"/>
      <c r="BS68" s="7" t="s">
        <v>52</v>
      </c>
      <c r="BT68" s="7" t="s">
        <v>53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/>
    </row>
    <row r="69" spans="1:78" x14ac:dyDescent="0.35">
      <c r="A69" s="7" t="s">
        <v>42</v>
      </c>
      <c r="B69" s="7"/>
      <c r="C69" s="7" t="s">
        <v>229</v>
      </c>
      <c r="D69" s="7" t="s">
        <v>230</v>
      </c>
      <c r="E69" s="7" t="s">
        <v>231</v>
      </c>
      <c r="F69" s="7" t="s">
        <v>232</v>
      </c>
      <c r="G69" s="7" t="s">
        <v>47</v>
      </c>
      <c r="H69" s="7"/>
      <c r="I69" s="7"/>
      <c r="J69" s="7" t="s">
        <v>48</v>
      </c>
      <c r="K69" s="7" t="s">
        <v>49</v>
      </c>
      <c r="L69" s="7" t="s">
        <v>49</v>
      </c>
      <c r="M69" s="7" t="s">
        <v>49</v>
      </c>
      <c r="N69" s="7" t="s">
        <v>50</v>
      </c>
      <c r="O69" s="7" t="s">
        <v>4</v>
      </c>
      <c r="P69" s="7">
        <v>15045</v>
      </c>
      <c r="Q69" s="7">
        <v>15045</v>
      </c>
      <c r="R69" s="7">
        <v>15045</v>
      </c>
      <c r="S69" s="7">
        <v>15045</v>
      </c>
      <c r="T69" s="7">
        <v>15045</v>
      </c>
      <c r="U69" s="7">
        <v>15045</v>
      </c>
      <c r="V69" s="7">
        <v>15045</v>
      </c>
      <c r="W69" s="7">
        <v>15045</v>
      </c>
      <c r="X69" s="7">
        <v>15045</v>
      </c>
      <c r="Y69" s="7">
        <v>15045</v>
      </c>
      <c r="Z69" s="7">
        <v>15045</v>
      </c>
      <c r="AA69" s="7">
        <v>15045</v>
      </c>
      <c r="AB69" s="9">
        <v>0.95229957084804995</v>
      </c>
      <c r="AC69" s="9">
        <v>0.95229957084804995</v>
      </c>
      <c r="AD69" s="9">
        <v>0.95229957084804995</v>
      </c>
      <c r="AE69" s="9">
        <v>0.95229957084804995</v>
      </c>
      <c r="AF69" s="9">
        <v>0.95229957084804995</v>
      </c>
      <c r="AG69" s="9">
        <v>0.95229957084804995</v>
      </c>
      <c r="AH69" s="9">
        <v>0.95229957084804995</v>
      </c>
      <c r="AI69" s="9">
        <v>0.95229957084804995</v>
      </c>
      <c r="AJ69" s="9">
        <v>0.95229957084804995</v>
      </c>
      <c r="AK69" s="9">
        <v>0.95229957084804995</v>
      </c>
      <c r="AL69" s="9">
        <v>0.95229957084804995</v>
      </c>
      <c r="AM69" s="9">
        <v>0.95229957084804995</v>
      </c>
      <c r="AN69" s="10">
        <v>0</v>
      </c>
      <c r="AO69" s="10">
        <v>1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1</v>
      </c>
      <c r="AV69" s="10">
        <v>0</v>
      </c>
      <c r="AW69" s="10">
        <v>0</v>
      </c>
      <c r="AX69" s="10">
        <v>0</v>
      </c>
      <c r="AY69" s="10">
        <v>0</v>
      </c>
      <c r="AZ69" s="7">
        <f t="shared" si="0"/>
        <v>2</v>
      </c>
      <c r="BA69" s="11">
        <f t="shared" si="1"/>
        <v>0.16666666666666666</v>
      </c>
      <c r="BC69" s="12">
        <v>0</v>
      </c>
      <c r="BD69" s="12">
        <v>0.95229957084804995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0.95229957084804995</v>
      </c>
      <c r="BK69" s="12">
        <v>0</v>
      </c>
      <c r="BL69" s="12">
        <v>0</v>
      </c>
      <c r="BM69" s="12">
        <v>0</v>
      </c>
      <c r="BN69" s="12">
        <v>0</v>
      </c>
      <c r="BO69" s="12">
        <f t="shared" si="2"/>
        <v>1.9045991416960999</v>
      </c>
      <c r="BP69" s="12">
        <f t="shared" si="3"/>
        <v>0.15871659514134165</v>
      </c>
      <c r="BQ69" s="7"/>
      <c r="BR69" s="7"/>
      <c r="BS69" s="7" t="s">
        <v>52</v>
      </c>
      <c r="BT69" s="7" t="s">
        <v>53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/>
    </row>
    <row r="70" spans="1:78" x14ac:dyDescent="0.35">
      <c r="A70" s="7" t="s">
        <v>42</v>
      </c>
      <c r="B70" s="7"/>
      <c r="C70" s="7" t="s">
        <v>233</v>
      </c>
      <c r="D70" s="7" t="s">
        <v>234</v>
      </c>
      <c r="E70" s="7" t="s">
        <v>235</v>
      </c>
      <c r="F70" s="7" t="s">
        <v>236</v>
      </c>
      <c r="G70" s="7" t="s">
        <v>47</v>
      </c>
      <c r="H70" s="7"/>
      <c r="I70" s="7"/>
      <c r="J70" s="7" t="s">
        <v>48</v>
      </c>
      <c r="K70" s="7" t="s">
        <v>49</v>
      </c>
      <c r="L70" s="7" t="s">
        <v>49</v>
      </c>
      <c r="M70" s="7" t="s">
        <v>49</v>
      </c>
      <c r="N70" s="7" t="s">
        <v>64</v>
      </c>
      <c r="O70" s="7" t="s">
        <v>4</v>
      </c>
      <c r="P70" s="7">
        <v>49077</v>
      </c>
      <c r="Q70" s="7">
        <v>49077</v>
      </c>
      <c r="R70" s="7">
        <v>49077</v>
      </c>
      <c r="S70" s="7">
        <v>49077</v>
      </c>
      <c r="T70" s="7">
        <v>49077</v>
      </c>
      <c r="U70" s="7">
        <v>49077</v>
      </c>
      <c r="V70" s="7">
        <v>49077</v>
      </c>
      <c r="W70" s="7">
        <v>49077</v>
      </c>
      <c r="X70" s="7">
        <v>49077</v>
      </c>
      <c r="Y70" s="7">
        <v>49077</v>
      </c>
      <c r="Z70" s="7">
        <v>49077</v>
      </c>
      <c r="AA70" s="7">
        <v>49077</v>
      </c>
      <c r="AB70" s="9">
        <v>3.1064144924233998</v>
      </c>
      <c r="AC70" s="9">
        <v>3.1064144924233998</v>
      </c>
      <c r="AD70" s="9">
        <v>3.1064144924233998</v>
      </c>
      <c r="AE70" s="9">
        <v>3.1064144924233998</v>
      </c>
      <c r="AF70" s="9">
        <v>3.1064144924233998</v>
      </c>
      <c r="AG70" s="9">
        <v>3.1064144924233998</v>
      </c>
      <c r="AH70" s="9">
        <v>3.1064144924233998</v>
      </c>
      <c r="AI70" s="9">
        <v>3.1064144924233998</v>
      </c>
      <c r="AJ70" s="9">
        <v>3.1064144924233998</v>
      </c>
      <c r="AK70" s="9">
        <v>3.1064144924233998</v>
      </c>
      <c r="AL70" s="9">
        <v>3.1064144924233998</v>
      </c>
      <c r="AM70" s="9">
        <v>3.1064144924233998</v>
      </c>
      <c r="AN70" s="10">
        <v>0</v>
      </c>
      <c r="AO70" s="10">
        <v>1</v>
      </c>
      <c r="AP70" s="10">
        <v>0</v>
      </c>
      <c r="AQ70" s="10">
        <v>0</v>
      </c>
      <c r="AR70" s="10">
        <v>0</v>
      </c>
      <c r="AS70" s="10">
        <v>1</v>
      </c>
      <c r="AT70" s="10">
        <v>0</v>
      </c>
      <c r="AU70" s="10">
        <v>0</v>
      </c>
      <c r="AV70" s="10">
        <v>0</v>
      </c>
      <c r="AW70" s="10">
        <v>1</v>
      </c>
      <c r="AX70" s="10">
        <v>0</v>
      </c>
      <c r="AY70" s="10">
        <v>0</v>
      </c>
      <c r="AZ70" s="7">
        <f t="shared" si="0"/>
        <v>3</v>
      </c>
      <c r="BA70" s="11">
        <f t="shared" si="1"/>
        <v>0.25</v>
      </c>
      <c r="BC70" s="12">
        <v>0</v>
      </c>
      <c r="BD70" s="12">
        <v>3.1064144924233998</v>
      </c>
      <c r="BE70" s="12">
        <v>0</v>
      </c>
      <c r="BF70" s="12">
        <v>0</v>
      </c>
      <c r="BG70" s="12">
        <v>0</v>
      </c>
      <c r="BH70" s="12">
        <v>3.1064144924233998</v>
      </c>
      <c r="BI70" s="12">
        <v>0</v>
      </c>
      <c r="BJ70" s="12">
        <v>0</v>
      </c>
      <c r="BK70" s="12">
        <v>0</v>
      </c>
      <c r="BL70" s="12">
        <v>3.1064144924233998</v>
      </c>
      <c r="BM70" s="12">
        <v>0</v>
      </c>
      <c r="BN70" s="12">
        <v>0</v>
      </c>
      <c r="BO70" s="12">
        <f t="shared" si="2"/>
        <v>9.3192434772701986</v>
      </c>
      <c r="BP70" s="12">
        <f t="shared" si="3"/>
        <v>0.77660362310584985</v>
      </c>
      <c r="BQ70" s="7"/>
      <c r="BR70" s="7"/>
      <c r="BS70" s="7" t="s">
        <v>52</v>
      </c>
      <c r="BT70" s="7" t="s">
        <v>53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/>
    </row>
    <row r="71" spans="1:78" x14ac:dyDescent="0.35">
      <c r="A71" s="7" t="s">
        <v>42</v>
      </c>
      <c r="B71" s="7"/>
      <c r="C71" s="7" t="s">
        <v>160</v>
      </c>
      <c r="D71" s="7" t="s">
        <v>161</v>
      </c>
      <c r="E71" s="7" t="s">
        <v>162</v>
      </c>
      <c r="F71" s="7" t="s">
        <v>237</v>
      </c>
      <c r="G71" s="7" t="s">
        <v>47</v>
      </c>
      <c r="H71" s="7"/>
      <c r="I71" s="7"/>
      <c r="J71" s="7" t="s">
        <v>48</v>
      </c>
      <c r="K71" s="7" t="s">
        <v>49</v>
      </c>
      <c r="L71" s="7" t="s">
        <v>49</v>
      </c>
      <c r="M71" s="7" t="s">
        <v>49</v>
      </c>
      <c r="N71" s="7" t="s">
        <v>100</v>
      </c>
      <c r="O71" s="7" t="s">
        <v>4</v>
      </c>
      <c r="P71" s="7">
        <v>50000</v>
      </c>
      <c r="Q71" s="7">
        <v>50000</v>
      </c>
      <c r="R71" s="7">
        <v>50000</v>
      </c>
      <c r="S71" s="7">
        <v>50000</v>
      </c>
      <c r="T71" s="7">
        <v>50000</v>
      </c>
      <c r="U71" s="7">
        <v>50000</v>
      </c>
      <c r="V71" s="7">
        <v>50000</v>
      </c>
      <c r="W71" s="7">
        <v>50000</v>
      </c>
      <c r="X71" s="7">
        <v>50000</v>
      </c>
      <c r="Y71" s="7">
        <v>50000</v>
      </c>
      <c r="Z71" s="7">
        <v>50000</v>
      </c>
      <c r="AA71" s="7">
        <v>50000</v>
      </c>
      <c r="AB71" s="9">
        <v>3.1648373906548999</v>
      </c>
      <c r="AC71" s="9">
        <v>3.1648373906548999</v>
      </c>
      <c r="AD71" s="9">
        <v>3.1648373906548999</v>
      </c>
      <c r="AE71" s="9">
        <v>3.1648373906548999</v>
      </c>
      <c r="AF71" s="9">
        <v>3.1648373906548999</v>
      </c>
      <c r="AG71" s="9">
        <v>3.1648373906548999</v>
      </c>
      <c r="AH71" s="9">
        <v>3.1648373906548999</v>
      </c>
      <c r="AI71" s="9">
        <v>3.1648373906548999</v>
      </c>
      <c r="AJ71" s="9">
        <v>3.1648373906548999</v>
      </c>
      <c r="AK71" s="9">
        <v>3.1648373906548999</v>
      </c>
      <c r="AL71" s="9">
        <v>3.1648373906548999</v>
      </c>
      <c r="AM71" s="9">
        <v>3.1648373906548999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70</v>
      </c>
      <c r="AY71" s="10">
        <v>0</v>
      </c>
      <c r="AZ71" s="7">
        <f t="shared" si="0"/>
        <v>70</v>
      </c>
      <c r="BA71" s="11">
        <f t="shared" si="1"/>
        <v>5.833333333333333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221.53861734584001</v>
      </c>
      <c r="BN71" s="12">
        <v>0</v>
      </c>
      <c r="BO71" s="12">
        <f t="shared" si="2"/>
        <v>221.53861734584001</v>
      </c>
      <c r="BP71" s="12">
        <f t="shared" si="3"/>
        <v>18.461551445486666</v>
      </c>
      <c r="BQ71" s="7"/>
      <c r="BR71" s="7"/>
      <c r="BS71" s="7" t="s">
        <v>95</v>
      </c>
      <c r="BT71" s="7" t="s">
        <v>53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/>
    </row>
    <row r="72" spans="1:78" x14ac:dyDescent="0.35">
      <c r="A72" s="7" t="s">
        <v>42</v>
      </c>
      <c r="B72" s="7"/>
      <c r="C72" s="7" t="s">
        <v>238</v>
      </c>
      <c r="D72" s="7" t="s">
        <v>104</v>
      </c>
      <c r="E72" s="7" t="s">
        <v>239</v>
      </c>
      <c r="F72" s="7" t="s">
        <v>108</v>
      </c>
      <c r="G72" s="7" t="s">
        <v>47</v>
      </c>
      <c r="H72" s="7"/>
      <c r="I72" s="7"/>
      <c r="J72" s="7" t="s">
        <v>48</v>
      </c>
      <c r="K72" s="7" t="s">
        <v>49</v>
      </c>
      <c r="L72" s="7" t="s">
        <v>49</v>
      </c>
      <c r="M72" s="7" t="s">
        <v>49</v>
      </c>
      <c r="N72" s="7" t="s">
        <v>100</v>
      </c>
      <c r="O72" s="7" t="s">
        <v>6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10">
        <v>1</v>
      </c>
      <c r="AO72" s="10">
        <v>1</v>
      </c>
      <c r="AP72" s="10">
        <v>1</v>
      </c>
      <c r="AQ72" s="10">
        <v>1</v>
      </c>
      <c r="AR72" s="10">
        <v>1</v>
      </c>
      <c r="AS72" s="10">
        <v>1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7">
        <f t="shared" si="0"/>
        <v>6</v>
      </c>
      <c r="BA72" s="11">
        <f t="shared" si="1"/>
        <v>0.5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f t="shared" si="2"/>
        <v>0</v>
      </c>
      <c r="BP72" s="12">
        <f t="shared" si="3"/>
        <v>0</v>
      </c>
      <c r="BQ72" s="7"/>
      <c r="BR72" s="7"/>
      <c r="BS72" s="7" t="s">
        <v>95</v>
      </c>
      <c r="BT72" s="7" t="s">
        <v>53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/>
    </row>
    <row r="73" spans="1:78" x14ac:dyDescent="0.35">
      <c r="A73" s="7" t="s">
        <v>42</v>
      </c>
      <c r="B73" s="7"/>
      <c r="C73" s="7" t="s">
        <v>238</v>
      </c>
      <c r="D73" s="7" t="s">
        <v>104</v>
      </c>
      <c r="E73" s="7" t="s">
        <v>239</v>
      </c>
      <c r="F73" s="7" t="s">
        <v>102</v>
      </c>
      <c r="G73" s="7" t="s">
        <v>47</v>
      </c>
      <c r="H73" s="7"/>
      <c r="I73" s="7"/>
      <c r="J73" s="7" t="s">
        <v>48</v>
      </c>
      <c r="K73" s="7" t="s">
        <v>49</v>
      </c>
      <c r="L73" s="7" t="s">
        <v>49</v>
      </c>
      <c r="M73" s="7" t="s">
        <v>49</v>
      </c>
      <c r="N73" s="7" t="s">
        <v>100</v>
      </c>
      <c r="O73" s="7" t="s">
        <v>6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1</v>
      </c>
      <c r="AU73" s="10">
        <v>1</v>
      </c>
      <c r="AV73" s="10">
        <v>1</v>
      </c>
      <c r="AW73" s="10">
        <v>1</v>
      </c>
      <c r="AX73" s="10">
        <v>1</v>
      </c>
      <c r="AY73" s="10">
        <v>1</v>
      </c>
      <c r="AZ73" s="7">
        <f t="shared" si="0"/>
        <v>6</v>
      </c>
      <c r="BA73" s="11">
        <f t="shared" si="1"/>
        <v>0.5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f t="shared" si="2"/>
        <v>0</v>
      </c>
      <c r="BP73" s="12">
        <f t="shared" si="3"/>
        <v>0</v>
      </c>
      <c r="BQ73" s="7"/>
      <c r="BR73" s="7"/>
      <c r="BS73" s="7" t="s">
        <v>95</v>
      </c>
      <c r="BT73" s="7" t="s">
        <v>53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/>
    </row>
    <row r="74" spans="1:78" x14ac:dyDescent="0.35">
      <c r="A74" s="7" t="s">
        <v>42</v>
      </c>
      <c r="B74" s="7"/>
      <c r="C74" s="7" t="s">
        <v>103</v>
      </c>
      <c r="D74" s="7" t="s">
        <v>104</v>
      </c>
      <c r="E74" s="7" t="s">
        <v>105</v>
      </c>
      <c r="F74" s="7" t="s">
        <v>108</v>
      </c>
      <c r="G74" s="7" t="s">
        <v>47</v>
      </c>
      <c r="H74" s="7"/>
      <c r="I74" s="7"/>
      <c r="J74" s="7" t="s">
        <v>48</v>
      </c>
      <c r="K74" s="7" t="s">
        <v>49</v>
      </c>
      <c r="L74" s="7" t="s">
        <v>49</v>
      </c>
      <c r="M74" s="7" t="s">
        <v>49</v>
      </c>
      <c r="N74" s="7" t="s">
        <v>100</v>
      </c>
      <c r="O74" s="7" t="s">
        <v>6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10">
        <v>1</v>
      </c>
      <c r="AO74" s="10">
        <v>1</v>
      </c>
      <c r="AP74" s="10">
        <v>1</v>
      </c>
      <c r="AQ74" s="10">
        <v>1</v>
      </c>
      <c r="AR74" s="10">
        <v>1</v>
      </c>
      <c r="AS74" s="10">
        <v>1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7">
        <f t="shared" si="0"/>
        <v>6</v>
      </c>
      <c r="BA74" s="11">
        <f t="shared" si="1"/>
        <v>0.5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f t="shared" si="2"/>
        <v>0</v>
      </c>
      <c r="BP74" s="12">
        <f t="shared" si="3"/>
        <v>0</v>
      </c>
      <c r="BQ74" s="7"/>
      <c r="BR74" s="7"/>
      <c r="BS74" s="7" t="s">
        <v>95</v>
      </c>
      <c r="BT74" s="7" t="s">
        <v>53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/>
    </row>
    <row r="75" spans="1:78" x14ac:dyDescent="0.35">
      <c r="A75" s="7" t="s">
        <v>42</v>
      </c>
      <c r="B75" s="7"/>
      <c r="C75" s="7" t="s">
        <v>240</v>
      </c>
      <c r="D75" s="7" t="s">
        <v>121</v>
      </c>
      <c r="E75" s="7" t="s">
        <v>241</v>
      </c>
      <c r="F75" s="7" t="s">
        <v>237</v>
      </c>
      <c r="G75" s="7" t="s">
        <v>47</v>
      </c>
      <c r="H75" s="7"/>
      <c r="I75" s="7"/>
      <c r="J75" s="7" t="s">
        <v>48</v>
      </c>
      <c r="K75" s="7" t="s">
        <v>49</v>
      </c>
      <c r="L75" s="7" t="s">
        <v>49</v>
      </c>
      <c r="M75" s="7" t="s">
        <v>49</v>
      </c>
      <c r="N75" s="7" t="s">
        <v>242</v>
      </c>
      <c r="O75" s="7" t="s">
        <v>4</v>
      </c>
      <c r="P75" s="7">
        <v>205000</v>
      </c>
      <c r="Q75" s="7">
        <v>205000</v>
      </c>
      <c r="R75" s="7">
        <v>205000</v>
      </c>
      <c r="S75" s="7">
        <v>205000</v>
      </c>
      <c r="T75" s="7">
        <v>205000</v>
      </c>
      <c r="U75" s="7">
        <v>205000</v>
      </c>
      <c r="V75" s="7">
        <v>205000</v>
      </c>
      <c r="W75" s="7">
        <v>205000</v>
      </c>
      <c r="X75" s="7">
        <v>205000</v>
      </c>
      <c r="Y75" s="7">
        <v>205000</v>
      </c>
      <c r="Z75" s="7">
        <v>205000</v>
      </c>
      <c r="AA75" s="7">
        <v>205000</v>
      </c>
      <c r="AB75" s="9">
        <v>12.975833301685</v>
      </c>
      <c r="AC75" s="9">
        <v>12.975833301685</v>
      </c>
      <c r="AD75" s="9">
        <v>12.975833301685</v>
      </c>
      <c r="AE75" s="9">
        <v>12.975833301685</v>
      </c>
      <c r="AF75" s="9">
        <v>12.975833301685</v>
      </c>
      <c r="AG75" s="9">
        <v>12.975833301685</v>
      </c>
      <c r="AH75" s="9">
        <v>12.975833301685</v>
      </c>
      <c r="AI75" s="9">
        <v>12.975833301685</v>
      </c>
      <c r="AJ75" s="9">
        <v>12.975833301685</v>
      </c>
      <c r="AK75" s="9">
        <v>12.975833301685</v>
      </c>
      <c r="AL75" s="9">
        <v>12.975833301685</v>
      </c>
      <c r="AM75" s="9">
        <v>12.975833301685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1</v>
      </c>
      <c r="AY75" s="10">
        <v>0</v>
      </c>
      <c r="AZ75" s="7">
        <f t="shared" si="0"/>
        <v>1</v>
      </c>
      <c r="BA75" s="11">
        <f t="shared" si="1"/>
        <v>8.3333333333333329E-2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12.975833301685</v>
      </c>
      <c r="BN75" s="12">
        <v>0</v>
      </c>
      <c r="BO75" s="12">
        <f t="shared" si="2"/>
        <v>12.975833301685</v>
      </c>
      <c r="BP75" s="12">
        <f t="shared" si="3"/>
        <v>1.0813194418070833</v>
      </c>
      <c r="BQ75" s="7"/>
      <c r="BR75" s="7"/>
      <c r="BS75" s="7" t="s">
        <v>95</v>
      </c>
      <c r="BT75" s="7" t="s">
        <v>53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/>
    </row>
    <row r="76" spans="1:78" x14ac:dyDescent="0.35">
      <c r="A76" s="7" t="s">
        <v>42</v>
      </c>
      <c r="B76" s="7"/>
      <c r="C76" s="7" t="s">
        <v>243</v>
      </c>
      <c r="D76" s="7" t="s">
        <v>121</v>
      </c>
      <c r="E76" s="7" t="s">
        <v>244</v>
      </c>
      <c r="F76" s="7" t="s">
        <v>237</v>
      </c>
      <c r="G76" s="7" t="s">
        <v>47</v>
      </c>
      <c r="H76" s="7"/>
      <c r="I76" s="7"/>
      <c r="J76" s="7" t="s">
        <v>48</v>
      </c>
      <c r="K76" s="7" t="s">
        <v>49</v>
      </c>
      <c r="L76" s="7" t="s">
        <v>49</v>
      </c>
      <c r="M76" s="7" t="s">
        <v>49</v>
      </c>
      <c r="N76" s="7" t="s">
        <v>245</v>
      </c>
      <c r="O76" s="7" t="s">
        <v>4</v>
      </c>
      <c r="P76" s="7">
        <v>512500</v>
      </c>
      <c r="Q76" s="7">
        <v>512500</v>
      </c>
      <c r="R76" s="7">
        <v>512500</v>
      </c>
      <c r="S76" s="7">
        <v>512500</v>
      </c>
      <c r="T76" s="7">
        <v>512500</v>
      </c>
      <c r="U76" s="7">
        <v>512500</v>
      </c>
      <c r="V76" s="7">
        <v>512500</v>
      </c>
      <c r="W76" s="7">
        <v>512500</v>
      </c>
      <c r="X76" s="7">
        <v>512500</v>
      </c>
      <c r="Y76" s="7">
        <v>512500</v>
      </c>
      <c r="Z76" s="7">
        <v>512500</v>
      </c>
      <c r="AA76" s="7">
        <v>512500</v>
      </c>
      <c r="AB76" s="9">
        <v>32.439583254212003</v>
      </c>
      <c r="AC76" s="9">
        <v>32.439583254212003</v>
      </c>
      <c r="AD76" s="9">
        <v>32.439583254212003</v>
      </c>
      <c r="AE76" s="9">
        <v>32.439583254212003</v>
      </c>
      <c r="AF76" s="9">
        <v>32.439583254212003</v>
      </c>
      <c r="AG76" s="9">
        <v>32.439583254212003</v>
      </c>
      <c r="AH76" s="9">
        <v>32.439583254212003</v>
      </c>
      <c r="AI76" s="9">
        <v>32.439583254212003</v>
      </c>
      <c r="AJ76" s="9">
        <v>32.439583254212003</v>
      </c>
      <c r="AK76" s="9">
        <v>32.439583254212003</v>
      </c>
      <c r="AL76" s="9">
        <v>32.439583254212003</v>
      </c>
      <c r="AM76" s="9">
        <v>32.439583254212003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>
        <v>0</v>
      </c>
      <c r="AU76" s="10">
        <v>0</v>
      </c>
      <c r="AV76" s="10">
        <v>0</v>
      </c>
      <c r="AW76" s="10">
        <v>0</v>
      </c>
      <c r="AX76" s="10">
        <v>1</v>
      </c>
      <c r="AY76" s="10">
        <v>0</v>
      </c>
      <c r="AZ76" s="7">
        <f t="shared" ref="AZ76:AZ139" si="4">SUM(AN76:AY76)</f>
        <v>1</v>
      </c>
      <c r="BA76" s="11">
        <f t="shared" ref="BA76:BA139" si="5">AZ76/12</f>
        <v>8.3333333333333329E-2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32.439583254212003</v>
      </c>
      <c r="BN76" s="12">
        <v>0</v>
      </c>
      <c r="BO76" s="12">
        <f t="shared" ref="BO76:BO139" si="6">SUM(BC76:BN76)</f>
        <v>32.439583254212003</v>
      </c>
      <c r="BP76" s="12">
        <f t="shared" ref="BP76:BP139" si="7">BO76/12</f>
        <v>2.7032986045176668</v>
      </c>
      <c r="BQ76" s="7"/>
      <c r="BR76" s="7"/>
      <c r="BS76" s="7" t="s">
        <v>95</v>
      </c>
      <c r="BT76" s="7" t="s">
        <v>53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/>
    </row>
    <row r="77" spans="1:78" x14ac:dyDescent="0.35">
      <c r="A77" s="7" t="s">
        <v>42</v>
      </c>
      <c r="B77" s="7"/>
      <c r="C77" s="7" t="s">
        <v>246</v>
      </c>
      <c r="D77" s="7" t="s">
        <v>121</v>
      </c>
      <c r="E77" s="7" t="s">
        <v>247</v>
      </c>
      <c r="F77" s="7" t="s">
        <v>237</v>
      </c>
      <c r="G77" s="7" t="s">
        <v>47</v>
      </c>
      <c r="H77" s="7"/>
      <c r="I77" s="7"/>
      <c r="J77" s="7" t="s">
        <v>48</v>
      </c>
      <c r="K77" s="7" t="s">
        <v>49</v>
      </c>
      <c r="L77" s="7" t="s">
        <v>49</v>
      </c>
      <c r="M77" s="7" t="s">
        <v>49</v>
      </c>
      <c r="N77" s="7" t="s">
        <v>245</v>
      </c>
      <c r="O77" s="7" t="s">
        <v>4</v>
      </c>
      <c r="P77" s="7">
        <v>410000</v>
      </c>
      <c r="Q77" s="7">
        <v>410000</v>
      </c>
      <c r="R77" s="7">
        <v>410000</v>
      </c>
      <c r="S77" s="7">
        <v>410000</v>
      </c>
      <c r="T77" s="7">
        <v>410000</v>
      </c>
      <c r="U77" s="7">
        <v>410000</v>
      </c>
      <c r="V77" s="7">
        <v>410000</v>
      </c>
      <c r="W77" s="7">
        <v>410000</v>
      </c>
      <c r="X77" s="7">
        <v>410000</v>
      </c>
      <c r="Y77" s="7">
        <v>410000</v>
      </c>
      <c r="Z77" s="7">
        <v>410000</v>
      </c>
      <c r="AA77" s="7">
        <v>410000</v>
      </c>
      <c r="AB77" s="9">
        <v>25.951666603370001</v>
      </c>
      <c r="AC77" s="9">
        <v>25.951666603370001</v>
      </c>
      <c r="AD77" s="9">
        <v>25.951666603370001</v>
      </c>
      <c r="AE77" s="9">
        <v>25.951666603370001</v>
      </c>
      <c r="AF77" s="9">
        <v>25.951666603370001</v>
      </c>
      <c r="AG77" s="9">
        <v>25.951666603370001</v>
      </c>
      <c r="AH77" s="9">
        <v>25.951666603370001</v>
      </c>
      <c r="AI77" s="9">
        <v>25.951666603370001</v>
      </c>
      <c r="AJ77" s="9">
        <v>25.951666603370001</v>
      </c>
      <c r="AK77" s="9">
        <v>25.951666603370001</v>
      </c>
      <c r="AL77" s="9">
        <v>25.951666603370001</v>
      </c>
      <c r="AM77" s="9">
        <v>25.951666603370001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10">
        <v>1</v>
      </c>
      <c r="AY77" s="10">
        <v>0</v>
      </c>
      <c r="AZ77" s="7">
        <f t="shared" si="4"/>
        <v>1</v>
      </c>
      <c r="BA77" s="11">
        <f t="shared" si="5"/>
        <v>8.3333333333333329E-2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25.951666603370001</v>
      </c>
      <c r="BN77" s="12">
        <v>0</v>
      </c>
      <c r="BO77" s="12">
        <f t="shared" si="6"/>
        <v>25.951666603370001</v>
      </c>
      <c r="BP77" s="12">
        <f t="shared" si="7"/>
        <v>2.1626388836141666</v>
      </c>
      <c r="BQ77" s="7"/>
      <c r="BR77" s="7"/>
      <c r="BS77" s="7" t="s">
        <v>95</v>
      </c>
      <c r="BT77" s="7" t="s">
        <v>53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/>
    </row>
    <row r="78" spans="1:78" x14ac:dyDescent="0.35">
      <c r="A78" s="7" t="s">
        <v>42</v>
      </c>
      <c r="B78" s="7"/>
      <c r="C78" s="7" t="s">
        <v>248</v>
      </c>
      <c r="D78" s="7" t="s">
        <v>121</v>
      </c>
      <c r="E78" s="7" t="s">
        <v>249</v>
      </c>
      <c r="F78" s="7" t="s">
        <v>237</v>
      </c>
      <c r="G78" s="7" t="s">
        <v>47</v>
      </c>
      <c r="H78" s="7"/>
      <c r="I78" s="7"/>
      <c r="J78" s="7" t="s">
        <v>48</v>
      </c>
      <c r="K78" s="7" t="s">
        <v>49</v>
      </c>
      <c r="L78" s="7" t="s">
        <v>49</v>
      </c>
      <c r="M78" s="7" t="s">
        <v>49</v>
      </c>
      <c r="N78" s="7" t="s">
        <v>245</v>
      </c>
      <c r="O78" s="7" t="s">
        <v>4</v>
      </c>
      <c r="P78" s="7">
        <v>307500</v>
      </c>
      <c r="Q78" s="7">
        <v>307500</v>
      </c>
      <c r="R78" s="7">
        <v>307500</v>
      </c>
      <c r="S78" s="7">
        <v>307500</v>
      </c>
      <c r="T78" s="7">
        <v>307500</v>
      </c>
      <c r="U78" s="7">
        <v>307500</v>
      </c>
      <c r="V78" s="7">
        <v>307500</v>
      </c>
      <c r="W78" s="7">
        <v>307500</v>
      </c>
      <c r="X78" s="7">
        <v>307500</v>
      </c>
      <c r="Y78" s="7">
        <v>307500</v>
      </c>
      <c r="Z78" s="7">
        <v>307500</v>
      </c>
      <c r="AA78" s="7">
        <v>307500</v>
      </c>
      <c r="AB78" s="9">
        <v>19.463749952526999</v>
      </c>
      <c r="AC78" s="9">
        <v>19.463749952526999</v>
      </c>
      <c r="AD78" s="9">
        <v>19.463749952526999</v>
      </c>
      <c r="AE78" s="9">
        <v>19.463749952526999</v>
      </c>
      <c r="AF78" s="9">
        <v>19.463749952526999</v>
      </c>
      <c r="AG78" s="9">
        <v>19.463749952526999</v>
      </c>
      <c r="AH78" s="9">
        <v>19.463749952526999</v>
      </c>
      <c r="AI78" s="9">
        <v>19.463749952526999</v>
      </c>
      <c r="AJ78" s="9">
        <v>19.463749952526999</v>
      </c>
      <c r="AK78" s="9">
        <v>19.463749952526999</v>
      </c>
      <c r="AL78" s="9">
        <v>19.463749952526999</v>
      </c>
      <c r="AM78" s="9">
        <v>19.463749952526999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1</v>
      </c>
      <c r="AY78" s="10">
        <v>0</v>
      </c>
      <c r="AZ78" s="7">
        <f t="shared" si="4"/>
        <v>1</v>
      </c>
      <c r="BA78" s="11">
        <f t="shared" si="5"/>
        <v>8.3333333333333329E-2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19.463749952526999</v>
      </c>
      <c r="BN78" s="12">
        <v>0</v>
      </c>
      <c r="BO78" s="12">
        <f t="shared" si="6"/>
        <v>19.463749952526999</v>
      </c>
      <c r="BP78" s="12">
        <f t="shared" si="7"/>
        <v>1.6219791627105833</v>
      </c>
      <c r="BQ78" s="7"/>
      <c r="BR78" s="7"/>
      <c r="BS78" s="7" t="s">
        <v>95</v>
      </c>
      <c r="BT78" s="7" t="s">
        <v>53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/>
    </row>
    <row r="79" spans="1:78" x14ac:dyDescent="0.35">
      <c r="A79" s="7" t="s">
        <v>42</v>
      </c>
      <c r="B79" s="7"/>
      <c r="C79" s="7" t="s">
        <v>250</v>
      </c>
      <c r="D79" s="7" t="s">
        <v>251</v>
      </c>
      <c r="E79" s="7" t="s">
        <v>251</v>
      </c>
      <c r="F79" s="7" t="s">
        <v>237</v>
      </c>
      <c r="G79" s="7" t="s">
        <v>47</v>
      </c>
      <c r="H79" s="7"/>
      <c r="I79" s="7"/>
      <c r="J79" s="7" t="s">
        <v>48</v>
      </c>
      <c r="K79" s="7" t="s">
        <v>49</v>
      </c>
      <c r="L79" s="7" t="s">
        <v>49</v>
      </c>
      <c r="M79" s="7" t="s">
        <v>49</v>
      </c>
      <c r="N79" s="7" t="s">
        <v>252</v>
      </c>
      <c r="O79" s="7" t="s">
        <v>4</v>
      </c>
      <c r="P79" s="7">
        <v>25000</v>
      </c>
      <c r="Q79" s="7">
        <v>25000</v>
      </c>
      <c r="R79" s="7">
        <v>25000</v>
      </c>
      <c r="S79" s="7">
        <v>25000</v>
      </c>
      <c r="T79" s="7">
        <v>25000</v>
      </c>
      <c r="U79" s="7">
        <v>25000</v>
      </c>
      <c r="V79" s="7">
        <v>25000</v>
      </c>
      <c r="W79" s="7">
        <v>25000</v>
      </c>
      <c r="X79" s="7">
        <v>25000</v>
      </c>
      <c r="Y79" s="7">
        <v>25000</v>
      </c>
      <c r="Z79" s="7">
        <v>25000</v>
      </c>
      <c r="AA79" s="7">
        <v>25000</v>
      </c>
      <c r="AB79" s="9">
        <v>1.5824186953274</v>
      </c>
      <c r="AC79" s="9">
        <v>1.5824186953274</v>
      </c>
      <c r="AD79" s="9">
        <v>1.5824186953274</v>
      </c>
      <c r="AE79" s="9">
        <v>1.5824186953274</v>
      </c>
      <c r="AF79" s="9">
        <v>1.5824186953274</v>
      </c>
      <c r="AG79" s="9">
        <v>1.5824186953274</v>
      </c>
      <c r="AH79" s="9">
        <v>1.5824186953274</v>
      </c>
      <c r="AI79" s="9">
        <v>1.5824186953274</v>
      </c>
      <c r="AJ79" s="9">
        <v>1.5824186953274</v>
      </c>
      <c r="AK79" s="9">
        <v>1.5824186953274</v>
      </c>
      <c r="AL79" s="9">
        <v>1.5824186953274</v>
      </c>
      <c r="AM79" s="9">
        <v>1.5824186953274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12</v>
      </c>
      <c r="AY79" s="10">
        <v>0</v>
      </c>
      <c r="AZ79" s="7">
        <f t="shared" si="4"/>
        <v>12</v>
      </c>
      <c r="BA79" s="11">
        <f t="shared" si="5"/>
        <v>1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18.989024343929</v>
      </c>
      <c r="BN79" s="12">
        <v>0</v>
      </c>
      <c r="BO79" s="12">
        <f t="shared" si="6"/>
        <v>18.989024343929</v>
      </c>
      <c r="BP79" s="12">
        <f t="shared" si="7"/>
        <v>1.5824186953274166</v>
      </c>
      <c r="BQ79" s="7"/>
      <c r="BR79" s="7"/>
      <c r="BS79" s="7" t="s">
        <v>52</v>
      </c>
      <c r="BT79" s="7" t="s">
        <v>53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/>
    </row>
    <row r="80" spans="1:78" x14ac:dyDescent="0.35">
      <c r="A80" s="7" t="s">
        <v>42</v>
      </c>
      <c r="B80" s="7"/>
      <c r="C80" s="7" t="s">
        <v>253</v>
      </c>
      <c r="D80" s="7" t="s">
        <v>121</v>
      </c>
      <c r="E80" s="7" t="s">
        <v>254</v>
      </c>
      <c r="F80" s="7" t="s">
        <v>123</v>
      </c>
      <c r="G80" s="7" t="s">
        <v>47</v>
      </c>
      <c r="H80" s="7"/>
      <c r="I80" s="7"/>
      <c r="J80" s="7" t="s">
        <v>48</v>
      </c>
      <c r="K80" s="7" t="s">
        <v>49</v>
      </c>
      <c r="L80" s="7" t="s">
        <v>49</v>
      </c>
      <c r="M80" s="7" t="s">
        <v>49</v>
      </c>
      <c r="N80" s="7" t="s">
        <v>124</v>
      </c>
      <c r="O80" s="7" t="s">
        <v>4</v>
      </c>
      <c r="P80" s="7">
        <v>512500</v>
      </c>
      <c r="Q80" s="7">
        <v>512500</v>
      </c>
      <c r="R80" s="7">
        <v>512500</v>
      </c>
      <c r="S80" s="7">
        <v>512500</v>
      </c>
      <c r="T80" s="7">
        <v>512500</v>
      </c>
      <c r="U80" s="7">
        <v>512500</v>
      </c>
      <c r="V80" s="7">
        <v>512500</v>
      </c>
      <c r="W80" s="7">
        <v>512500</v>
      </c>
      <c r="X80" s="7">
        <v>512500</v>
      </c>
      <c r="Y80" s="7">
        <v>512500</v>
      </c>
      <c r="Z80" s="7">
        <v>512500</v>
      </c>
      <c r="AA80" s="7">
        <v>512500</v>
      </c>
      <c r="AB80" s="9">
        <v>32.439583254212003</v>
      </c>
      <c r="AC80" s="9">
        <v>32.439583254212003</v>
      </c>
      <c r="AD80" s="9">
        <v>32.439583254212003</v>
      </c>
      <c r="AE80" s="9">
        <v>32.439583254212003</v>
      </c>
      <c r="AF80" s="9">
        <v>32.439583254212003</v>
      </c>
      <c r="AG80" s="9">
        <v>32.439583254212003</v>
      </c>
      <c r="AH80" s="9">
        <v>32.439583254212003</v>
      </c>
      <c r="AI80" s="9">
        <v>32.439583254212003</v>
      </c>
      <c r="AJ80" s="9">
        <v>32.439583254212003</v>
      </c>
      <c r="AK80" s="9">
        <v>32.439583254212003</v>
      </c>
      <c r="AL80" s="9">
        <v>32.439583254212003</v>
      </c>
      <c r="AM80" s="9">
        <v>32.439583254212003</v>
      </c>
      <c r="AN80" s="10">
        <v>0</v>
      </c>
      <c r="AO80" s="10">
        <v>0</v>
      </c>
      <c r="AP80" s="10">
        <v>1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1</v>
      </c>
      <c r="AW80" s="10">
        <v>0</v>
      </c>
      <c r="AX80" s="10">
        <v>0</v>
      </c>
      <c r="AY80" s="10">
        <v>0</v>
      </c>
      <c r="AZ80" s="7">
        <f t="shared" si="4"/>
        <v>2</v>
      </c>
      <c r="BA80" s="11">
        <f t="shared" si="5"/>
        <v>0.16666666666666666</v>
      </c>
      <c r="BC80" s="12">
        <v>0</v>
      </c>
      <c r="BD80" s="12">
        <v>0</v>
      </c>
      <c r="BE80" s="12">
        <v>32.439583254212003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32.439583254212003</v>
      </c>
      <c r="BL80" s="12">
        <v>0</v>
      </c>
      <c r="BM80" s="12">
        <v>0</v>
      </c>
      <c r="BN80" s="12">
        <v>0</v>
      </c>
      <c r="BO80" s="12">
        <f t="shared" si="6"/>
        <v>64.879166508424007</v>
      </c>
      <c r="BP80" s="12">
        <f t="shared" si="7"/>
        <v>5.4065972090353336</v>
      </c>
      <c r="BQ80" s="7"/>
      <c r="BR80" s="7"/>
      <c r="BS80" s="7" t="s">
        <v>95</v>
      </c>
      <c r="BT80" s="7" t="s">
        <v>53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/>
    </row>
    <row r="81" spans="1:78" x14ac:dyDescent="0.35">
      <c r="A81" s="7" t="s">
        <v>42</v>
      </c>
      <c r="B81" s="7"/>
      <c r="C81" s="7" t="s">
        <v>255</v>
      </c>
      <c r="D81" s="7" t="s">
        <v>121</v>
      </c>
      <c r="E81" s="7" t="s">
        <v>256</v>
      </c>
      <c r="F81" s="7" t="s">
        <v>123</v>
      </c>
      <c r="G81" s="7" t="s">
        <v>47</v>
      </c>
      <c r="H81" s="7"/>
      <c r="I81" s="7"/>
      <c r="J81" s="7" t="s">
        <v>48</v>
      </c>
      <c r="K81" s="7" t="s">
        <v>49</v>
      </c>
      <c r="L81" s="7" t="s">
        <v>49</v>
      </c>
      <c r="M81" s="7" t="s">
        <v>49</v>
      </c>
      <c r="N81" s="7" t="s">
        <v>50</v>
      </c>
      <c r="O81" s="7" t="s">
        <v>4</v>
      </c>
      <c r="P81" s="7">
        <v>40000</v>
      </c>
      <c r="Q81" s="7">
        <v>40000</v>
      </c>
      <c r="R81" s="7">
        <v>40000</v>
      </c>
      <c r="S81" s="7">
        <v>40000</v>
      </c>
      <c r="T81" s="7">
        <v>40000</v>
      </c>
      <c r="U81" s="7">
        <v>40000</v>
      </c>
      <c r="V81" s="7">
        <v>40000</v>
      </c>
      <c r="W81" s="7">
        <v>40000</v>
      </c>
      <c r="X81" s="7">
        <v>40000</v>
      </c>
      <c r="Y81" s="7">
        <v>40000</v>
      </c>
      <c r="Z81" s="7">
        <v>40000</v>
      </c>
      <c r="AA81" s="7">
        <v>40000</v>
      </c>
      <c r="AB81" s="9">
        <v>2.5318699125238999</v>
      </c>
      <c r="AC81" s="9">
        <v>2.5318699125238999</v>
      </c>
      <c r="AD81" s="9">
        <v>2.5318699125238999</v>
      </c>
      <c r="AE81" s="9">
        <v>2.5318699125238999</v>
      </c>
      <c r="AF81" s="9">
        <v>2.5318699125238999</v>
      </c>
      <c r="AG81" s="9">
        <v>2.5318699125238999</v>
      </c>
      <c r="AH81" s="9">
        <v>2.5318699125238999</v>
      </c>
      <c r="AI81" s="9">
        <v>2.5318699125238999</v>
      </c>
      <c r="AJ81" s="9">
        <v>2.5318699125238999</v>
      </c>
      <c r="AK81" s="9">
        <v>2.5318699125238999</v>
      </c>
      <c r="AL81" s="9">
        <v>2.5318699125238999</v>
      </c>
      <c r="AM81" s="9">
        <v>2.5318699125238999</v>
      </c>
      <c r="AN81" s="10">
        <v>0</v>
      </c>
      <c r="AO81" s="10">
        <v>80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80</v>
      </c>
      <c r="AV81" s="10">
        <v>0</v>
      </c>
      <c r="AW81" s="10">
        <v>0</v>
      </c>
      <c r="AX81" s="10">
        <v>0</v>
      </c>
      <c r="AY81" s="10">
        <v>0</v>
      </c>
      <c r="AZ81" s="7">
        <f t="shared" si="4"/>
        <v>160</v>
      </c>
      <c r="BA81" s="11">
        <f t="shared" si="5"/>
        <v>13.333333333333334</v>
      </c>
      <c r="BC81" s="12">
        <v>0</v>
      </c>
      <c r="BD81" s="12">
        <v>202.54959300191001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202.54959300191001</v>
      </c>
      <c r="BK81" s="12">
        <v>0</v>
      </c>
      <c r="BL81" s="12">
        <v>0</v>
      </c>
      <c r="BM81" s="12">
        <v>0</v>
      </c>
      <c r="BN81" s="12">
        <v>0</v>
      </c>
      <c r="BO81" s="12">
        <f t="shared" si="6"/>
        <v>405.09918600382002</v>
      </c>
      <c r="BP81" s="12">
        <f t="shared" si="7"/>
        <v>33.758265500318338</v>
      </c>
      <c r="BQ81" s="7"/>
      <c r="BR81" s="7"/>
      <c r="BS81" s="7" t="s">
        <v>95</v>
      </c>
      <c r="BT81" s="7" t="s">
        <v>53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/>
    </row>
    <row r="82" spans="1:78" x14ac:dyDescent="0.35">
      <c r="A82" s="7" t="s">
        <v>42</v>
      </c>
      <c r="B82" s="7"/>
      <c r="C82" s="7" t="s">
        <v>257</v>
      </c>
      <c r="D82" s="7" t="s">
        <v>258</v>
      </c>
      <c r="E82" s="7" t="s">
        <v>259</v>
      </c>
      <c r="F82" s="7" t="s">
        <v>260</v>
      </c>
      <c r="G82" s="7" t="s">
        <v>47</v>
      </c>
      <c r="H82" s="7"/>
      <c r="I82" s="7"/>
      <c r="J82" s="7" t="s">
        <v>48</v>
      </c>
      <c r="K82" s="7" t="s">
        <v>49</v>
      </c>
      <c r="L82" s="7" t="s">
        <v>49</v>
      </c>
      <c r="M82" s="7" t="s">
        <v>49</v>
      </c>
      <c r="N82" s="7" t="s">
        <v>261</v>
      </c>
      <c r="O82" s="7" t="s">
        <v>4</v>
      </c>
      <c r="P82" s="7">
        <v>1127500</v>
      </c>
      <c r="Q82" s="7">
        <v>1127500</v>
      </c>
      <c r="R82" s="7">
        <v>1127500</v>
      </c>
      <c r="S82" s="7">
        <v>1127500</v>
      </c>
      <c r="T82" s="7">
        <v>1127500</v>
      </c>
      <c r="U82" s="7">
        <v>1127500</v>
      </c>
      <c r="V82" s="7">
        <v>1166962.5</v>
      </c>
      <c r="W82" s="7">
        <v>1166962.5</v>
      </c>
      <c r="X82" s="7">
        <v>1166962.5</v>
      </c>
      <c r="Y82" s="7">
        <v>1166962.5</v>
      </c>
      <c r="Z82" s="7">
        <v>1166962.5</v>
      </c>
      <c r="AA82" s="7">
        <v>1166962.5</v>
      </c>
      <c r="AB82" s="9">
        <v>71.367083159266997</v>
      </c>
      <c r="AC82" s="9">
        <v>71.367083159266997</v>
      </c>
      <c r="AD82" s="9">
        <v>71.367083159266997</v>
      </c>
      <c r="AE82" s="9">
        <v>71.367083159266997</v>
      </c>
      <c r="AF82" s="9">
        <v>71.367083159266997</v>
      </c>
      <c r="AG82" s="9">
        <v>71.367083159266997</v>
      </c>
      <c r="AH82" s="9">
        <v>73.864931069842001</v>
      </c>
      <c r="AI82" s="9">
        <v>73.864931069842001</v>
      </c>
      <c r="AJ82" s="9">
        <v>73.864931069842001</v>
      </c>
      <c r="AK82" s="9">
        <v>73.864931069842001</v>
      </c>
      <c r="AL82" s="9">
        <v>73.864931069842001</v>
      </c>
      <c r="AM82" s="9">
        <v>73.864931069842001</v>
      </c>
      <c r="AN82" s="10">
        <v>0</v>
      </c>
      <c r="AO82" s="10">
        <v>0</v>
      </c>
      <c r="AP82" s="10">
        <v>0</v>
      </c>
      <c r="AQ82" s="10">
        <v>1</v>
      </c>
      <c r="AR82" s="10">
        <v>0</v>
      </c>
      <c r="AS82" s="10">
        <v>0</v>
      </c>
      <c r="AT82" s="10">
        <v>0</v>
      </c>
      <c r="AU82" s="10">
        <v>0</v>
      </c>
      <c r="AV82" s="10">
        <v>1</v>
      </c>
      <c r="AW82" s="10">
        <v>0</v>
      </c>
      <c r="AX82" s="10">
        <v>0</v>
      </c>
      <c r="AY82" s="10">
        <v>0</v>
      </c>
      <c r="AZ82" s="7">
        <f t="shared" si="4"/>
        <v>2</v>
      </c>
      <c r="BA82" s="11">
        <f t="shared" si="5"/>
        <v>0.16666666666666666</v>
      </c>
      <c r="BC82" s="12">
        <v>0</v>
      </c>
      <c r="BD82" s="12">
        <v>0</v>
      </c>
      <c r="BE82" s="12">
        <v>0</v>
      </c>
      <c r="BF82" s="12">
        <v>71.367083159266997</v>
      </c>
      <c r="BG82" s="12">
        <v>0</v>
      </c>
      <c r="BH82" s="12">
        <v>0</v>
      </c>
      <c r="BI82" s="12">
        <v>0</v>
      </c>
      <c r="BJ82" s="12">
        <v>0</v>
      </c>
      <c r="BK82" s="12">
        <v>73.864931069842001</v>
      </c>
      <c r="BL82" s="12">
        <v>0</v>
      </c>
      <c r="BM82" s="12">
        <v>0</v>
      </c>
      <c r="BN82" s="12">
        <v>0</v>
      </c>
      <c r="BO82" s="12">
        <f t="shared" si="6"/>
        <v>145.23201422910898</v>
      </c>
      <c r="BP82" s="12">
        <f t="shared" si="7"/>
        <v>12.102667852425748</v>
      </c>
      <c r="BQ82" s="7"/>
      <c r="BR82" s="7"/>
      <c r="BS82" s="7" t="s">
        <v>52</v>
      </c>
      <c r="BT82" s="7" t="s">
        <v>262</v>
      </c>
      <c r="BU82" s="7">
        <v>7</v>
      </c>
      <c r="BV82" s="7">
        <v>7</v>
      </c>
      <c r="BW82" s="7">
        <v>7</v>
      </c>
      <c r="BX82" s="7">
        <v>30</v>
      </c>
      <c r="BY82" s="7">
        <v>7</v>
      </c>
      <c r="BZ82" s="7"/>
    </row>
    <row r="83" spans="1:78" x14ac:dyDescent="0.35">
      <c r="A83" s="7" t="s">
        <v>42</v>
      </c>
      <c r="B83" s="7"/>
      <c r="C83" s="7" t="s">
        <v>263</v>
      </c>
      <c r="D83" s="7" t="s">
        <v>126</v>
      </c>
      <c r="E83" s="7" t="s">
        <v>264</v>
      </c>
      <c r="F83" s="7" t="s">
        <v>130</v>
      </c>
      <c r="G83" s="7" t="s">
        <v>47</v>
      </c>
      <c r="H83" s="7"/>
      <c r="I83" s="7"/>
      <c r="J83" s="7" t="s">
        <v>48</v>
      </c>
      <c r="K83" s="7" t="s">
        <v>49</v>
      </c>
      <c r="L83" s="7" t="s">
        <v>49</v>
      </c>
      <c r="M83" s="7" t="s">
        <v>49</v>
      </c>
      <c r="N83" s="7" t="s">
        <v>100</v>
      </c>
      <c r="O83" s="7" t="s">
        <v>4</v>
      </c>
      <c r="P83" s="7">
        <v>1025000</v>
      </c>
      <c r="Q83" s="7">
        <v>1025000</v>
      </c>
      <c r="R83" s="7">
        <v>1025000</v>
      </c>
      <c r="S83" s="7">
        <v>1025000</v>
      </c>
      <c r="T83" s="7">
        <v>1025000</v>
      </c>
      <c r="U83" s="7">
        <v>1025000</v>
      </c>
      <c r="V83" s="7">
        <v>1025000</v>
      </c>
      <c r="W83" s="7">
        <v>1025000</v>
      </c>
      <c r="X83" s="7">
        <v>1025000</v>
      </c>
      <c r="Y83" s="7">
        <v>1025000</v>
      </c>
      <c r="Z83" s="7">
        <v>1025000</v>
      </c>
      <c r="AA83" s="7">
        <v>1025000</v>
      </c>
      <c r="AB83" s="9">
        <v>64.879166508425001</v>
      </c>
      <c r="AC83" s="9">
        <v>64.879166508425001</v>
      </c>
      <c r="AD83" s="9">
        <v>64.879166508425001</v>
      </c>
      <c r="AE83" s="9">
        <v>64.879166508425001</v>
      </c>
      <c r="AF83" s="9">
        <v>64.879166508425001</v>
      </c>
      <c r="AG83" s="9">
        <v>64.879166508425001</v>
      </c>
      <c r="AH83" s="9">
        <v>64.879166508425001</v>
      </c>
      <c r="AI83" s="9">
        <v>64.879166508425001</v>
      </c>
      <c r="AJ83" s="9">
        <v>64.879166508425001</v>
      </c>
      <c r="AK83" s="9">
        <v>64.879166508425001</v>
      </c>
      <c r="AL83" s="9">
        <v>64.879166508425001</v>
      </c>
      <c r="AM83" s="9">
        <v>64.879166508425001</v>
      </c>
      <c r="AN83" s="10">
        <v>0</v>
      </c>
      <c r="AO83" s="10">
        <v>0</v>
      </c>
      <c r="AP83" s="10">
        <v>1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7">
        <f t="shared" si="4"/>
        <v>1</v>
      </c>
      <c r="BA83" s="11">
        <f t="shared" si="5"/>
        <v>8.3333333333333329E-2</v>
      </c>
      <c r="BC83" s="12">
        <v>0</v>
      </c>
      <c r="BD83" s="12">
        <v>0</v>
      </c>
      <c r="BE83" s="12">
        <v>64.879166508425001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f t="shared" si="6"/>
        <v>64.879166508425001</v>
      </c>
      <c r="BP83" s="12">
        <f t="shared" si="7"/>
        <v>5.4065972090354171</v>
      </c>
      <c r="BQ83" s="7"/>
      <c r="BR83" s="7"/>
      <c r="BS83" s="7" t="s">
        <v>95</v>
      </c>
      <c r="BT83" s="7" t="s">
        <v>53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/>
    </row>
    <row r="84" spans="1:78" x14ac:dyDescent="0.35">
      <c r="A84" s="7" t="s">
        <v>42</v>
      </c>
      <c r="B84" s="7"/>
      <c r="C84" s="7" t="s">
        <v>187</v>
      </c>
      <c r="D84" s="7" t="s">
        <v>126</v>
      </c>
      <c r="E84" s="7" t="s">
        <v>188</v>
      </c>
      <c r="F84" s="7" t="s">
        <v>102</v>
      </c>
      <c r="G84" s="7" t="s">
        <v>47</v>
      </c>
      <c r="H84" s="7"/>
      <c r="I84" s="7"/>
      <c r="J84" s="7" t="s">
        <v>48</v>
      </c>
      <c r="K84" s="7" t="s">
        <v>49</v>
      </c>
      <c r="L84" s="7" t="s">
        <v>49</v>
      </c>
      <c r="M84" s="7" t="s">
        <v>49</v>
      </c>
      <c r="N84" s="7" t="s">
        <v>100</v>
      </c>
      <c r="O84" s="7" t="s">
        <v>6</v>
      </c>
      <c r="P84" s="7">
        <v>51250</v>
      </c>
      <c r="Q84" s="7">
        <v>51250</v>
      </c>
      <c r="R84" s="7">
        <v>51250</v>
      </c>
      <c r="S84" s="7">
        <v>51250</v>
      </c>
      <c r="T84" s="7">
        <v>51250</v>
      </c>
      <c r="U84" s="7">
        <v>51250</v>
      </c>
      <c r="V84" s="7">
        <v>51250</v>
      </c>
      <c r="W84" s="7">
        <v>51250</v>
      </c>
      <c r="X84" s="7">
        <v>51250</v>
      </c>
      <c r="Y84" s="7">
        <v>51250</v>
      </c>
      <c r="Z84" s="7">
        <v>51250</v>
      </c>
      <c r="AA84" s="7">
        <v>51250</v>
      </c>
      <c r="AB84" s="9">
        <v>339.40397350992998</v>
      </c>
      <c r="AC84" s="9">
        <v>339.40397350992998</v>
      </c>
      <c r="AD84" s="9">
        <v>339.40397350992998</v>
      </c>
      <c r="AE84" s="9">
        <v>339.40397350992998</v>
      </c>
      <c r="AF84" s="9">
        <v>339.40397350992998</v>
      </c>
      <c r="AG84" s="9">
        <v>339.40397350992998</v>
      </c>
      <c r="AH84" s="9">
        <v>339.40397350992998</v>
      </c>
      <c r="AI84" s="9">
        <v>339.40397350992998</v>
      </c>
      <c r="AJ84" s="9">
        <v>339.40397350992998</v>
      </c>
      <c r="AK84" s="9">
        <v>339.40397350992998</v>
      </c>
      <c r="AL84" s="9">
        <v>339.40397350992998</v>
      </c>
      <c r="AM84" s="9">
        <v>339.40397350992998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1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7">
        <f t="shared" si="4"/>
        <v>1</v>
      </c>
      <c r="BA84" s="11">
        <f t="shared" si="5"/>
        <v>8.3333333333333329E-2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339.40397350992998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f t="shared" si="6"/>
        <v>339.40397350992998</v>
      </c>
      <c r="BP84" s="12">
        <f t="shared" si="7"/>
        <v>28.283664459160832</v>
      </c>
      <c r="BQ84" s="7"/>
      <c r="BR84" s="7"/>
      <c r="BS84" s="7" t="s">
        <v>95</v>
      </c>
      <c r="BT84" s="7" t="s">
        <v>53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/>
    </row>
    <row r="85" spans="1:78" x14ac:dyDescent="0.35">
      <c r="A85" s="7" t="s">
        <v>42</v>
      </c>
      <c r="B85" s="7"/>
      <c r="C85" s="7" t="s">
        <v>265</v>
      </c>
      <c r="D85" s="7" t="s">
        <v>126</v>
      </c>
      <c r="E85" s="7" t="s">
        <v>266</v>
      </c>
      <c r="F85" s="7" t="s">
        <v>130</v>
      </c>
      <c r="G85" s="7" t="s">
        <v>47</v>
      </c>
      <c r="H85" s="7"/>
      <c r="I85" s="7"/>
      <c r="J85" s="7" t="s">
        <v>48</v>
      </c>
      <c r="K85" s="7" t="s">
        <v>49</v>
      </c>
      <c r="L85" s="7" t="s">
        <v>49</v>
      </c>
      <c r="M85" s="7" t="s">
        <v>49</v>
      </c>
      <c r="N85" s="7" t="s">
        <v>100</v>
      </c>
      <c r="O85" s="7" t="s">
        <v>6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1</v>
      </c>
      <c r="AS85" s="10">
        <v>1</v>
      </c>
      <c r="AT85" s="10">
        <v>1</v>
      </c>
      <c r="AU85" s="10">
        <v>1</v>
      </c>
      <c r="AV85" s="10">
        <v>1</v>
      </c>
      <c r="AW85" s="10">
        <v>0</v>
      </c>
      <c r="AX85" s="10">
        <v>0</v>
      </c>
      <c r="AY85" s="10">
        <v>0</v>
      </c>
      <c r="AZ85" s="7">
        <f t="shared" si="4"/>
        <v>5</v>
      </c>
      <c r="BA85" s="11">
        <f t="shared" si="5"/>
        <v>0.41666666666666669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f t="shared" si="6"/>
        <v>0</v>
      </c>
      <c r="BP85" s="12">
        <f t="shared" si="7"/>
        <v>0</v>
      </c>
      <c r="BQ85" s="7"/>
      <c r="BR85" s="7"/>
      <c r="BS85" s="7" t="s">
        <v>95</v>
      </c>
      <c r="BT85" s="7" t="s">
        <v>53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/>
    </row>
    <row r="86" spans="1:78" x14ac:dyDescent="0.35">
      <c r="A86" s="7" t="s">
        <v>42</v>
      </c>
      <c r="B86" s="7"/>
      <c r="C86" s="7" t="s">
        <v>267</v>
      </c>
      <c r="D86" s="7" t="s">
        <v>126</v>
      </c>
      <c r="E86" s="7" t="s">
        <v>268</v>
      </c>
      <c r="F86" s="7" t="s">
        <v>130</v>
      </c>
      <c r="G86" s="7" t="s">
        <v>47</v>
      </c>
      <c r="H86" s="7"/>
      <c r="I86" s="7"/>
      <c r="J86" s="7" t="s">
        <v>48</v>
      </c>
      <c r="K86" s="7" t="s">
        <v>49</v>
      </c>
      <c r="L86" s="7" t="s">
        <v>49</v>
      </c>
      <c r="M86" s="7" t="s">
        <v>49</v>
      </c>
      <c r="N86" s="7" t="s">
        <v>100</v>
      </c>
      <c r="O86" s="7" t="s">
        <v>6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10">
        <v>0</v>
      </c>
      <c r="AO86" s="10">
        <v>0</v>
      </c>
      <c r="AP86" s="10">
        <v>0</v>
      </c>
      <c r="AQ86" s="10">
        <v>1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7">
        <f t="shared" si="4"/>
        <v>1</v>
      </c>
      <c r="BA86" s="11">
        <f t="shared" si="5"/>
        <v>8.3333333333333329E-2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f t="shared" si="6"/>
        <v>0</v>
      </c>
      <c r="BP86" s="12">
        <f t="shared" si="7"/>
        <v>0</v>
      </c>
      <c r="BQ86" s="7"/>
      <c r="BR86" s="7"/>
      <c r="BS86" s="7" t="s">
        <v>95</v>
      </c>
      <c r="BT86" s="7" t="s">
        <v>53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/>
    </row>
    <row r="87" spans="1:78" x14ac:dyDescent="0.35">
      <c r="A87" s="7" t="s">
        <v>42</v>
      </c>
      <c r="B87" s="7"/>
      <c r="C87" s="7" t="s">
        <v>269</v>
      </c>
      <c r="D87" s="7" t="s">
        <v>126</v>
      </c>
      <c r="E87" s="7" t="s">
        <v>270</v>
      </c>
      <c r="F87" s="7" t="s">
        <v>130</v>
      </c>
      <c r="G87" s="7" t="s">
        <v>47</v>
      </c>
      <c r="H87" s="7"/>
      <c r="I87" s="7"/>
      <c r="J87" s="7" t="s">
        <v>48</v>
      </c>
      <c r="K87" s="7" t="s">
        <v>49</v>
      </c>
      <c r="L87" s="7" t="s">
        <v>49</v>
      </c>
      <c r="M87" s="7" t="s">
        <v>49</v>
      </c>
      <c r="N87" s="7" t="s">
        <v>100</v>
      </c>
      <c r="O87" s="7" t="s">
        <v>6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10">
        <v>0</v>
      </c>
      <c r="AO87" s="10">
        <v>0</v>
      </c>
      <c r="AP87" s="10">
        <v>0</v>
      </c>
      <c r="AQ87" s="10">
        <v>1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7">
        <f t="shared" si="4"/>
        <v>1</v>
      </c>
      <c r="BA87" s="11">
        <f t="shared" si="5"/>
        <v>8.3333333333333329E-2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f t="shared" si="6"/>
        <v>0</v>
      </c>
      <c r="BP87" s="12">
        <f t="shared" si="7"/>
        <v>0</v>
      </c>
      <c r="BQ87" s="7"/>
      <c r="BR87" s="7"/>
      <c r="BS87" s="7" t="s">
        <v>95</v>
      </c>
      <c r="BT87" s="7" t="s">
        <v>53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/>
    </row>
    <row r="88" spans="1:78" x14ac:dyDescent="0.35">
      <c r="A88" s="7" t="s">
        <v>42</v>
      </c>
      <c r="B88" s="7"/>
      <c r="C88" s="7" t="s">
        <v>271</v>
      </c>
      <c r="D88" s="7" t="s">
        <v>190</v>
      </c>
      <c r="E88" s="7" t="s">
        <v>272</v>
      </c>
      <c r="F88" s="7" t="s">
        <v>149</v>
      </c>
      <c r="G88" s="7" t="s">
        <v>47</v>
      </c>
      <c r="H88" s="7"/>
      <c r="I88" s="7"/>
      <c r="J88" s="7" t="s">
        <v>48</v>
      </c>
      <c r="K88" s="7" t="s">
        <v>49</v>
      </c>
      <c r="L88" s="7" t="s">
        <v>49</v>
      </c>
      <c r="M88" s="7" t="s">
        <v>49</v>
      </c>
      <c r="N88" s="7" t="s">
        <v>100</v>
      </c>
      <c r="O88" s="7" t="s">
        <v>4</v>
      </c>
      <c r="P88" s="7">
        <v>1600000</v>
      </c>
      <c r="Q88" s="7">
        <v>1600000</v>
      </c>
      <c r="R88" s="7">
        <v>1600000</v>
      </c>
      <c r="S88" s="7">
        <v>1600000</v>
      </c>
      <c r="T88" s="7">
        <v>1600000</v>
      </c>
      <c r="U88" s="7">
        <v>1600000</v>
      </c>
      <c r="V88" s="7">
        <v>1600000</v>
      </c>
      <c r="W88" s="7">
        <v>1600000</v>
      </c>
      <c r="X88" s="7">
        <v>1600000</v>
      </c>
      <c r="Y88" s="7">
        <v>1600000</v>
      </c>
      <c r="Z88" s="7">
        <v>1600000</v>
      </c>
      <c r="AA88" s="7">
        <v>1600000</v>
      </c>
      <c r="AB88" s="9">
        <v>101.27479650095999</v>
      </c>
      <c r="AC88" s="9">
        <v>101.27479650095999</v>
      </c>
      <c r="AD88" s="9">
        <v>101.27479650095999</v>
      </c>
      <c r="AE88" s="9">
        <v>101.27479650095999</v>
      </c>
      <c r="AF88" s="9">
        <v>101.27479650095999</v>
      </c>
      <c r="AG88" s="9">
        <v>101.27479650095999</v>
      </c>
      <c r="AH88" s="9">
        <v>101.27479650095999</v>
      </c>
      <c r="AI88" s="9">
        <v>101.27479650095999</v>
      </c>
      <c r="AJ88" s="9">
        <v>101.27479650095999</v>
      </c>
      <c r="AK88" s="9">
        <v>101.27479650095999</v>
      </c>
      <c r="AL88" s="9">
        <v>101.27479650095999</v>
      </c>
      <c r="AM88" s="9">
        <v>101.27479650095999</v>
      </c>
      <c r="AN88" s="10">
        <v>0</v>
      </c>
      <c r="AO88" s="10">
        <v>0</v>
      </c>
      <c r="AP88" s="10">
        <v>0</v>
      </c>
      <c r="AQ88" s="10">
        <v>0</v>
      </c>
      <c r="AR88" s="10">
        <v>2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7">
        <f t="shared" si="4"/>
        <v>2</v>
      </c>
      <c r="BA88" s="11">
        <f t="shared" si="5"/>
        <v>0.16666666666666666</v>
      </c>
      <c r="BC88" s="12">
        <v>0</v>
      </c>
      <c r="BD88" s="12">
        <v>0</v>
      </c>
      <c r="BE88" s="12">
        <v>0</v>
      </c>
      <c r="BF88" s="12">
        <v>0</v>
      </c>
      <c r="BG88" s="12">
        <v>202.54959300191001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f t="shared" si="6"/>
        <v>202.54959300191001</v>
      </c>
      <c r="BP88" s="12">
        <f t="shared" si="7"/>
        <v>16.879132750159169</v>
      </c>
      <c r="BQ88" s="7"/>
      <c r="BR88" s="7"/>
      <c r="BS88" s="7" t="s">
        <v>95</v>
      </c>
      <c r="BT88" s="7" t="s">
        <v>53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/>
    </row>
    <row r="89" spans="1:78" x14ac:dyDescent="0.35">
      <c r="A89" s="7" t="s">
        <v>42</v>
      </c>
      <c r="B89" s="7"/>
      <c r="C89" s="7" t="s">
        <v>273</v>
      </c>
      <c r="D89" s="7" t="s">
        <v>121</v>
      </c>
      <c r="E89" s="7" t="s">
        <v>274</v>
      </c>
      <c r="F89" s="7" t="s">
        <v>275</v>
      </c>
      <c r="G89" s="7" t="s">
        <v>47</v>
      </c>
      <c r="H89" s="7"/>
      <c r="I89" s="7"/>
      <c r="J89" s="7" t="s">
        <v>48</v>
      </c>
      <c r="K89" s="7" t="s">
        <v>49</v>
      </c>
      <c r="L89" s="7" t="s">
        <v>49</v>
      </c>
      <c r="M89" s="7" t="s">
        <v>49</v>
      </c>
      <c r="N89" s="7" t="s">
        <v>124</v>
      </c>
      <c r="O89" s="7" t="s">
        <v>4</v>
      </c>
      <c r="P89" s="7">
        <v>205000</v>
      </c>
      <c r="Q89" s="7">
        <v>205000</v>
      </c>
      <c r="R89" s="7">
        <v>205000</v>
      </c>
      <c r="S89" s="7">
        <v>205000</v>
      </c>
      <c r="T89" s="7">
        <v>205000</v>
      </c>
      <c r="U89" s="7">
        <v>205000</v>
      </c>
      <c r="V89" s="7">
        <v>205000</v>
      </c>
      <c r="W89" s="7">
        <v>205000</v>
      </c>
      <c r="X89" s="7">
        <v>205000</v>
      </c>
      <c r="Y89" s="7">
        <v>205000</v>
      </c>
      <c r="Z89" s="7">
        <v>205000</v>
      </c>
      <c r="AA89" s="7">
        <v>205000</v>
      </c>
      <c r="AB89" s="9">
        <v>12.975833301685</v>
      </c>
      <c r="AC89" s="9">
        <v>12.975833301685</v>
      </c>
      <c r="AD89" s="9">
        <v>12.975833301685</v>
      </c>
      <c r="AE89" s="9">
        <v>12.975833301685</v>
      </c>
      <c r="AF89" s="9">
        <v>12.975833301685</v>
      </c>
      <c r="AG89" s="9">
        <v>12.975833301685</v>
      </c>
      <c r="AH89" s="9">
        <v>12.975833301685</v>
      </c>
      <c r="AI89" s="9">
        <v>12.975833301685</v>
      </c>
      <c r="AJ89" s="9">
        <v>12.975833301685</v>
      </c>
      <c r="AK89" s="9">
        <v>12.975833301685</v>
      </c>
      <c r="AL89" s="9">
        <v>12.975833301685</v>
      </c>
      <c r="AM89" s="9">
        <v>12.975833301685</v>
      </c>
      <c r="AN89" s="10">
        <v>2</v>
      </c>
      <c r="AO89" s="10">
        <v>0</v>
      </c>
      <c r="AP89" s="10">
        <v>0</v>
      </c>
      <c r="AQ89" s="10">
        <v>2</v>
      </c>
      <c r="AR89" s="10">
        <v>0</v>
      </c>
      <c r="AS89" s="10">
        <v>0</v>
      </c>
      <c r="AT89" s="10">
        <v>2</v>
      </c>
      <c r="AU89" s="10">
        <v>0</v>
      </c>
      <c r="AV89" s="10">
        <v>0</v>
      </c>
      <c r="AW89" s="10">
        <v>2</v>
      </c>
      <c r="AX89" s="10">
        <v>0</v>
      </c>
      <c r="AY89" s="10">
        <v>0</v>
      </c>
      <c r="AZ89" s="7">
        <f t="shared" si="4"/>
        <v>8</v>
      </c>
      <c r="BA89" s="11">
        <f t="shared" si="5"/>
        <v>0.66666666666666663</v>
      </c>
      <c r="BC89" s="12">
        <v>25.951666603370001</v>
      </c>
      <c r="BD89" s="12">
        <v>0</v>
      </c>
      <c r="BE89" s="12">
        <v>0</v>
      </c>
      <c r="BF89" s="12">
        <v>25.951666603370001</v>
      </c>
      <c r="BG89" s="12">
        <v>0</v>
      </c>
      <c r="BH89" s="12">
        <v>0</v>
      </c>
      <c r="BI89" s="12">
        <v>25.951666603370001</v>
      </c>
      <c r="BJ89" s="12">
        <v>0</v>
      </c>
      <c r="BK89" s="12">
        <v>0</v>
      </c>
      <c r="BL89" s="12">
        <v>25.951666603370001</v>
      </c>
      <c r="BM89" s="12">
        <v>0</v>
      </c>
      <c r="BN89" s="12">
        <v>0</v>
      </c>
      <c r="BO89" s="12">
        <f t="shared" si="6"/>
        <v>103.80666641348</v>
      </c>
      <c r="BP89" s="12">
        <f t="shared" si="7"/>
        <v>8.6505555344566663</v>
      </c>
      <c r="BQ89" s="7"/>
      <c r="BR89" s="7"/>
      <c r="BS89" s="7" t="s">
        <v>95</v>
      </c>
      <c r="BT89" s="7" t="s">
        <v>53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/>
    </row>
    <row r="90" spans="1:78" x14ac:dyDescent="0.35">
      <c r="A90" s="7" t="s">
        <v>42</v>
      </c>
      <c r="B90" s="7"/>
      <c r="C90" s="7" t="s">
        <v>276</v>
      </c>
      <c r="D90" s="7" t="s">
        <v>121</v>
      </c>
      <c r="E90" s="7" t="s">
        <v>277</v>
      </c>
      <c r="F90" s="7" t="s">
        <v>275</v>
      </c>
      <c r="G90" s="7" t="s">
        <v>47</v>
      </c>
      <c r="H90" s="7"/>
      <c r="I90" s="7"/>
      <c r="J90" s="7" t="s">
        <v>48</v>
      </c>
      <c r="K90" s="7" t="s">
        <v>49</v>
      </c>
      <c r="L90" s="7" t="s">
        <v>49</v>
      </c>
      <c r="M90" s="7" t="s">
        <v>49</v>
      </c>
      <c r="N90" s="7" t="s">
        <v>124</v>
      </c>
      <c r="O90" s="7" t="s">
        <v>4</v>
      </c>
      <c r="P90" s="7">
        <v>102500</v>
      </c>
      <c r="Q90" s="7">
        <v>102500</v>
      </c>
      <c r="R90" s="7">
        <v>102500</v>
      </c>
      <c r="S90" s="7">
        <v>102500</v>
      </c>
      <c r="T90" s="7">
        <v>102500</v>
      </c>
      <c r="U90" s="7">
        <v>102500</v>
      </c>
      <c r="V90" s="7">
        <v>102500</v>
      </c>
      <c r="W90" s="7">
        <v>102500</v>
      </c>
      <c r="X90" s="7">
        <v>102500</v>
      </c>
      <c r="Y90" s="7">
        <v>102500</v>
      </c>
      <c r="Z90" s="7">
        <v>102500</v>
      </c>
      <c r="AA90" s="7">
        <v>102500</v>
      </c>
      <c r="AB90" s="9">
        <v>6.4879166508425001</v>
      </c>
      <c r="AC90" s="9">
        <v>6.4879166508425001</v>
      </c>
      <c r="AD90" s="9">
        <v>6.4879166508425001</v>
      </c>
      <c r="AE90" s="9">
        <v>6.4879166508425001</v>
      </c>
      <c r="AF90" s="9">
        <v>6.4879166508425001</v>
      </c>
      <c r="AG90" s="9">
        <v>6.4879166508425001</v>
      </c>
      <c r="AH90" s="9">
        <v>6.4879166508425001</v>
      </c>
      <c r="AI90" s="9">
        <v>6.4879166508425001</v>
      </c>
      <c r="AJ90" s="9">
        <v>6.4879166508425001</v>
      </c>
      <c r="AK90" s="9">
        <v>6.4879166508425001</v>
      </c>
      <c r="AL90" s="9">
        <v>6.4879166508425001</v>
      </c>
      <c r="AM90" s="9">
        <v>6.4879166508425001</v>
      </c>
      <c r="AN90" s="10">
        <v>2</v>
      </c>
      <c r="AO90" s="10">
        <v>0</v>
      </c>
      <c r="AP90" s="10">
        <v>0</v>
      </c>
      <c r="AQ90" s="10">
        <v>2</v>
      </c>
      <c r="AR90" s="10">
        <v>0</v>
      </c>
      <c r="AS90" s="10">
        <v>0</v>
      </c>
      <c r="AT90" s="10">
        <v>2</v>
      </c>
      <c r="AU90" s="10">
        <v>0</v>
      </c>
      <c r="AV90" s="10">
        <v>0</v>
      </c>
      <c r="AW90" s="10">
        <v>2</v>
      </c>
      <c r="AX90" s="10">
        <v>0</v>
      </c>
      <c r="AY90" s="10">
        <v>0</v>
      </c>
      <c r="AZ90" s="7">
        <f t="shared" si="4"/>
        <v>8</v>
      </c>
      <c r="BA90" s="11">
        <f t="shared" si="5"/>
        <v>0.66666666666666663</v>
      </c>
      <c r="BC90" s="12">
        <v>12.975833301685</v>
      </c>
      <c r="BD90" s="12">
        <v>0</v>
      </c>
      <c r="BE90" s="12">
        <v>0</v>
      </c>
      <c r="BF90" s="12">
        <v>12.975833301685</v>
      </c>
      <c r="BG90" s="12">
        <v>0</v>
      </c>
      <c r="BH90" s="12">
        <v>0</v>
      </c>
      <c r="BI90" s="12">
        <v>12.975833301685</v>
      </c>
      <c r="BJ90" s="12">
        <v>0</v>
      </c>
      <c r="BK90" s="12">
        <v>0</v>
      </c>
      <c r="BL90" s="12">
        <v>12.975833301685</v>
      </c>
      <c r="BM90" s="12">
        <v>0</v>
      </c>
      <c r="BN90" s="12">
        <v>0</v>
      </c>
      <c r="BO90" s="12">
        <f t="shared" si="6"/>
        <v>51.903333206740001</v>
      </c>
      <c r="BP90" s="12">
        <f t="shared" si="7"/>
        <v>4.3252777672283331</v>
      </c>
      <c r="BQ90" s="7"/>
      <c r="BR90" s="7"/>
      <c r="BS90" s="7" t="s">
        <v>95</v>
      </c>
      <c r="BT90" s="7" t="s">
        <v>53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/>
    </row>
    <row r="91" spans="1:78" x14ac:dyDescent="0.35">
      <c r="A91" s="7" t="s">
        <v>42</v>
      </c>
      <c r="B91" s="7"/>
      <c r="C91" s="7" t="s">
        <v>278</v>
      </c>
      <c r="D91" s="7" t="s">
        <v>279</v>
      </c>
      <c r="E91" s="7" t="s">
        <v>280</v>
      </c>
      <c r="F91" s="7" t="s">
        <v>77</v>
      </c>
      <c r="G91" s="7" t="s">
        <v>47</v>
      </c>
      <c r="H91" s="7"/>
      <c r="I91" s="7"/>
      <c r="J91" s="7" t="s">
        <v>48</v>
      </c>
      <c r="K91" s="7" t="s">
        <v>49</v>
      </c>
      <c r="L91" s="7" t="s">
        <v>49</v>
      </c>
      <c r="M91" s="7" t="s">
        <v>49</v>
      </c>
      <c r="N91" s="7" t="s">
        <v>50</v>
      </c>
      <c r="O91" s="7" t="s">
        <v>4</v>
      </c>
      <c r="P91" s="7">
        <v>15375</v>
      </c>
      <c r="Q91" s="7">
        <v>15375</v>
      </c>
      <c r="R91" s="7">
        <v>15375</v>
      </c>
      <c r="S91" s="7">
        <v>15375</v>
      </c>
      <c r="T91" s="7">
        <v>15375</v>
      </c>
      <c r="U91" s="7">
        <v>15375</v>
      </c>
      <c r="V91" s="7">
        <v>15375</v>
      </c>
      <c r="W91" s="7">
        <v>15375</v>
      </c>
      <c r="X91" s="7">
        <v>15375</v>
      </c>
      <c r="Y91" s="7">
        <v>15375</v>
      </c>
      <c r="Z91" s="7">
        <v>15375</v>
      </c>
      <c r="AA91" s="7">
        <v>15375</v>
      </c>
      <c r="AB91" s="9">
        <v>0.97318749762637002</v>
      </c>
      <c r="AC91" s="9">
        <v>0.97318749762637002</v>
      </c>
      <c r="AD91" s="9">
        <v>0.97318749762637002</v>
      </c>
      <c r="AE91" s="9">
        <v>0.97318749762637002</v>
      </c>
      <c r="AF91" s="9">
        <v>0.97318749762637002</v>
      </c>
      <c r="AG91" s="9">
        <v>0.97318749762637002</v>
      </c>
      <c r="AH91" s="9">
        <v>0.97318749762637002</v>
      </c>
      <c r="AI91" s="9">
        <v>0.97318749762637002</v>
      </c>
      <c r="AJ91" s="9">
        <v>0.97318749762637002</v>
      </c>
      <c r="AK91" s="9">
        <v>0.97318749762637002</v>
      </c>
      <c r="AL91" s="9">
        <v>0.97318749762637002</v>
      </c>
      <c r="AM91" s="9">
        <v>0.97318749762637002</v>
      </c>
      <c r="AN91" s="10">
        <v>2</v>
      </c>
      <c r="AO91" s="10">
        <v>2</v>
      </c>
      <c r="AP91" s="10">
        <v>2</v>
      </c>
      <c r="AQ91" s="10">
        <v>2</v>
      </c>
      <c r="AR91" s="10">
        <v>2</v>
      </c>
      <c r="AS91" s="10">
        <v>2</v>
      </c>
      <c r="AT91" s="10">
        <v>2</v>
      </c>
      <c r="AU91" s="10">
        <v>2</v>
      </c>
      <c r="AV91" s="10">
        <v>2</v>
      </c>
      <c r="AW91" s="10">
        <v>2</v>
      </c>
      <c r="AX91" s="10">
        <v>2</v>
      </c>
      <c r="AY91" s="10">
        <v>2</v>
      </c>
      <c r="AZ91" s="7">
        <f t="shared" si="4"/>
        <v>24</v>
      </c>
      <c r="BA91" s="11">
        <f t="shared" si="5"/>
        <v>2</v>
      </c>
      <c r="BC91" s="12">
        <v>1.9463749952527001</v>
      </c>
      <c r="BD91" s="12">
        <v>1.9463749952527001</v>
      </c>
      <c r="BE91" s="12">
        <v>1.9463749952527001</v>
      </c>
      <c r="BF91" s="12">
        <v>1.9463749952527001</v>
      </c>
      <c r="BG91" s="12">
        <v>1.9463749952527001</v>
      </c>
      <c r="BH91" s="12">
        <v>1.9463749952527001</v>
      </c>
      <c r="BI91" s="12">
        <v>1.9463749952527001</v>
      </c>
      <c r="BJ91" s="12">
        <v>1.9463749952527001</v>
      </c>
      <c r="BK91" s="12">
        <v>1.9463749952527001</v>
      </c>
      <c r="BL91" s="12">
        <v>1.9463749952527001</v>
      </c>
      <c r="BM91" s="12">
        <v>1.9463749952527001</v>
      </c>
      <c r="BN91" s="12">
        <v>1.9463749952527001</v>
      </c>
      <c r="BO91" s="12">
        <f t="shared" si="6"/>
        <v>23.3564999430324</v>
      </c>
      <c r="BP91" s="12">
        <f t="shared" si="7"/>
        <v>1.9463749952527001</v>
      </c>
      <c r="BQ91" s="7"/>
      <c r="BR91" s="7"/>
      <c r="BS91" s="7" t="s">
        <v>52</v>
      </c>
      <c r="BT91" s="7" t="s">
        <v>53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/>
    </row>
    <row r="92" spans="1:78" x14ac:dyDescent="0.35">
      <c r="A92" s="7" t="s">
        <v>42</v>
      </c>
      <c r="B92" s="7"/>
      <c r="C92" s="7" t="s">
        <v>281</v>
      </c>
      <c r="D92" s="7" t="s">
        <v>75</v>
      </c>
      <c r="E92" s="7" t="s">
        <v>282</v>
      </c>
      <c r="F92" s="7" t="s">
        <v>77</v>
      </c>
      <c r="G92" s="7" t="s">
        <v>47</v>
      </c>
      <c r="H92" s="7"/>
      <c r="I92" s="7"/>
      <c r="J92" s="7" t="s">
        <v>48</v>
      </c>
      <c r="K92" s="7" t="s">
        <v>49</v>
      </c>
      <c r="L92" s="7" t="s">
        <v>49</v>
      </c>
      <c r="M92" s="7" t="s">
        <v>49</v>
      </c>
      <c r="N92" s="7" t="s">
        <v>50</v>
      </c>
      <c r="O92" s="7" t="s">
        <v>4</v>
      </c>
      <c r="P92" s="7">
        <v>7688</v>
      </c>
      <c r="Q92" s="7">
        <v>7688</v>
      </c>
      <c r="R92" s="7">
        <v>7688</v>
      </c>
      <c r="S92" s="7">
        <v>7688</v>
      </c>
      <c r="T92" s="7">
        <v>7688</v>
      </c>
      <c r="U92" s="7">
        <v>7688</v>
      </c>
      <c r="V92" s="7">
        <v>7688</v>
      </c>
      <c r="W92" s="7">
        <v>7688</v>
      </c>
      <c r="X92" s="7">
        <v>7688</v>
      </c>
      <c r="Y92" s="7">
        <v>7688</v>
      </c>
      <c r="Z92" s="7">
        <v>7688</v>
      </c>
      <c r="AA92" s="7">
        <v>7688</v>
      </c>
      <c r="AB92" s="9">
        <v>0.48662539718709003</v>
      </c>
      <c r="AC92" s="9">
        <v>0.48662539718709003</v>
      </c>
      <c r="AD92" s="9">
        <v>0.48662539718709003</v>
      </c>
      <c r="AE92" s="9">
        <v>0.48662539718709003</v>
      </c>
      <c r="AF92" s="9">
        <v>0.48662539718709003</v>
      </c>
      <c r="AG92" s="9">
        <v>0.48662539718709003</v>
      </c>
      <c r="AH92" s="9">
        <v>0.48662539718709003</v>
      </c>
      <c r="AI92" s="9">
        <v>0.48662539718709003</v>
      </c>
      <c r="AJ92" s="9">
        <v>0.48662539718709003</v>
      </c>
      <c r="AK92" s="9">
        <v>0.48662539718709003</v>
      </c>
      <c r="AL92" s="9">
        <v>0.48662539718709003</v>
      </c>
      <c r="AM92" s="9">
        <v>0.48662539718709003</v>
      </c>
      <c r="AN92" s="10">
        <v>2</v>
      </c>
      <c r="AO92" s="10">
        <v>2</v>
      </c>
      <c r="AP92" s="10">
        <v>2</v>
      </c>
      <c r="AQ92" s="10">
        <v>2</v>
      </c>
      <c r="AR92" s="10">
        <v>2</v>
      </c>
      <c r="AS92" s="10">
        <v>2</v>
      </c>
      <c r="AT92" s="10">
        <v>2</v>
      </c>
      <c r="AU92" s="10">
        <v>2</v>
      </c>
      <c r="AV92" s="10">
        <v>2</v>
      </c>
      <c r="AW92" s="10">
        <v>2</v>
      </c>
      <c r="AX92" s="10">
        <v>2</v>
      </c>
      <c r="AY92" s="10">
        <v>2</v>
      </c>
      <c r="AZ92" s="7">
        <f t="shared" si="4"/>
        <v>24</v>
      </c>
      <c r="BA92" s="11">
        <f t="shared" si="5"/>
        <v>2</v>
      </c>
      <c r="BC92" s="12">
        <v>0.97325079437419004</v>
      </c>
      <c r="BD92" s="12">
        <v>0.97325079437419004</v>
      </c>
      <c r="BE92" s="12">
        <v>0.97325079437419004</v>
      </c>
      <c r="BF92" s="12">
        <v>0.97325079437419004</v>
      </c>
      <c r="BG92" s="12">
        <v>0.97325079437419004</v>
      </c>
      <c r="BH92" s="12">
        <v>0.97325079437419004</v>
      </c>
      <c r="BI92" s="12">
        <v>0.97325079437419004</v>
      </c>
      <c r="BJ92" s="12">
        <v>0.97325079437419004</v>
      </c>
      <c r="BK92" s="12">
        <v>0.97325079437419004</v>
      </c>
      <c r="BL92" s="12">
        <v>0.97325079437419004</v>
      </c>
      <c r="BM92" s="12">
        <v>0.97325079437419004</v>
      </c>
      <c r="BN92" s="12">
        <v>0.97325079437419004</v>
      </c>
      <c r="BO92" s="12">
        <f t="shared" si="6"/>
        <v>11.679009532490278</v>
      </c>
      <c r="BP92" s="12">
        <f t="shared" si="7"/>
        <v>0.97325079437418982</v>
      </c>
      <c r="BQ92" s="7"/>
      <c r="BR92" s="7"/>
      <c r="BS92" s="7" t="s">
        <v>52</v>
      </c>
      <c r="BT92" s="7" t="s">
        <v>53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/>
    </row>
    <row r="93" spans="1:78" x14ac:dyDescent="0.35">
      <c r="A93" s="7" t="s">
        <v>42</v>
      </c>
      <c r="B93" s="7"/>
      <c r="C93" s="7" t="s">
        <v>283</v>
      </c>
      <c r="D93" s="7" t="s">
        <v>234</v>
      </c>
      <c r="E93" s="7" t="s">
        <v>284</v>
      </c>
      <c r="F93" s="7" t="s">
        <v>285</v>
      </c>
      <c r="G93" s="7" t="s">
        <v>47</v>
      </c>
      <c r="H93" s="7"/>
      <c r="I93" s="7"/>
      <c r="J93" s="7" t="s">
        <v>48</v>
      </c>
      <c r="K93" s="7" t="s">
        <v>49</v>
      </c>
      <c r="L93" s="7" t="s">
        <v>49</v>
      </c>
      <c r="M93" s="7" t="s">
        <v>49</v>
      </c>
      <c r="N93" s="7" t="s">
        <v>64</v>
      </c>
      <c r="O93" s="7" t="s">
        <v>4</v>
      </c>
      <c r="P93" s="7">
        <v>49000</v>
      </c>
      <c r="Q93" s="7">
        <v>49000</v>
      </c>
      <c r="R93" s="7">
        <v>49000</v>
      </c>
      <c r="S93" s="7">
        <v>49000</v>
      </c>
      <c r="T93" s="7">
        <v>49000</v>
      </c>
      <c r="U93" s="7">
        <v>49000</v>
      </c>
      <c r="V93" s="7">
        <v>49000</v>
      </c>
      <c r="W93" s="7">
        <v>49000</v>
      </c>
      <c r="X93" s="7">
        <v>49000</v>
      </c>
      <c r="Y93" s="7">
        <v>49000</v>
      </c>
      <c r="Z93" s="7">
        <v>49000</v>
      </c>
      <c r="AA93" s="7">
        <v>49000</v>
      </c>
      <c r="AB93" s="9">
        <v>3.1015406428418002</v>
      </c>
      <c r="AC93" s="9">
        <v>3.1015406428418002</v>
      </c>
      <c r="AD93" s="9">
        <v>3.1015406428418002</v>
      </c>
      <c r="AE93" s="9">
        <v>3.1015406428418002</v>
      </c>
      <c r="AF93" s="9">
        <v>3.1015406428418002</v>
      </c>
      <c r="AG93" s="9">
        <v>3.1015406428418002</v>
      </c>
      <c r="AH93" s="9">
        <v>3.1015406428418002</v>
      </c>
      <c r="AI93" s="9">
        <v>3.1015406428418002</v>
      </c>
      <c r="AJ93" s="9">
        <v>3.1015406428418002</v>
      </c>
      <c r="AK93" s="9">
        <v>3.1015406428418002</v>
      </c>
      <c r="AL93" s="9">
        <v>3.1015406428418002</v>
      </c>
      <c r="AM93" s="9">
        <v>3.1015406428418002</v>
      </c>
      <c r="AN93" s="10">
        <v>1</v>
      </c>
      <c r="AO93" s="10">
        <v>0</v>
      </c>
      <c r="AP93" s="10">
        <v>0</v>
      </c>
      <c r="AQ93" s="10">
        <v>0</v>
      </c>
      <c r="AR93" s="10">
        <v>0</v>
      </c>
      <c r="AS93" s="10">
        <v>1</v>
      </c>
      <c r="AT93" s="10">
        <v>0</v>
      </c>
      <c r="AU93" s="10">
        <v>0</v>
      </c>
      <c r="AV93" s="10">
        <v>0</v>
      </c>
      <c r="AW93" s="10">
        <v>0</v>
      </c>
      <c r="AX93" s="10">
        <v>1</v>
      </c>
      <c r="AY93" s="10">
        <v>0</v>
      </c>
      <c r="AZ93" s="7">
        <f t="shared" si="4"/>
        <v>3</v>
      </c>
      <c r="BA93" s="11">
        <f t="shared" si="5"/>
        <v>0.25</v>
      </c>
      <c r="BC93" s="12">
        <v>3.1015406428418002</v>
      </c>
      <c r="BD93" s="12">
        <v>0</v>
      </c>
      <c r="BE93" s="12">
        <v>0</v>
      </c>
      <c r="BF93" s="12">
        <v>0</v>
      </c>
      <c r="BG93" s="12">
        <v>0</v>
      </c>
      <c r="BH93" s="12">
        <v>3.1015406428418002</v>
      </c>
      <c r="BI93" s="12">
        <v>0</v>
      </c>
      <c r="BJ93" s="12">
        <v>0</v>
      </c>
      <c r="BK93" s="12">
        <v>0</v>
      </c>
      <c r="BL93" s="12">
        <v>0</v>
      </c>
      <c r="BM93" s="12">
        <v>3.1015406428418002</v>
      </c>
      <c r="BN93" s="12">
        <v>0</v>
      </c>
      <c r="BO93" s="12">
        <f t="shared" si="6"/>
        <v>9.3046219285253997</v>
      </c>
      <c r="BP93" s="12">
        <f t="shared" si="7"/>
        <v>0.77538516071044994</v>
      </c>
      <c r="BQ93" s="7"/>
      <c r="BR93" s="7"/>
      <c r="BS93" s="7" t="s">
        <v>52</v>
      </c>
      <c r="BT93" s="7" t="s">
        <v>53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/>
    </row>
    <row r="94" spans="1:78" x14ac:dyDescent="0.35">
      <c r="A94" s="7" t="s">
        <v>42</v>
      </c>
      <c r="B94" s="7"/>
      <c r="C94" s="7" t="s">
        <v>160</v>
      </c>
      <c r="D94" s="7" t="s">
        <v>161</v>
      </c>
      <c r="E94" s="7" t="s">
        <v>162</v>
      </c>
      <c r="F94" s="7" t="s">
        <v>286</v>
      </c>
      <c r="G94" s="7" t="s">
        <v>47</v>
      </c>
      <c r="H94" s="7"/>
      <c r="I94" s="7"/>
      <c r="J94" s="7" t="s">
        <v>48</v>
      </c>
      <c r="K94" s="7" t="s">
        <v>49</v>
      </c>
      <c r="L94" s="7" t="s">
        <v>49</v>
      </c>
      <c r="M94" s="7" t="s">
        <v>49</v>
      </c>
      <c r="N94" s="7" t="s">
        <v>100</v>
      </c>
      <c r="O94" s="7" t="s">
        <v>4</v>
      </c>
      <c r="P94" s="7">
        <v>50000</v>
      </c>
      <c r="Q94" s="7">
        <v>50000</v>
      </c>
      <c r="R94" s="7">
        <v>50000</v>
      </c>
      <c r="S94" s="7">
        <v>50000</v>
      </c>
      <c r="T94" s="7">
        <v>50000</v>
      </c>
      <c r="U94" s="7">
        <v>50000</v>
      </c>
      <c r="V94" s="7">
        <v>50000</v>
      </c>
      <c r="W94" s="7">
        <v>50000</v>
      </c>
      <c r="X94" s="7">
        <v>50000</v>
      </c>
      <c r="Y94" s="7">
        <v>50000</v>
      </c>
      <c r="Z94" s="7">
        <v>50000</v>
      </c>
      <c r="AA94" s="7">
        <v>50000</v>
      </c>
      <c r="AB94" s="9">
        <v>3.1648373906548999</v>
      </c>
      <c r="AC94" s="9">
        <v>3.1648373906548999</v>
      </c>
      <c r="AD94" s="9">
        <v>3.1648373906548999</v>
      </c>
      <c r="AE94" s="9">
        <v>3.1648373906548999</v>
      </c>
      <c r="AF94" s="9">
        <v>3.1648373906548999</v>
      </c>
      <c r="AG94" s="9">
        <v>3.1648373906548999</v>
      </c>
      <c r="AH94" s="9">
        <v>3.1648373906548999</v>
      </c>
      <c r="AI94" s="9">
        <v>3.1648373906548999</v>
      </c>
      <c r="AJ94" s="9">
        <v>3.1648373906548999</v>
      </c>
      <c r="AK94" s="9">
        <v>3.1648373906548999</v>
      </c>
      <c r="AL94" s="9">
        <v>3.1648373906548999</v>
      </c>
      <c r="AM94" s="9">
        <v>3.1648373906548999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60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7">
        <f t="shared" si="4"/>
        <v>60</v>
      </c>
      <c r="BA94" s="11">
        <f t="shared" si="5"/>
        <v>5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189.89024343929</v>
      </c>
      <c r="BI94" s="12">
        <v>0</v>
      </c>
      <c r="BJ94" s="12">
        <v>0</v>
      </c>
      <c r="BK94" s="12">
        <v>0</v>
      </c>
      <c r="BL94" s="12">
        <v>0</v>
      </c>
      <c r="BM94" s="12">
        <v>0</v>
      </c>
      <c r="BN94" s="12">
        <v>0</v>
      </c>
      <c r="BO94" s="12">
        <f t="shared" si="6"/>
        <v>189.89024343929</v>
      </c>
      <c r="BP94" s="12">
        <f t="shared" si="7"/>
        <v>15.824186953274166</v>
      </c>
      <c r="BQ94" s="7"/>
      <c r="BR94" s="7"/>
      <c r="BS94" s="7" t="s">
        <v>95</v>
      </c>
      <c r="BT94" s="7" t="s">
        <v>53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/>
    </row>
    <row r="95" spans="1:78" x14ac:dyDescent="0.35">
      <c r="A95" s="7" t="s">
        <v>42</v>
      </c>
      <c r="B95" s="7"/>
      <c r="C95" s="7" t="s">
        <v>287</v>
      </c>
      <c r="D95" s="7" t="s">
        <v>288</v>
      </c>
      <c r="E95" s="7" t="s">
        <v>289</v>
      </c>
      <c r="F95" s="7" t="s">
        <v>149</v>
      </c>
      <c r="G95" s="7" t="s">
        <v>47</v>
      </c>
      <c r="H95" s="7"/>
      <c r="I95" s="7"/>
      <c r="J95" s="7" t="s">
        <v>48</v>
      </c>
      <c r="K95" s="7" t="s">
        <v>49</v>
      </c>
      <c r="L95" s="7" t="s">
        <v>49</v>
      </c>
      <c r="M95" s="7" t="s">
        <v>49</v>
      </c>
      <c r="N95" s="7" t="s">
        <v>100</v>
      </c>
      <c r="O95" s="7" t="s">
        <v>4</v>
      </c>
      <c r="P95" s="7">
        <v>500000</v>
      </c>
      <c r="Q95" s="7">
        <v>500000</v>
      </c>
      <c r="R95" s="7">
        <v>500000</v>
      </c>
      <c r="S95" s="7">
        <v>500000</v>
      </c>
      <c r="T95" s="7">
        <v>500000</v>
      </c>
      <c r="U95" s="7">
        <v>500000</v>
      </c>
      <c r="V95" s="7">
        <v>500000</v>
      </c>
      <c r="W95" s="7">
        <v>500000</v>
      </c>
      <c r="X95" s="7">
        <v>500000</v>
      </c>
      <c r="Y95" s="7">
        <v>500000</v>
      </c>
      <c r="Z95" s="7">
        <v>500000</v>
      </c>
      <c r="AA95" s="7">
        <v>500000</v>
      </c>
      <c r="AB95" s="9">
        <v>31.648373906549001</v>
      </c>
      <c r="AC95" s="9">
        <v>31.648373906549001</v>
      </c>
      <c r="AD95" s="9">
        <v>31.648373906549001</v>
      </c>
      <c r="AE95" s="9">
        <v>31.648373906549001</v>
      </c>
      <c r="AF95" s="9">
        <v>31.648373906549001</v>
      </c>
      <c r="AG95" s="9">
        <v>31.648373906549001</v>
      </c>
      <c r="AH95" s="9">
        <v>31.648373906549001</v>
      </c>
      <c r="AI95" s="9">
        <v>31.648373906549001</v>
      </c>
      <c r="AJ95" s="9">
        <v>31.648373906549001</v>
      </c>
      <c r="AK95" s="9">
        <v>31.648373906549001</v>
      </c>
      <c r="AL95" s="9">
        <v>31.648373906549001</v>
      </c>
      <c r="AM95" s="9">
        <v>31.648373906549001</v>
      </c>
      <c r="AN95" s="10">
        <v>0</v>
      </c>
      <c r="AO95" s="10">
        <v>0</v>
      </c>
      <c r="AP95" s="10">
        <v>0</v>
      </c>
      <c r="AQ95" s="10">
        <v>0</v>
      </c>
      <c r="AR95" s="10">
        <v>4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7">
        <f t="shared" si="4"/>
        <v>4</v>
      </c>
      <c r="BA95" s="11">
        <f t="shared" si="5"/>
        <v>0.33333333333333331</v>
      </c>
      <c r="BC95" s="12">
        <v>0</v>
      </c>
      <c r="BD95" s="12">
        <v>0</v>
      </c>
      <c r="BE95" s="12">
        <v>0</v>
      </c>
      <c r="BF95" s="12">
        <v>0</v>
      </c>
      <c r="BG95" s="12">
        <v>126.59349562619001</v>
      </c>
      <c r="BH95" s="12">
        <v>0</v>
      </c>
      <c r="BI95" s="12">
        <v>0</v>
      </c>
      <c r="BJ95" s="12">
        <v>0</v>
      </c>
      <c r="BK95" s="12">
        <v>0</v>
      </c>
      <c r="BL95" s="12">
        <v>0</v>
      </c>
      <c r="BM95" s="12">
        <v>0</v>
      </c>
      <c r="BN95" s="12">
        <v>0</v>
      </c>
      <c r="BO95" s="12">
        <f t="shared" si="6"/>
        <v>126.59349562619001</v>
      </c>
      <c r="BP95" s="12">
        <f t="shared" si="7"/>
        <v>10.549457968849167</v>
      </c>
      <c r="BQ95" s="7"/>
      <c r="BR95" s="7"/>
      <c r="BS95" s="7" t="s">
        <v>95</v>
      </c>
      <c r="BT95" s="7" t="s">
        <v>53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/>
    </row>
    <row r="96" spans="1:78" x14ac:dyDescent="0.35">
      <c r="A96" s="7" t="s">
        <v>42</v>
      </c>
      <c r="B96" s="7"/>
      <c r="C96" s="7" t="s">
        <v>290</v>
      </c>
      <c r="D96" s="7" t="s">
        <v>291</v>
      </c>
      <c r="E96" s="7" t="s">
        <v>292</v>
      </c>
      <c r="F96" s="7" t="s">
        <v>102</v>
      </c>
      <c r="G96" s="7" t="s">
        <v>47</v>
      </c>
      <c r="H96" s="7"/>
      <c r="I96" s="7"/>
      <c r="J96" s="7" t="s">
        <v>48</v>
      </c>
      <c r="K96" s="7" t="s">
        <v>49</v>
      </c>
      <c r="L96" s="7" t="s">
        <v>49</v>
      </c>
      <c r="M96" s="7" t="s">
        <v>49</v>
      </c>
      <c r="N96" s="7" t="s">
        <v>100</v>
      </c>
      <c r="O96" s="7" t="s">
        <v>6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1</v>
      </c>
      <c r="AU96" s="10">
        <v>0</v>
      </c>
      <c r="AV96" s="10">
        <v>0</v>
      </c>
      <c r="AW96" s="10">
        <v>0</v>
      </c>
      <c r="AX96" s="10">
        <v>0</v>
      </c>
      <c r="AY96" s="10">
        <v>0</v>
      </c>
      <c r="AZ96" s="7">
        <f t="shared" si="4"/>
        <v>1</v>
      </c>
      <c r="BA96" s="11">
        <f t="shared" si="5"/>
        <v>8.3333333333333329E-2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  <c r="BL96" s="12">
        <v>0</v>
      </c>
      <c r="BM96" s="12">
        <v>0</v>
      </c>
      <c r="BN96" s="12">
        <v>0</v>
      </c>
      <c r="BO96" s="12">
        <f t="shared" si="6"/>
        <v>0</v>
      </c>
      <c r="BP96" s="12">
        <f t="shared" si="7"/>
        <v>0</v>
      </c>
      <c r="BQ96" s="7"/>
      <c r="BR96" s="7"/>
      <c r="BS96" s="7" t="s">
        <v>101</v>
      </c>
      <c r="BT96" s="7" t="s">
        <v>53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/>
    </row>
    <row r="97" spans="1:78" x14ac:dyDescent="0.35">
      <c r="A97" s="7" t="s">
        <v>42</v>
      </c>
      <c r="B97" s="7"/>
      <c r="C97" s="7" t="s">
        <v>293</v>
      </c>
      <c r="D97" s="7" t="s">
        <v>104</v>
      </c>
      <c r="E97" s="7" t="s">
        <v>294</v>
      </c>
      <c r="F97" s="7" t="s">
        <v>102</v>
      </c>
      <c r="G97" s="7" t="s">
        <v>47</v>
      </c>
      <c r="H97" s="7"/>
      <c r="I97" s="7"/>
      <c r="J97" s="7" t="s">
        <v>48</v>
      </c>
      <c r="K97" s="7" t="s">
        <v>49</v>
      </c>
      <c r="L97" s="7" t="s">
        <v>49</v>
      </c>
      <c r="M97" s="7" t="s">
        <v>49</v>
      </c>
      <c r="N97" s="7" t="s">
        <v>100</v>
      </c>
      <c r="O97" s="7" t="s">
        <v>6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1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7">
        <f t="shared" si="4"/>
        <v>1</v>
      </c>
      <c r="BA97" s="11">
        <f t="shared" si="5"/>
        <v>8.3333333333333329E-2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f t="shared" si="6"/>
        <v>0</v>
      </c>
      <c r="BP97" s="12">
        <f t="shared" si="7"/>
        <v>0</v>
      </c>
      <c r="BQ97" s="7"/>
      <c r="BR97" s="7"/>
      <c r="BS97" s="7" t="s">
        <v>95</v>
      </c>
      <c r="BT97" s="7" t="s">
        <v>53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/>
    </row>
    <row r="98" spans="1:78" x14ac:dyDescent="0.35">
      <c r="A98" s="7" t="s">
        <v>42</v>
      </c>
      <c r="B98" s="7"/>
      <c r="C98" s="7" t="s">
        <v>295</v>
      </c>
      <c r="D98" s="7" t="s">
        <v>121</v>
      </c>
      <c r="E98" s="7" t="s">
        <v>296</v>
      </c>
      <c r="F98" s="7" t="s">
        <v>237</v>
      </c>
      <c r="G98" s="7" t="s">
        <v>47</v>
      </c>
      <c r="H98" s="7"/>
      <c r="I98" s="7"/>
      <c r="J98" s="7" t="s">
        <v>48</v>
      </c>
      <c r="K98" s="7" t="s">
        <v>49</v>
      </c>
      <c r="L98" s="7" t="s">
        <v>49</v>
      </c>
      <c r="M98" s="7" t="s">
        <v>49</v>
      </c>
      <c r="N98" s="7" t="s">
        <v>242</v>
      </c>
      <c r="O98" s="7" t="s">
        <v>4</v>
      </c>
      <c r="P98" s="7">
        <v>30750</v>
      </c>
      <c r="Q98" s="7">
        <v>30750</v>
      </c>
      <c r="R98" s="7">
        <v>30750</v>
      </c>
      <c r="S98" s="7">
        <v>30750</v>
      </c>
      <c r="T98" s="7">
        <v>30750</v>
      </c>
      <c r="U98" s="7">
        <v>30750</v>
      </c>
      <c r="V98" s="7">
        <v>30750</v>
      </c>
      <c r="W98" s="7">
        <v>30750</v>
      </c>
      <c r="X98" s="7">
        <v>30750</v>
      </c>
      <c r="Y98" s="7">
        <v>30750</v>
      </c>
      <c r="Z98" s="7">
        <v>30750</v>
      </c>
      <c r="AA98" s="7">
        <v>30750</v>
      </c>
      <c r="AB98" s="9">
        <v>1.9463749952527001</v>
      </c>
      <c r="AC98" s="9">
        <v>1.9463749952527001</v>
      </c>
      <c r="AD98" s="9">
        <v>1.9463749952527001</v>
      </c>
      <c r="AE98" s="9">
        <v>1.9463749952527001</v>
      </c>
      <c r="AF98" s="9">
        <v>1.9463749952527001</v>
      </c>
      <c r="AG98" s="9">
        <v>1.9463749952527001</v>
      </c>
      <c r="AH98" s="9">
        <v>1.9463749952527001</v>
      </c>
      <c r="AI98" s="9">
        <v>1.9463749952527001</v>
      </c>
      <c r="AJ98" s="9">
        <v>1.9463749952527001</v>
      </c>
      <c r="AK98" s="9">
        <v>1.9463749952527001</v>
      </c>
      <c r="AL98" s="9">
        <v>1.9463749952527001</v>
      </c>
      <c r="AM98" s="9">
        <v>1.9463749952527001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70</v>
      </c>
      <c r="AY98" s="10">
        <v>0</v>
      </c>
      <c r="AZ98" s="7">
        <f t="shared" si="4"/>
        <v>70</v>
      </c>
      <c r="BA98" s="11">
        <f t="shared" si="5"/>
        <v>5.833333333333333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  <c r="BL98" s="12">
        <v>0</v>
      </c>
      <c r="BM98" s="12">
        <v>136.24624966768999</v>
      </c>
      <c r="BN98" s="12">
        <v>0</v>
      </c>
      <c r="BO98" s="12">
        <f t="shared" si="6"/>
        <v>136.24624966768999</v>
      </c>
      <c r="BP98" s="12">
        <f t="shared" si="7"/>
        <v>11.353854138974166</v>
      </c>
      <c r="BQ98" s="7"/>
      <c r="BR98" s="7"/>
      <c r="BS98" s="7" t="s">
        <v>95</v>
      </c>
      <c r="BT98" s="7" t="s">
        <v>53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/>
    </row>
    <row r="99" spans="1:78" x14ac:dyDescent="0.35">
      <c r="A99" s="7" t="s">
        <v>42</v>
      </c>
      <c r="B99" s="7"/>
      <c r="C99" s="7" t="s">
        <v>297</v>
      </c>
      <c r="D99" s="7" t="s">
        <v>112</v>
      </c>
      <c r="E99" s="7" t="s">
        <v>298</v>
      </c>
      <c r="F99" s="7" t="s">
        <v>114</v>
      </c>
      <c r="G99" s="7" t="s">
        <v>47</v>
      </c>
      <c r="H99" s="7"/>
      <c r="I99" s="7"/>
      <c r="J99" s="7" t="s">
        <v>48</v>
      </c>
      <c r="K99" s="7" t="s">
        <v>49</v>
      </c>
      <c r="L99" s="7" t="s">
        <v>49</v>
      </c>
      <c r="M99" s="7" t="s">
        <v>49</v>
      </c>
      <c r="N99" s="7" t="s">
        <v>115</v>
      </c>
      <c r="O99" s="7" t="s">
        <v>4</v>
      </c>
      <c r="P99" s="7">
        <v>200000</v>
      </c>
      <c r="Q99" s="7">
        <v>200000</v>
      </c>
      <c r="R99" s="7">
        <v>200000</v>
      </c>
      <c r="S99" s="7">
        <v>200000</v>
      </c>
      <c r="T99" s="7">
        <v>200000</v>
      </c>
      <c r="U99" s="7">
        <v>200000</v>
      </c>
      <c r="V99" s="7">
        <v>200000</v>
      </c>
      <c r="W99" s="7">
        <v>200000</v>
      </c>
      <c r="X99" s="7">
        <v>200000</v>
      </c>
      <c r="Y99" s="7">
        <v>200000</v>
      </c>
      <c r="Z99" s="7">
        <v>200000</v>
      </c>
      <c r="AA99" s="7">
        <v>200000</v>
      </c>
      <c r="AB99" s="9">
        <v>12.659349562618999</v>
      </c>
      <c r="AC99" s="9">
        <v>12.659349562618999</v>
      </c>
      <c r="AD99" s="9">
        <v>12.659349562618999</v>
      </c>
      <c r="AE99" s="9">
        <v>12.659349562618999</v>
      </c>
      <c r="AF99" s="9">
        <v>12.659349562618999</v>
      </c>
      <c r="AG99" s="9">
        <v>12.659349562618999</v>
      </c>
      <c r="AH99" s="9">
        <v>12.659349562618999</v>
      </c>
      <c r="AI99" s="9">
        <v>12.659349562618999</v>
      </c>
      <c r="AJ99" s="9">
        <v>12.659349562618999</v>
      </c>
      <c r="AK99" s="9">
        <v>12.659349562618999</v>
      </c>
      <c r="AL99" s="9">
        <v>12.659349562618999</v>
      </c>
      <c r="AM99" s="9">
        <v>12.659349562618999</v>
      </c>
      <c r="AN99" s="10">
        <v>0</v>
      </c>
      <c r="AO99" s="10">
        <v>0</v>
      </c>
      <c r="AP99" s="10">
        <v>1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7">
        <f t="shared" si="4"/>
        <v>1</v>
      </c>
      <c r="BA99" s="11">
        <f t="shared" si="5"/>
        <v>8.3333333333333329E-2</v>
      </c>
      <c r="BC99" s="12">
        <v>0</v>
      </c>
      <c r="BD99" s="12">
        <v>0</v>
      </c>
      <c r="BE99" s="12">
        <v>12.659349562618999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  <c r="BL99" s="12">
        <v>0</v>
      </c>
      <c r="BM99" s="12">
        <v>0</v>
      </c>
      <c r="BN99" s="12">
        <v>0</v>
      </c>
      <c r="BO99" s="12">
        <f t="shared" si="6"/>
        <v>12.659349562618999</v>
      </c>
      <c r="BP99" s="12">
        <f t="shared" si="7"/>
        <v>1.0549457968849165</v>
      </c>
      <c r="BQ99" s="7"/>
      <c r="BR99" s="7"/>
      <c r="BS99" s="7" t="s">
        <v>52</v>
      </c>
      <c r="BT99" s="7" t="s">
        <v>53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/>
    </row>
    <row r="100" spans="1:78" x14ac:dyDescent="0.35">
      <c r="A100" s="7" t="s">
        <v>42</v>
      </c>
      <c r="B100" s="7"/>
      <c r="C100" s="7" t="s">
        <v>299</v>
      </c>
      <c r="D100" s="7" t="s">
        <v>117</v>
      </c>
      <c r="E100" s="7" t="s">
        <v>300</v>
      </c>
      <c r="F100" s="7" t="s">
        <v>301</v>
      </c>
      <c r="G100" s="7" t="s">
        <v>47</v>
      </c>
      <c r="H100" s="7"/>
      <c r="I100" s="7"/>
      <c r="J100" s="7" t="s">
        <v>48</v>
      </c>
      <c r="K100" s="7" t="s">
        <v>49</v>
      </c>
      <c r="L100" s="7" t="s">
        <v>49</v>
      </c>
      <c r="M100" s="7" t="s">
        <v>49</v>
      </c>
      <c r="N100" s="7" t="s">
        <v>115</v>
      </c>
      <c r="O100" s="7" t="s">
        <v>4</v>
      </c>
      <c r="P100" s="7">
        <v>100000</v>
      </c>
      <c r="Q100" s="7">
        <v>100000</v>
      </c>
      <c r="R100" s="7">
        <v>100000</v>
      </c>
      <c r="S100" s="7">
        <v>100000</v>
      </c>
      <c r="T100" s="7">
        <v>100000</v>
      </c>
      <c r="U100" s="7">
        <v>100000</v>
      </c>
      <c r="V100" s="7">
        <v>100000</v>
      </c>
      <c r="W100" s="7">
        <v>100000</v>
      </c>
      <c r="X100" s="7">
        <v>100000</v>
      </c>
      <c r="Y100" s="7">
        <v>100000</v>
      </c>
      <c r="Z100" s="7">
        <v>100000</v>
      </c>
      <c r="AA100" s="7">
        <v>100000</v>
      </c>
      <c r="AB100" s="9">
        <v>6.3296747813097003</v>
      </c>
      <c r="AC100" s="9">
        <v>6.3296747813097003</v>
      </c>
      <c r="AD100" s="9">
        <v>6.3296747813097003</v>
      </c>
      <c r="AE100" s="9">
        <v>6.3296747813097003</v>
      </c>
      <c r="AF100" s="9">
        <v>6.3296747813097003</v>
      </c>
      <c r="AG100" s="9">
        <v>6.3296747813097003</v>
      </c>
      <c r="AH100" s="9">
        <v>6.3296747813097003</v>
      </c>
      <c r="AI100" s="9">
        <v>6.3296747813097003</v>
      </c>
      <c r="AJ100" s="9">
        <v>6.3296747813097003</v>
      </c>
      <c r="AK100" s="9">
        <v>6.3296747813097003</v>
      </c>
      <c r="AL100" s="9">
        <v>6.3296747813097003</v>
      </c>
      <c r="AM100" s="9">
        <v>6.3296747813097003</v>
      </c>
      <c r="AN100" s="10">
        <v>0</v>
      </c>
      <c r="AO100" s="10">
        <v>0</v>
      </c>
      <c r="AP100" s="10">
        <v>0</v>
      </c>
      <c r="AQ100" s="10">
        <v>0</v>
      </c>
      <c r="AR100" s="10">
        <v>0</v>
      </c>
      <c r="AS100" s="10">
        <v>0</v>
      </c>
      <c r="AT100" s="10">
        <v>1</v>
      </c>
      <c r="AU100" s="10">
        <v>0</v>
      </c>
      <c r="AV100" s="10">
        <v>0</v>
      </c>
      <c r="AW100" s="10">
        <v>0</v>
      </c>
      <c r="AX100" s="10">
        <v>0</v>
      </c>
      <c r="AY100" s="10">
        <v>0</v>
      </c>
      <c r="AZ100" s="7">
        <f t="shared" si="4"/>
        <v>1</v>
      </c>
      <c r="BA100" s="11">
        <f t="shared" si="5"/>
        <v>8.3333333333333329E-2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6.3296747813097003</v>
      </c>
      <c r="BJ100" s="12">
        <v>0</v>
      </c>
      <c r="BK100" s="12">
        <v>0</v>
      </c>
      <c r="BL100" s="12">
        <v>0</v>
      </c>
      <c r="BM100" s="12">
        <v>0</v>
      </c>
      <c r="BN100" s="12">
        <v>0</v>
      </c>
      <c r="BO100" s="12">
        <f t="shared" si="6"/>
        <v>6.3296747813097003</v>
      </c>
      <c r="BP100" s="12">
        <f t="shared" si="7"/>
        <v>0.52747289844247502</v>
      </c>
      <c r="BQ100" s="7"/>
      <c r="BR100" s="7"/>
      <c r="BS100" s="7" t="s">
        <v>52</v>
      </c>
      <c r="BT100" s="7" t="s">
        <v>53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/>
    </row>
    <row r="101" spans="1:78" x14ac:dyDescent="0.35">
      <c r="A101" s="7" t="s">
        <v>42</v>
      </c>
      <c r="B101" s="7"/>
      <c r="C101" s="7" t="s">
        <v>302</v>
      </c>
      <c r="D101" s="7" t="s">
        <v>190</v>
      </c>
      <c r="E101" s="7" t="s">
        <v>303</v>
      </c>
      <c r="F101" s="7" t="s">
        <v>138</v>
      </c>
      <c r="G101" s="7" t="s">
        <v>47</v>
      </c>
      <c r="H101" s="7"/>
      <c r="I101" s="7"/>
      <c r="J101" s="7" t="s">
        <v>48</v>
      </c>
      <c r="K101" s="7" t="s">
        <v>49</v>
      </c>
      <c r="L101" s="7" t="s">
        <v>49</v>
      </c>
      <c r="M101" s="7" t="s">
        <v>49</v>
      </c>
      <c r="N101" s="7" t="s">
        <v>304</v>
      </c>
      <c r="O101" s="7" t="s">
        <v>4</v>
      </c>
      <c r="P101" s="7">
        <v>1650000</v>
      </c>
      <c r="Q101" s="7">
        <v>1650000</v>
      </c>
      <c r="R101" s="7">
        <v>1650000</v>
      </c>
      <c r="S101" s="7">
        <v>1650000</v>
      </c>
      <c r="T101" s="7">
        <v>1650000</v>
      </c>
      <c r="U101" s="7">
        <v>1650000</v>
      </c>
      <c r="V101" s="7">
        <v>1831500</v>
      </c>
      <c r="W101" s="7">
        <v>1831500</v>
      </c>
      <c r="X101" s="7">
        <v>1831500</v>
      </c>
      <c r="Y101" s="7">
        <v>1831500</v>
      </c>
      <c r="Z101" s="7">
        <v>1831500</v>
      </c>
      <c r="AA101" s="7">
        <v>1831500</v>
      </c>
      <c r="AB101" s="9">
        <v>104.43963389161</v>
      </c>
      <c r="AC101" s="9">
        <v>104.43963389161</v>
      </c>
      <c r="AD101" s="9">
        <v>104.43963389161</v>
      </c>
      <c r="AE101" s="9">
        <v>104.43963389161</v>
      </c>
      <c r="AF101" s="9">
        <v>104.43963389161</v>
      </c>
      <c r="AG101" s="9">
        <v>104.43963389161</v>
      </c>
      <c r="AH101" s="9">
        <v>115.92799361969</v>
      </c>
      <c r="AI101" s="9">
        <v>115.92799361969</v>
      </c>
      <c r="AJ101" s="9">
        <v>115.92799361969</v>
      </c>
      <c r="AK101" s="9">
        <v>115.92799361969</v>
      </c>
      <c r="AL101" s="9">
        <v>115.92799361969</v>
      </c>
      <c r="AM101" s="9">
        <v>115.92799361969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0</v>
      </c>
      <c r="AV101" s="10">
        <v>0</v>
      </c>
      <c r="AW101" s="10">
        <v>0</v>
      </c>
      <c r="AX101" s="10">
        <v>0</v>
      </c>
      <c r="AY101" s="10">
        <v>3</v>
      </c>
      <c r="AZ101" s="7">
        <f t="shared" si="4"/>
        <v>3</v>
      </c>
      <c r="BA101" s="11">
        <f t="shared" si="5"/>
        <v>0.25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  <c r="BL101" s="12">
        <v>0</v>
      </c>
      <c r="BM101" s="12">
        <v>0</v>
      </c>
      <c r="BN101" s="12">
        <v>347.78398085906002</v>
      </c>
      <c r="BO101" s="12">
        <f t="shared" si="6"/>
        <v>347.78398085906002</v>
      </c>
      <c r="BP101" s="12">
        <f t="shared" si="7"/>
        <v>28.981998404921669</v>
      </c>
      <c r="BQ101" s="7"/>
      <c r="BR101" s="7"/>
      <c r="BS101" s="7" t="s">
        <v>101</v>
      </c>
      <c r="BT101" s="7" t="s">
        <v>53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/>
    </row>
    <row r="102" spans="1:78" x14ac:dyDescent="0.35">
      <c r="A102" s="7" t="s">
        <v>42</v>
      </c>
      <c r="B102" s="7"/>
      <c r="C102" s="7" t="s">
        <v>305</v>
      </c>
      <c r="D102" s="7" t="s">
        <v>126</v>
      </c>
      <c r="E102" s="7" t="s">
        <v>306</v>
      </c>
      <c r="F102" s="7" t="s">
        <v>102</v>
      </c>
      <c r="G102" s="7" t="s">
        <v>47</v>
      </c>
      <c r="H102" s="7"/>
      <c r="I102" s="7"/>
      <c r="J102" s="7" t="s">
        <v>48</v>
      </c>
      <c r="K102" s="7" t="s">
        <v>49</v>
      </c>
      <c r="L102" s="7" t="s">
        <v>49</v>
      </c>
      <c r="M102" s="7" t="s">
        <v>49</v>
      </c>
      <c r="N102" s="7" t="s">
        <v>100</v>
      </c>
      <c r="O102" s="7" t="s">
        <v>4</v>
      </c>
      <c r="P102" s="7">
        <v>2562500</v>
      </c>
      <c r="Q102" s="7">
        <v>2562500</v>
      </c>
      <c r="R102" s="7">
        <v>2562500</v>
      </c>
      <c r="S102" s="7">
        <v>2562500</v>
      </c>
      <c r="T102" s="7">
        <v>2562500</v>
      </c>
      <c r="U102" s="7">
        <v>2562500</v>
      </c>
      <c r="V102" s="7">
        <v>2562500</v>
      </c>
      <c r="W102" s="7">
        <v>2562500</v>
      </c>
      <c r="X102" s="7">
        <v>2562500</v>
      </c>
      <c r="Y102" s="7">
        <v>2562500</v>
      </c>
      <c r="Z102" s="7">
        <v>2562500</v>
      </c>
      <c r="AA102" s="7">
        <v>2562500</v>
      </c>
      <c r="AB102" s="9">
        <v>162.19791627106</v>
      </c>
      <c r="AC102" s="9">
        <v>162.19791627106</v>
      </c>
      <c r="AD102" s="9">
        <v>162.19791627106</v>
      </c>
      <c r="AE102" s="9">
        <v>162.19791627106</v>
      </c>
      <c r="AF102" s="9">
        <v>162.19791627106</v>
      </c>
      <c r="AG102" s="9">
        <v>162.19791627106</v>
      </c>
      <c r="AH102" s="9">
        <v>162.19791627106</v>
      </c>
      <c r="AI102" s="9">
        <v>162.19791627106</v>
      </c>
      <c r="AJ102" s="9">
        <v>162.19791627106</v>
      </c>
      <c r="AK102" s="9">
        <v>162.19791627106</v>
      </c>
      <c r="AL102" s="9">
        <v>162.19791627106</v>
      </c>
      <c r="AM102" s="9">
        <v>162.19791627106</v>
      </c>
      <c r="AN102" s="10">
        <v>0</v>
      </c>
      <c r="AO102" s="10">
        <v>0</v>
      </c>
      <c r="AP102" s="10">
        <v>0</v>
      </c>
      <c r="AQ102" s="10">
        <v>1</v>
      </c>
      <c r="AR102" s="10">
        <v>0</v>
      </c>
      <c r="AS102" s="10">
        <v>0</v>
      </c>
      <c r="AT102" s="10">
        <v>0</v>
      </c>
      <c r="AU102" s="10">
        <v>0</v>
      </c>
      <c r="AV102" s="10">
        <v>0</v>
      </c>
      <c r="AW102" s="10">
        <v>0</v>
      </c>
      <c r="AX102" s="10">
        <v>0</v>
      </c>
      <c r="AY102" s="10">
        <v>0</v>
      </c>
      <c r="AZ102" s="7">
        <f t="shared" si="4"/>
        <v>1</v>
      </c>
      <c r="BA102" s="11">
        <f t="shared" si="5"/>
        <v>8.3333333333333329E-2</v>
      </c>
      <c r="BC102" s="12">
        <v>0</v>
      </c>
      <c r="BD102" s="12">
        <v>0</v>
      </c>
      <c r="BE102" s="12">
        <v>0</v>
      </c>
      <c r="BF102" s="12">
        <v>162.19791627106</v>
      </c>
      <c r="BG102" s="12">
        <v>0</v>
      </c>
      <c r="BH102" s="12">
        <v>0</v>
      </c>
      <c r="BI102" s="12">
        <v>0</v>
      </c>
      <c r="BJ102" s="12">
        <v>0</v>
      </c>
      <c r="BK102" s="12">
        <v>0</v>
      </c>
      <c r="BL102" s="12">
        <v>0</v>
      </c>
      <c r="BM102" s="12">
        <v>0</v>
      </c>
      <c r="BN102" s="12">
        <v>0</v>
      </c>
      <c r="BO102" s="12">
        <f t="shared" si="6"/>
        <v>162.19791627106</v>
      </c>
      <c r="BP102" s="12">
        <f t="shared" si="7"/>
        <v>13.516493022588334</v>
      </c>
      <c r="BQ102" s="7"/>
      <c r="BR102" s="7"/>
      <c r="BS102" s="7" t="s">
        <v>95</v>
      </c>
      <c r="BT102" s="7" t="s">
        <v>53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/>
    </row>
    <row r="103" spans="1:78" x14ac:dyDescent="0.35">
      <c r="A103" s="7" t="s">
        <v>42</v>
      </c>
      <c r="B103" s="7"/>
      <c r="C103" s="7" t="s">
        <v>307</v>
      </c>
      <c r="D103" s="7" t="s">
        <v>126</v>
      </c>
      <c r="E103" s="7" t="s">
        <v>308</v>
      </c>
      <c r="F103" s="7" t="s">
        <v>130</v>
      </c>
      <c r="G103" s="7" t="s">
        <v>47</v>
      </c>
      <c r="H103" s="7"/>
      <c r="I103" s="7"/>
      <c r="J103" s="7" t="s">
        <v>48</v>
      </c>
      <c r="K103" s="7" t="s">
        <v>49</v>
      </c>
      <c r="L103" s="7" t="s">
        <v>49</v>
      </c>
      <c r="M103" s="7" t="s">
        <v>49</v>
      </c>
      <c r="N103" s="7" t="s">
        <v>100</v>
      </c>
      <c r="O103" s="7" t="s">
        <v>6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10">
        <v>0</v>
      </c>
      <c r="AO103" s="10">
        <v>0</v>
      </c>
      <c r="AP103" s="10">
        <v>0</v>
      </c>
      <c r="AQ103" s="10">
        <v>1</v>
      </c>
      <c r="AR103" s="10">
        <v>0</v>
      </c>
      <c r="AS103" s="10">
        <v>0</v>
      </c>
      <c r="AT103" s="10">
        <v>0</v>
      </c>
      <c r="AU103" s="10">
        <v>0</v>
      </c>
      <c r="AV103" s="10">
        <v>1</v>
      </c>
      <c r="AW103" s="10">
        <v>0</v>
      </c>
      <c r="AX103" s="10">
        <v>0</v>
      </c>
      <c r="AY103" s="10">
        <v>0</v>
      </c>
      <c r="AZ103" s="7">
        <f t="shared" si="4"/>
        <v>2</v>
      </c>
      <c r="BA103" s="11">
        <f t="shared" si="5"/>
        <v>0.16666666666666666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  <c r="BL103" s="12">
        <v>0</v>
      </c>
      <c r="BM103" s="12">
        <v>0</v>
      </c>
      <c r="BN103" s="12">
        <v>0</v>
      </c>
      <c r="BO103" s="12">
        <f t="shared" si="6"/>
        <v>0</v>
      </c>
      <c r="BP103" s="12">
        <f t="shared" si="7"/>
        <v>0</v>
      </c>
      <c r="BQ103" s="7"/>
      <c r="BR103" s="7"/>
      <c r="BS103" s="7" t="s">
        <v>95</v>
      </c>
      <c r="BT103" s="7" t="s">
        <v>53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/>
    </row>
    <row r="104" spans="1:78" x14ac:dyDescent="0.35">
      <c r="A104" s="7" t="s">
        <v>42</v>
      </c>
      <c r="B104" s="7"/>
      <c r="C104" s="7" t="s">
        <v>309</v>
      </c>
      <c r="D104" s="7" t="s">
        <v>126</v>
      </c>
      <c r="E104" s="7" t="s">
        <v>310</v>
      </c>
      <c r="F104" s="7" t="s">
        <v>130</v>
      </c>
      <c r="G104" s="7" t="s">
        <v>47</v>
      </c>
      <c r="H104" s="7"/>
      <c r="I104" s="7"/>
      <c r="J104" s="7" t="s">
        <v>48</v>
      </c>
      <c r="K104" s="7" t="s">
        <v>49</v>
      </c>
      <c r="L104" s="7" t="s">
        <v>49</v>
      </c>
      <c r="M104" s="7" t="s">
        <v>49</v>
      </c>
      <c r="N104" s="7" t="s">
        <v>100</v>
      </c>
      <c r="O104" s="7" t="s">
        <v>6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10">
        <v>0</v>
      </c>
      <c r="AO104" s="10">
        <v>0</v>
      </c>
      <c r="AP104" s="10">
        <v>0</v>
      </c>
      <c r="AQ104" s="10">
        <v>0</v>
      </c>
      <c r="AR104" s="10">
        <v>1</v>
      </c>
      <c r="AS104" s="10">
        <v>0</v>
      </c>
      <c r="AT104" s="10">
        <v>0</v>
      </c>
      <c r="AU104" s="10">
        <v>1</v>
      </c>
      <c r="AV104" s="10">
        <v>0</v>
      </c>
      <c r="AW104" s="10">
        <v>0</v>
      </c>
      <c r="AX104" s="10">
        <v>0</v>
      </c>
      <c r="AY104" s="10">
        <v>0</v>
      </c>
      <c r="AZ104" s="7">
        <f t="shared" si="4"/>
        <v>2</v>
      </c>
      <c r="BA104" s="11">
        <f t="shared" si="5"/>
        <v>0.16666666666666666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  <c r="BL104" s="12">
        <v>0</v>
      </c>
      <c r="BM104" s="12">
        <v>0</v>
      </c>
      <c r="BN104" s="12">
        <v>0</v>
      </c>
      <c r="BO104" s="12">
        <f t="shared" si="6"/>
        <v>0</v>
      </c>
      <c r="BP104" s="12">
        <f t="shared" si="7"/>
        <v>0</v>
      </c>
      <c r="BQ104" s="7"/>
      <c r="BR104" s="7"/>
      <c r="BS104" s="7" t="s">
        <v>95</v>
      </c>
      <c r="BT104" s="7" t="s">
        <v>53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/>
    </row>
    <row r="105" spans="1:78" x14ac:dyDescent="0.35">
      <c r="A105" s="7" t="s">
        <v>42</v>
      </c>
      <c r="B105" s="7"/>
      <c r="C105" s="7" t="s">
        <v>135</v>
      </c>
      <c r="D105" s="7" t="s">
        <v>136</v>
      </c>
      <c r="E105" s="7" t="s">
        <v>137</v>
      </c>
      <c r="F105" s="7" t="s">
        <v>212</v>
      </c>
      <c r="G105" s="7" t="s">
        <v>47</v>
      </c>
      <c r="H105" s="7"/>
      <c r="I105" s="7"/>
      <c r="J105" s="7" t="s">
        <v>48</v>
      </c>
      <c r="K105" s="7" t="s">
        <v>49</v>
      </c>
      <c r="L105" s="7" t="s">
        <v>49</v>
      </c>
      <c r="M105" s="7" t="s">
        <v>49</v>
      </c>
      <c r="N105" s="7" t="s">
        <v>139</v>
      </c>
      <c r="O105" s="7" t="s">
        <v>4</v>
      </c>
      <c r="P105" s="7">
        <v>1200000</v>
      </c>
      <c r="Q105" s="7">
        <v>1200000</v>
      </c>
      <c r="R105" s="7">
        <v>1200000</v>
      </c>
      <c r="S105" s="7">
        <v>1200000</v>
      </c>
      <c r="T105" s="7">
        <v>1200000</v>
      </c>
      <c r="U105" s="7">
        <v>1200000</v>
      </c>
      <c r="V105" s="7">
        <v>1200000</v>
      </c>
      <c r="W105" s="7">
        <v>1200000</v>
      </c>
      <c r="X105" s="7">
        <v>1200000</v>
      </c>
      <c r="Y105" s="7">
        <v>1200000</v>
      </c>
      <c r="Z105" s="7">
        <v>1200000</v>
      </c>
      <c r="AA105" s="7">
        <v>1200000</v>
      </c>
      <c r="AB105" s="9">
        <v>75.956097375716993</v>
      </c>
      <c r="AC105" s="9">
        <v>75.956097375716993</v>
      </c>
      <c r="AD105" s="9">
        <v>75.956097375716993</v>
      </c>
      <c r="AE105" s="9">
        <v>75.956097375716993</v>
      </c>
      <c r="AF105" s="9">
        <v>75.956097375716993</v>
      </c>
      <c r="AG105" s="9">
        <v>75.956097375716993</v>
      </c>
      <c r="AH105" s="9">
        <v>75.956097375716993</v>
      </c>
      <c r="AI105" s="9">
        <v>75.956097375716993</v>
      </c>
      <c r="AJ105" s="9">
        <v>75.956097375716993</v>
      </c>
      <c r="AK105" s="9">
        <v>75.956097375716993</v>
      </c>
      <c r="AL105" s="9">
        <v>75.956097375716993</v>
      </c>
      <c r="AM105" s="9">
        <v>75.956097375716993</v>
      </c>
      <c r="AN105" s="10">
        <v>0</v>
      </c>
      <c r="AO105" s="10">
        <v>0</v>
      </c>
      <c r="AP105" s="10">
        <v>0</v>
      </c>
      <c r="AQ105" s="10">
        <v>0</v>
      </c>
      <c r="AR105" s="10">
        <v>3</v>
      </c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0</v>
      </c>
      <c r="AZ105" s="7">
        <f t="shared" si="4"/>
        <v>3</v>
      </c>
      <c r="BA105" s="11">
        <f t="shared" si="5"/>
        <v>0.25</v>
      </c>
      <c r="BC105" s="12">
        <v>0</v>
      </c>
      <c r="BD105" s="12">
        <v>0</v>
      </c>
      <c r="BE105" s="12">
        <v>0</v>
      </c>
      <c r="BF105" s="12">
        <v>0</v>
      </c>
      <c r="BG105" s="12">
        <v>227.86829212715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f t="shared" si="6"/>
        <v>227.86829212715</v>
      </c>
      <c r="BP105" s="12">
        <f t="shared" si="7"/>
        <v>18.989024343929167</v>
      </c>
      <c r="BQ105" s="7"/>
      <c r="BR105" s="7"/>
      <c r="BS105" s="7" t="s">
        <v>95</v>
      </c>
      <c r="BT105" s="7" t="s">
        <v>53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/>
    </row>
    <row r="106" spans="1:78" x14ac:dyDescent="0.35">
      <c r="A106" s="7" t="s">
        <v>42</v>
      </c>
      <c r="B106" s="7"/>
      <c r="C106" s="7" t="s">
        <v>311</v>
      </c>
      <c r="D106" s="7" t="s">
        <v>136</v>
      </c>
      <c r="E106" s="7" t="s">
        <v>312</v>
      </c>
      <c r="F106" s="7" t="s">
        <v>93</v>
      </c>
      <c r="G106" s="7" t="s">
        <v>47</v>
      </c>
      <c r="H106" s="7"/>
      <c r="I106" s="7"/>
      <c r="J106" s="7" t="s">
        <v>48</v>
      </c>
      <c r="K106" s="7" t="s">
        <v>49</v>
      </c>
      <c r="L106" s="7" t="s">
        <v>49</v>
      </c>
      <c r="M106" s="7" t="s">
        <v>49</v>
      </c>
      <c r="N106" s="7" t="s">
        <v>139</v>
      </c>
      <c r="O106" s="7" t="s">
        <v>9</v>
      </c>
      <c r="P106" s="7">
        <v>150</v>
      </c>
      <c r="Q106" s="7">
        <v>150</v>
      </c>
      <c r="R106" s="7">
        <v>150</v>
      </c>
      <c r="S106" s="7">
        <v>150</v>
      </c>
      <c r="T106" s="7">
        <v>150</v>
      </c>
      <c r="U106" s="7">
        <v>150</v>
      </c>
      <c r="V106" s="7">
        <v>150</v>
      </c>
      <c r="W106" s="7">
        <v>150</v>
      </c>
      <c r="X106" s="7">
        <v>150</v>
      </c>
      <c r="Y106" s="7">
        <v>150</v>
      </c>
      <c r="Z106" s="7">
        <v>150</v>
      </c>
      <c r="AA106" s="7">
        <v>150</v>
      </c>
      <c r="AB106" s="9">
        <v>150</v>
      </c>
      <c r="AC106" s="9">
        <v>150</v>
      </c>
      <c r="AD106" s="9">
        <v>150</v>
      </c>
      <c r="AE106" s="9">
        <v>150</v>
      </c>
      <c r="AF106" s="9">
        <v>150</v>
      </c>
      <c r="AG106" s="9">
        <v>150</v>
      </c>
      <c r="AH106" s="9">
        <v>150</v>
      </c>
      <c r="AI106" s="9">
        <v>150</v>
      </c>
      <c r="AJ106" s="9">
        <v>150</v>
      </c>
      <c r="AK106" s="9">
        <v>150</v>
      </c>
      <c r="AL106" s="9">
        <v>150</v>
      </c>
      <c r="AM106" s="9">
        <v>150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14</v>
      </c>
      <c r="AT106" s="10">
        <v>0</v>
      </c>
      <c r="AU106" s="10">
        <v>0</v>
      </c>
      <c r="AV106" s="10">
        <v>0</v>
      </c>
      <c r="AW106" s="10">
        <v>0</v>
      </c>
      <c r="AX106" s="10">
        <v>0</v>
      </c>
      <c r="AY106" s="10">
        <v>0</v>
      </c>
      <c r="AZ106" s="7">
        <f t="shared" si="4"/>
        <v>14</v>
      </c>
      <c r="BA106" s="11">
        <f t="shared" si="5"/>
        <v>1.1666666666666667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2100</v>
      </c>
      <c r="BI106" s="12">
        <v>0</v>
      </c>
      <c r="BJ106" s="12">
        <v>0</v>
      </c>
      <c r="BK106" s="12">
        <v>0</v>
      </c>
      <c r="BL106" s="12">
        <v>0</v>
      </c>
      <c r="BM106" s="12">
        <v>0</v>
      </c>
      <c r="BN106" s="12">
        <v>0</v>
      </c>
      <c r="BO106" s="12">
        <f t="shared" si="6"/>
        <v>2100</v>
      </c>
      <c r="BP106" s="12">
        <f t="shared" si="7"/>
        <v>175</v>
      </c>
      <c r="BQ106" s="7"/>
      <c r="BR106" s="7"/>
      <c r="BS106" s="7" t="s">
        <v>95</v>
      </c>
      <c r="BT106" s="7" t="s">
        <v>53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/>
    </row>
    <row r="107" spans="1:78" x14ac:dyDescent="0.35">
      <c r="A107" s="7" t="s">
        <v>42</v>
      </c>
      <c r="B107" s="7"/>
      <c r="C107" s="7" t="s">
        <v>313</v>
      </c>
      <c r="D107" s="7" t="s">
        <v>190</v>
      </c>
      <c r="E107" s="7" t="s">
        <v>314</v>
      </c>
      <c r="F107" s="7" t="s">
        <v>93</v>
      </c>
      <c r="G107" s="7" t="s">
        <v>47</v>
      </c>
      <c r="H107" s="7"/>
      <c r="I107" s="7"/>
      <c r="J107" s="7" t="s">
        <v>48</v>
      </c>
      <c r="K107" s="7" t="s">
        <v>49</v>
      </c>
      <c r="L107" s="7" t="s">
        <v>49</v>
      </c>
      <c r="M107" s="7" t="s">
        <v>49</v>
      </c>
      <c r="N107" s="7" t="s">
        <v>100</v>
      </c>
      <c r="O107" s="7" t="s">
        <v>4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10">
        <v>0</v>
      </c>
      <c r="AO107" s="10">
        <v>2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</v>
      </c>
      <c r="AV107" s="10">
        <v>0</v>
      </c>
      <c r="AW107" s="10">
        <v>0</v>
      </c>
      <c r="AX107" s="10">
        <v>0</v>
      </c>
      <c r="AY107" s="10">
        <v>0</v>
      </c>
      <c r="AZ107" s="7">
        <f t="shared" si="4"/>
        <v>2</v>
      </c>
      <c r="BA107" s="11">
        <f t="shared" si="5"/>
        <v>0.16666666666666666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  <c r="BL107" s="12">
        <v>0</v>
      </c>
      <c r="BM107" s="12">
        <v>0</v>
      </c>
      <c r="BN107" s="12">
        <v>0</v>
      </c>
      <c r="BO107" s="12">
        <f t="shared" si="6"/>
        <v>0</v>
      </c>
      <c r="BP107" s="12">
        <f t="shared" si="7"/>
        <v>0</v>
      </c>
      <c r="BQ107" s="7"/>
      <c r="BR107" s="7"/>
      <c r="BS107" s="7" t="s">
        <v>95</v>
      </c>
      <c r="BT107" s="7" t="s">
        <v>53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/>
    </row>
    <row r="108" spans="1:78" x14ac:dyDescent="0.35">
      <c r="A108" s="7" t="s">
        <v>42</v>
      </c>
      <c r="B108" s="7"/>
      <c r="C108" s="7" t="s">
        <v>315</v>
      </c>
      <c r="D108" s="7" t="s">
        <v>291</v>
      </c>
      <c r="E108" s="7" t="s">
        <v>316</v>
      </c>
      <c r="F108" s="7" t="s">
        <v>102</v>
      </c>
      <c r="G108" s="7" t="s">
        <v>47</v>
      </c>
      <c r="H108" s="7"/>
      <c r="I108" s="7"/>
      <c r="J108" s="7" t="s">
        <v>48</v>
      </c>
      <c r="K108" s="7" t="s">
        <v>49</v>
      </c>
      <c r="L108" s="7" t="s">
        <v>49</v>
      </c>
      <c r="M108" s="7" t="s">
        <v>49</v>
      </c>
      <c r="N108" s="7" t="s">
        <v>50</v>
      </c>
      <c r="O108" s="7" t="s">
        <v>6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0</v>
      </c>
      <c r="AS108" s="10">
        <v>0</v>
      </c>
      <c r="AT108" s="10">
        <v>1</v>
      </c>
      <c r="AU108" s="10">
        <v>0</v>
      </c>
      <c r="AV108" s="10">
        <v>0</v>
      </c>
      <c r="AW108" s="10">
        <v>0</v>
      </c>
      <c r="AX108" s="10">
        <v>0</v>
      </c>
      <c r="AY108" s="10">
        <v>0</v>
      </c>
      <c r="AZ108" s="7">
        <f t="shared" si="4"/>
        <v>1</v>
      </c>
      <c r="BA108" s="11">
        <f t="shared" si="5"/>
        <v>8.3333333333333329E-2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2">
        <v>0</v>
      </c>
      <c r="BK108" s="12">
        <v>0</v>
      </c>
      <c r="BL108" s="12">
        <v>0</v>
      </c>
      <c r="BM108" s="12">
        <v>0</v>
      </c>
      <c r="BN108" s="12">
        <v>0</v>
      </c>
      <c r="BO108" s="12">
        <f t="shared" si="6"/>
        <v>0</v>
      </c>
      <c r="BP108" s="12">
        <f t="shared" si="7"/>
        <v>0</v>
      </c>
      <c r="BQ108" s="7"/>
      <c r="BR108" s="7"/>
      <c r="BS108" s="7" t="s">
        <v>101</v>
      </c>
      <c r="BT108" s="7" t="s">
        <v>53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/>
    </row>
    <row r="109" spans="1:78" x14ac:dyDescent="0.35">
      <c r="A109" s="7" t="s">
        <v>42</v>
      </c>
      <c r="B109" s="7"/>
      <c r="C109" s="7" t="s">
        <v>317</v>
      </c>
      <c r="D109" s="7" t="s">
        <v>291</v>
      </c>
      <c r="E109" s="7" t="s">
        <v>318</v>
      </c>
      <c r="F109" s="7" t="s">
        <v>102</v>
      </c>
      <c r="G109" s="7" t="s">
        <v>47</v>
      </c>
      <c r="H109" s="7"/>
      <c r="I109" s="7"/>
      <c r="J109" s="7" t="s">
        <v>48</v>
      </c>
      <c r="K109" s="7" t="s">
        <v>49</v>
      </c>
      <c r="L109" s="7" t="s">
        <v>49</v>
      </c>
      <c r="M109" s="7" t="s">
        <v>49</v>
      </c>
      <c r="N109" s="7" t="s">
        <v>100</v>
      </c>
      <c r="O109" s="7" t="s">
        <v>6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1</v>
      </c>
      <c r="AU109" s="10">
        <v>0</v>
      </c>
      <c r="AV109" s="10">
        <v>0</v>
      </c>
      <c r="AW109" s="10">
        <v>0</v>
      </c>
      <c r="AX109" s="10">
        <v>0</v>
      </c>
      <c r="AY109" s="10">
        <v>0</v>
      </c>
      <c r="AZ109" s="7">
        <f t="shared" si="4"/>
        <v>1</v>
      </c>
      <c r="BA109" s="11">
        <f t="shared" si="5"/>
        <v>8.3333333333333329E-2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  <c r="BL109" s="12">
        <v>0</v>
      </c>
      <c r="BM109" s="12">
        <v>0</v>
      </c>
      <c r="BN109" s="12">
        <v>0</v>
      </c>
      <c r="BO109" s="12">
        <f t="shared" si="6"/>
        <v>0</v>
      </c>
      <c r="BP109" s="12">
        <f t="shared" si="7"/>
        <v>0</v>
      </c>
      <c r="BQ109" s="7"/>
      <c r="BR109" s="7"/>
      <c r="BS109" s="7" t="s">
        <v>101</v>
      </c>
      <c r="BT109" s="7" t="s">
        <v>53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/>
    </row>
    <row r="110" spans="1:78" x14ac:dyDescent="0.35">
      <c r="A110" s="7" t="s">
        <v>42</v>
      </c>
      <c r="B110" s="7"/>
      <c r="C110" s="7" t="s">
        <v>319</v>
      </c>
      <c r="D110" s="7" t="s">
        <v>121</v>
      </c>
      <c r="E110" s="7" t="s">
        <v>320</v>
      </c>
      <c r="F110" s="7" t="s">
        <v>237</v>
      </c>
      <c r="G110" s="7" t="s">
        <v>47</v>
      </c>
      <c r="H110" s="7"/>
      <c r="I110" s="7"/>
      <c r="J110" s="7" t="s">
        <v>48</v>
      </c>
      <c r="K110" s="7" t="s">
        <v>49</v>
      </c>
      <c r="L110" s="7" t="s">
        <v>49</v>
      </c>
      <c r="M110" s="7" t="s">
        <v>49</v>
      </c>
      <c r="N110" s="7" t="s">
        <v>245</v>
      </c>
      <c r="O110" s="7" t="s">
        <v>4</v>
      </c>
      <c r="P110" s="7">
        <v>512500</v>
      </c>
      <c r="Q110" s="7">
        <v>512500</v>
      </c>
      <c r="R110" s="7">
        <v>512500</v>
      </c>
      <c r="S110" s="7">
        <v>512500</v>
      </c>
      <c r="T110" s="7">
        <v>512500</v>
      </c>
      <c r="U110" s="7">
        <v>512500</v>
      </c>
      <c r="V110" s="7">
        <v>512500</v>
      </c>
      <c r="W110" s="7">
        <v>512500</v>
      </c>
      <c r="X110" s="7">
        <v>512500</v>
      </c>
      <c r="Y110" s="7">
        <v>512500</v>
      </c>
      <c r="Z110" s="7">
        <v>512500</v>
      </c>
      <c r="AA110" s="7">
        <v>512500</v>
      </c>
      <c r="AB110" s="9">
        <v>32.439583254212003</v>
      </c>
      <c r="AC110" s="9">
        <v>32.439583254212003</v>
      </c>
      <c r="AD110" s="9">
        <v>32.439583254212003</v>
      </c>
      <c r="AE110" s="9">
        <v>32.439583254212003</v>
      </c>
      <c r="AF110" s="9">
        <v>32.439583254212003</v>
      </c>
      <c r="AG110" s="9">
        <v>32.439583254212003</v>
      </c>
      <c r="AH110" s="9">
        <v>32.439583254212003</v>
      </c>
      <c r="AI110" s="9">
        <v>32.439583254212003</v>
      </c>
      <c r="AJ110" s="9">
        <v>32.439583254212003</v>
      </c>
      <c r="AK110" s="9">
        <v>32.439583254212003</v>
      </c>
      <c r="AL110" s="9">
        <v>32.439583254212003</v>
      </c>
      <c r="AM110" s="9">
        <v>32.439583254212003</v>
      </c>
      <c r="AN110" s="10">
        <v>0</v>
      </c>
      <c r="AO110" s="10">
        <v>0</v>
      </c>
      <c r="AP110" s="10">
        <v>0</v>
      </c>
      <c r="AQ110" s="10">
        <v>0</v>
      </c>
      <c r="AR110" s="10">
        <v>0</v>
      </c>
      <c r="AS110" s="10">
        <v>0</v>
      </c>
      <c r="AT110" s="10">
        <v>0</v>
      </c>
      <c r="AU110" s="10">
        <v>0</v>
      </c>
      <c r="AV110" s="10">
        <v>0</v>
      </c>
      <c r="AW110" s="10">
        <v>0</v>
      </c>
      <c r="AX110" s="10">
        <v>2</v>
      </c>
      <c r="AY110" s="10">
        <v>0</v>
      </c>
      <c r="AZ110" s="7">
        <f t="shared" si="4"/>
        <v>2</v>
      </c>
      <c r="BA110" s="11">
        <f t="shared" si="5"/>
        <v>0.16666666666666666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  <c r="BL110" s="12">
        <v>0</v>
      </c>
      <c r="BM110" s="12">
        <v>64.879166508425001</v>
      </c>
      <c r="BN110" s="12">
        <v>0</v>
      </c>
      <c r="BO110" s="12">
        <f t="shared" si="6"/>
        <v>64.879166508425001</v>
      </c>
      <c r="BP110" s="12">
        <f t="shared" si="7"/>
        <v>5.4065972090354171</v>
      </c>
      <c r="BQ110" s="7"/>
      <c r="BR110" s="7"/>
      <c r="BS110" s="7" t="s">
        <v>95</v>
      </c>
      <c r="BT110" s="7" t="s">
        <v>53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/>
    </row>
    <row r="111" spans="1:78" x14ac:dyDescent="0.35">
      <c r="A111" s="7" t="s">
        <v>42</v>
      </c>
      <c r="B111" s="7"/>
      <c r="C111" s="7" t="s">
        <v>321</v>
      </c>
      <c r="D111" s="7" t="s">
        <v>121</v>
      </c>
      <c r="E111" s="7" t="s">
        <v>322</v>
      </c>
      <c r="F111" s="7" t="s">
        <v>123</v>
      </c>
      <c r="G111" s="7" t="s">
        <v>47</v>
      </c>
      <c r="H111" s="7"/>
      <c r="I111" s="7"/>
      <c r="J111" s="7" t="s">
        <v>48</v>
      </c>
      <c r="K111" s="7" t="s">
        <v>49</v>
      </c>
      <c r="L111" s="7" t="s">
        <v>49</v>
      </c>
      <c r="M111" s="7" t="s">
        <v>49</v>
      </c>
      <c r="N111" s="7" t="s">
        <v>323</v>
      </c>
      <c r="O111" s="7" t="s">
        <v>4</v>
      </c>
      <c r="P111" s="7">
        <v>300000</v>
      </c>
      <c r="Q111" s="7">
        <v>300000</v>
      </c>
      <c r="R111" s="7">
        <v>300000</v>
      </c>
      <c r="S111" s="7">
        <v>300000</v>
      </c>
      <c r="T111" s="7">
        <v>300000</v>
      </c>
      <c r="U111" s="7">
        <v>300000</v>
      </c>
      <c r="V111" s="7">
        <v>300000</v>
      </c>
      <c r="W111" s="7">
        <v>300000</v>
      </c>
      <c r="X111" s="7">
        <v>300000</v>
      </c>
      <c r="Y111" s="7">
        <v>300000</v>
      </c>
      <c r="Z111" s="7">
        <v>300000</v>
      </c>
      <c r="AA111" s="7">
        <v>300000</v>
      </c>
      <c r="AB111" s="9">
        <v>18.989024343929</v>
      </c>
      <c r="AC111" s="9">
        <v>18.989024343929</v>
      </c>
      <c r="AD111" s="9">
        <v>18.989024343929</v>
      </c>
      <c r="AE111" s="9">
        <v>18.989024343929</v>
      </c>
      <c r="AF111" s="9">
        <v>18.989024343929</v>
      </c>
      <c r="AG111" s="9">
        <v>18.989024343929</v>
      </c>
      <c r="AH111" s="9">
        <v>18.989024343929</v>
      </c>
      <c r="AI111" s="9">
        <v>18.989024343929</v>
      </c>
      <c r="AJ111" s="9">
        <v>18.989024343929</v>
      </c>
      <c r="AK111" s="9">
        <v>18.989024343929</v>
      </c>
      <c r="AL111" s="9">
        <v>18.989024343929</v>
      </c>
      <c r="AM111" s="9">
        <v>18.989024343929</v>
      </c>
      <c r="AN111" s="10">
        <v>0</v>
      </c>
      <c r="AO111" s="10">
        <v>0</v>
      </c>
      <c r="AP111" s="10">
        <v>1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7">
        <f t="shared" si="4"/>
        <v>1</v>
      </c>
      <c r="BA111" s="11">
        <f t="shared" si="5"/>
        <v>8.3333333333333329E-2</v>
      </c>
      <c r="BC111" s="12">
        <v>0</v>
      </c>
      <c r="BD111" s="12">
        <v>0</v>
      </c>
      <c r="BE111" s="12">
        <v>18.989024343929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f t="shared" si="6"/>
        <v>18.989024343929</v>
      </c>
      <c r="BP111" s="12">
        <f t="shared" si="7"/>
        <v>1.5824186953274166</v>
      </c>
      <c r="BQ111" s="7"/>
      <c r="BR111" s="7"/>
      <c r="BS111" s="7" t="s">
        <v>95</v>
      </c>
      <c r="BT111" s="7" t="s">
        <v>53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/>
    </row>
    <row r="112" spans="1:78" x14ac:dyDescent="0.35">
      <c r="A112" s="7" t="s">
        <v>42</v>
      </c>
      <c r="B112" s="7"/>
      <c r="C112" s="7" t="s">
        <v>324</v>
      </c>
      <c r="D112" s="7" t="s">
        <v>126</v>
      </c>
      <c r="E112" s="7" t="s">
        <v>325</v>
      </c>
      <c r="F112" s="7" t="s">
        <v>130</v>
      </c>
      <c r="G112" s="7" t="s">
        <v>47</v>
      </c>
      <c r="H112" s="7"/>
      <c r="I112" s="7"/>
      <c r="J112" s="7" t="s">
        <v>48</v>
      </c>
      <c r="K112" s="7" t="s">
        <v>49</v>
      </c>
      <c r="L112" s="7" t="s">
        <v>49</v>
      </c>
      <c r="M112" s="7" t="s">
        <v>49</v>
      </c>
      <c r="N112" s="7" t="s">
        <v>100</v>
      </c>
      <c r="O112" s="7" t="s">
        <v>6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10">
        <v>0</v>
      </c>
      <c r="AO112" s="10">
        <v>0</v>
      </c>
      <c r="AP112" s="10">
        <v>0</v>
      </c>
      <c r="AQ112" s="10">
        <v>1</v>
      </c>
      <c r="AR112" s="10">
        <v>0</v>
      </c>
      <c r="AS112" s="10">
        <v>0</v>
      </c>
      <c r="AT112" s="10">
        <v>0</v>
      </c>
      <c r="AU112" s="10">
        <v>0</v>
      </c>
      <c r="AV112" s="10">
        <v>0</v>
      </c>
      <c r="AW112" s="10">
        <v>0</v>
      </c>
      <c r="AX112" s="10">
        <v>0</v>
      </c>
      <c r="AY112" s="10">
        <v>0</v>
      </c>
      <c r="AZ112" s="7">
        <f t="shared" si="4"/>
        <v>1</v>
      </c>
      <c r="BA112" s="11">
        <f t="shared" si="5"/>
        <v>8.3333333333333329E-2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f t="shared" si="6"/>
        <v>0</v>
      </c>
      <c r="BP112" s="12">
        <f t="shared" si="7"/>
        <v>0</v>
      </c>
      <c r="BQ112" s="7"/>
      <c r="BR112" s="7"/>
      <c r="BS112" s="7" t="s">
        <v>95</v>
      </c>
      <c r="BT112" s="7" t="s">
        <v>53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/>
    </row>
    <row r="113" spans="1:78" x14ac:dyDescent="0.35">
      <c r="A113" s="7" t="s">
        <v>42</v>
      </c>
      <c r="B113" s="7"/>
      <c r="C113" s="7" t="s">
        <v>326</v>
      </c>
      <c r="D113" s="7" t="s">
        <v>126</v>
      </c>
      <c r="E113" s="7" t="s">
        <v>327</v>
      </c>
      <c r="F113" s="7" t="s">
        <v>130</v>
      </c>
      <c r="G113" s="7" t="s">
        <v>47</v>
      </c>
      <c r="H113" s="7"/>
      <c r="I113" s="7"/>
      <c r="J113" s="7" t="s">
        <v>48</v>
      </c>
      <c r="K113" s="7" t="s">
        <v>49</v>
      </c>
      <c r="L113" s="7" t="s">
        <v>49</v>
      </c>
      <c r="M113" s="7" t="s">
        <v>49</v>
      </c>
      <c r="N113" s="7" t="s">
        <v>100</v>
      </c>
      <c r="O113" s="7" t="s">
        <v>6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10">
        <v>0</v>
      </c>
      <c r="AO113" s="10">
        <v>0</v>
      </c>
      <c r="AP113" s="10">
        <v>0</v>
      </c>
      <c r="AQ113" s="10">
        <v>0</v>
      </c>
      <c r="AR113" s="10">
        <v>1</v>
      </c>
      <c r="AS113" s="10">
        <v>1</v>
      </c>
      <c r="AT113" s="10">
        <v>1</v>
      </c>
      <c r="AU113" s="10">
        <v>1</v>
      </c>
      <c r="AV113" s="10">
        <v>1</v>
      </c>
      <c r="AW113" s="10">
        <v>0</v>
      </c>
      <c r="AX113" s="10">
        <v>0</v>
      </c>
      <c r="AY113" s="10">
        <v>0</v>
      </c>
      <c r="AZ113" s="7">
        <f t="shared" si="4"/>
        <v>5</v>
      </c>
      <c r="BA113" s="11">
        <f t="shared" si="5"/>
        <v>0.41666666666666669</v>
      </c>
      <c r="BC113" s="12">
        <v>0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  <c r="BL113" s="12">
        <v>0</v>
      </c>
      <c r="BM113" s="12">
        <v>0</v>
      </c>
      <c r="BN113" s="12">
        <v>0</v>
      </c>
      <c r="BO113" s="12">
        <f t="shared" si="6"/>
        <v>0</v>
      </c>
      <c r="BP113" s="12">
        <f t="shared" si="7"/>
        <v>0</v>
      </c>
      <c r="BQ113" s="7"/>
      <c r="BR113" s="7"/>
      <c r="BS113" s="7" t="s">
        <v>95</v>
      </c>
      <c r="BT113" s="7" t="s">
        <v>53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/>
    </row>
    <row r="114" spans="1:78" x14ac:dyDescent="0.35">
      <c r="A114" s="7" t="s">
        <v>42</v>
      </c>
      <c r="B114" s="7"/>
      <c r="C114" s="7" t="s">
        <v>271</v>
      </c>
      <c r="D114" s="7" t="s">
        <v>190</v>
      </c>
      <c r="E114" s="7" t="s">
        <v>272</v>
      </c>
      <c r="F114" s="7" t="s">
        <v>212</v>
      </c>
      <c r="G114" s="7" t="s">
        <v>47</v>
      </c>
      <c r="H114" s="7"/>
      <c r="I114" s="7"/>
      <c r="J114" s="7" t="s">
        <v>48</v>
      </c>
      <c r="K114" s="7" t="s">
        <v>49</v>
      </c>
      <c r="L114" s="7" t="s">
        <v>49</v>
      </c>
      <c r="M114" s="7" t="s">
        <v>49</v>
      </c>
      <c r="N114" s="7" t="s">
        <v>100</v>
      </c>
      <c r="O114" s="7" t="s">
        <v>4</v>
      </c>
      <c r="P114" s="7">
        <v>1600000</v>
      </c>
      <c r="Q114" s="7">
        <v>1600000</v>
      </c>
      <c r="R114" s="7">
        <v>1600000</v>
      </c>
      <c r="S114" s="7">
        <v>1600000</v>
      </c>
      <c r="T114" s="7">
        <v>1600000</v>
      </c>
      <c r="U114" s="7">
        <v>1600000</v>
      </c>
      <c r="V114" s="7">
        <v>1600000</v>
      </c>
      <c r="W114" s="7">
        <v>1600000</v>
      </c>
      <c r="X114" s="7">
        <v>1600000</v>
      </c>
      <c r="Y114" s="7">
        <v>1600000</v>
      </c>
      <c r="Z114" s="7">
        <v>1600000</v>
      </c>
      <c r="AA114" s="7">
        <v>1600000</v>
      </c>
      <c r="AB114" s="9">
        <v>101.27479650095999</v>
      </c>
      <c r="AC114" s="9">
        <v>101.27479650095999</v>
      </c>
      <c r="AD114" s="9">
        <v>101.27479650095999</v>
      </c>
      <c r="AE114" s="9">
        <v>101.27479650095999</v>
      </c>
      <c r="AF114" s="9">
        <v>101.27479650095999</v>
      </c>
      <c r="AG114" s="9">
        <v>101.27479650095999</v>
      </c>
      <c r="AH114" s="9">
        <v>101.27479650095999</v>
      </c>
      <c r="AI114" s="9">
        <v>101.27479650095999</v>
      </c>
      <c r="AJ114" s="9">
        <v>101.27479650095999</v>
      </c>
      <c r="AK114" s="9">
        <v>101.27479650095999</v>
      </c>
      <c r="AL114" s="9">
        <v>101.27479650095999</v>
      </c>
      <c r="AM114" s="9">
        <v>101.27479650095999</v>
      </c>
      <c r="AN114" s="10">
        <v>0</v>
      </c>
      <c r="AO114" s="10">
        <v>0</v>
      </c>
      <c r="AP114" s="10">
        <v>0</v>
      </c>
      <c r="AQ114" s="10">
        <v>0</v>
      </c>
      <c r="AR114" s="10">
        <v>3</v>
      </c>
      <c r="AS114" s="10">
        <v>0</v>
      </c>
      <c r="AT114" s="10">
        <v>0</v>
      </c>
      <c r="AU114" s="10">
        <v>0</v>
      </c>
      <c r="AV114" s="10">
        <v>0</v>
      </c>
      <c r="AW114" s="10">
        <v>0</v>
      </c>
      <c r="AX114" s="10">
        <v>0</v>
      </c>
      <c r="AY114" s="10">
        <v>0</v>
      </c>
      <c r="AZ114" s="7">
        <f t="shared" si="4"/>
        <v>3</v>
      </c>
      <c r="BA114" s="11">
        <f t="shared" si="5"/>
        <v>0.25</v>
      </c>
      <c r="BC114" s="12">
        <v>0</v>
      </c>
      <c r="BD114" s="12">
        <v>0</v>
      </c>
      <c r="BE114" s="12">
        <v>0</v>
      </c>
      <c r="BF114" s="12">
        <v>0</v>
      </c>
      <c r="BG114" s="12">
        <v>303.82438950287002</v>
      </c>
      <c r="BH114" s="12">
        <v>0</v>
      </c>
      <c r="BI114" s="12">
        <v>0</v>
      </c>
      <c r="BJ114" s="12">
        <v>0</v>
      </c>
      <c r="BK114" s="12">
        <v>0</v>
      </c>
      <c r="BL114" s="12">
        <v>0</v>
      </c>
      <c r="BM114" s="12">
        <v>0</v>
      </c>
      <c r="BN114" s="12">
        <v>0</v>
      </c>
      <c r="BO114" s="12">
        <f t="shared" si="6"/>
        <v>303.82438950287002</v>
      </c>
      <c r="BP114" s="12">
        <f t="shared" si="7"/>
        <v>25.318699125239167</v>
      </c>
      <c r="BQ114" s="7"/>
      <c r="BR114" s="7"/>
      <c r="BS114" s="7" t="s">
        <v>95</v>
      </c>
      <c r="BT114" s="7" t="s">
        <v>53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/>
    </row>
    <row r="115" spans="1:78" x14ac:dyDescent="0.35">
      <c r="A115" s="7" t="s">
        <v>42</v>
      </c>
      <c r="B115" s="7"/>
      <c r="C115" s="7" t="s">
        <v>135</v>
      </c>
      <c r="D115" s="7" t="s">
        <v>136</v>
      </c>
      <c r="E115" s="7" t="s">
        <v>137</v>
      </c>
      <c r="F115" s="7" t="s">
        <v>93</v>
      </c>
      <c r="G115" s="7" t="s">
        <v>47</v>
      </c>
      <c r="H115" s="7"/>
      <c r="I115" s="7"/>
      <c r="J115" s="7" t="s">
        <v>48</v>
      </c>
      <c r="K115" s="7" t="s">
        <v>49</v>
      </c>
      <c r="L115" s="7" t="s">
        <v>49</v>
      </c>
      <c r="M115" s="7" t="s">
        <v>49</v>
      </c>
      <c r="N115" s="7" t="s">
        <v>139</v>
      </c>
      <c r="O115" s="7" t="s">
        <v>4</v>
      </c>
      <c r="P115" s="7">
        <v>1200000</v>
      </c>
      <c r="Q115" s="7">
        <v>1200000</v>
      </c>
      <c r="R115" s="7">
        <v>1200000</v>
      </c>
      <c r="S115" s="7">
        <v>1200000</v>
      </c>
      <c r="T115" s="7">
        <v>1200000</v>
      </c>
      <c r="U115" s="7">
        <v>1200000</v>
      </c>
      <c r="V115" s="7">
        <v>1200000</v>
      </c>
      <c r="W115" s="7">
        <v>1200000</v>
      </c>
      <c r="X115" s="7">
        <v>1200000</v>
      </c>
      <c r="Y115" s="7">
        <v>1200000</v>
      </c>
      <c r="Z115" s="7">
        <v>1200000</v>
      </c>
      <c r="AA115" s="7">
        <v>1200000</v>
      </c>
      <c r="AB115" s="9">
        <v>75.956097375716993</v>
      </c>
      <c r="AC115" s="9">
        <v>75.956097375716993</v>
      </c>
      <c r="AD115" s="9">
        <v>75.956097375716993</v>
      </c>
      <c r="AE115" s="9">
        <v>75.956097375716993</v>
      </c>
      <c r="AF115" s="9">
        <v>75.956097375716993</v>
      </c>
      <c r="AG115" s="9">
        <v>75.956097375716993</v>
      </c>
      <c r="AH115" s="9">
        <v>75.956097375716993</v>
      </c>
      <c r="AI115" s="9">
        <v>75.956097375716993</v>
      </c>
      <c r="AJ115" s="9">
        <v>75.956097375716993</v>
      </c>
      <c r="AK115" s="9">
        <v>75.956097375716993</v>
      </c>
      <c r="AL115" s="9">
        <v>75.956097375716993</v>
      </c>
      <c r="AM115" s="9">
        <v>75.956097375716993</v>
      </c>
      <c r="AN115" s="10">
        <v>0</v>
      </c>
      <c r="AO115" s="10">
        <v>0</v>
      </c>
      <c r="AP115" s="10">
        <v>2</v>
      </c>
      <c r="AQ115" s="10">
        <v>0</v>
      </c>
      <c r="AR115" s="10">
        <v>0</v>
      </c>
      <c r="AS115" s="10">
        <v>0</v>
      </c>
      <c r="AT115" s="10">
        <v>0</v>
      </c>
      <c r="AU115" s="10">
        <v>0</v>
      </c>
      <c r="AV115" s="10">
        <v>0</v>
      </c>
      <c r="AW115" s="10">
        <v>0</v>
      </c>
      <c r="AX115" s="10">
        <v>0</v>
      </c>
      <c r="AY115" s="10">
        <v>0</v>
      </c>
      <c r="AZ115" s="7">
        <f t="shared" si="4"/>
        <v>2</v>
      </c>
      <c r="BA115" s="11">
        <f t="shared" si="5"/>
        <v>0.16666666666666666</v>
      </c>
      <c r="BC115" s="12">
        <v>0</v>
      </c>
      <c r="BD115" s="12">
        <v>0</v>
      </c>
      <c r="BE115" s="12">
        <v>151.91219475143001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  <c r="BL115" s="12">
        <v>0</v>
      </c>
      <c r="BM115" s="12">
        <v>0</v>
      </c>
      <c r="BN115" s="12">
        <v>0</v>
      </c>
      <c r="BO115" s="12">
        <f t="shared" si="6"/>
        <v>151.91219475143001</v>
      </c>
      <c r="BP115" s="12">
        <f t="shared" si="7"/>
        <v>12.659349562619168</v>
      </c>
      <c r="BQ115" s="7"/>
      <c r="BR115" s="7"/>
      <c r="BS115" s="7" t="s">
        <v>95</v>
      </c>
      <c r="BT115" s="7" t="s">
        <v>53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/>
    </row>
    <row r="116" spans="1:78" x14ac:dyDescent="0.35">
      <c r="A116" s="7" t="s">
        <v>42</v>
      </c>
      <c r="B116" s="7"/>
      <c r="C116" s="7" t="s">
        <v>328</v>
      </c>
      <c r="D116" s="7" t="s">
        <v>136</v>
      </c>
      <c r="E116" s="7" t="s">
        <v>329</v>
      </c>
      <c r="F116" s="7" t="s">
        <v>212</v>
      </c>
      <c r="G116" s="7" t="s">
        <v>47</v>
      </c>
      <c r="H116" s="7"/>
      <c r="I116" s="7"/>
      <c r="J116" s="7" t="s">
        <v>48</v>
      </c>
      <c r="K116" s="7" t="s">
        <v>49</v>
      </c>
      <c r="L116" s="7" t="s">
        <v>49</v>
      </c>
      <c r="M116" s="7" t="s">
        <v>49</v>
      </c>
      <c r="N116" s="7" t="s">
        <v>139</v>
      </c>
      <c r="O116" s="7" t="s">
        <v>4</v>
      </c>
      <c r="P116" s="7">
        <v>1200000</v>
      </c>
      <c r="Q116" s="7">
        <v>1200000</v>
      </c>
      <c r="R116" s="7">
        <v>1200000</v>
      </c>
      <c r="S116" s="7">
        <v>1200000</v>
      </c>
      <c r="T116" s="7">
        <v>1200000</v>
      </c>
      <c r="U116" s="7">
        <v>1200000</v>
      </c>
      <c r="V116" s="7">
        <v>1200000</v>
      </c>
      <c r="W116" s="7">
        <v>1200000</v>
      </c>
      <c r="X116" s="7">
        <v>1200000</v>
      </c>
      <c r="Y116" s="7">
        <v>1200000</v>
      </c>
      <c r="Z116" s="7">
        <v>1200000</v>
      </c>
      <c r="AA116" s="7">
        <v>1200000</v>
      </c>
      <c r="AB116" s="9">
        <v>75.956097375716993</v>
      </c>
      <c r="AC116" s="9">
        <v>75.956097375716993</v>
      </c>
      <c r="AD116" s="9">
        <v>75.956097375716993</v>
      </c>
      <c r="AE116" s="9">
        <v>75.956097375716993</v>
      </c>
      <c r="AF116" s="9">
        <v>75.956097375716993</v>
      </c>
      <c r="AG116" s="9">
        <v>75.956097375716993</v>
      </c>
      <c r="AH116" s="9">
        <v>75.956097375716993</v>
      </c>
      <c r="AI116" s="9">
        <v>75.956097375716993</v>
      </c>
      <c r="AJ116" s="9">
        <v>75.956097375716993</v>
      </c>
      <c r="AK116" s="9">
        <v>75.956097375716993</v>
      </c>
      <c r="AL116" s="9">
        <v>75.956097375716993</v>
      </c>
      <c r="AM116" s="9">
        <v>75.956097375716993</v>
      </c>
      <c r="AN116" s="10">
        <v>0</v>
      </c>
      <c r="AO116" s="10">
        <v>0</v>
      </c>
      <c r="AP116" s="10">
        <v>0</v>
      </c>
      <c r="AQ116" s="10">
        <v>0</v>
      </c>
      <c r="AR116" s="10">
        <v>2</v>
      </c>
      <c r="AS116" s="10">
        <v>0</v>
      </c>
      <c r="AT116" s="10">
        <v>0</v>
      </c>
      <c r="AU116" s="10">
        <v>0</v>
      </c>
      <c r="AV116" s="10">
        <v>0</v>
      </c>
      <c r="AW116" s="10">
        <v>0</v>
      </c>
      <c r="AX116" s="10">
        <v>0</v>
      </c>
      <c r="AY116" s="10">
        <v>0</v>
      </c>
      <c r="AZ116" s="7">
        <f t="shared" si="4"/>
        <v>2</v>
      </c>
      <c r="BA116" s="11">
        <f t="shared" si="5"/>
        <v>0.16666666666666666</v>
      </c>
      <c r="BC116" s="12">
        <v>0</v>
      </c>
      <c r="BD116" s="12">
        <v>0</v>
      </c>
      <c r="BE116" s="12">
        <v>0</v>
      </c>
      <c r="BF116" s="12">
        <v>0</v>
      </c>
      <c r="BG116" s="12">
        <v>151.91219475143001</v>
      </c>
      <c r="BH116" s="12">
        <v>0</v>
      </c>
      <c r="BI116" s="12">
        <v>0</v>
      </c>
      <c r="BJ116" s="12">
        <v>0</v>
      </c>
      <c r="BK116" s="12">
        <v>0</v>
      </c>
      <c r="BL116" s="12">
        <v>0</v>
      </c>
      <c r="BM116" s="12">
        <v>0</v>
      </c>
      <c r="BN116" s="12">
        <v>0</v>
      </c>
      <c r="BO116" s="12">
        <f t="shared" si="6"/>
        <v>151.91219475143001</v>
      </c>
      <c r="BP116" s="12">
        <f t="shared" si="7"/>
        <v>12.659349562619168</v>
      </c>
      <c r="BQ116" s="7"/>
      <c r="BR116" s="7"/>
      <c r="BS116" s="7" t="s">
        <v>95</v>
      </c>
      <c r="BT116" s="7" t="s">
        <v>53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/>
    </row>
    <row r="117" spans="1:78" x14ac:dyDescent="0.35">
      <c r="A117" s="7" t="s">
        <v>42</v>
      </c>
      <c r="B117" s="7"/>
      <c r="C117" s="7" t="s">
        <v>330</v>
      </c>
      <c r="D117" s="7" t="s">
        <v>190</v>
      </c>
      <c r="E117" s="7" t="s">
        <v>331</v>
      </c>
      <c r="F117" s="7" t="s">
        <v>93</v>
      </c>
      <c r="G117" s="7" t="s">
        <v>47</v>
      </c>
      <c r="H117" s="7"/>
      <c r="I117" s="7"/>
      <c r="J117" s="7" t="s">
        <v>48</v>
      </c>
      <c r="K117" s="7" t="s">
        <v>49</v>
      </c>
      <c r="L117" s="7" t="s">
        <v>49</v>
      </c>
      <c r="M117" s="7" t="s">
        <v>49</v>
      </c>
      <c r="N117" s="7" t="s">
        <v>139</v>
      </c>
      <c r="O117" s="7" t="s">
        <v>4</v>
      </c>
      <c r="P117" s="7">
        <v>100000</v>
      </c>
      <c r="Q117" s="7">
        <v>100000</v>
      </c>
      <c r="R117" s="7">
        <v>100000</v>
      </c>
      <c r="S117" s="7">
        <v>100000</v>
      </c>
      <c r="T117" s="7">
        <v>100000</v>
      </c>
      <c r="U117" s="7">
        <v>100000</v>
      </c>
      <c r="V117" s="7">
        <v>100000</v>
      </c>
      <c r="W117" s="7">
        <v>100000</v>
      </c>
      <c r="X117" s="7">
        <v>100000</v>
      </c>
      <c r="Y117" s="7">
        <v>100000</v>
      </c>
      <c r="Z117" s="7">
        <v>100000</v>
      </c>
      <c r="AA117" s="7">
        <v>100000</v>
      </c>
      <c r="AB117" s="9">
        <v>6.3296747813097003</v>
      </c>
      <c r="AC117" s="9">
        <v>6.3296747813097003</v>
      </c>
      <c r="AD117" s="9">
        <v>6.3296747813097003</v>
      </c>
      <c r="AE117" s="9">
        <v>6.3296747813097003</v>
      </c>
      <c r="AF117" s="9">
        <v>6.3296747813097003</v>
      </c>
      <c r="AG117" s="9">
        <v>6.3296747813097003</v>
      </c>
      <c r="AH117" s="9">
        <v>6.3296747813097003</v>
      </c>
      <c r="AI117" s="9">
        <v>6.3296747813097003</v>
      </c>
      <c r="AJ117" s="9">
        <v>6.3296747813097003</v>
      </c>
      <c r="AK117" s="9">
        <v>6.3296747813097003</v>
      </c>
      <c r="AL117" s="9">
        <v>6.3296747813097003</v>
      </c>
      <c r="AM117" s="9">
        <v>6.3296747813097003</v>
      </c>
      <c r="AN117" s="10">
        <v>0</v>
      </c>
      <c r="AO117" s="10">
        <v>0</v>
      </c>
      <c r="AP117" s="10">
        <v>14</v>
      </c>
      <c r="AQ117" s="10">
        <v>0</v>
      </c>
      <c r="AR117" s="10">
        <v>0</v>
      </c>
      <c r="AS117" s="10">
        <v>0</v>
      </c>
      <c r="AT117" s="10">
        <v>0</v>
      </c>
      <c r="AU117" s="10">
        <v>0</v>
      </c>
      <c r="AV117" s="10">
        <v>0</v>
      </c>
      <c r="AW117" s="10">
        <v>0</v>
      </c>
      <c r="AX117" s="10">
        <v>0</v>
      </c>
      <c r="AY117" s="10">
        <v>0</v>
      </c>
      <c r="AZ117" s="7">
        <f t="shared" si="4"/>
        <v>14</v>
      </c>
      <c r="BA117" s="11">
        <f t="shared" si="5"/>
        <v>1.1666666666666667</v>
      </c>
      <c r="BC117" s="12">
        <v>0</v>
      </c>
      <c r="BD117" s="12">
        <v>0</v>
      </c>
      <c r="BE117" s="12">
        <v>88.615446938336007</v>
      </c>
      <c r="BF117" s="12">
        <v>0</v>
      </c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  <c r="BL117" s="12">
        <v>0</v>
      </c>
      <c r="BM117" s="12">
        <v>0</v>
      </c>
      <c r="BN117" s="12">
        <v>0</v>
      </c>
      <c r="BO117" s="12">
        <f t="shared" si="6"/>
        <v>88.615446938336007</v>
      </c>
      <c r="BP117" s="12">
        <f t="shared" si="7"/>
        <v>7.3846205781946672</v>
      </c>
      <c r="BQ117" s="7"/>
      <c r="BR117" s="7"/>
      <c r="BS117" s="7" t="s">
        <v>101</v>
      </c>
      <c r="BT117" s="7" t="s">
        <v>53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/>
    </row>
    <row r="118" spans="1:78" x14ac:dyDescent="0.35">
      <c r="A118" s="7" t="s">
        <v>42</v>
      </c>
      <c r="B118" s="7"/>
      <c r="C118" s="7" t="s">
        <v>332</v>
      </c>
      <c r="D118" s="7" t="s">
        <v>333</v>
      </c>
      <c r="E118" s="7" t="s">
        <v>334</v>
      </c>
      <c r="F118" s="7" t="s">
        <v>335</v>
      </c>
      <c r="G118" s="7" t="s">
        <v>47</v>
      </c>
      <c r="H118" s="7"/>
      <c r="I118" s="7"/>
      <c r="J118" s="7" t="s">
        <v>48</v>
      </c>
      <c r="K118" s="7" t="s">
        <v>49</v>
      </c>
      <c r="L118" s="7" t="s">
        <v>49</v>
      </c>
      <c r="M118" s="7" t="s">
        <v>49</v>
      </c>
      <c r="N118" s="7" t="s">
        <v>199</v>
      </c>
      <c r="O118" s="7" t="s">
        <v>6</v>
      </c>
      <c r="P118" s="7">
        <v>28000</v>
      </c>
      <c r="Q118" s="7">
        <v>28000</v>
      </c>
      <c r="R118" s="7">
        <v>28000</v>
      </c>
      <c r="S118" s="7">
        <v>28000</v>
      </c>
      <c r="T118" s="7">
        <v>28000</v>
      </c>
      <c r="U118" s="7">
        <v>28000</v>
      </c>
      <c r="V118" s="7">
        <v>28000</v>
      </c>
      <c r="W118" s="7">
        <v>28000</v>
      </c>
      <c r="X118" s="7">
        <v>28000</v>
      </c>
      <c r="Y118" s="7">
        <v>28000</v>
      </c>
      <c r="Z118" s="7">
        <v>28000</v>
      </c>
      <c r="AA118" s="7">
        <v>28000</v>
      </c>
      <c r="AB118" s="9">
        <v>185.43046357616001</v>
      </c>
      <c r="AC118" s="9">
        <v>185.43046357616001</v>
      </c>
      <c r="AD118" s="9">
        <v>185.43046357616001</v>
      </c>
      <c r="AE118" s="9">
        <v>185.43046357616001</v>
      </c>
      <c r="AF118" s="9">
        <v>185.43046357616001</v>
      </c>
      <c r="AG118" s="9">
        <v>185.43046357616001</v>
      </c>
      <c r="AH118" s="9">
        <v>185.43046357616001</v>
      </c>
      <c r="AI118" s="9">
        <v>185.43046357616001</v>
      </c>
      <c r="AJ118" s="9">
        <v>185.43046357616001</v>
      </c>
      <c r="AK118" s="9">
        <v>185.43046357616001</v>
      </c>
      <c r="AL118" s="9">
        <v>185.43046357616001</v>
      </c>
      <c r="AM118" s="9">
        <v>185.43046357616001</v>
      </c>
      <c r="AN118" s="10">
        <v>0</v>
      </c>
      <c r="AO118" s="10">
        <v>0</v>
      </c>
      <c r="AP118" s="10">
        <v>0</v>
      </c>
      <c r="AQ118" s="10">
        <v>0</v>
      </c>
      <c r="AR118" s="10">
        <v>0</v>
      </c>
      <c r="AS118" s="10">
        <v>0</v>
      </c>
      <c r="AT118" s="10">
        <v>0</v>
      </c>
      <c r="AU118" s="10">
        <v>0</v>
      </c>
      <c r="AV118" s="10">
        <v>0</v>
      </c>
      <c r="AW118" s="10">
        <v>0</v>
      </c>
      <c r="AX118" s="10">
        <v>4</v>
      </c>
      <c r="AY118" s="10">
        <v>0</v>
      </c>
      <c r="AZ118" s="7">
        <f t="shared" si="4"/>
        <v>4</v>
      </c>
      <c r="BA118" s="11">
        <f t="shared" si="5"/>
        <v>0.33333333333333331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741.72185430464003</v>
      </c>
      <c r="BN118" s="12">
        <v>0</v>
      </c>
      <c r="BO118" s="12">
        <f t="shared" si="6"/>
        <v>741.72185430464003</v>
      </c>
      <c r="BP118" s="12">
        <f t="shared" si="7"/>
        <v>61.810154525386672</v>
      </c>
      <c r="BQ118" s="7"/>
      <c r="BR118" s="7"/>
      <c r="BS118" s="7" t="s">
        <v>101</v>
      </c>
      <c r="BT118" s="7" t="s">
        <v>53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/>
    </row>
    <row r="119" spans="1:78" x14ac:dyDescent="0.35">
      <c r="A119" s="7" t="s">
        <v>42</v>
      </c>
      <c r="B119" s="7"/>
      <c r="C119" s="7" t="s">
        <v>336</v>
      </c>
      <c r="D119" s="7" t="s">
        <v>337</v>
      </c>
      <c r="E119" s="7" t="s">
        <v>338</v>
      </c>
      <c r="F119" s="7" t="s">
        <v>339</v>
      </c>
      <c r="G119" s="7" t="s">
        <v>47</v>
      </c>
      <c r="H119" s="7"/>
      <c r="I119" s="7"/>
      <c r="J119" s="7" t="s">
        <v>48</v>
      </c>
      <c r="K119" s="7" t="s">
        <v>49</v>
      </c>
      <c r="L119" s="7" t="s">
        <v>49</v>
      </c>
      <c r="M119" s="7" t="s">
        <v>49</v>
      </c>
      <c r="N119" s="7" t="s">
        <v>50</v>
      </c>
      <c r="O119" s="7" t="s">
        <v>4</v>
      </c>
      <c r="P119" s="7">
        <v>5360</v>
      </c>
      <c r="Q119" s="7">
        <v>5360</v>
      </c>
      <c r="R119" s="7">
        <v>5360</v>
      </c>
      <c r="S119" s="7">
        <v>5360</v>
      </c>
      <c r="T119" s="7">
        <v>5360</v>
      </c>
      <c r="U119" s="7">
        <v>5360</v>
      </c>
      <c r="V119" s="7">
        <v>5360</v>
      </c>
      <c r="W119" s="7">
        <v>5360</v>
      </c>
      <c r="X119" s="7">
        <v>5360</v>
      </c>
      <c r="Y119" s="7">
        <v>5360</v>
      </c>
      <c r="Z119" s="7">
        <v>5360</v>
      </c>
      <c r="AA119" s="7">
        <v>5360</v>
      </c>
      <c r="AB119" s="9">
        <v>0.33927056827820001</v>
      </c>
      <c r="AC119" s="9">
        <v>0.33927056827820001</v>
      </c>
      <c r="AD119" s="9">
        <v>0.33927056827820001</v>
      </c>
      <c r="AE119" s="9">
        <v>0.33927056827820001</v>
      </c>
      <c r="AF119" s="9">
        <v>0.33927056827820001</v>
      </c>
      <c r="AG119" s="9">
        <v>0.33927056827820001</v>
      </c>
      <c r="AH119" s="9">
        <v>0.33927056827820001</v>
      </c>
      <c r="AI119" s="9">
        <v>0.33927056827820001</v>
      </c>
      <c r="AJ119" s="9">
        <v>0.33927056827820001</v>
      </c>
      <c r="AK119" s="9">
        <v>0.33927056827820001</v>
      </c>
      <c r="AL119" s="9">
        <v>0.33927056827820001</v>
      </c>
      <c r="AM119" s="9">
        <v>0.33927056827820001</v>
      </c>
      <c r="AN119" s="10">
        <v>0</v>
      </c>
      <c r="AO119" s="10">
        <v>0</v>
      </c>
      <c r="AP119" s="10">
        <v>1</v>
      </c>
      <c r="AQ119" s="10">
        <v>0</v>
      </c>
      <c r="AR119" s="10">
        <v>0</v>
      </c>
      <c r="AS119" s="10">
        <v>1</v>
      </c>
      <c r="AT119" s="10">
        <v>0</v>
      </c>
      <c r="AU119" s="10">
        <v>0</v>
      </c>
      <c r="AV119" s="10">
        <v>0</v>
      </c>
      <c r="AW119" s="10">
        <v>0</v>
      </c>
      <c r="AX119" s="10">
        <v>0</v>
      </c>
      <c r="AY119" s="10">
        <v>0</v>
      </c>
      <c r="AZ119" s="7">
        <f t="shared" si="4"/>
        <v>2</v>
      </c>
      <c r="BA119" s="11">
        <f t="shared" si="5"/>
        <v>0.16666666666666666</v>
      </c>
      <c r="BC119" s="12">
        <v>0</v>
      </c>
      <c r="BD119" s="12">
        <v>0</v>
      </c>
      <c r="BE119" s="12">
        <v>0.33927056827820001</v>
      </c>
      <c r="BF119" s="12">
        <v>0</v>
      </c>
      <c r="BG119" s="12">
        <v>0</v>
      </c>
      <c r="BH119" s="12">
        <v>0.33927056827820001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f t="shared" si="6"/>
        <v>0.67854113655640003</v>
      </c>
      <c r="BP119" s="12">
        <f t="shared" si="7"/>
        <v>5.6545094713033338E-2</v>
      </c>
      <c r="BQ119" s="7"/>
      <c r="BR119" s="7"/>
      <c r="BS119" s="7" t="s">
        <v>52</v>
      </c>
      <c r="BT119" s="7" t="s">
        <v>53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/>
    </row>
    <row r="120" spans="1:78" x14ac:dyDescent="0.35">
      <c r="A120" s="7" t="s">
        <v>42</v>
      </c>
      <c r="B120" s="7"/>
      <c r="C120" s="7" t="s">
        <v>340</v>
      </c>
      <c r="D120" s="7" t="s">
        <v>341</v>
      </c>
      <c r="E120" s="7" t="s">
        <v>342</v>
      </c>
      <c r="F120" s="7" t="s">
        <v>343</v>
      </c>
      <c r="G120" s="7" t="s">
        <v>47</v>
      </c>
      <c r="H120" s="7"/>
      <c r="I120" s="7"/>
      <c r="J120" s="7" t="s">
        <v>48</v>
      </c>
      <c r="K120" s="7" t="s">
        <v>49</v>
      </c>
      <c r="L120" s="7" t="s">
        <v>49</v>
      </c>
      <c r="M120" s="7" t="s">
        <v>49</v>
      </c>
      <c r="N120" s="7" t="s">
        <v>344</v>
      </c>
      <c r="O120" s="7" t="s">
        <v>4</v>
      </c>
      <c r="P120" s="7">
        <v>465000</v>
      </c>
      <c r="Q120" s="7">
        <v>465000</v>
      </c>
      <c r="R120" s="7">
        <v>465000</v>
      </c>
      <c r="S120" s="7">
        <v>465000</v>
      </c>
      <c r="T120" s="7">
        <v>465000</v>
      </c>
      <c r="U120" s="7">
        <v>465000</v>
      </c>
      <c r="V120" s="7">
        <v>465000</v>
      </c>
      <c r="W120" s="7">
        <v>465000</v>
      </c>
      <c r="X120" s="7">
        <v>465000</v>
      </c>
      <c r="Y120" s="7">
        <v>465000</v>
      </c>
      <c r="Z120" s="7">
        <v>465000</v>
      </c>
      <c r="AA120" s="7">
        <v>465000</v>
      </c>
      <c r="AB120" s="9">
        <v>29.432987733089998</v>
      </c>
      <c r="AC120" s="9">
        <v>29.432987733089998</v>
      </c>
      <c r="AD120" s="9">
        <v>29.432987733089998</v>
      </c>
      <c r="AE120" s="9">
        <v>29.432987733089998</v>
      </c>
      <c r="AF120" s="9">
        <v>29.432987733089998</v>
      </c>
      <c r="AG120" s="9">
        <v>29.432987733089998</v>
      </c>
      <c r="AH120" s="9">
        <v>29.432987733089998</v>
      </c>
      <c r="AI120" s="9">
        <v>29.432987733089998</v>
      </c>
      <c r="AJ120" s="9">
        <v>29.432987733089998</v>
      </c>
      <c r="AK120" s="9">
        <v>29.432987733089998</v>
      </c>
      <c r="AL120" s="9">
        <v>29.432987733089998</v>
      </c>
      <c r="AM120" s="9">
        <v>29.432987733089998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10">
        <v>0</v>
      </c>
      <c r="AT120" s="10">
        <v>0</v>
      </c>
      <c r="AU120" s="10">
        <v>0</v>
      </c>
      <c r="AV120" s="10">
        <v>5</v>
      </c>
      <c r="AW120" s="10">
        <v>0</v>
      </c>
      <c r="AX120" s="10">
        <v>0</v>
      </c>
      <c r="AY120" s="10">
        <v>0</v>
      </c>
      <c r="AZ120" s="7">
        <f t="shared" si="4"/>
        <v>5</v>
      </c>
      <c r="BA120" s="11">
        <f t="shared" si="5"/>
        <v>0.41666666666666669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  <c r="BJ120" s="12">
        <v>0</v>
      </c>
      <c r="BK120" s="12">
        <v>147.16493866544999</v>
      </c>
      <c r="BL120" s="12">
        <v>0</v>
      </c>
      <c r="BM120" s="12">
        <v>0</v>
      </c>
      <c r="BN120" s="12">
        <v>0</v>
      </c>
      <c r="BO120" s="12">
        <f t="shared" si="6"/>
        <v>147.16493866544999</v>
      </c>
      <c r="BP120" s="12">
        <f t="shared" si="7"/>
        <v>12.2637448887875</v>
      </c>
      <c r="BQ120" s="7"/>
      <c r="BR120" s="7"/>
      <c r="BS120" s="7" t="s">
        <v>52</v>
      </c>
      <c r="BT120" s="7" t="s">
        <v>53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/>
    </row>
    <row r="121" spans="1:78" x14ac:dyDescent="0.35">
      <c r="A121" s="7" t="s">
        <v>42</v>
      </c>
      <c r="B121" s="7"/>
      <c r="C121" s="7" t="s">
        <v>160</v>
      </c>
      <c r="D121" s="7" t="s">
        <v>161</v>
      </c>
      <c r="E121" s="7" t="s">
        <v>162</v>
      </c>
      <c r="F121" s="7" t="s">
        <v>123</v>
      </c>
      <c r="G121" s="7" t="s">
        <v>47</v>
      </c>
      <c r="H121" s="7"/>
      <c r="I121" s="7"/>
      <c r="J121" s="7" t="s">
        <v>48</v>
      </c>
      <c r="K121" s="7" t="s">
        <v>49</v>
      </c>
      <c r="L121" s="7" t="s">
        <v>49</v>
      </c>
      <c r="M121" s="7" t="s">
        <v>49</v>
      </c>
      <c r="N121" s="7" t="s">
        <v>100</v>
      </c>
      <c r="O121" s="7" t="s">
        <v>4</v>
      </c>
      <c r="P121" s="7">
        <v>50000</v>
      </c>
      <c r="Q121" s="7">
        <v>50000</v>
      </c>
      <c r="R121" s="7">
        <v>50000</v>
      </c>
      <c r="S121" s="7">
        <v>50000</v>
      </c>
      <c r="T121" s="7">
        <v>50000</v>
      </c>
      <c r="U121" s="7">
        <v>50000</v>
      </c>
      <c r="V121" s="7">
        <v>50000</v>
      </c>
      <c r="W121" s="7">
        <v>50000</v>
      </c>
      <c r="X121" s="7">
        <v>50000</v>
      </c>
      <c r="Y121" s="7">
        <v>50000</v>
      </c>
      <c r="Z121" s="7">
        <v>50000</v>
      </c>
      <c r="AA121" s="7">
        <v>50000</v>
      </c>
      <c r="AB121" s="9">
        <v>3.1648373906548999</v>
      </c>
      <c r="AC121" s="9">
        <v>3.1648373906548999</v>
      </c>
      <c r="AD121" s="9">
        <v>3.1648373906548999</v>
      </c>
      <c r="AE121" s="9">
        <v>3.1648373906548999</v>
      </c>
      <c r="AF121" s="9">
        <v>3.1648373906548999</v>
      </c>
      <c r="AG121" s="9">
        <v>3.1648373906548999</v>
      </c>
      <c r="AH121" s="9">
        <v>3.1648373906548999</v>
      </c>
      <c r="AI121" s="9">
        <v>3.1648373906548999</v>
      </c>
      <c r="AJ121" s="9">
        <v>3.1648373906548999</v>
      </c>
      <c r="AK121" s="9">
        <v>3.1648373906548999</v>
      </c>
      <c r="AL121" s="9">
        <v>3.1648373906548999</v>
      </c>
      <c r="AM121" s="9">
        <v>3.1648373906548999</v>
      </c>
      <c r="AN121" s="10">
        <v>90</v>
      </c>
      <c r="AO121" s="10">
        <v>75</v>
      </c>
      <c r="AP121" s="10">
        <v>0</v>
      </c>
      <c r="AQ121" s="10">
        <v>0</v>
      </c>
      <c r="AR121" s="10">
        <v>0</v>
      </c>
      <c r="AS121" s="10">
        <v>0</v>
      </c>
      <c r="AT121" s="10">
        <v>90</v>
      </c>
      <c r="AU121" s="10">
        <v>75</v>
      </c>
      <c r="AV121" s="10">
        <v>0</v>
      </c>
      <c r="AW121" s="10">
        <v>0</v>
      </c>
      <c r="AX121" s="10">
        <v>0</v>
      </c>
      <c r="AY121" s="10">
        <v>0</v>
      </c>
      <c r="AZ121" s="7">
        <f t="shared" si="4"/>
        <v>330</v>
      </c>
      <c r="BA121" s="11">
        <f t="shared" si="5"/>
        <v>27.5</v>
      </c>
      <c r="BC121" s="12">
        <v>284.83536515894002</v>
      </c>
      <c r="BD121" s="12">
        <v>237.36280429912</v>
      </c>
      <c r="BE121" s="12">
        <v>0</v>
      </c>
      <c r="BF121" s="12">
        <v>0</v>
      </c>
      <c r="BG121" s="12">
        <v>0</v>
      </c>
      <c r="BH121" s="12">
        <v>0</v>
      </c>
      <c r="BI121" s="12">
        <v>284.83536515894002</v>
      </c>
      <c r="BJ121" s="12">
        <v>237.36280429912</v>
      </c>
      <c r="BK121" s="12">
        <v>0</v>
      </c>
      <c r="BL121" s="12">
        <v>0</v>
      </c>
      <c r="BM121" s="12">
        <v>0</v>
      </c>
      <c r="BN121" s="12">
        <v>0</v>
      </c>
      <c r="BO121" s="12">
        <f t="shared" si="6"/>
        <v>1044.3963389161199</v>
      </c>
      <c r="BP121" s="12">
        <f t="shared" si="7"/>
        <v>87.033028243009994</v>
      </c>
      <c r="BQ121" s="7"/>
      <c r="BR121" s="7"/>
      <c r="BS121" s="7" t="s">
        <v>95</v>
      </c>
      <c r="BT121" s="7" t="s">
        <v>53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/>
    </row>
    <row r="122" spans="1:78" x14ac:dyDescent="0.35">
      <c r="A122" s="7" t="s">
        <v>42</v>
      </c>
      <c r="B122" s="7"/>
      <c r="C122" s="7" t="s">
        <v>160</v>
      </c>
      <c r="D122" s="7" t="s">
        <v>161</v>
      </c>
      <c r="E122" s="7" t="s">
        <v>162</v>
      </c>
      <c r="F122" s="7" t="s">
        <v>275</v>
      </c>
      <c r="G122" s="7" t="s">
        <v>47</v>
      </c>
      <c r="H122" s="7"/>
      <c r="I122" s="7"/>
      <c r="J122" s="7" t="s">
        <v>48</v>
      </c>
      <c r="K122" s="7" t="s">
        <v>49</v>
      </c>
      <c r="L122" s="7" t="s">
        <v>49</v>
      </c>
      <c r="M122" s="7" t="s">
        <v>49</v>
      </c>
      <c r="N122" s="7" t="s">
        <v>100</v>
      </c>
      <c r="O122" s="7" t="s">
        <v>4</v>
      </c>
      <c r="P122" s="7">
        <v>50000</v>
      </c>
      <c r="Q122" s="7">
        <v>50000</v>
      </c>
      <c r="R122" s="7">
        <v>50000</v>
      </c>
      <c r="S122" s="7">
        <v>50000</v>
      </c>
      <c r="T122" s="7">
        <v>50000</v>
      </c>
      <c r="U122" s="7">
        <v>50000</v>
      </c>
      <c r="V122" s="7">
        <v>50000</v>
      </c>
      <c r="W122" s="7">
        <v>50000</v>
      </c>
      <c r="X122" s="7">
        <v>50000</v>
      </c>
      <c r="Y122" s="7">
        <v>50000</v>
      </c>
      <c r="Z122" s="7">
        <v>50000</v>
      </c>
      <c r="AA122" s="7">
        <v>50000</v>
      </c>
      <c r="AB122" s="9">
        <v>3.1648373906548999</v>
      </c>
      <c r="AC122" s="9">
        <v>3.1648373906548999</v>
      </c>
      <c r="AD122" s="9">
        <v>3.1648373906548999</v>
      </c>
      <c r="AE122" s="9">
        <v>3.1648373906548999</v>
      </c>
      <c r="AF122" s="9">
        <v>3.1648373906548999</v>
      </c>
      <c r="AG122" s="9">
        <v>3.1648373906548999</v>
      </c>
      <c r="AH122" s="9">
        <v>3.1648373906548999</v>
      </c>
      <c r="AI122" s="9">
        <v>3.1648373906548999</v>
      </c>
      <c r="AJ122" s="9">
        <v>3.1648373906548999</v>
      </c>
      <c r="AK122" s="9">
        <v>3.1648373906548999</v>
      </c>
      <c r="AL122" s="9">
        <v>3.1648373906548999</v>
      </c>
      <c r="AM122" s="9">
        <v>3.1648373906548999</v>
      </c>
      <c r="AN122" s="10">
        <v>20</v>
      </c>
      <c r="AO122" s="10">
        <v>0</v>
      </c>
      <c r="AP122" s="10">
        <v>0</v>
      </c>
      <c r="AQ122" s="10">
        <v>15</v>
      </c>
      <c r="AR122" s="10">
        <v>0</v>
      </c>
      <c r="AS122" s="10">
        <v>0</v>
      </c>
      <c r="AT122" s="10">
        <v>15</v>
      </c>
      <c r="AU122" s="10">
        <v>0</v>
      </c>
      <c r="AV122" s="10">
        <v>0</v>
      </c>
      <c r="AW122" s="10">
        <v>15</v>
      </c>
      <c r="AX122" s="10">
        <v>0</v>
      </c>
      <c r="AY122" s="10">
        <v>0</v>
      </c>
      <c r="AZ122" s="7">
        <f t="shared" si="4"/>
        <v>65</v>
      </c>
      <c r="BA122" s="11">
        <f t="shared" si="5"/>
        <v>5.416666666666667</v>
      </c>
      <c r="BC122" s="12">
        <v>63.296747813096999</v>
      </c>
      <c r="BD122" s="12">
        <v>0</v>
      </c>
      <c r="BE122" s="12">
        <v>0</v>
      </c>
      <c r="BF122" s="12">
        <v>47.472560859822998</v>
      </c>
      <c r="BG122" s="12">
        <v>0</v>
      </c>
      <c r="BH122" s="12">
        <v>0</v>
      </c>
      <c r="BI122" s="12">
        <v>47.472560859822998</v>
      </c>
      <c r="BJ122" s="12">
        <v>0</v>
      </c>
      <c r="BK122" s="12">
        <v>0</v>
      </c>
      <c r="BL122" s="12">
        <v>47.472560859822998</v>
      </c>
      <c r="BM122" s="12">
        <v>0</v>
      </c>
      <c r="BN122" s="12">
        <v>0</v>
      </c>
      <c r="BO122" s="12">
        <f t="shared" si="6"/>
        <v>205.71443039256602</v>
      </c>
      <c r="BP122" s="12">
        <f t="shared" si="7"/>
        <v>17.142869199380502</v>
      </c>
      <c r="BQ122" s="7"/>
      <c r="BR122" s="7"/>
      <c r="BS122" s="7" t="s">
        <v>95</v>
      </c>
      <c r="BT122" s="7" t="s">
        <v>53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/>
    </row>
    <row r="123" spans="1:78" x14ac:dyDescent="0.35">
      <c r="A123" s="7" t="s">
        <v>42</v>
      </c>
      <c r="B123" s="7"/>
      <c r="C123" s="7" t="s">
        <v>109</v>
      </c>
      <c r="D123" s="7" t="s">
        <v>104</v>
      </c>
      <c r="E123" s="7" t="s">
        <v>110</v>
      </c>
      <c r="F123" s="7" t="s">
        <v>108</v>
      </c>
      <c r="G123" s="7" t="s">
        <v>47</v>
      </c>
      <c r="H123" s="7"/>
      <c r="I123" s="7"/>
      <c r="J123" s="7" t="s">
        <v>48</v>
      </c>
      <c r="K123" s="7" t="s">
        <v>49</v>
      </c>
      <c r="L123" s="7" t="s">
        <v>49</v>
      </c>
      <c r="M123" s="7" t="s">
        <v>49</v>
      </c>
      <c r="N123" s="7" t="s">
        <v>100</v>
      </c>
      <c r="O123" s="7" t="s">
        <v>6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10">
        <v>1</v>
      </c>
      <c r="AO123" s="10">
        <v>1</v>
      </c>
      <c r="AP123" s="10">
        <v>1</v>
      </c>
      <c r="AQ123" s="10">
        <v>1</v>
      </c>
      <c r="AR123" s="10">
        <v>1</v>
      </c>
      <c r="AS123" s="10">
        <v>1</v>
      </c>
      <c r="AT123" s="10">
        <v>0</v>
      </c>
      <c r="AU123" s="10">
        <v>0</v>
      </c>
      <c r="AV123" s="10">
        <v>0</v>
      </c>
      <c r="AW123" s="10">
        <v>0</v>
      </c>
      <c r="AX123" s="10">
        <v>0</v>
      </c>
      <c r="AY123" s="10">
        <v>0</v>
      </c>
      <c r="AZ123" s="7">
        <f t="shared" si="4"/>
        <v>6</v>
      </c>
      <c r="BA123" s="11">
        <f t="shared" si="5"/>
        <v>0.5</v>
      </c>
      <c r="BC123" s="12">
        <v>0</v>
      </c>
      <c r="BD123" s="12">
        <v>0</v>
      </c>
      <c r="BE123" s="12">
        <v>0</v>
      </c>
      <c r="BF123" s="12">
        <v>0</v>
      </c>
      <c r="BG123" s="12">
        <v>0</v>
      </c>
      <c r="BH123" s="12">
        <v>0</v>
      </c>
      <c r="BI123" s="12">
        <v>0</v>
      </c>
      <c r="BJ123" s="12">
        <v>0</v>
      </c>
      <c r="BK123" s="12">
        <v>0</v>
      </c>
      <c r="BL123" s="12">
        <v>0</v>
      </c>
      <c r="BM123" s="12">
        <v>0</v>
      </c>
      <c r="BN123" s="12">
        <v>0</v>
      </c>
      <c r="BO123" s="12">
        <f t="shared" si="6"/>
        <v>0</v>
      </c>
      <c r="BP123" s="12">
        <f t="shared" si="7"/>
        <v>0</v>
      </c>
      <c r="BQ123" s="7"/>
      <c r="BR123" s="7"/>
      <c r="BS123" s="7" t="s">
        <v>95</v>
      </c>
      <c r="BT123" s="7" t="s">
        <v>53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/>
    </row>
    <row r="124" spans="1:78" x14ac:dyDescent="0.35">
      <c r="A124" s="7" t="s">
        <v>42</v>
      </c>
      <c r="B124" s="7"/>
      <c r="C124" s="7" t="s">
        <v>345</v>
      </c>
      <c r="D124" s="7" t="s">
        <v>104</v>
      </c>
      <c r="E124" s="7" t="s">
        <v>346</v>
      </c>
      <c r="F124" s="7" t="s">
        <v>108</v>
      </c>
      <c r="G124" s="7" t="s">
        <v>47</v>
      </c>
      <c r="H124" s="7"/>
      <c r="I124" s="7"/>
      <c r="J124" s="7" t="s">
        <v>48</v>
      </c>
      <c r="K124" s="7" t="s">
        <v>49</v>
      </c>
      <c r="L124" s="7" t="s">
        <v>49</v>
      </c>
      <c r="M124" s="7" t="s">
        <v>49</v>
      </c>
      <c r="N124" s="7" t="s">
        <v>100</v>
      </c>
      <c r="O124" s="7" t="s">
        <v>6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10">
        <v>1</v>
      </c>
      <c r="AO124" s="10">
        <v>1</v>
      </c>
      <c r="AP124" s="10">
        <v>1</v>
      </c>
      <c r="AQ124" s="10">
        <v>1</v>
      </c>
      <c r="AR124" s="10">
        <v>1</v>
      </c>
      <c r="AS124" s="10">
        <v>1</v>
      </c>
      <c r="AT124" s="10">
        <v>0</v>
      </c>
      <c r="AU124" s="10">
        <v>0</v>
      </c>
      <c r="AV124" s="10">
        <v>0</v>
      </c>
      <c r="AW124" s="10">
        <v>0</v>
      </c>
      <c r="AX124" s="10">
        <v>0</v>
      </c>
      <c r="AY124" s="10">
        <v>0</v>
      </c>
      <c r="AZ124" s="7">
        <f t="shared" si="4"/>
        <v>6</v>
      </c>
      <c r="BA124" s="11">
        <f t="shared" si="5"/>
        <v>0.5</v>
      </c>
      <c r="BC124" s="12">
        <v>0</v>
      </c>
      <c r="BD124" s="12">
        <v>0</v>
      </c>
      <c r="BE124" s="12">
        <v>0</v>
      </c>
      <c r="BF124" s="12">
        <v>0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  <c r="BL124" s="12">
        <v>0</v>
      </c>
      <c r="BM124" s="12">
        <v>0</v>
      </c>
      <c r="BN124" s="12">
        <v>0</v>
      </c>
      <c r="BO124" s="12">
        <f t="shared" si="6"/>
        <v>0</v>
      </c>
      <c r="BP124" s="12">
        <f t="shared" si="7"/>
        <v>0</v>
      </c>
      <c r="BQ124" s="7"/>
      <c r="BR124" s="7"/>
      <c r="BS124" s="7" t="s">
        <v>95</v>
      </c>
      <c r="BT124" s="7" t="s">
        <v>53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/>
    </row>
    <row r="125" spans="1:78" x14ac:dyDescent="0.35">
      <c r="A125" s="7" t="s">
        <v>42</v>
      </c>
      <c r="B125" s="7"/>
      <c r="C125" s="7" t="s">
        <v>347</v>
      </c>
      <c r="D125" s="7" t="s">
        <v>121</v>
      </c>
      <c r="E125" s="7" t="s">
        <v>348</v>
      </c>
      <c r="F125" s="7" t="s">
        <v>237</v>
      </c>
      <c r="G125" s="7" t="s">
        <v>47</v>
      </c>
      <c r="H125" s="7"/>
      <c r="I125" s="7"/>
      <c r="J125" s="7" t="s">
        <v>48</v>
      </c>
      <c r="K125" s="7" t="s">
        <v>49</v>
      </c>
      <c r="L125" s="7" t="s">
        <v>49</v>
      </c>
      <c r="M125" s="7" t="s">
        <v>49</v>
      </c>
      <c r="N125" s="7" t="s">
        <v>242</v>
      </c>
      <c r="O125" s="7" t="s">
        <v>4</v>
      </c>
      <c r="P125" s="7">
        <v>102500</v>
      </c>
      <c r="Q125" s="7">
        <v>102500</v>
      </c>
      <c r="R125" s="7">
        <v>102500</v>
      </c>
      <c r="S125" s="7">
        <v>102500</v>
      </c>
      <c r="T125" s="7">
        <v>102500</v>
      </c>
      <c r="U125" s="7">
        <v>102500</v>
      </c>
      <c r="V125" s="7">
        <v>102500</v>
      </c>
      <c r="W125" s="7">
        <v>102500</v>
      </c>
      <c r="X125" s="7">
        <v>102500</v>
      </c>
      <c r="Y125" s="7">
        <v>102500</v>
      </c>
      <c r="Z125" s="7">
        <v>102500</v>
      </c>
      <c r="AA125" s="7">
        <v>102500</v>
      </c>
      <c r="AB125" s="9">
        <v>6.4879166508425001</v>
      </c>
      <c r="AC125" s="9">
        <v>6.4879166508425001</v>
      </c>
      <c r="AD125" s="9">
        <v>6.4879166508425001</v>
      </c>
      <c r="AE125" s="9">
        <v>6.4879166508425001</v>
      </c>
      <c r="AF125" s="9">
        <v>6.4879166508425001</v>
      </c>
      <c r="AG125" s="9">
        <v>6.4879166508425001</v>
      </c>
      <c r="AH125" s="9">
        <v>6.4879166508425001</v>
      </c>
      <c r="AI125" s="9">
        <v>6.4879166508425001</v>
      </c>
      <c r="AJ125" s="9">
        <v>6.4879166508425001</v>
      </c>
      <c r="AK125" s="9">
        <v>6.4879166508425001</v>
      </c>
      <c r="AL125" s="9">
        <v>6.4879166508425001</v>
      </c>
      <c r="AM125" s="9">
        <v>6.4879166508425001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0</v>
      </c>
      <c r="AT125" s="10">
        <v>0</v>
      </c>
      <c r="AU125" s="10">
        <v>0</v>
      </c>
      <c r="AV125" s="10">
        <v>0</v>
      </c>
      <c r="AW125" s="10">
        <v>0</v>
      </c>
      <c r="AX125" s="10">
        <v>1</v>
      </c>
      <c r="AY125" s="10">
        <v>0</v>
      </c>
      <c r="AZ125" s="7">
        <f t="shared" si="4"/>
        <v>1</v>
      </c>
      <c r="BA125" s="11">
        <f t="shared" si="5"/>
        <v>8.3333333333333329E-2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  <c r="BL125" s="12">
        <v>0</v>
      </c>
      <c r="BM125" s="12">
        <v>6.4879166508425001</v>
      </c>
      <c r="BN125" s="12">
        <v>0</v>
      </c>
      <c r="BO125" s="12">
        <f t="shared" si="6"/>
        <v>6.4879166508425001</v>
      </c>
      <c r="BP125" s="12">
        <f t="shared" si="7"/>
        <v>0.54065972090354164</v>
      </c>
      <c r="BQ125" s="7"/>
      <c r="BR125" s="7"/>
      <c r="BS125" s="7" t="s">
        <v>95</v>
      </c>
      <c r="BT125" s="7" t="s">
        <v>53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/>
    </row>
    <row r="126" spans="1:78" x14ac:dyDescent="0.35">
      <c r="A126" s="7" t="s">
        <v>42</v>
      </c>
      <c r="B126" s="7"/>
      <c r="C126" s="7" t="s">
        <v>349</v>
      </c>
      <c r="D126" s="7" t="s">
        <v>121</v>
      </c>
      <c r="E126" s="7" t="s">
        <v>350</v>
      </c>
      <c r="F126" s="7" t="s">
        <v>237</v>
      </c>
      <c r="G126" s="7" t="s">
        <v>47</v>
      </c>
      <c r="H126" s="7"/>
      <c r="I126" s="7"/>
      <c r="J126" s="7" t="s">
        <v>48</v>
      </c>
      <c r="K126" s="7" t="s">
        <v>49</v>
      </c>
      <c r="L126" s="7" t="s">
        <v>49</v>
      </c>
      <c r="M126" s="7" t="s">
        <v>49</v>
      </c>
      <c r="N126" s="7" t="s">
        <v>242</v>
      </c>
      <c r="O126" s="7" t="s">
        <v>4</v>
      </c>
      <c r="P126" s="7">
        <v>102500</v>
      </c>
      <c r="Q126" s="7">
        <v>102500</v>
      </c>
      <c r="R126" s="7">
        <v>102500</v>
      </c>
      <c r="S126" s="7">
        <v>102500</v>
      </c>
      <c r="T126" s="7">
        <v>102500</v>
      </c>
      <c r="U126" s="7">
        <v>102500</v>
      </c>
      <c r="V126" s="7">
        <v>102500</v>
      </c>
      <c r="W126" s="7">
        <v>102500</v>
      </c>
      <c r="X126" s="7">
        <v>102500</v>
      </c>
      <c r="Y126" s="7">
        <v>102500</v>
      </c>
      <c r="Z126" s="7">
        <v>102500</v>
      </c>
      <c r="AA126" s="7">
        <v>102500</v>
      </c>
      <c r="AB126" s="9">
        <v>6.4879166508425001</v>
      </c>
      <c r="AC126" s="9">
        <v>6.4879166508425001</v>
      </c>
      <c r="AD126" s="9">
        <v>6.4879166508425001</v>
      </c>
      <c r="AE126" s="9">
        <v>6.4879166508425001</v>
      </c>
      <c r="AF126" s="9">
        <v>6.4879166508425001</v>
      </c>
      <c r="AG126" s="9">
        <v>6.4879166508425001</v>
      </c>
      <c r="AH126" s="9">
        <v>6.4879166508425001</v>
      </c>
      <c r="AI126" s="9">
        <v>6.4879166508425001</v>
      </c>
      <c r="AJ126" s="9">
        <v>6.4879166508425001</v>
      </c>
      <c r="AK126" s="9">
        <v>6.4879166508425001</v>
      </c>
      <c r="AL126" s="9">
        <v>6.4879166508425001</v>
      </c>
      <c r="AM126" s="9">
        <v>6.4879166508425001</v>
      </c>
      <c r="AN126" s="10">
        <v>0</v>
      </c>
      <c r="AO126" s="10">
        <v>0</v>
      </c>
      <c r="AP126" s="10">
        <v>0</v>
      </c>
      <c r="AQ126" s="10">
        <v>0</v>
      </c>
      <c r="AR126" s="10">
        <v>0</v>
      </c>
      <c r="AS126" s="10">
        <v>0</v>
      </c>
      <c r="AT126" s="10">
        <v>0</v>
      </c>
      <c r="AU126" s="10">
        <v>0</v>
      </c>
      <c r="AV126" s="10">
        <v>0</v>
      </c>
      <c r="AW126" s="10">
        <v>0</v>
      </c>
      <c r="AX126" s="10">
        <v>1</v>
      </c>
      <c r="AY126" s="10">
        <v>0</v>
      </c>
      <c r="AZ126" s="7">
        <f t="shared" si="4"/>
        <v>1</v>
      </c>
      <c r="BA126" s="11">
        <f t="shared" si="5"/>
        <v>8.3333333333333329E-2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2">
        <v>6.4879166508425001</v>
      </c>
      <c r="BN126" s="12">
        <v>0</v>
      </c>
      <c r="BO126" s="12">
        <f t="shared" si="6"/>
        <v>6.4879166508425001</v>
      </c>
      <c r="BP126" s="12">
        <f t="shared" si="7"/>
        <v>0.54065972090354164</v>
      </c>
      <c r="BQ126" s="7"/>
      <c r="BR126" s="7"/>
      <c r="BS126" s="7" t="s">
        <v>95</v>
      </c>
      <c r="BT126" s="7" t="s">
        <v>53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/>
    </row>
    <row r="127" spans="1:78" x14ac:dyDescent="0.35">
      <c r="A127" s="7" t="s">
        <v>42</v>
      </c>
      <c r="B127" s="7"/>
      <c r="C127" s="7" t="s">
        <v>351</v>
      </c>
      <c r="D127" s="7" t="s">
        <v>121</v>
      </c>
      <c r="E127" s="7" t="s">
        <v>352</v>
      </c>
      <c r="F127" s="7" t="s">
        <v>123</v>
      </c>
      <c r="G127" s="7" t="s">
        <v>47</v>
      </c>
      <c r="H127" s="7"/>
      <c r="I127" s="7"/>
      <c r="J127" s="7" t="s">
        <v>48</v>
      </c>
      <c r="K127" s="7" t="s">
        <v>49</v>
      </c>
      <c r="L127" s="7" t="s">
        <v>49</v>
      </c>
      <c r="M127" s="7" t="s">
        <v>49</v>
      </c>
      <c r="N127" s="7" t="s">
        <v>124</v>
      </c>
      <c r="O127" s="7" t="s">
        <v>4</v>
      </c>
      <c r="P127" s="7">
        <v>820000</v>
      </c>
      <c r="Q127" s="7">
        <v>820000</v>
      </c>
      <c r="R127" s="7">
        <v>820000</v>
      </c>
      <c r="S127" s="7">
        <v>820000</v>
      </c>
      <c r="T127" s="7">
        <v>820000</v>
      </c>
      <c r="U127" s="7">
        <v>820000</v>
      </c>
      <c r="V127" s="7">
        <v>820000</v>
      </c>
      <c r="W127" s="7">
        <v>820000</v>
      </c>
      <c r="X127" s="7">
        <v>820000</v>
      </c>
      <c r="Y127" s="7">
        <v>820000</v>
      </c>
      <c r="Z127" s="7">
        <v>820000</v>
      </c>
      <c r="AA127" s="7">
        <v>820000</v>
      </c>
      <c r="AB127" s="9">
        <v>51.903333206740001</v>
      </c>
      <c r="AC127" s="9">
        <v>51.903333206740001</v>
      </c>
      <c r="AD127" s="9">
        <v>51.903333206740001</v>
      </c>
      <c r="AE127" s="9">
        <v>51.903333206740001</v>
      </c>
      <c r="AF127" s="9">
        <v>51.903333206740001</v>
      </c>
      <c r="AG127" s="9">
        <v>51.903333206740001</v>
      </c>
      <c r="AH127" s="9">
        <v>51.903333206740001</v>
      </c>
      <c r="AI127" s="9">
        <v>51.903333206740001</v>
      </c>
      <c r="AJ127" s="9">
        <v>51.903333206740001</v>
      </c>
      <c r="AK127" s="9">
        <v>51.903333206740001</v>
      </c>
      <c r="AL127" s="9">
        <v>51.903333206740001</v>
      </c>
      <c r="AM127" s="9">
        <v>51.903333206740001</v>
      </c>
      <c r="AN127" s="10">
        <v>0</v>
      </c>
      <c r="AO127" s="10">
        <v>0</v>
      </c>
      <c r="AP127" s="10">
        <v>1</v>
      </c>
      <c r="AQ127" s="10">
        <v>0</v>
      </c>
      <c r="AR127" s="10">
        <v>0</v>
      </c>
      <c r="AS127" s="10">
        <v>0</v>
      </c>
      <c r="AT127" s="10">
        <v>0</v>
      </c>
      <c r="AU127" s="10">
        <v>0</v>
      </c>
      <c r="AV127" s="10">
        <v>1</v>
      </c>
      <c r="AW127" s="10">
        <v>0</v>
      </c>
      <c r="AX127" s="10">
        <v>0</v>
      </c>
      <c r="AY127" s="10">
        <v>0</v>
      </c>
      <c r="AZ127" s="7">
        <f t="shared" si="4"/>
        <v>2</v>
      </c>
      <c r="BA127" s="11">
        <f t="shared" si="5"/>
        <v>0.16666666666666666</v>
      </c>
      <c r="BC127" s="12">
        <v>0</v>
      </c>
      <c r="BD127" s="12">
        <v>0</v>
      </c>
      <c r="BE127" s="12">
        <v>51.903333206740001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51.903333206740001</v>
      </c>
      <c r="BL127" s="12">
        <v>0</v>
      </c>
      <c r="BM127" s="12">
        <v>0</v>
      </c>
      <c r="BN127" s="12">
        <v>0</v>
      </c>
      <c r="BO127" s="12">
        <f t="shared" si="6"/>
        <v>103.80666641348</v>
      </c>
      <c r="BP127" s="12">
        <f t="shared" si="7"/>
        <v>8.6505555344566663</v>
      </c>
      <c r="BQ127" s="7"/>
      <c r="BR127" s="7"/>
      <c r="BS127" s="7" t="s">
        <v>95</v>
      </c>
      <c r="BT127" s="7" t="s">
        <v>53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/>
    </row>
    <row r="128" spans="1:78" x14ac:dyDescent="0.35">
      <c r="A128" s="7" t="s">
        <v>42</v>
      </c>
      <c r="B128" s="7"/>
      <c r="C128" s="7" t="s">
        <v>353</v>
      </c>
      <c r="D128" s="7" t="s">
        <v>121</v>
      </c>
      <c r="E128" s="7" t="s">
        <v>354</v>
      </c>
      <c r="F128" s="7" t="s">
        <v>123</v>
      </c>
      <c r="G128" s="7" t="s">
        <v>47</v>
      </c>
      <c r="H128" s="7"/>
      <c r="I128" s="7"/>
      <c r="J128" s="7" t="s">
        <v>48</v>
      </c>
      <c r="K128" s="7" t="s">
        <v>49</v>
      </c>
      <c r="L128" s="7" t="s">
        <v>49</v>
      </c>
      <c r="M128" s="7" t="s">
        <v>49</v>
      </c>
      <c r="N128" s="7" t="s">
        <v>242</v>
      </c>
      <c r="O128" s="7" t="s">
        <v>4</v>
      </c>
      <c r="P128" s="7">
        <v>51250</v>
      </c>
      <c r="Q128" s="7">
        <v>51250</v>
      </c>
      <c r="R128" s="7">
        <v>51250</v>
      </c>
      <c r="S128" s="7">
        <v>51250</v>
      </c>
      <c r="T128" s="7">
        <v>51250</v>
      </c>
      <c r="U128" s="7">
        <v>51250</v>
      </c>
      <c r="V128" s="7">
        <v>51250</v>
      </c>
      <c r="W128" s="7">
        <v>51250</v>
      </c>
      <c r="X128" s="7">
        <v>51250</v>
      </c>
      <c r="Y128" s="7">
        <v>51250</v>
      </c>
      <c r="Z128" s="7">
        <v>51250</v>
      </c>
      <c r="AA128" s="7">
        <v>51250</v>
      </c>
      <c r="AB128" s="9">
        <v>3.2439583254211999</v>
      </c>
      <c r="AC128" s="9">
        <v>3.2439583254211999</v>
      </c>
      <c r="AD128" s="9">
        <v>3.2439583254211999</v>
      </c>
      <c r="AE128" s="9">
        <v>3.2439583254211999</v>
      </c>
      <c r="AF128" s="9">
        <v>3.2439583254211999</v>
      </c>
      <c r="AG128" s="9">
        <v>3.2439583254211999</v>
      </c>
      <c r="AH128" s="9">
        <v>3.2439583254211999</v>
      </c>
      <c r="AI128" s="9">
        <v>3.2439583254211999</v>
      </c>
      <c r="AJ128" s="9">
        <v>3.2439583254211999</v>
      </c>
      <c r="AK128" s="9">
        <v>3.2439583254211999</v>
      </c>
      <c r="AL128" s="9">
        <v>3.2439583254211999</v>
      </c>
      <c r="AM128" s="9">
        <v>3.2439583254211999</v>
      </c>
      <c r="AN128" s="10">
        <v>0</v>
      </c>
      <c r="AO128" s="10">
        <v>10</v>
      </c>
      <c r="AP128" s="10">
        <v>0</v>
      </c>
      <c r="AQ128" s="10">
        <v>0</v>
      </c>
      <c r="AR128" s="10">
        <v>0</v>
      </c>
      <c r="AS128" s="10">
        <v>0</v>
      </c>
      <c r="AT128" s="10">
        <v>0</v>
      </c>
      <c r="AU128" s="10">
        <v>10</v>
      </c>
      <c r="AV128" s="10">
        <v>0</v>
      </c>
      <c r="AW128" s="10">
        <v>0</v>
      </c>
      <c r="AX128" s="10">
        <v>0</v>
      </c>
      <c r="AY128" s="10">
        <v>0</v>
      </c>
      <c r="AZ128" s="7">
        <f t="shared" si="4"/>
        <v>20</v>
      </c>
      <c r="BA128" s="11">
        <f t="shared" si="5"/>
        <v>1.6666666666666667</v>
      </c>
      <c r="BC128" s="12">
        <v>0</v>
      </c>
      <c r="BD128" s="12">
        <v>32.439583254212003</v>
      </c>
      <c r="BE128" s="12">
        <v>0</v>
      </c>
      <c r="BF128" s="12">
        <v>0</v>
      </c>
      <c r="BG128" s="12">
        <v>0</v>
      </c>
      <c r="BH128" s="12">
        <v>0</v>
      </c>
      <c r="BI128" s="12">
        <v>0</v>
      </c>
      <c r="BJ128" s="12">
        <v>32.439583254212003</v>
      </c>
      <c r="BK128" s="12">
        <v>0</v>
      </c>
      <c r="BL128" s="12">
        <v>0</v>
      </c>
      <c r="BM128" s="12">
        <v>0</v>
      </c>
      <c r="BN128" s="12">
        <v>0</v>
      </c>
      <c r="BO128" s="12">
        <f t="shared" si="6"/>
        <v>64.879166508424007</v>
      </c>
      <c r="BP128" s="12">
        <f t="shared" si="7"/>
        <v>5.4065972090353336</v>
      </c>
      <c r="BQ128" s="7"/>
      <c r="BR128" s="7"/>
      <c r="BS128" s="7" t="s">
        <v>95</v>
      </c>
      <c r="BT128" s="7" t="s">
        <v>53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/>
    </row>
    <row r="129" spans="1:78" x14ac:dyDescent="0.35">
      <c r="A129" s="7" t="s">
        <v>42</v>
      </c>
      <c r="B129" s="7"/>
      <c r="C129" s="7" t="s">
        <v>355</v>
      </c>
      <c r="D129" s="7" t="s">
        <v>121</v>
      </c>
      <c r="E129" s="7" t="s">
        <v>356</v>
      </c>
      <c r="F129" s="7" t="s">
        <v>163</v>
      </c>
      <c r="G129" s="7" t="s">
        <v>47</v>
      </c>
      <c r="H129" s="7"/>
      <c r="I129" s="7"/>
      <c r="J129" s="7" t="s">
        <v>48</v>
      </c>
      <c r="K129" s="7" t="s">
        <v>49</v>
      </c>
      <c r="L129" s="7" t="s">
        <v>49</v>
      </c>
      <c r="M129" s="7" t="s">
        <v>49</v>
      </c>
      <c r="N129" s="7" t="s">
        <v>100</v>
      </c>
      <c r="O129" s="7" t="s">
        <v>4</v>
      </c>
      <c r="P129" s="7">
        <v>410000</v>
      </c>
      <c r="Q129" s="7">
        <v>410000</v>
      </c>
      <c r="R129" s="7">
        <v>410000</v>
      </c>
      <c r="S129" s="7">
        <v>410000</v>
      </c>
      <c r="T129" s="7">
        <v>410000</v>
      </c>
      <c r="U129" s="7">
        <v>410000</v>
      </c>
      <c r="V129" s="7">
        <v>410000</v>
      </c>
      <c r="W129" s="7">
        <v>410000</v>
      </c>
      <c r="X129" s="7">
        <v>410000</v>
      </c>
      <c r="Y129" s="7">
        <v>410000</v>
      </c>
      <c r="Z129" s="7">
        <v>410000</v>
      </c>
      <c r="AA129" s="7">
        <v>410000</v>
      </c>
      <c r="AB129" s="9">
        <v>25.951666603370001</v>
      </c>
      <c r="AC129" s="9">
        <v>25.951666603370001</v>
      </c>
      <c r="AD129" s="9">
        <v>25.951666603370001</v>
      </c>
      <c r="AE129" s="9">
        <v>25.951666603370001</v>
      </c>
      <c r="AF129" s="9">
        <v>25.951666603370001</v>
      </c>
      <c r="AG129" s="9">
        <v>25.951666603370001</v>
      </c>
      <c r="AH129" s="9">
        <v>25.951666603370001</v>
      </c>
      <c r="AI129" s="9">
        <v>25.951666603370001</v>
      </c>
      <c r="AJ129" s="9">
        <v>25.951666603370001</v>
      </c>
      <c r="AK129" s="9">
        <v>25.951666603370001</v>
      </c>
      <c r="AL129" s="9">
        <v>25.951666603370001</v>
      </c>
      <c r="AM129" s="9">
        <v>25.951666603370001</v>
      </c>
      <c r="AN129" s="10">
        <v>0</v>
      </c>
      <c r="AO129" s="10">
        <v>0</v>
      </c>
      <c r="AP129" s="10">
        <v>2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7">
        <f t="shared" si="4"/>
        <v>2</v>
      </c>
      <c r="BA129" s="11">
        <f t="shared" si="5"/>
        <v>0.16666666666666666</v>
      </c>
      <c r="BC129" s="12">
        <v>0</v>
      </c>
      <c r="BD129" s="12">
        <v>0</v>
      </c>
      <c r="BE129" s="12">
        <v>51.903333206740001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  <c r="BL129" s="12">
        <v>0</v>
      </c>
      <c r="BM129" s="12">
        <v>0</v>
      </c>
      <c r="BN129" s="12">
        <v>0</v>
      </c>
      <c r="BO129" s="12">
        <f t="shared" si="6"/>
        <v>51.903333206740001</v>
      </c>
      <c r="BP129" s="12">
        <f t="shared" si="7"/>
        <v>4.3252777672283331</v>
      </c>
      <c r="BQ129" s="7"/>
      <c r="BR129" s="7"/>
      <c r="BS129" s="7" t="s">
        <v>95</v>
      </c>
      <c r="BT129" s="7" t="s">
        <v>53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/>
    </row>
    <row r="130" spans="1:78" x14ac:dyDescent="0.35">
      <c r="A130" s="7" t="s">
        <v>42</v>
      </c>
      <c r="B130" s="7"/>
      <c r="C130" s="7" t="s">
        <v>183</v>
      </c>
      <c r="D130" s="7" t="s">
        <v>126</v>
      </c>
      <c r="E130" s="7" t="s">
        <v>184</v>
      </c>
      <c r="F130" s="7" t="s">
        <v>99</v>
      </c>
      <c r="G130" s="7" t="s">
        <v>47</v>
      </c>
      <c r="H130" s="7"/>
      <c r="I130" s="7"/>
      <c r="J130" s="7" t="s">
        <v>48</v>
      </c>
      <c r="K130" s="7" t="s">
        <v>49</v>
      </c>
      <c r="L130" s="7" t="s">
        <v>49</v>
      </c>
      <c r="M130" s="7" t="s">
        <v>49</v>
      </c>
      <c r="N130" s="7" t="s">
        <v>100</v>
      </c>
      <c r="O130" s="7" t="s">
        <v>4</v>
      </c>
      <c r="P130" s="7">
        <v>1025000</v>
      </c>
      <c r="Q130" s="7">
        <v>1025000</v>
      </c>
      <c r="R130" s="7">
        <v>1025000</v>
      </c>
      <c r="S130" s="7">
        <v>1025000</v>
      </c>
      <c r="T130" s="7">
        <v>1025000</v>
      </c>
      <c r="U130" s="7">
        <v>1025000</v>
      </c>
      <c r="V130" s="7">
        <v>1025000</v>
      </c>
      <c r="W130" s="7">
        <v>1025000</v>
      </c>
      <c r="X130" s="7">
        <v>1025000</v>
      </c>
      <c r="Y130" s="7">
        <v>1025000</v>
      </c>
      <c r="Z130" s="7">
        <v>1025000</v>
      </c>
      <c r="AA130" s="7">
        <v>1025000</v>
      </c>
      <c r="AB130" s="9">
        <v>64.879166508425001</v>
      </c>
      <c r="AC130" s="9">
        <v>64.879166508425001</v>
      </c>
      <c r="AD130" s="9">
        <v>64.879166508425001</v>
      </c>
      <c r="AE130" s="9">
        <v>64.879166508425001</v>
      </c>
      <c r="AF130" s="9">
        <v>64.879166508425001</v>
      </c>
      <c r="AG130" s="9">
        <v>64.879166508425001</v>
      </c>
      <c r="AH130" s="9">
        <v>64.879166508425001</v>
      </c>
      <c r="AI130" s="9">
        <v>64.879166508425001</v>
      </c>
      <c r="AJ130" s="9">
        <v>64.879166508425001</v>
      </c>
      <c r="AK130" s="9">
        <v>64.879166508425001</v>
      </c>
      <c r="AL130" s="9">
        <v>64.879166508425001</v>
      </c>
      <c r="AM130" s="9">
        <v>64.879166508425001</v>
      </c>
      <c r="AN130" s="10">
        <v>2</v>
      </c>
      <c r="AO130" s="10">
        <v>0</v>
      </c>
      <c r="AP130" s="10">
        <v>0</v>
      </c>
      <c r="AQ130" s="10">
        <v>0</v>
      </c>
      <c r="AR130" s="10">
        <v>0</v>
      </c>
      <c r="AS130" s="10">
        <v>0</v>
      </c>
      <c r="AT130" s="10">
        <v>0</v>
      </c>
      <c r="AU130" s="10">
        <v>0</v>
      </c>
      <c r="AV130" s="10">
        <v>0</v>
      </c>
      <c r="AW130" s="10">
        <v>0</v>
      </c>
      <c r="AX130" s="10">
        <v>0</v>
      </c>
      <c r="AY130" s="10">
        <v>0</v>
      </c>
      <c r="AZ130" s="7">
        <f t="shared" si="4"/>
        <v>2</v>
      </c>
      <c r="BA130" s="11">
        <f t="shared" si="5"/>
        <v>0.16666666666666666</v>
      </c>
      <c r="BC130" s="12">
        <v>129.75833301685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  <c r="BL130" s="12">
        <v>0</v>
      </c>
      <c r="BM130" s="12">
        <v>0</v>
      </c>
      <c r="BN130" s="12">
        <v>0</v>
      </c>
      <c r="BO130" s="12">
        <f t="shared" si="6"/>
        <v>129.75833301685</v>
      </c>
      <c r="BP130" s="12">
        <f t="shared" si="7"/>
        <v>10.813194418070834</v>
      </c>
      <c r="BQ130" s="7"/>
      <c r="BR130" s="7"/>
      <c r="BS130" s="7" t="s">
        <v>95</v>
      </c>
      <c r="BT130" s="7" t="s">
        <v>53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/>
    </row>
    <row r="131" spans="1:78" x14ac:dyDescent="0.35">
      <c r="A131" s="7" t="s">
        <v>42</v>
      </c>
      <c r="B131" s="7"/>
      <c r="C131" s="7" t="s">
        <v>185</v>
      </c>
      <c r="D131" s="7" t="s">
        <v>126</v>
      </c>
      <c r="E131" s="7" t="s">
        <v>186</v>
      </c>
      <c r="F131" s="7" t="s">
        <v>102</v>
      </c>
      <c r="G131" s="7" t="s">
        <v>47</v>
      </c>
      <c r="H131" s="7"/>
      <c r="I131" s="7"/>
      <c r="J131" s="7" t="s">
        <v>48</v>
      </c>
      <c r="K131" s="7" t="s">
        <v>49</v>
      </c>
      <c r="L131" s="7" t="s">
        <v>49</v>
      </c>
      <c r="M131" s="7" t="s">
        <v>49</v>
      </c>
      <c r="N131" s="7" t="s">
        <v>100</v>
      </c>
      <c r="O131" s="7" t="s">
        <v>4</v>
      </c>
      <c r="P131" s="7">
        <v>820000</v>
      </c>
      <c r="Q131" s="7">
        <v>820000</v>
      </c>
      <c r="R131" s="7">
        <v>820000</v>
      </c>
      <c r="S131" s="7">
        <v>820000</v>
      </c>
      <c r="T131" s="7">
        <v>820000</v>
      </c>
      <c r="U131" s="7">
        <v>820000</v>
      </c>
      <c r="V131" s="7">
        <v>820000</v>
      </c>
      <c r="W131" s="7">
        <v>820000</v>
      </c>
      <c r="X131" s="7">
        <v>820000</v>
      </c>
      <c r="Y131" s="7">
        <v>820000</v>
      </c>
      <c r="Z131" s="7">
        <v>820000</v>
      </c>
      <c r="AA131" s="7">
        <v>820000</v>
      </c>
      <c r="AB131" s="9">
        <v>51.903333206740001</v>
      </c>
      <c r="AC131" s="9">
        <v>51.903333206740001</v>
      </c>
      <c r="AD131" s="9">
        <v>51.903333206740001</v>
      </c>
      <c r="AE131" s="9">
        <v>51.903333206740001</v>
      </c>
      <c r="AF131" s="9">
        <v>51.903333206740001</v>
      </c>
      <c r="AG131" s="9">
        <v>51.903333206740001</v>
      </c>
      <c r="AH131" s="9">
        <v>51.903333206740001</v>
      </c>
      <c r="AI131" s="9">
        <v>51.903333206740001</v>
      </c>
      <c r="AJ131" s="9">
        <v>51.903333206740001</v>
      </c>
      <c r="AK131" s="9">
        <v>51.903333206740001</v>
      </c>
      <c r="AL131" s="9">
        <v>51.903333206740001</v>
      </c>
      <c r="AM131" s="9">
        <v>51.903333206740001</v>
      </c>
      <c r="AN131" s="10">
        <v>0</v>
      </c>
      <c r="AO131" s="10">
        <v>0</v>
      </c>
      <c r="AP131" s="10">
        <v>0</v>
      </c>
      <c r="AQ131" s="10">
        <v>0</v>
      </c>
      <c r="AR131" s="10">
        <v>1</v>
      </c>
      <c r="AS131" s="10">
        <v>0</v>
      </c>
      <c r="AT131" s="10">
        <v>0</v>
      </c>
      <c r="AU131" s="10">
        <v>0</v>
      </c>
      <c r="AV131" s="10">
        <v>0</v>
      </c>
      <c r="AW131" s="10">
        <v>0</v>
      </c>
      <c r="AX131" s="10">
        <v>0</v>
      </c>
      <c r="AY131" s="10">
        <v>0</v>
      </c>
      <c r="AZ131" s="7">
        <f t="shared" si="4"/>
        <v>1</v>
      </c>
      <c r="BA131" s="11">
        <f t="shared" si="5"/>
        <v>8.3333333333333329E-2</v>
      </c>
      <c r="BC131" s="12">
        <v>0</v>
      </c>
      <c r="BD131" s="12">
        <v>0</v>
      </c>
      <c r="BE131" s="12">
        <v>0</v>
      </c>
      <c r="BF131" s="12">
        <v>0</v>
      </c>
      <c r="BG131" s="12">
        <v>51.903333206740001</v>
      </c>
      <c r="BH131" s="12">
        <v>0</v>
      </c>
      <c r="BI131" s="12">
        <v>0</v>
      </c>
      <c r="BJ131" s="12">
        <v>0</v>
      </c>
      <c r="BK131" s="12">
        <v>0</v>
      </c>
      <c r="BL131" s="12">
        <v>0</v>
      </c>
      <c r="BM131" s="12">
        <v>0</v>
      </c>
      <c r="BN131" s="12">
        <v>0</v>
      </c>
      <c r="BO131" s="12">
        <f t="shared" si="6"/>
        <v>51.903333206740001</v>
      </c>
      <c r="BP131" s="12">
        <f t="shared" si="7"/>
        <v>4.3252777672283331</v>
      </c>
      <c r="BQ131" s="7"/>
      <c r="BR131" s="7"/>
      <c r="BS131" s="7" t="s">
        <v>95</v>
      </c>
      <c r="BT131" s="7" t="s">
        <v>53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/>
    </row>
    <row r="132" spans="1:78" x14ac:dyDescent="0.35">
      <c r="A132" s="7" t="s">
        <v>42</v>
      </c>
      <c r="B132" s="7"/>
      <c r="C132" s="7" t="s">
        <v>357</v>
      </c>
      <c r="D132" s="7" t="s">
        <v>126</v>
      </c>
      <c r="E132" s="7" t="s">
        <v>358</v>
      </c>
      <c r="F132" s="7" t="s">
        <v>130</v>
      </c>
      <c r="G132" s="7" t="s">
        <v>47</v>
      </c>
      <c r="H132" s="7"/>
      <c r="I132" s="7"/>
      <c r="J132" s="7" t="s">
        <v>48</v>
      </c>
      <c r="K132" s="7" t="s">
        <v>49</v>
      </c>
      <c r="L132" s="7" t="s">
        <v>49</v>
      </c>
      <c r="M132" s="7" t="s">
        <v>49</v>
      </c>
      <c r="N132" s="7" t="s">
        <v>100</v>
      </c>
      <c r="O132" s="7" t="s">
        <v>6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10">
        <v>0</v>
      </c>
      <c r="AO132" s="10">
        <v>0</v>
      </c>
      <c r="AP132" s="10">
        <v>0</v>
      </c>
      <c r="AQ132" s="10">
        <v>1</v>
      </c>
      <c r="AR132" s="10">
        <v>0</v>
      </c>
      <c r="AS132" s="10">
        <v>0</v>
      </c>
      <c r="AT132" s="10">
        <v>0</v>
      </c>
      <c r="AU132" s="10">
        <v>0</v>
      </c>
      <c r="AV132" s="10">
        <v>0</v>
      </c>
      <c r="AW132" s="10">
        <v>0</v>
      </c>
      <c r="AX132" s="10">
        <v>0</v>
      </c>
      <c r="AY132" s="10">
        <v>0</v>
      </c>
      <c r="AZ132" s="7">
        <f t="shared" si="4"/>
        <v>1</v>
      </c>
      <c r="BA132" s="11">
        <f t="shared" si="5"/>
        <v>8.3333333333333329E-2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2">
        <v>0</v>
      </c>
      <c r="BN132" s="12">
        <v>0</v>
      </c>
      <c r="BO132" s="12">
        <f t="shared" si="6"/>
        <v>0</v>
      </c>
      <c r="BP132" s="12">
        <f t="shared" si="7"/>
        <v>0</v>
      </c>
      <c r="BQ132" s="7"/>
      <c r="BR132" s="7"/>
      <c r="BS132" s="7" t="s">
        <v>95</v>
      </c>
      <c r="BT132" s="7" t="s">
        <v>53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/>
    </row>
    <row r="133" spans="1:78" x14ac:dyDescent="0.35">
      <c r="A133" s="7" t="s">
        <v>42</v>
      </c>
      <c r="B133" s="7"/>
      <c r="C133" s="7" t="s">
        <v>359</v>
      </c>
      <c r="D133" s="7" t="s">
        <v>126</v>
      </c>
      <c r="E133" s="7" t="s">
        <v>105</v>
      </c>
      <c r="F133" s="7" t="s">
        <v>130</v>
      </c>
      <c r="G133" s="7" t="s">
        <v>47</v>
      </c>
      <c r="H133" s="7"/>
      <c r="I133" s="7"/>
      <c r="J133" s="7" t="s">
        <v>48</v>
      </c>
      <c r="K133" s="7" t="s">
        <v>49</v>
      </c>
      <c r="L133" s="7" t="s">
        <v>49</v>
      </c>
      <c r="M133" s="7" t="s">
        <v>49</v>
      </c>
      <c r="N133" s="7" t="s">
        <v>100</v>
      </c>
      <c r="O133" s="7" t="s">
        <v>6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10">
        <v>0</v>
      </c>
      <c r="AO133" s="10">
        <v>0</v>
      </c>
      <c r="AP133" s="10">
        <v>0</v>
      </c>
      <c r="AQ133" s="10">
        <v>1</v>
      </c>
      <c r="AR133" s="10">
        <v>1</v>
      </c>
      <c r="AS133" s="10">
        <v>1</v>
      </c>
      <c r="AT133" s="10">
        <v>1</v>
      </c>
      <c r="AU133" s="10">
        <v>1</v>
      </c>
      <c r="AV133" s="10">
        <v>1</v>
      </c>
      <c r="AW133" s="10">
        <v>0</v>
      </c>
      <c r="AX133" s="10">
        <v>0</v>
      </c>
      <c r="AY133" s="10">
        <v>0</v>
      </c>
      <c r="AZ133" s="7">
        <f t="shared" si="4"/>
        <v>6</v>
      </c>
      <c r="BA133" s="11">
        <f t="shared" si="5"/>
        <v>0.5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f t="shared" si="6"/>
        <v>0</v>
      </c>
      <c r="BP133" s="12">
        <f t="shared" si="7"/>
        <v>0</v>
      </c>
      <c r="BQ133" s="7"/>
      <c r="BR133" s="7"/>
      <c r="BS133" s="7" t="s">
        <v>95</v>
      </c>
      <c r="BT133" s="7" t="s">
        <v>53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/>
    </row>
    <row r="134" spans="1:78" x14ac:dyDescent="0.35">
      <c r="A134" s="7" t="s">
        <v>42</v>
      </c>
      <c r="B134" s="7"/>
      <c r="C134" s="7" t="s">
        <v>360</v>
      </c>
      <c r="D134" s="7" t="s">
        <v>126</v>
      </c>
      <c r="E134" s="7" t="s">
        <v>361</v>
      </c>
      <c r="F134" s="7" t="s">
        <v>130</v>
      </c>
      <c r="G134" s="7" t="s">
        <v>47</v>
      </c>
      <c r="H134" s="7"/>
      <c r="I134" s="7"/>
      <c r="J134" s="7" t="s">
        <v>48</v>
      </c>
      <c r="K134" s="7" t="s">
        <v>49</v>
      </c>
      <c r="L134" s="7" t="s">
        <v>49</v>
      </c>
      <c r="M134" s="7" t="s">
        <v>49</v>
      </c>
      <c r="N134" s="7" t="s">
        <v>100</v>
      </c>
      <c r="O134" s="7" t="s">
        <v>6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10">
        <v>0</v>
      </c>
      <c r="AO134" s="10">
        <v>0</v>
      </c>
      <c r="AP134" s="10">
        <v>0</v>
      </c>
      <c r="AQ134" s="10">
        <v>1</v>
      </c>
      <c r="AR134" s="10">
        <v>1</v>
      </c>
      <c r="AS134" s="10">
        <v>1</v>
      </c>
      <c r="AT134" s="10">
        <v>1</v>
      </c>
      <c r="AU134" s="10">
        <v>1</v>
      </c>
      <c r="AV134" s="10">
        <v>1</v>
      </c>
      <c r="AW134" s="10">
        <v>0</v>
      </c>
      <c r="AX134" s="10">
        <v>0</v>
      </c>
      <c r="AY134" s="10">
        <v>0</v>
      </c>
      <c r="AZ134" s="7">
        <f t="shared" si="4"/>
        <v>6</v>
      </c>
      <c r="BA134" s="11">
        <f t="shared" si="5"/>
        <v>0.5</v>
      </c>
      <c r="BC134" s="12">
        <v>0</v>
      </c>
      <c r="BD134" s="12">
        <v>0</v>
      </c>
      <c r="BE134" s="12">
        <v>0</v>
      </c>
      <c r="BF134" s="12">
        <v>0</v>
      </c>
      <c r="BG134" s="12">
        <v>0</v>
      </c>
      <c r="BH134" s="12">
        <v>0</v>
      </c>
      <c r="BI134" s="12">
        <v>0</v>
      </c>
      <c r="BJ134" s="12">
        <v>0</v>
      </c>
      <c r="BK134" s="12">
        <v>0</v>
      </c>
      <c r="BL134" s="12">
        <v>0</v>
      </c>
      <c r="BM134" s="12">
        <v>0</v>
      </c>
      <c r="BN134" s="12">
        <v>0</v>
      </c>
      <c r="BO134" s="12">
        <f t="shared" si="6"/>
        <v>0</v>
      </c>
      <c r="BP134" s="12">
        <f t="shared" si="7"/>
        <v>0</v>
      </c>
      <c r="BQ134" s="7"/>
      <c r="BR134" s="7"/>
      <c r="BS134" s="7" t="s">
        <v>95</v>
      </c>
      <c r="BT134" s="7" t="s">
        <v>53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/>
    </row>
    <row r="135" spans="1:78" x14ac:dyDescent="0.35">
      <c r="A135" s="7" t="s">
        <v>42</v>
      </c>
      <c r="B135" s="7"/>
      <c r="C135" s="7" t="s">
        <v>362</v>
      </c>
      <c r="D135" s="7" t="s">
        <v>126</v>
      </c>
      <c r="E135" s="7" t="s">
        <v>363</v>
      </c>
      <c r="F135" s="7" t="s">
        <v>130</v>
      </c>
      <c r="G135" s="7" t="s">
        <v>47</v>
      </c>
      <c r="H135" s="7"/>
      <c r="I135" s="7"/>
      <c r="J135" s="7" t="s">
        <v>48</v>
      </c>
      <c r="K135" s="7" t="s">
        <v>49</v>
      </c>
      <c r="L135" s="7" t="s">
        <v>49</v>
      </c>
      <c r="M135" s="7" t="s">
        <v>49</v>
      </c>
      <c r="N135" s="7" t="s">
        <v>100</v>
      </c>
      <c r="O135" s="7" t="s">
        <v>6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10">
        <v>0</v>
      </c>
      <c r="AO135" s="10">
        <v>0</v>
      </c>
      <c r="AP135" s="10">
        <v>0</v>
      </c>
      <c r="AQ135" s="10">
        <v>1</v>
      </c>
      <c r="AR135" s="10">
        <v>0</v>
      </c>
      <c r="AS135" s="10">
        <v>0</v>
      </c>
      <c r="AT135" s="10">
        <v>0</v>
      </c>
      <c r="AU135" s="10">
        <v>0</v>
      </c>
      <c r="AV135" s="10">
        <v>1</v>
      </c>
      <c r="AW135" s="10">
        <v>0</v>
      </c>
      <c r="AX135" s="10">
        <v>0</v>
      </c>
      <c r="AY135" s="10">
        <v>0</v>
      </c>
      <c r="AZ135" s="7">
        <f t="shared" si="4"/>
        <v>2</v>
      </c>
      <c r="BA135" s="11">
        <f t="shared" si="5"/>
        <v>0.16666666666666666</v>
      </c>
      <c r="BC135" s="12">
        <v>0</v>
      </c>
      <c r="BD135" s="12">
        <v>0</v>
      </c>
      <c r="BE135" s="12">
        <v>0</v>
      </c>
      <c r="BF135" s="12">
        <v>0</v>
      </c>
      <c r="BG135" s="12">
        <v>0</v>
      </c>
      <c r="BH135" s="12">
        <v>0</v>
      </c>
      <c r="BI135" s="12">
        <v>0</v>
      </c>
      <c r="BJ135" s="12">
        <v>0</v>
      </c>
      <c r="BK135" s="12">
        <v>0</v>
      </c>
      <c r="BL135" s="12">
        <v>0</v>
      </c>
      <c r="BM135" s="12">
        <v>0</v>
      </c>
      <c r="BN135" s="12">
        <v>0</v>
      </c>
      <c r="BO135" s="12">
        <f t="shared" si="6"/>
        <v>0</v>
      </c>
      <c r="BP135" s="12">
        <f t="shared" si="7"/>
        <v>0</v>
      </c>
      <c r="BQ135" s="7"/>
      <c r="BR135" s="7"/>
      <c r="BS135" s="7" t="s">
        <v>95</v>
      </c>
      <c r="BT135" s="7" t="s">
        <v>53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/>
    </row>
    <row r="136" spans="1:78" x14ac:dyDescent="0.35">
      <c r="A136" s="7" t="s">
        <v>42</v>
      </c>
      <c r="B136" s="7"/>
      <c r="C136" s="7" t="s">
        <v>364</v>
      </c>
      <c r="D136" s="7" t="s">
        <v>126</v>
      </c>
      <c r="E136" s="7" t="s">
        <v>365</v>
      </c>
      <c r="F136" s="7" t="s">
        <v>130</v>
      </c>
      <c r="G136" s="7" t="s">
        <v>47</v>
      </c>
      <c r="H136" s="7"/>
      <c r="I136" s="7"/>
      <c r="J136" s="7" t="s">
        <v>48</v>
      </c>
      <c r="K136" s="7" t="s">
        <v>49</v>
      </c>
      <c r="L136" s="7" t="s">
        <v>49</v>
      </c>
      <c r="M136" s="7" t="s">
        <v>49</v>
      </c>
      <c r="N136" s="7" t="s">
        <v>100</v>
      </c>
      <c r="O136" s="7" t="s">
        <v>6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10">
        <v>0</v>
      </c>
      <c r="AO136" s="10">
        <v>0</v>
      </c>
      <c r="AP136" s="10">
        <v>0</v>
      </c>
      <c r="AQ136" s="10">
        <v>1</v>
      </c>
      <c r="AR136" s="10">
        <v>0</v>
      </c>
      <c r="AS136" s="10">
        <v>0</v>
      </c>
      <c r="AT136" s="10">
        <v>0</v>
      </c>
      <c r="AU136" s="10">
        <v>0</v>
      </c>
      <c r="AV136" s="10">
        <v>0</v>
      </c>
      <c r="AW136" s="10">
        <v>0</v>
      </c>
      <c r="AX136" s="10">
        <v>0</v>
      </c>
      <c r="AY136" s="10">
        <v>0</v>
      </c>
      <c r="AZ136" s="7">
        <f t="shared" si="4"/>
        <v>1</v>
      </c>
      <c r="BA136" s="11">
        <f t="shared" si="5"/>
        <v>8.3333333333333329E-2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0</v>
      </c>
      <c r="BI136" s="12">
        <v>0</v>
      </c>
      <c r="BJ136" s="12">
        <v>0</v>
      </c>
      <c r="BK136" s="12">
        <v>0</v>
      </c>
      <c r="BL136" s="12">
        <v>0</v>
      </c>
      <c r="BM136" s="12">
        <v>0</v>
      </c>
      <c r="BN136" s="12">
        <v>0</v>
      </c>
      <c r="BO136" s="12">
        <f t="shared" si="6"/>
        <v>0</v>
      </c>
      <c r="BP136" s="12">
        <f t="shared" si="7"/>
        <v>0</v>
      </c>
      <c r="BQ136" s="7"/>
      <c r="BR136" s="7"/>
      <c r="BS136" s="7" t="s">
        <v>95</v>
      </c>
      <c r="BT136" s="7" t="s">
        <v>53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/>
    </row>
    <row r="137" spans="1:78" x14ac:dyDescent="0.35">
      <c r="A137" s="7" t="s">
        <v>42</v>
      </c>
      <c r="B137" s="7"/>
      <c r="C137" s="7" t="s">
        <v>366</v>
      </c>
      <c r="D137" s="7" t="s">
        <v>190</v>
      </c>
      <c r="E137" s="7" t="s">
        <v>367</v>
      </c>
      <c r="F137" s="7" t="s">
        <v>212</v>
      </c>
      <c r="G137" s="7" t="s">
        <v>47</v>
      </c>
      <c r="H137" s="7"/>
      <c r="I137" s="7"/>
      <c r="J137" s="7" t="s">
        <v>48</v>
      </c>
      <c r="K137" s="7" t="s">
        <v>49</v>
      </c>
      <c r="L137" s="7" t="s">
        <v>49</v>
      </c>
      <c r="M137" s="7" t="s">
        <v>49</v>
      </c>
      <c r="N137" s="7" t="s">
        <v>100</v>
      </c>
      <c r="O137" s="7" t="s">
        <v>4</v>
      </c>
      <c r="P137" s="7">
        <v>1600000</v>
      </c>
      <c r="Q137" s="7">
        <v>1600000</v>
      </c>
      <c r="R137" s="7">
        <v>1600000</v>
      </c>
      <c r="S137" s="7">
        <v>1600000</v>
      </c>
      <c r="T137" s="7">
        <v>1600000</v>
      </c>
      <c r="U137" s="7">
        <v>1600000</v>
      </c>
      <c r="V137" s="7">
        <v>1600000</v>
      </c>
      <c r="W137" s="7">
        <v>1600000</v>
      </c>
      <c r="X137" s="7">
        <v>1600000</v>
      </c>
      <c r="Y137" s="7">
        <v>1600000</v>
      </c>
      <c r="Z137" s="7">
        <v>1600000</v>
      </c>
      <c r="AA137" s="7">
        <v>1600000</v>
      </c>
      <c r="AB137" s="9">
        <v>101.27479650095999</v>
      </c>
      <c r="AC137" s="9">
        <v>101.27479650095999</v>
      </c>
      <c r="AD137" s="9">
        <v>101.27479650095999</v>
      </c>
      <c r="AE137" s="9">
        <v>101.27479650095999</v>
      </c>
      <c r="AF137" s="9">
        <v>101.27479650095999</v>
      </c>
      <c r="AG137" s="9">
        <v>101.27479650095999</v>
      </c>
      <c r="AH137" s="9">
        <v>101.27479650095999</v>
      </c>
      <c r="AI137" s="9">
        <v>101.27479650095999</v>
      </c>
      <c r="AJ137" s="9">
        <v>101.27479650095999</v>
      </c>
      <c r="AK137" s="9">
        <v>101.27479650095999</v>
      </c>
      <c r="AL137" s="9">
        <v>101.27479650095999</v>
      </c>
      <c r="AM137" s="9">
        <v>101.27479650095999</v>
      </c>
      <c r="AN137" s="10">
        <v>0</v>
      </c>
      <c r="AO137" s="10">
        <v>0</v>
      </c>
      <c r="AP137" s="10">
        <v>0</v>
      </c>
      <c r="AQ137" s="10">
        <v>0</v>
      </c>
      <c r="AR137" s="10">
        <v>1</v>
      </c>
      <c r="AS137" s="10">
        <v>0</v>
      </c>
      <c r="AT137" s="10">
        <v>0</v>
      </c>
      <c r="AU137" s="10">
        <v>0</v>
      </c>
      <c r="AV137" s="10">
        <v>0</v>
      </c>
      <c r="AW137" s="10">
        <v>0</v>
      </c>
      <c r="AX137" s="10">
        <v>0</v>
      </c>
      <c r="AY137" s="10">
        <v>0</v>
      </c>
      <c r="AZ137" s="7">
        <f t="shared" si="4"/>
        <v>1</v>
      </c>
      <c r="BA137" s="11">
        <f t="shared" si="5"/>
        <v>8.3333333333333329E-2</v>
      </c>
      <c r="BC137" s="12">
        <v>0</v>
      </c>
      <c r="BD137" s="12">
        <v>0</v>
      </c>
      <c r="BE137" s="12">
        <v>0</v>
      </c>
      <c r="BF137" s="12">
        <v>0</v>
      </c>
      <c r="BG137" s="12">
        <v>101.27479650095999</v>
      </c>
      <c r="BH137" s="12">
        <v>0</v>
      </c>
      <c r="BI137" s="12">
        <v>0</v>
      </c>
      <c r="BJ137" s="12">
        <v>0</v>
      </c>
      <c r="BK137" s="12">
        <v>0</v>
      </c>
      <c r="BL137" s="12">
        <v>0</v>
      </c>
      <c r="BM137" s="12">
        <v>0</v>
      </c>
      <c r="BN137" s="12">
        <v>0</v>
      </c>
      <c r="BO137" s="12">
        <f t="shared" si="6"/>
        <v>101.27479650095999</v>
      </c>
      <c r="BP137" s="12">
        <f t="shared" si="7"/>
        <v>8.4395663750800001</v>
      </c>
      <c r="BQ137" s="7"/>
      <c r="BR137" s="7"/>
      <c r="BS137" s="7" t="s">
        <v>95</v>
      </c>
      <c r="BT137" s="7" t="s">
        <v>53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/>
    </row>
    <row r="138" spans="1:78" x14ac:dyDescent="0.35">
      <c r="A138" s="7" t="s">
        <v>42</v>
      </c>
      <c r="B138" s="7"/>
      <c r="C138" s="7" t="s">
        <v>368</v>
      </c>
      <c r="D138" s="7" t="s">
        <v>190</v>
      </c>
      <c r="E138" s="7" t="s">
        <v>369</v>
      </c>
      <c r="F138" s="7" t="s">
        <v>149</v>
      </c>
      <c r="G138" s="7" t="s">
        <v>47</v>
      </c>
      <c r="H138" s="7"/>
      <c r="I138" s="7"/>
      <c r="J138" s="7" t="s">
        <v>48</v>
      </c>
      <c r="K138" s="7" t="s">
        <v>49</v>
      </c>
      <c r="L138" s="7" t="s">
        <v>49</v>
      </c>
      <c r="M138" s="7" t="s">
        <v>49</v>
      </c>
      <c r="N138" s="7" t="s">
        <v>100</v>
      </c>
      <c r="O138" s="7" t="s">
        <v>4</v>
      </c>
      <c r="P138" s="7">
        <v>2500000</v>
      </c>
      <c r="Q138" s="7">
        <v>2500000</v>
      </c>
      <c r="R138" s="7">
        <v>2500000</v>
      </c>
      <c r="S138" s="7">
        <v>2500000</v>
      </c>
      <c r="T138" s="7">
        <v>2500000</v>
      </c>
      <c r="U138" s="7">
        <v>2500000</v>
      </c>
      <c r="V138" s="7">
        <v>2500000</v>
      </c>
      <c r="W138" s="7">
        <v>2500000</v>
      </c>
      <c r="X138" s="7">
        <v>2500000</v>
      </c>
      <c r="Y138" s="7">
        <v>2500000</v>
      </c>
      <c r="Z138" s="7">
        <v>2500000</v>
      </c>
      <c r="AA138" s="7">
        <v>2500000</v>
      </c>
      <c r="AB138" s="9">
        <v>158.24186953274</v>
      </c>
      <c r="AC138" s="9">
        <v>158.24186953274</v>
      </c>
      <c r="AD138" s="9">
        <v>158.24186953274</v>
      </c>
      <c r="AE138" s="9">
        <v>158.24186953274</v>
      </c>
      <c r="AF138" s="9">
        <v>158.24186953274</v>
      </c>
      <c r="AG138" s="9">
        <v>158.24186953274</v>
      </c>
      <c r="AH138" s="9">
        <v>158.24186953274</v>
      </c>
      <c r="AI138" s="9">
        <v>158.24186953274</v>
      </c>
      <c r="AJ138" s="9">
        <v>158.24186953274</v>
      </c>
      <c r="AK138" s="9">
        <v>158.24186953274</v>
      </c>
      <c r="AL138" s="9">
        <v>158.24186953274</v>
      </c>
      <c r="AM138" s="9">
        <v>158.24186953274</v>
      </c>
      <c r="AN138" s="10">
        <v>0</v>
      </c>
      <c r="AO138" s="10">
        <v>0</v>
      </c>
      <c r="AP138" s="10">
        <v>0</v>
      </c>
      <c r="AQ138" s="10">
        <v>0</v>
      </c>
      <c r="AR138" s="10">
        <v>2</v>
      </c>
      <c r="AS138" s="10">
        <v>0</v>
      </c>
      <c r="AT138" s="10">
        <v>0</v>
      </c>
      <c r="AU138" s="10">
        <v>0</v>
      </c>
      <c r="AV138" s="10">
        <v>0</v>
      </c>
      <c r="AW138" s="10">
        <v>0</v>
      </c>
      <c r="AX138" s="10">
        <v>0</v>
      </c>
      <c r="AY138" s="10">
        <v>0</v>
      </c>
      <c r="AZ138" s="7">
        <f t="shared" si="4"/>
        <v>2</v>
      </c>
      <c r="BA138" s="11">
        <f t="shared" si="5"/>
        <v>0.16666666666666666</v>
      </c>
      <c r="BC138" s="12">
        <v>0</v>
      </c>
      <c r="BD138" s="12">
        <v>0</v>
      </c>
      <c r="BE138" s="12">
        <v>0</v>
      </c>
      <c r="BF138" s="12">
        <v>0</v>
      </c>
      <c r="BG138" s="12">
        <v>316.48373906549</v>
      </c>
      <c r="BH138" s="12">
        <v>0</v>
      </c>
      <c r="BI138" s="12">
        <v>0</v>
      </c>
      <c r="BJ138" s="12">
        <v>0</v>
      </c>
      <c r="BK138" s="12">
        <v>0</v>
      </c>
      <c r="BL138" s="12">
        <v>0</v>
      </c>
      <c r="BM138" s="12">
        <v>0</v>
      </c>
      <c r="BN138" s="12">
        <v>0</v>
      </c>
      <c r="BO138" s="12">
        <f t="shared" si="6"/>
        <v>316.48373906549</v>
      </c>
      <c r="BP138" s="12">
        <f t="shared" si="7"/>
        <v>26.373644922124168</v>
      </c>
      <c r="BQ138" s="7"/>
      <c r="BR138" s="7"/>
      <c r="BS138" s="7" t="s">
        <v>95</v>
      </c>
      <c r="BT138" s="7" t="s">
        <v>53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/>
    </row>
    <row r="139" spans="1:78" x14ac:dyDescent="0.35">
      <c r="A139" s="7" t="s">
        <v>42</v>
      </c>
      <c r="B139" s="7"/>
      <c r="C139" s="7" t="s">
        <v>368</v>
      </c>
      <c r="D139" s="7" t="s">
        <v>190</v>
      </c>
      <c r="E139" s="7" t="s">
        <v>369</v>
      </c>
      <c r="F139" s="7" t="s">
        <v>212</v>
      </c>
      <c r="G139" s="7" t="s">
        <v>47</v>
      </c>
      <c r="H139" s="7"/>
      <c r="I139" s="7"/>
      <c r="J139" s="7" t="s">
        <v>48</v>
      </c>
      <c r="K139" s="7" t="s">
        <v>49</v>
      </c>
      <c r="L139" s="7" t="s">
        <v>49</v>
      </c>
      <c r="M139" s="7" t="s">
        <v>49</v>
      </c>
      <c r="N139" s="7" t="s">
        <v>100</v>
      </c>
      <c r="O139" s="7" t="s">
        <v>4</v>
      </c>
      <c r="P139" s="7">
        <v>2500000</v>
      </c>
      <c r="Q139" s="7">
        <v>2500000</v>
      </c>
      <c r="R139" s="7">
        <v>2500000</v>
      </c>
      <c r="S139" s="7">
        <v>2500000</v>
      </c>
      <c r="T139" s="7">
        <v>2500000</v>
      </c>
      <c r="U139" s="7">
        <v>2500000</v>
      </c>
      <c r="V139" s="7">
        <v>2500000</v>
      </c>
      <c r="W139" s="7">
        <v>2500000</v>
      </c>
      <c r="X139" s="7">
        <v>2500000</v>
      </c>
      <c r="Y139" s="7">
        <v>2500000</v>
      </c>
      <c r="Z139" s="7">
        <v>2500000</v>
      </c>
      <c r="AA139" s="7">
        <v>2500000</v>
      </c>
      <c r="AB139" s="9">
        <v>158.24186953274</v>
      </c>
      <c r="AC139" s="9">
        <v>158.24186953274</v>
      </c>
      <c r="AD139" s="9">
        <v>158.24186953274</v>
      </c>
      <c r="AE139" s="9">
        <v>158.24186953274</v>
      </c>
      <c r="AF139" s="9">
        <v>158.24186953274</v>
      </c>
      <c r="AG139" s="9">
        <v>158.24186953274</v>
      </c>
      <c r="AH139" s="9">
        <v>158.24186953274</v>
      </c>
      <c r="AI139" s="9">
        <v>158.24186953274</v>
      </c>
      <c r="AJ139" s="9">
        <v>158.24186953274</v>
      </c>
      <c r="AK139" s="9">
        <v>158.24186953274</v>
      </c>
      <c r="AL139" s="9">
        <v>158.24186953274</v>
      </c>
      <c r="AM139" s="9">
        <v>158.24186953274</v>
      </c>
      <c r="AN139" s="10">
        <v>0</v>
      </c>
      <c r="AO139" s="10">
        <v>0</v>
      </c>
      <c r="AP139" s="10">
        <v>0</v>
      </c>
      <c r="AQ139" s="10">
        <v>0</v>
      </c>
      <c r="AR139" s="10">
        <v>3</v>
      </c>
      <c r="AS139" s="10">
        <v>0</v>
      </c>
      <c r="AT139" s="10">
        <v>0</v>
      </c>
      <c r="AU139" s="10">
        <v>0</v>
      </c>
      <c r="AV139" s="10">
        <v>0</v>
      </c>
      <c r="AW139" s="10">
        <v>0</v>
      </c>
      <c r="AX139" s="10">
        <v>0</v>
      </c>
      <c r="AY139" s="10">
        <v>0</v>
      </c>
      <c r="AZ139" s="7">
        <f t="shared" si="4"/>
        <v>3</v>
      </c>
      <c r="BA139" s="11">
        <f t="shared" si="5"/>
        <v>0.25</v>
      </c>
      <c r="BC139" s="12">
        <v>0</v>
      </c>
      <c r="BD139" s="12">
        <v>0</v>
      </c>
      <c r="BE139" s="12">
        <v>0</v>
      </c>
      <c r="BF139" s="12">
        <v>0</v>
      </c>
      <c r="BG139" s="12">
        <v>474.72560859823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0</v>
      </c>
      <c r="BO139" s="12">
        <f t="shared" si="6"/>
        <v>474.72560859823</v>
      </c>
      <c r="BP139" s="12">
        <f t="shared" si="7"/>
        <v>39.560467383185831</v>
      </c>
      <c r="BQ139" s="7"/>
      <c r="BR139" s="7"/>
      <c r="BS139" s="7" t="s">
        <v>95</v>
      </c>
      <c r="BT139" s="7" t="s">
        <v>53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/>
    </row>
    <row r="140" spans="1:78" x14ac:dyDescent="0.35">
      <c r="A140" s="7" t="s">
        <v>42</v>
      </c>
      <c r="B140" s="7"/>
      <c r="C140" s="7" t="s">
        <v>370</v>
      </c>
      <c r="D140" s="7" t="s">
        <v>371</v>
      </c>
      <c r="E140" s="7" t="s">
        <v>372</v>
      </c>
      <c r="F140" s="7" t="s">
        <v>149</v>
      </c>
      <c r="G140" s="7" t="s">
        <v>47</v>
      </c>
      <c r="H140" s="7"/>
      <c r="I140" s="7"/>
      <c r="J140" s="7" t="s">
        <v>48</v>
      </c>
      <c r="K140" s="7" t="s">
        <v>49</v>
      </c>
      <c r="L140" s="7" t="s">
        <v>49</v>
      </c>
      <c r="M140" s="7" t="s">
        <v>49</v>
      </c>
      <c r="N140" s="7" t="s">
        <v>100</v>
      </c>
      <c r="O140" s="7" t="s">
        <v>4</v>
      </c>
      <c r="P140" s="7">
        <v>300000</v>
      </c>
      <c r="Q140" s="7">
        <v>300000</v>
      </c>
      <c r="R140" s="7">
        <v>300000</v>
      </c>
      <c r="S140" s="7">
        <v>300000</v>
      </c>
      <c r="T140" s="7">
        <v>300000</v>
      </c>
      <c r="U140" s="7">
        <v>300000</v>
      </c>
      <c r="V140" s="7">
        <v>300000</v>
      </c>
      <c r="W140" s="7">
        <v>300000</v>
      </c>
      <c r="X140" s="7">
        <v>300000</v>
      </c>
      <c r="Y140" s="7">
        <v>300000</v>
      </c>
      <c r="Z140" s="7">
        <v>300000</v>
      </c>
      <c r="AA140" s="7">
        <v>300000</v>
      </c>
      <c r="AB140" s="9">
        <v>18.989024343929</v>
      </c>
      <c r="AC140" s="9">
        <v>18.989024343929</v>
      </c>
      <c r="AD140" s="9">
        <v>18.989024343929</v>
      </c>
      <c r="AE140" s="9">
        <v>18.989024343929</v>
      </c>
      <c r="AF140" s="9">
        <v>18.989024343929</v>
      </c>
      <c r="AG140" s="9">
        <v>18.989024343929</v>
      </c>
      <c r="AH140" s="9">
        <v>18.989024343929</v>
      </c>
      <c r="AI140" s="9">
        <v>18.989024343929</v>
      </c>
      <c r="AJ140" s="9">
        <v>18.989024343929</v>
      </c>
      <c r="AK140" s="9">
        <v>18.989024343929</v>
      </c>
      <c r="AL140" s="9">
        <v>18.989024343929</v>
      </c>
      <c r="AM140" s="9">
        <v>18.989024343929</v>
      </c>
      <c r="AN140" s="10">
        <v>0</v>
      </c>
      <c r="AO140" s="10">
        <v>0</v>
      </c>
      <c r="AP140" s="10">
        <v>0</v>
      </c>
      <c r="AQ140" s="10">
        <v>0</v>
      </c>
      <c r="AR140" s="10">
        <v>12</v>
      </c>
      <c r="AS140" s="10">
        <v>0</v>
      </c>
      <c r="AT140" s="10">
        <v>0</v>
      </c>
      <c r="AU140" s="10">
        <v>0</v>
      </c>
      <c r="AV140" s="10">
        <v>0</v>
      </c>
      <c r="AW140" s="10">
        <v>0</v>
      </c>
      <c r="AX140" s="10">
        <v>0</v>
      </c>
      <c r="AY140" s="10">
        <v>0</v>
      </c>
      <c r="AZ140" s="7">
        <f t="shared" ref="AZ140:AZ203" si="8">SUM(AN140:AY140)</f>
        <v>12</v>
      </c>
      <c r="BA140" s="11">
        <f t="shared" ref="BA140:BA203" si="9">AZ140/12</f>
        <v>1</v>
      </c>
      <c r="BC140" s="12">
        <v>0</v>
      </c>
      <c r="BD140" s="12">
        <v>0</v>
      </c>
      <c r="BE140" s="12">
        <v>0</v>
      </c>
      <c r="BF140" s="12">
        <v>0</v>
      </c>
      <c r="BG140" s="12">
        <v>227.86829212715</v>
      </c>
      <c r="BH140" s="12">
        <v>0</v>
      </c>
      <c r="BI140" s="12">
        <v>0</v>
      </c>
      <c r="BJ140" s="12">
        <v>0</v>
      </c>
      <c r="BK140" s="12">
        <v>0</v>
      </c>
      <c r="BL140" s="12">
        <v>0</v>
      </c>
      <c r="BM140" s="12">
        <v>0</v>
      </c>
      <c r="BN140" s="12">
        <v>0</v>
      </c>
      <c r="BO140" s="12">
        <f t="shared" ref="BO140:BO203" si="10">SUM(BC140:BN140)</f>
        <v>227.86829212715</v>
      </c>
      <c r="BP140" s="12">
        <f t="shared" ref="BP140:BP203" si="11">BO140/12</f>
        <v>18.989024343929167</v>
      </c>
      <c r="BQ140" s="7"/>
      <c r="BR140" s="7"/>
      <c r="BS140" s="7" t="s">
        <v>95</v>
      </c>
      <c r="BT140" s="7" t="s">
        <v>53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BZ140" s="7"/>
    </row>
    <row r="141" spans="1:78" x14ac:dyDescent="0.35">
      <c r="A141" s="7" t="s">
        <v>42</v>
      </c>
      <c r="B141" s="7"/>
      <c r="C141" s="7" t="s">
        <v>373</v>
      </c>
      <c r="D141" s="7" t="s">
        <v>121</v>
      </c>
      <c r="E141" s="7" t="s">
        <v>374</v>
      </c>
      <c r="F141" s="7" t="s">
        <v>275</v>
      </c>
      <c r="G141" s="7" t="s">
        <v>47</v>
      </c>
      <c r="H141" s="7"/>
      <c r="I141" s="7"/>
      <c r="J141" s="7" t="s">
        <v>48</v>
      </c>
      <c r="K141" s="7" t="s">
        <v>49</v>
      </c>
      <c r="L141" s="7" t="s">
        <v>49</v>
      </c>
      <c r="M141" s="7" t="s">
        <v>49</v>
      </c>
      <c r="N141" s="7" t="s">
        <v>124</v>
      </c>
      <c r="O141" s="7" t="s">
        <v>4</v>
      </c>
      <c r="P141" s="7">
        <v>307500</v>
      </c>
      <c r="Q141" s="7">
        <v>307500</v>
      </c>
      <c r="R141" s="7">
        <v>307500</v>
      </c>
      <c r="S141" s="7">
        <v>307500</v>
      </c>
      <c r="T141" s="7">
        <v>307500</v>
      </c>
      <c r="U141" s="7">
        <v>307500</v>
      </c>
      <c r="V141" s="7">
        <v>307500</v>
      </c>
      <c r="W141" s="7">
        <v>307500</v>
      </c>
      <c r="X141" s="7">
        <v>307500</v>
      </c>
      <c r="Y141" s="7">
        <v>307500</v>
      </c>
      <c r="Z141" s="7">
        <v>307500</v>
      </c>
      <c r="AA141" s="7">
        <v>307500</v>
      </c>
      <c r="AB141" s="9">
        <v>19.463749952526999</v>
      </c>
      <c r="AC141" s="9">
        <v>19.463749952526999</v>
      </c>
      <c r="AD141" s="9">
        <v>19.463749952526999</v>
      </c>
      <c r="AE141" s="9">
        <v>19.463749952526999</v>
      </c>
      <c r="AF141" s="9">
        <v>19.463749952526999</v>
      </c>
      <c r="AG141" s="9">
        <v>19.463749952526999</v>
      </c>
      <c r="AH141" s="9">
        <v>19.463749952526999</v>
      </c>
      <c r="AI141" s="9">
        <v>19.463749952526999</v>
      </c>
      <c r="AJ141" s="9">
        <v>19.463749952526999</v>
      </c>
      <c r="AK141" s="9">
        <v>19.463749952526999</v>
      </c>
      <c r="AL141" s="9">
        <v>19.463749952526999</v>
      </c>
      <c r="AM141" s="9">
        <v>19.463749952526999</v>
      </c>
      <c r="AN141" s="10">
        <v>2</v>
      </c>
      <c r="AO141" s="10">
        <v>0</v>
      </c>
      <c r="AP141" s="10">
        <v>0</v>
      </c>
      <c r="AQ141" s="10">
        <v>2</v>
      </c>
      <c r="AR141" s="10">
        <v>0</v>
      </c>
      <c r="AS141" s="10">
        <v>0</v>
      </c>
      <c r="AT141" s="10">
        <v>2</v>
      </c>
      <c r="AU141" s="10">
        <v>0</v>
      </c>
      <c r="AV141" s="10">
        <v>0</v>
      </c>
      <c r="AW141" s="10">
        <v>2</v>
      </c>
      <c r="AX141" s="10">
        <v>0</v>
      </c>
      <c r="AY141" s="10">
        <v>0</v>
      </c>
      <c r="AZ141" s="7">
        <f t="shared" si="8"/>
        <v>8</v>
      </c>
      <c r="BA141" s="11">
        <f t="shared" si="9"/>
        <v>0.66666666666666663</v>
      </c>
      <c r="BC141" s="12">
        <v>38.927499905055001</v>
      </c>
      <c r="BD141" s="12">
        <v>0</v>
      </c>
      <c r="BE141" s="12">
        <v>0</v>
      </c>
      <c r="BF141" s="12">
        <v>38.927499905055001</v>
      </c>
      <c r="BG141" s="12">
        <v>0</v>
      </c>
      <c r="BH141" s="12">
        <v>0</v>
      </c>
      <c r="BI141" s="12">
        <v>38.927499905055001</v>
      </c>
      <c r="BJ141" s="12">
        <v>0</v>
      </c>
      <c r="BK141" s="12">
        <v>0</v>
      </c>
      <c r="BL141" s="12">
        <v>38.927499905055001</v>
      </c>
      <c r="BM141" s="12">
        <v>0</v>
      </c>
      <c r="BN141" s="12">
        <v>0</v>
      </c>
      <c r="BO141" s="12">
        <f t="shared" si="10"/>
        <v>155.70999962022</v>
      </c>
      <c r="BP141" s="12">
        <f t="shared" si="11"/>
        <v>12.975833301685</v>
      </c>
      <c r="BQ141" s="7"/>
      <c r="BR141" s="7"/>
      <c r="BS141" s="7" t="s">
        <v>95</v>
      </c>
      <c r="BT141" s="7" t="s">
        <v>53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/>
    </row>
    <row r="142" spans="1:78" x14ac:dyDescent="0.35">
      <c r="A142" s="7" t="s">
        <v>42</v>
      </c>
      <c r="B142" s="7"/>
      <c r="C142" s="7" t="s">
        <v>375</v>
      </c>
      <c r="D142" s="7" t="s">
        <v>141</v>
      </c>
      <c r="E142" s="7" t="s">
        <v>376</v>
      </c>
      <c r="F142" s="7" t="s">
        <v>143</v>
      </c>
      <c r="G142" s="7" t="s">
        <v>47</v>
      </c>
      <c r="H142" s="7"/>
      <c r="I142" s="7"/>
      <c r="J142" s="7" t="s">
        <v>48</v>
      </c>
      <c r="K142" s="7" t="s">
        <v>49</v>
      </c>
      <c r="L142" s="7" t="s">
        <v>49</v>
      </c>
      <c r="M142" s="7" t="s">
        <v>49</v>
      </c>
      <c r="N142" s="7" t="s">
        <v>144</v>
      </c>
      <c r="O142" s="7" t="s">
        <v>4</v>
      </c>
      <c r="P142" s="7">
        <v>19374600</v>
      </c>
      <c r="Q142" s="7">
        <v>19374600</v>
      </c>
      <c r="R142" s="7">
        <v>19374600</v>
      </c>
      <c r="S142" s="7">
        <v>19374600</v>
      </c>
      <c r="T142" s="7">
        <v>19374600</v>
      </c>
      <c r="U142" s="7">
        <v>19374600</v>
      </c>
      <c r="V142" s="7">
        <v>19374600</v>
      </c>
      <c r="W142" s="7">
        <v>19374600</v>
      </c>
      <c r="X142" s="7">
        <v>19374600</v>
      </c>
      <c r="Y142" s="7">
        <v>19374600</v>
      </c>
      <c r="Z142" s="7">
        <v>19374600</v>
      </c>
      <c r="AA142" s="7">
        <v>19374600</v>
      </c>
      <c r="AB142" s="9">
        <v>1226.3491701795999</v>
      </c>
      <c r="AC142" s="9">
        <v>1226.3491701795999</v>
      </c>
      <c r="AD142" s="9">
        <v>1226.3491701795999</v>
      </c>
      <c r="AE142" s="9">
        <v>1226.3491701795999</v>
      </c>
      <c r="AF142" s="9">
        <v>1226.3491701795999</v>
      </c>
      <c r="AG142" s="9">
        <v>1226.3491701795999</v>
      </c>
      <c r="AH142" s="9">
        <v>1226.3491701795999</v>
      </c>
      <c r="AI142" s="9">
        <v>1226.3491701795999</v>
      </c>
      <c r="AJ142" s="9">
        <v>1226.3491701795999</v>
      </c>
      <c r="AK142" s="9">
        <v>1226.3491701795999</v>
      </c>
      <c r="AL142" s="9">
        <v>1226.3491701795999</v>
      </c>
      <c r="AM142" s="9">
        <v>1226.3491701795999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0">
        <v>1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7">
        <f t="shared" si="8"/>
        <v>1</v>
      </c>
      <c r="BA142" s="11">
        <f t="shared" si="9"/>
        <v>8.3333333333333329E-2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1226.3491701795999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0</v>
      </c>
      <c r="BO142" s="12">
        <f t="shared" si="10"/>
        <v>1226.3491701795999</v>
      </c>
      <c r="BP142" s="12">
        <f t="shared" si="11"/>
        <v>102.19576418163332</v>
      </c>
      <c r="BQ142" s="7"/>
      <c r="BR142" s="7"/>
      <c r="BS142" s="7" t="s">
        <v>145</v>
      </c>
      <c r="BT142" s="7" t="s">
        <v>53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BZ142" s="7"/>
    </row>
    <row r="143" spans="1:78" x14ac:dyDescent="0.35">
      <c r="A143" s="7" t="s">
        <v>42</v>
      </c>
      <c r="B143" s="7"/>
      <c r="C143" s="7" t="s">
        <v>377</v>
      </c>
      <c r="D143" s="7" t="s">
        <v>214</v>
      </c>
      <c r="E143" s="7" t="s">
        <v>378</v>
      </c>
      <c r="F143" s="7" t="s">
        <v>57</v>
      </c>
      <c r="G143" s="7" t="s">
        <v>47</v>
      </c>
      <c r="H143" s="7"/>
      <c r="I143" s="7"/>
      <c r="J143" s="7" t="s">
        <v>48</v>
      </c>
      <c r="K143" s="7" t="s">
        <v>49</v>
      </c>
      <c r="L143" s="7" t="s">
        <v>49</v>
      </c>
      <c r="M143" s="7" t="s">
        <v>49</v>
      </c>
      <c r="N143" s="7" t="s">
        <v>115</v>
      </c>
      <c r="O143" s="7" t="s">
        <v>4</v>
      </c>
      <c r="P143" s="7">
        <v>63063</v>
      </c>
      <c r="Q143" s="7">
        <v>63063</v>
      </c>
      <c r="R143" s="7">
        <v>63063</v>
      </c>
      <c r="S143" s="7">
        <v>63063</v>
      </c>
      <c r="T143" s="7">
        <v>63063</v>
      </c>
      <c r="U143" s="7">
        <v>63063</v>
      </c>
      <c r="V143" s="7">
        <v>63063</v>
      </c>
      <c r="W143" s="7">
        <v>63063</v>
      </c>
      <c r="X143" s="7">
        <v>63063</v>
      </c>
      <c r="Y143" s="7">
        <v>63063</v>
      </c>
      <c r="Z143" s="7">
        <v>63063</v>
      </c>
      <c r="AA143" s="7">
        <v>63063</v>
      </c>
      <c r="AB143" s="9">
        <v>3.9916828073374</v>
      </c>
      <c r="AC143" s="9">
        <v>3.9916828073374</v>
      </c>
      <c r="AD143" s="9">
        <v>3.9916828073374</v>
      </c>
      <c r="AE143" s="9">
        <v>3.9916828073374</v>
      </c>
      <c r="AF143" s="9">
        <v>3.9916828073374</v>
      </c>
      <c r="AG143" s="9">
        <v>3.9916828073374</v>
      </c>
      <c r="AH143" s="9">
        <v>3.9916828073374</v>
      </c>
      <c r="AI143" s="9">
        <v>3.9916828073374</v>
      </c>
      <c r="AJ143" s="9">
        <v>3.9916828073374</v>
      </c>
      <c r="AK143" s="9">
        <v>3.9916828073374</v>
      </c>
      <c r="AL143" s="9">
        <v>3.9916828073374</v>
      </c>
      <c r="AM143" s="9">
        <v>3.9916828073374</v>
      </c>
      <c r="AN143" s="10">
        <v>1</v>
      </c>
      <c r="AO143" s="10">
        <v>0</v>
      </c>
      <c r="AP143" s="10">
        <v>1</v>
      </c>
      <c r="AQ143" s="10">
        <v>0</v>
      </c>
      <c r="AR143" s="10">
        <v>1</v>
      </c>
      <c r="AS143" s="10">
        <v>0</v>
      </c>
      <c r="AT143" s="10">
        <v>1</v>
      </c>
      <c r="AU143" s="10">
        <v>0</v>
      </c>
      <c r="AV143" s="10">
        <v>1</v>
      </c>
      <c r="AW143" s="10">
        <v>0</v>
      </c>
      <c r="AX143" s="10">
        <v>1</v>
      </c>
      <c r="AY143" s="10">
        <v>0</v>
      </c>
      <c r="AZ143" s="7">
        <f t="shared" si="8"/>
        <v>6</v>
      </c>
      <c r="BA143" s="11">
        <f t="shared" si="9"/>
        <v>0.5</v>
      </c>
      <c r="BC143" s="12">
        <v>3.9916828073374</v>
      </c>
      <c r="BD143" s="12">
        <v>0</v>
      </c>
      <c r="BE143" s="12">
        <v>3.9916828073374</v>
      </c>
      <c r="BF143" s="12">
        <v>0</v>
      </c>
      <c r="BG143" s="12">
        <v>3.9916828073374</v>
      </c>
      <c r="BH143" s="12">
        <v>0</v>
      </c>
      <c r="BI143" s="12">
        <v>3.9916828073374</v>
      </c>
      <c r="BJ143" s="12">
        <v>0</v>
      </c>
      <c r="BK143" s="12">
        <v>3.9916828073374</v>
      </c>
      <c r="BL143" s="12">
        <v>0</v>
      </c>
      <c r="BM143" s="12">
        <v>3.9916828073374</v>
      </c>
      <c r="BN143" s="12">
        <v>0</v>
      </c>
      <c r="BO143" s="12">
        <f t="shared" si="10"/>
        <v>23.950096844024401</v>
      </c>
      <c r="BP143" s="12">
        <f t="shared" si="11"/>
        <v>1.9958414036687</v>
      </c>
      <c r="BQ143" s="7"/>
      <c r="BR143" s="7"/>
      <c r="BS143" s="7" t="s">
        <v>52</v>
      </c>
      <c r="BT143" s="7" t="s">
        <v>53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/>
    </row>
    <row r="144" spans="1:78" x14ac:dyDescent="0.35">
      <c r="A144" s="7" t="s">
        <v>42</v>
      </c>
      <c r="B144" s="7"/>
      <c r="C144" s="7" t="s">
        <v>379</v>
      </c>
      <c r="D144" s="7" t="s">
        <v>380</v>
      </c>
      <c r="E144" s="7" t="s">
        <v>381</v>
      </c>
      <c r="F144" s="7" t="s">
        <v>382</v>
      </c>
      <c r="G144" s="7" t="s">
        <v>47</v>
      </c>
      <c r="H144" s="7"/>
      <c r="I144" s="7"/>
      <c r="J144" s="7" t="s">
        <v>48</v>
      </c>
      <c r="K144" s="7" t="s">
        <v>49</v>
      </c>
      <c r="L144" s="7" t="s">
        <v>49</v>
      </c>
      <c r="M144" s="7" t="s">
        <v>49</v>
      </c>
      <c r="N144" s="7" t="s">
        <v>50</v>
      </c>
      <c r="O144" s="7" t="s">
        <v>4</v>
      </c>
      <c r="P144" s="7">
        <v>5945</v>
      </c>
      <c r="Q144" s="7">
        <v>5945</v>
      </c>
      <c r="R144" s="7">
        <v>5945</v>
      </c>
      <c r="S144" s="7">
        <v>5945</v>
      </c>
      <c r="T144" s="7">
        <v>5945</v>
      </c>
      <c r="U144" s="7">
        <v>5945</v>
      </c>
      <c r="V144" s="7">
        <v>5945</v>
      </c>
      <c r="W144" s="7">
        <v>5945</v>
      </c>
      <c r="X144" s="7">
        <v>5945</v>
      </c>
      <c r="Y144" s="7">
        <v>5945</v>
      </c>
      <c r="Z144" s="7">
        <v>5945</v>
      </c>
      <c r="AA144" s="7">
        <v>5945</v>
      </c>
      <c r="AB144" s="9">
        <v>0.37629916574886002</v>
      </c>
      <c r="AC144" s="9">
        <v>0.37629916574886002</v>
      </c>
      <c r="AD144" s="9">
        <v>0.37629916574886002</v>
      </c>
      <c r="AE144" s="9">
        <v>0.37629916574886002</v>
      </c>
      <c r="AF144" s="9">
        <v>0.37629916574886002</v>
      </c>
      <c r="AG144" s="9">
        <v>0.37629916574886002</v>
      </c>
      <c r="AH144" s="9">
        <v>0.37629916574886002</v>
      </c>
      <c r="AI144" s="9">
        <v>0.37629916574886002</v>
      </c>
      <c r="AJ144" s="9">
        <v>0.37629916574886002</v>
      </c>
      <c r="AK144" s="9">
        <v>0.37629916574886002</v>
      </c>
      <c r="AL144" s="9">
        <v>0.37629916574886002</v>
      </c>
      <c r="AM144" s="9">
        <v>0.37629916574886002</v>
      </c>
      <c r="AN144" s="10">
        <v>8</v>
      </c>
      <c r="AO144" s="10">
        <v>0</v>
      </c>
      <c r="AP144" s="10">
        <v>0</v>
      </c>
      <c r="AQ144" s="10">
        <v>0</v>
      </c>
      <c r="AR144" s="10">
        <v>8</v>
      </c>
      <c r="AS144" s="10">
        <v>0</v>
      </c>
      <c r="AT144" s="10">
        <v>0</v>
      </c>
      <c r="AU144" s="10">
        <v>0</v>
      </c>
      <c r="AV144" s="10">
        <v>8</v>
      </c>
      <c r="AW144" s="10">
        <v>0</v>
      </c>
      <c r="AX144" s="10">
        <v>0</v>
      </c>
      <c r="AY144" s="10">
        <v>0</v>
      </c>
      <c r="AZ144" s="7">
        <f t="shared" si="8"/>
        <v>24</v>
      </c>
      <c r="BA144" s="11">
        <f t="shared" si="9"/>
        <v>2</v>
      </c>
      <c r="BC144" s="12">
        <v>3.0103933259909001</v>
      </c>
      <c r="BD144" s="12">
        <v>0</v>
      </c>
      <c r="BE144" s="12">
        <v>0</v>
      </c>
      <c r="BF144" s="12">
        <v>0</v>
      </c>
      <c r="BG144" s="12">
        <v>3.0103933259909001</v>
      </c>
      <c r="BH144" s="12">
        <v>0</v>
      </c>
      <c r="BI144" s="12">
        <v>0</v>
      </c>
      <c r="BJ144" s="12">
        <v>0</v>
      </c>
      <c r="BK144" s="12">
        <v>3.0103933259909001</v>
      </c>
      <c r="BL144" s="12">
        <v>0</v>
      </c>
      <c r="BM144" s="12">
        <v>0</v>
      </c>
      <c r="BN144" s="12">
        <v>0</v>
      </c>
      <c r="BO144" s="12">
        <f t="shared" si="10"/>
        <v>9.0311799779727</v>
      </c>
      <c r="BP144" s="12">
        <f t="shared" si="11"/>
        <v>0.75259833149772504</v>
      </c>
      <c r="BQ144" s="7"/>
      <c r="BR144" s="7"/>
      <c r="BS144" s="7" t="s">
        <v>52</v>
      </c>
      <c r="BT144" s="7" t="s">
        <v>53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/>
    </row>
    <row r="145" spans="1:78" x14ac:dyDescent="0.35">
      <c r="A145" s="7" t="s">
        <v>42</v>
      </c>
      <c r="B145" s="7"/>
      <c r="C145" s="7" t="s">
        <v>383</v>
      </c>
      <c r="D145" s="7" t="s">
        <v>234</v>
      </c>
      <c r="E145" s="7" t="s">
        <v>384</v>
      </c>
      <c r="F145" s="7" t="s">
        <v>385</v>
      </c>
      <c r="G145" s="7" t="s">
        <v>47</v>
      </c>
      <c r="H145" s="7"/>
      <c r="I145" s="7"/>
      <c r="J145" s="7" t="s">
        <v>48</v>
      </c>
      <c r="K145" s="7" t="s">
        <v>49</v>
      </c>
      <c r="L145" s="7" t="s">
        <v>49</v>
      </c>
      <c r="M145" s="7" t="s">
        <v>49</v>
      </c>
      <c r="N145" s="7" t="s">
        <v>50</v>
      </c>
      <c r="O145" s="7" t="s">
        <v>4</v>
      </c>
      <c r="P145" s="7">
        <v>9720.0750000000007</v>
      </c>
      <c r="Q145" s="7">
        <v>9720.0750000000007</v>
      </c>
      <c r="R145" s="7">
        <v>9720.0750000000007</v>
      </c>
      <c r="S145" s="7">
        <v>9720.0750000000007</v>
      </c>
      <c r="T145" s="7">
        <v>9720.0750000000007</v>
      </c>
      <c r="U145" s="7">
        <v>9720.0750000000007</v>
      </c>
      <c r="V145" s="7">
        <v>9720.0750000000007</v>
      </c>
      <c r="W145" s="7">
        <v>9720.0750000000007</v>
      </c>
      <c r="X145" s="7">
        <v>9720.0750000000007</v>
      </c>
      <c r="Y145" s="7">
        <v>9720.0750000000007</v>
      </c>
      <c r="Z145" s="7">
        <v>9720.0750000000007</v>
      </c>
      <c r="AA145" s="7">
        <v>9720.0750000000007</v>
      </c>
      <c r="AB145" s="9">
        <v>0.61524913599939002</v>
      </c>
      <c r="AC145" s="9">
        <v>0.61524913599939002</v>
      </c>
      <c r="AD145" s="9">
        <v>0.61524913599939002</v>
      </c>
      <c r="AE145" s="9">
        <v>0.61524913599939002</v>
      </c>
      <c r="AF145" s="9">
        <v>0.61524913599939002</v>
      </c>
      <c r="AG145" s="9">
        <v>0.61524913599939002</v>
      </c>
      <c r="AH145" s="9">
        <v>0.61524913599939002</v>
      </c>
      <c r="AI145" s="9">
        <v>0.61524913599939002</v>
      </c>
      <c r="AJ145" s="9">
        <v>0.61524913599939002</v>
      </c>
      <c r="AK145" s="9">
        <v>0.61524913599939002</v>
      </c>
      <c r="AL145" s="9">
        <v>0.61524913599939002</v>
      </c>
      <c r="AM145" s="9">
        <v>0.61524913599939002</v>
      </c>
      <c r="AN145" s="10">
        <v>0</v>
      </c>
      <c r="AO145" s="10">
        <v>0</v>
      </c>
      <c r="AP145" s="10">
        <v>0</v>
      </c>
      <c r="AQ145" s="10">
        <v>1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</v>
      </c>
      <c r="AY145" s="10">
        <v>1</v>
      </c>
      <c r="AZ145" s="7">
        <f t="shared" si="8"/>
        <v>2</v>
      </c>
      <c r="BA145" s="11">
        <f t="shared" si="9"/>
        <v>0.16666666666666666</v>
      </c>
      <c r="BC145" s="12">
        <v>0</v>
      </c>
      <c r="BD145" s="12">
        <v>0</v>
      </c>
      <c r="BE145" s="12">
        <v>0</v>
      </c>
      <c r="BF145" s="12">
        <v>0.61524913599939002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  <c r="BL145" s="12">
        <v>0</v>
      </c>
      <c r="BM145" s="12">
        <v>0</v>
      </c>
      <c r="BN145" s="12">
        <v>0.61524913599939002</v>
      </c>
      <c r="BO145" s="12">
        <f t="shared" si="10"/>
        <v>1.23049827199878</v>
      </c>
      <c r="BP145" s="12">
        <f t="shared" si="11"/>
        <v>0.10254152266656501</v>
      </c>
      <c r="BQ145" s="7"/>
      <c r="BR145" s="7"/>
      <c r="BS145" s="7" t="s">
        <v>52</v>
      </c>
      <c r="BT145" s="7" t="s">
        <v>53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/>
    </row>
    <row r="146" spans="1:78" x14ac:dyDescent="0.35">
      <c r="A146" s="7" t="s">
        <v>42</v>
      </c>
      <c r="B146" s="7"/>
      <c r="C146" s="7" t="s">
        <v>386</v>
      </c>
      <c r="D146" s="7" t="s">
        <v>387</v>
      </c>
      <c r="E146" s="7" t="s">
        <v>388</v>
      </c>
      <c r="F146" s="7" t="s">
        <v>143</v>
      </c>
      <c r="G146" s="7" t="s">
        <v>47</v>
      </c>
      <c r="H146" s="7"/>
      <c r="I146" s="7"/>
      <c r="J146" s="7" t="s">
        <v>48</v>
      </c>
      <c r="K146" s="7" t="s">
        <v>49</v>
      </c>
      <c r="L146" s="7" t="s">
        <v>49</v>
      </c>
      <c r="M146" s="7" t="s">
        <v>49</v>
      </c>
      <c r="N146" s="7" t="s">
        <v>100</v>
      </c>
      <c r="O146" s="7" t="s">
        <v>4</v>
      </c>
      <c r="P146" s="7">
        <v>153750</v>
      </c>
      <c r="Q146" s="7">
        <v>153750</v>
      </c>
      <c r="R146" s="7">
        <v>153750</v>
      </c>
      <c r="S146" s="7">
        <v>153750</v>
      </c>
      <c r="T146" s="7">
        <v>153750</v>
      </c>
      <c r="U146" s="7">
        <v>153750</v>
      </c>
      <c r="V146" s="7">
        <v>153750</v>
      </c>
      <c r="W146" s="7">
        <v>153750</v>
      </c>
      <c r="X146" s="7">
        <v>153750</v>
      </c>
      <c r="Y146" s="7">
        <v>153750</v>
      </c>
      <c r="Z146" s="7">
        <v>153750</v>
      </c>
      <c r="AA146" s="7">
        <v>153750</v>
      </c>
      <c r="AB146" s="9">
        <v>9.7318749762637005</v>
      </c>
      <c r="AC146" s="9">
        <v>9.7318749762637005</v>
      </c>
      <c r="AD146" s="9">
        <v>9.7318749762637005</v>
      </c>
      <c r="AE146" s="9">
        <v>9.7318749762637005</v>
      </c>
      <c r="AF146" s="9">
        <v>9.7318749762637005</v>
      </c>
      <c r="AG146" s="9">
        <v>9.7318749762637005</v>
      </c>
      <c r="AH146" s="9">
        <v>9.7318749762637005</v>
      </c>
      <c r="AI146" s="9">
        <v>9.7318749762637005</v>
      </c>
      <c r="AJ146" s="9">
        <v>9.7318749762637005</v>
      </c>
      <c r="AK146" s="9">
        <v>9.7318749762637005</v>
      </c>
      <c r="AL146" s="9">
        <v>9.7318749762637005</v>
      </c>
      <c r="AM146" s="9">
        <v>9.7318749762637005</v>
      </c>
      <c r="AN146" s="10">
        <v>0</v>
      </c>
      <c r="AO146" s="10">
        <v>0</v>
      </c>
      <c r="AP146" s="10">
        <v>0</v>
      </c>
      <c r="AQ146" s="10">
        <v>0</v>
      </c>
      <c r="AR146" s="10">
        <v>0</v>
      </c>
      <c r="AS146" s="10">
        <v>0</v>
      </c>
      <c r="AT146" s="10">
        <v>0</v>
      </c>
      <c r="AU146" s="10">
        <v>0</v>
      </c>
      <c r="AV146" s="10">
        <v>10</v>
      </c>
      <c r="AW146" s="10">
        <v>0</v>
      </c>
      <c r="AX146" s="10">
        <v>0</v>
      </c>
      <c r="AY146" s="10">
        <v>0</v>
      </c>
      <c r="AZ146" s="7">
        <f t="shared" si="8"/>
        <v>10</v>
      </c>
      <c r="BA146" s="11">
        <f t="shared" si="9"/>
        <v>0.83333333333333337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97.318749762636998</v>
      </c>
      <c r="BL146" s="12">
        <v>0</v>
      </c>
      <c r="BM146" s="12">
        <v>0</v>
      </c>
      <c r="BN146" s="12">
        <v>0</v>
      </c>
      <c r="BO146" s="12">
        <f t="shared" si="10"/>
        <v>97.318749762636998</v>
      </c>
      <c r="BP146" s="12">
        <f t="shared" si="11"/>
        <v>8.1098958135530825</v>
      </c>
      <c r="BQ146" s="7"/>
      <c r="BR146" s="7"/>
      <c r="BS146" s="7" t="s">
        <v>95</v>
      </c>
      <c r="BT146" s="7" t="s">
        <v>53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BZ146" s="7"/>
    </row>
    <row r="147" spans="1:78" x14ac:dyDescent="0.35">
      <c r="A147" s="7" t="s">
        <v>42</v>
      </c>
      <c r="B147" s="7"/>
      <c r="C147" s="7" t="s">
        <v>389</v>
      </c>
      <c r="D147" s="7" t="s">
        <v>169</v>
      </c>
      <c r="E147" s="7" t="s">
        <v>390</v>
      </c>
      <c r="F147" s="7" t="s">
        <v>171</v>
      </c>
      <c r="G147" s="7" t="s">
        <v>47</v>
      </c>
      <c r="H147" s="7"/>
      <c r="I147" s="7"/>
      <c r="J147" s="7" t="s">
        <v>48</v>
      </c>
      <c r="K147" s="7" t="s">
        <v>49</v>
      </c>
      <c r="L147" s="7" t="s">
        <v>49</v>
      </c>
      <c r="M147" s="7" t="s">
        <v>49</v>
      </c>
      <c r="N147" s="7" t="s">
        <v>50</v>
      </c>
      <c r="O147" s="7" t="s">
        <v>4</v>
      </c>
      <c r="P147" s="7">
        <v>2365</v>
      </c>
      <c r="Q147" s="7">
        <v>2365</v>
      </c>
      <c r="R147" s="7">
        <v>2365</v>
      </c>
      <c r="S147" s="7">
        <v>2365</v>
      </c>
      <c r="T147" s="7">
        <v>2365</v>
      </c>
      <c r="U147" s="7">
        <v>2365</v>
      </c>
      <c r="V147" s="7">
        <v>2365</v>
      </c>
      <c r="W147" s="7">
        <v>2365</v>
      </c>
      <c r="X147" s="7">
        <v>2365</v>
      </c>
      <c r="Y147" s="7">
        <v>2365</v>
      </c>
      <c r="Z147" s="7">
        <v>2365</v>
      </c>
      <c r="AA147" s="7">
        <v>2365</v>
      </c>
      <c r="AB147" s="9">
        <v>0.14969680857798001</v>
      </c>
      <c r="AC147" s="9">
        <v>0.14969680857798001</v>
      </c>
      <c r="AD147" s="9">
        <v>0.14969680857798001</v>
      </c>
      <c r="AE147" s="9">
        <v>0.14969680857798001</v>
      </c>
      <c r="AF147" s="9">
        <v>0.14969680857798001</v>
      </c>
      <c r="AG147" s="9">
        <v>0.14969680857798001</v>
      </c>
      <c r="AH147" s="9">
        <v>0.14969680857798001</v>
      </c>
      <c r="AI147" s="9">
        <v>0.14969680857798001</v>
      </c>
      <c r="AJ147" s="9">
        <v>0.14969680857798001</v>
      </c>
      <c r="AK147" s="9">
        <v>0.14969680857798001</v>
      </c>
      <c r="AL147" s="9">
        <v>0.14969680857798001</v>
      </c>
      <c r="AM147" s="9">
        <v>0.14969680857798001</v>
      </c>
      <c r="AN147" s="10">
        <v>50</v>
      </c>
      <c r="AO147" s="10">
        <v>0</v>
      </c>
      <c r="AP147" s="10">
        <v>0</v>
      </c>
      <c r="AQ147" s="10">
        <v>0</v>
      </c>
      <c r="AR147" s="10">
        <v>50</v>
      </c>
      <c r="AS147" s="10">
        <v>0</v>
      </c>
      <c r="AT147" s="10">
        <v>0</v>
      </c>
      <c r="AU147" s="10">
        <v>0</v>
      </c>
      <c r="AV147" s="10">
        <v>50</v>
      </c>
      <c r="AW147" s="10">
        <v>0</v>
      </c>
      <c r="AX147" s="10">
        <v>0</v>
      </c>
      <c r="AY147" s="10">
        <v>0</v>
      </c>
      <c r="AZ147" s="7">
        <f t="shared" si="8"/>
        <v>150</v>
      </c>
      <c r="BA147" s="11">
        <f t="shared" si="9"/>
        <v>12.5</v>
      </c>
      <c r="BC147" s="12">
        <v>7.4848404288988002</v>
      </c>
      <c r="BD147" s="12">
        <v>0</v>
      </c>
      <c r="BE147" s="12">
        <v>0</v>
      </c>
      <c r="BF147" s="12">
        <v>0</v>
      </c>
      <c r="BG147" s="12">
        <v>7.4848404288988002</v>
      </c>
      <c r="BH147" s="12">
        <v>0</v>
      </c>
      <c r="BI147" s="12">
        <v>0</v>
      </c>
      <c r="BJ147" s="12">
        <v>0</v>
      </c>
      <c r="BK147" s="12">
        <v>7.4848404288988002</v>
      </c>
      <c r="BL147" s="12">
        <v>0</v>
      </c>
      <c r="BM147" s="12">
        <v>0</v>
      </c>
      <c r="BN147" s="12">
        <v>0</v>
      </c>
      <c r="BO147" s="12">
        <f t="shared" si="10"/>
        <v>22.454521286696401</v>
      </c>
      <c r="BP147" s="12">
        <f t="shared" si="11"/>
        <v>1.8712101072247</v>
      </c>
      <c r="BQ147" s="7"/>
      <c r="BR147" s="7"/>
      <c r="BS147" s="7" t="s">
        <v>52</v>
      </c>
      <c r="BT147" s="7" t="s">
        <v>53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/>
    </row>
    <row r="148" spans="1:78" x14ac:dyDescent="0.35">
      <c r="A148" s="7" t="s">
        <v>42</v>
      </c>
      <c r="B148" s="7"/>
      <c r="C148" s="7" t="s">
        <v>391</v>
      </c>
      <c r="D148" s="7" t="s">
        <v>117</v>
      </c>
      <c r="E148" s="7" t="s">
        <v>392</v>
      </c>
      <c r="F148" s="7" t="s">
        <v>393</v>
      </c>
      <c r="G148" s="7" t="s">
        <v>47</v>
      </c>
      <c r="H148" s="7"/>
      <c r="I148" s="7"/>
      <c r="J148" s="7" t="s">
        <v>48</v>
      </c>
      <c r="K148" s="7" t="s">
        <v>49</v>
      </c>
      <c r="L148" s="7" t="s">
        <v>49</v>
      </c>
      <c r="M148" s="7" t="s">
        <v>49</v>
      </c>
      <c r="N148" s="7" t="s">
        <v>115</v>
      </c>
      <c r="O148" s="7" t="s">
        <v>4</v>
      </c>
      <c r="P148" s="7">
        <v>75000</v>
      </c>
      <c r="Q148" s="7">
        <v>75000</v>
      </c>
      <c r="R148" s="7">
        <v>75000</v>
      </c>
      <c r="S148" s="7">
        <v>75000</v>
      </c>
      <c r="T148" s="7">
        <v>75000</v>
      </c>
      <c r="U148" s="7">
        <v>75000</v>
      </c>
      <c r="V148" s="7">
        <v>75000</v>
      </c>
      <c r="W148" s="7">
        <v>75000</v>
      </c>
      <c r="X148" s="7">
        <v>75000</v>
      </c>
      <c r="Y148" s="7">
        <v>75000</v>
      </c>
      <c r="Z148" s="7">
        <v>75000</v>
      </c>
      <c r="AA148" s="7">
        <v>75000</v>
      </c>
      <c r="AB148" s="9">
        <v>4.7472560859822996</v>
      </c>
      <c r="AC148" s="9">
        <v>4.7472560859822996</v>
      </c>
      <c r="AD148" s="9">
        <v>4.7472560859822996</v>
      </c>
      <c r="AE148" s="9">
        <v>4.7472560859822996</v>
      </c>
      <c r="AF148" s="9">
        <v>4.7472560859822996</v>
      </c>
      <c r="AG148" s="9">
        <v>4.7472560859822996</v>
      </c>
      <c r="AH148" s="9">
        <v>4.7472560859822996</v>
      </c>
      <c r="AI148" s="9">
        <v>4.7472560859822996</v>
      </c>
      <c r="AJ148" s="9">
        <v>4.7472560859822996</v>
      </c>
      <c r="AK148" s="9">
        <v>4.7472560859822996</v>
      </c>
      <c r="AL148" s="9">
        <v>4.7472560859822996</v>
      </c>
      <c r="AM148" s="9">
        <v>4.7472560859822996</v>
      </c>
      <c r="AN148" s="10">
        <v>0</v>
      </c>
      <c r="AO148" s="10">
        <v>0</v>
      </c>
      <c r="AP148" s="10">
        <v>0</v>
      </c>
      <c r="AQ148" s="10">
        <v>0</v>
      </c>
      <c r="AR148" s="10">
        <v>0</v>
      </c>
      <c r="AS148" s="10">
        <v>1</v>
      </c>
      <c r="AT148" s="10">
        <v>0</v>
      </c>
      <c r="AU148" s="10">
        <v>0</v>
      </c>
      <c r="AV148" s="10">
        <v>0</v>
      </c>
      <c r="AW148" s="10">
        <v>0</v>
      </c>
      <c r="AX148" s="10">
        <v>0</v>
      </c>
      <c r="AY148" s="10">
        <v>0</v>
      </c>
      <c r="AZ148" s="7">
        <f t="shared" si="8"/>
        <v>1</v>
      </c>
      <c r="BA148" s="11">
        <f t="shared" si="9"/>
        <v>8.3333333333333329E-2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4.7472560859822996</v>
      </c>
      <c r="BI148" s="12">
        <v>0</v>
      </c>
      <c r="BJ148" s="12">
        <v>0</v>
      </c>
      <c r="BK148" s="12">
        <v>0</v>
      </c>
      <c r="BL148" s="12">
        <v>0</v>
      </c>
      <c r="BM148" s="12">
        <v>0</v>
      </c>
      <c r="BN148" s="12">
        <v>0</v>
      </c>
      <c r="BO148" s="12">
        <f t="shared" si="10"/>
        <v>4.7472560859822996</v>
      </c>
      <c r="BP148" s="12">
        <f t="shared" si="11"/>
        <v>0.39560467383185832</v>
      </c>
      <c r="BQ148" s="7"/>
      <c r="BR148" s="7"/>
      <c r="BS148" s="7" t="s">
        <v>52</v>
      </c>
      <c r="BT148" s="7" t="s">
        <v>53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BZ148" s="7"/>
    </row>
    <row r="149" spans="1:78" x14ac:dyDescent="0.35">
      <c r="A149" s="7" t="s">
        <v>42</v>
      </c>
      <c r="B149" s="7"/>
      <c r="C149" s="7" t="s">
        <v>263</v>
      </c>
      <c r="D149" s="7" t="s">
        <v>126</v>
      </c>
      <c r="E149" s="7" t="s">
        <v>264</v>
      </c>
      <c r="F149" s="7" t="s">
        <v>102</v>
      </c>
      <c r="G149" s="7" t="s">
        <v>47</v>
      </c>
      <c r="H149" s="7"/>
      <c r="I149" s="7"/>
      <c r="J149" s="7" t="s">
        <v>48</v>
      </c>
      <c r="K149" s="7" t="s">
        <v>49</v>
      </c>
      <c r="L149" s="7" t="s">
        <v>49</v>
      </c>
      <c r="M149" s="7" t="s">
        <v>49</v>
      </c>
      <c r="N149" s="7" t="s">
        <v>100</v>
      </c>
      <c r="O149" s="7" t="s">
        <v>4</v>
      </c>
      <c r="P149" s="7">
        <v>1025000</v>
      </c>
      <c r="Q149" s="7">
        <v>1025000</v>
      </c>
      <c r="R149" s="7">
        <v>1025000</v>
      </c>
      <c r="S149" s="7">
        <v>1025000</v>
      </c>
      <c r="T149" s="7">
        <v>1025000</v>
      </c>
      <c r="U149" s="7">
        <v>1025000</v>
      </c>
      <c r="V149" s="7">
        <v>1025000</v>
      </c>
      <c r="W149" s="7">
        <v>1025000</v>
      </c>
      <c r="X149" s="7">
        <v>1025000</v>
      </c>
      <c r="Y149" s="7">
        <v>1025000</v>
      </c>
      <c r="Z149" s="7">
        <v>1025000</v>
      </c>
      <c r="AA149" s="7">
        <v>1025000</v>
      </c>
      <c r="AB149" s="9">
        <v>64.879166508425001</v>
      </c>
      <c r="AC149" s="9">
        <v>64.879166508425001</v>
      </c>
      <c r="AD149" s="9">
        <v>64.879166508425001</v>
      </c>
      <c r="AE149" s="9">
        <v>64.879166508425001</v>
      </c>
      <c r="AF149" s="9">
        <v>64.879166508425001</v>
      </c>
      <c r="AG149" s="9">
        <v>64.879166508425001</v>
      </c>
      <c r="AH149" s="9">
        <v>64.879166508425001</v>
      </c>
      <c r="AI149" s="9">
        <v>64.879166508425001</v>
      </c>
      <c r="AJ149" s="9">
        <v>64.879166508425001</v>
      </c>
      <c r="AK149" s="9">
        <v>64.879166508425001</v>
      </c>
      <c r="AL149" s="9">
        <v>64.879166508425001</v>
      </c>
      <c r="AM149" s="9">
        <v>64.879166508425001</v>
      </c>
      <c r="AN149" s="10">
        <v>0</v>
      </c>
      <c r="AO149" s="10">
        <v>0</v>
      </c>
      <c r="AP149" s="10">
        <v>0</v>
      </c>
      <c r="AQ149" s="10">
        <v>0</v>
      </c>
      <c r="AR149" s="10">
        <v>0</v>
      </c>
      <c r="AS149" s="10">
        <v>0</v>
      </c>
      <c r="AT149" s="10">
        <v>1</v>
      </c>
      <c r="AU149" s="10">
        <v>0</v>
      </c>
      <c r="AV149" s="10">
        <v>0</v>
      </c>
      <c r="AW149" s="10">
        <v>0</v>
      </c>
      <c r="AX149" s="10">
        <v>0</v>
      </c>
      <c r="AY149" s="10">
        <v>0</v>
      </c>
      <c r="AZ149" s="7">
        <f t="shared" si="8"/>
        <v>1</v>
      </c>
      <c r="BA149" s="11">
        <f t="shared" si="9"/>
        <v>8.3333333333333329E-2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64.879166508425001</v>
      </c>
      <c r="BJ149" s="12">
        <v>0</v>
      </c>
      <c r="BK149" s="12">
        <v>0</v>
      </c>
      <c r="BL149" s="12">
        <v>0</v>
      </c>
      <c r="BM149" s="12">
        <v>0</v>
      </c>
      <c r="BN149" s="12">
        <v>0</v>
      </c>
      <c r="BO149" s="12">
        <f t="shared" si="10"/>
        <v>64.879166508425001</v>
      </c>
      <c r="BP149" s="12">
        <f t="shared" si="11"/>
        <v>5.4065972090354171</v>
      </c>
      <c r="BQ149" s="7"/>
      <c r="BR149" s="7"/>
      <c r="BS149" s="7" t="s">
        <v>95</v>
      </c>
      <c r="BT149" s="7" t="s">
        <v>53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/>
    </row>
    <row r="150" spans="1:78" x14ac:dyDescent="0.35">
      <c r="A150" s="7" t="s">
        <v>42</v>
      </c>
      <c r="B150" s="7"/>
      <c r="C150" s="7" t="s">
        <v>194</v>
      </c>
      <c r="D150" s="7" t="s">
        <v>136</v>
      </c>
      <c r="E150" s="7" t="s">
        <v>195</v>
      </c>
      <c r="F150" s="7" t="s">
        <v>138</v>
      </c>
      <c r="G150" s="7" t="s">
        <v>47</v>
      </c>
      <c r="H150" s="7"/>
      <c r="I150" s="7"/>
      <c r="J150" s="7" t="s">
        <v>48</v>
      </c>
      <c r="K150" s="7" t="s">
        <v>49</v>
      </c>
      <c r="L150" s="7" t="s">
        <v>49</v>
      </c>
      <c r="M150" s="7" t="s">
        <v>49</v>
      </c>
      <c r="N150" s="7" t="s">
        <v>139</v>
      </c>
      <c r="O150" s="7" t="s">
        <v>4</v>
      </c>
      <c r="P150" s="7">
        <v>800000</v>
      </c>
      <c r="Q150" s="7">
        <v>800000</v>
      </c>
      <c r="R150" s="7">
        <v>800000</v>
      </c>
      <c r="S150" s="7">
        <v>800000</v>
      </c>
      <c r="T150" s="7">
        <v>800000</v>
      </c>
      <c r="U150" s="7">
        <v>800000</v>
      </c>
      <c r="V150" s="7">
        <v>800000</v>
      </c>
      <c r="W150" s="7">
        <v>800000</v>
      </c>
      <c r="X150" s="7">
        <v>800000</v>
      </c>
      <c r="Y150" s="7">
        <v>800000</v>
      </c>
      <c r="Z150" s="7">
        <v>800000</v>
      </c>
      <c r="AA150" s="7">
        <v>800000</v>
      </c>
      <c r="AB150" s="9">
        <v>50.637398250478</v>
      </c>
      <c r="AC150" s="9">
        <v>50.637398250478</v>
      </c>
      <c r="AD150" s="9">
        <v>50.637398250478</v>
      </c>
      <c r="AE150" s="9">
        <v>50.637398250478</v>
      </c>
      <c r="AF150" s="9">
        <v>50.637398250478</v>
      </c>
      <c r="AG150" s="9">
        <v>50.637398250478</v>
      </c>
      <c r="AH150" s="9">
        <v>50.637398250478</v>
      </c>
      <c r="AI150" s="9">
        <v>50.637398250478</v>
      </c>
      <c r="AJ150" s="9">
        <v>50.637398250478</v>
      </c>
      <c r="AK150" s="9">
        <v>50.637398250478</v>
      </c>
      <c r="AL150" s="9">
        <v>50.637398250478</v>
      </c>
      <c r="AM150" s="9">
        <v>50.637398250478</v>
      </c>
      <c r="AN150" s="10">
        <v>0</v>
      </c>
      <c r="AO150" s="10">
        <v>0</v>
      </c>
      <c r="AP150" s="10">
        <v>0</v>
      </c>
      <c r="AQ150" s="10">
        <v>0</v>
      </c>
      <c r="AR150" s="10">
        <v>0</v>
      </c>
      <c r="AS150" s="10">
        <v>0</v>
      </c>
      <c r="AT150" s="10">
        <v>0</v>
      </c>
      <c r="AU150" s="10">
        <v>0</v>
      </c>
      <c r="AV150" s="10">
        <v>0</v>
      </c>
      <c r="AW150" s="10">
        <v>0</v>
      </c>
      <c r="AX150" s="10">
        <v>0</v>
      </c>
      <c r="AY150" s="10">
        <v>2</v>
      </c>
      <c r="AZ150" s="7">
        <f t="shared" si="8"/>
        <v>2</v>
      </c>
      <c r="BA150" s="11">
        <f t="shared" si="9"/>
        <v>0.16666666666666666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K150" s="12">
        <v>0</v>
      </c>
      <c r="BL150" s="12">
        <v>0</v>
      </c>
      <c r="BM150" s="12">
        <v>0</v>
      </c>
      <c r="BN150" s="12">
        <v>101.27479650095999</v>
      </c>
      <c r="BO150" s="12">
        <f t="shared" si="10"/>
        <v>101.27479650095999</v>
      </c>
      <c r="BP150" s="12">
        <f t="shared" si="11"/>
        <v>8.4395663750800001</v>
      </c>
      <c r="BQ150" s="7"/>
      <c r="BR150" s="7"/>
      <c r="BS150" s="7" t="s">
        <v>95</v>
      </c>
      <c r="BT150" s="7" t="s">
        <v>53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BZ150" s="7"/>
    </row>
    <row r="151" spans="1:78" x14ac:dyDescent="0.35">
      <c r="A151" s="7" t="s">
        <v>42</v>
      </c>
      <c r="B151" s="7"/>
      <c r="C151" s="7" t="s">
        <v>394</v>
      </c>
      <c r="D151" s="7" t="s">
        <v>147</v>
      </c>
      <c r="E151" s="7" t="s">
        <v>395</v>
      </c>
      <c r="F151" s="7" t="s">
        <v>93</v>
      </c>
      <c r="G151" s="7" t="s">
        <v>47</v>
      </c>
      <c r="H151" s="7"/>
      <c r="I151" s="7"/>
      <c r="J151" s="7" t="s">
        <v>48</v>
      </c>
      <c r="K151" s="7" t="s">
        <v>49</v>
      </c>
      <c r="L151" s="7" t="s">
        <v>49</v>
      </c>
      <c r="M151" s="7" t="s">
        <v>49</v>
      </c>
      <c r="N151" s="7" t="s">
        <v>100</v>
      </c>
      <c r="O151" s="7" t="s">
        <v>9</v>
      </c>
      <c r="P151" s="7">
        <v>57</v>
      </c>
      <c r="Q151" s="7">
        <v>57</v>
      </c>
      <c r="R151" s="7">
        <v>57</v>
      </c>
      <c r="S151" s="7">
        <v>57</v>
      </c>
      <c r="T151" s="7">
        <v>57</v>
      </c>
      <c r="U151" s="7">
        <v>57</v>
      </c>
      <c r="V151" s="7">
        <v>57</v>
      </c>
      <c r="W151" s="7">
        <v>57</v>
      </c>
      <c r="X151" s="7">
        <v>57</v>
      </c>
      <c r="Y151" s="7">
        <v>57</v>
      </c>
      <c r="Z151" s="7">
        <v>57</v>
      </c>
      <c r="AA151" s="7">
        <v>57</v>
      </c>
      <c r="AB151" s="9">
        <v>57</v>
      </c>
      <c r="AC151" s="9">
        <v>57</v>
      </c>
      <c r="AD151" s="9">
        <v>57</v>
      </c>
      <c r="AE151" s="9">
        <v>57</v>
      </c>
      <c r="AF151" s="9">
        <v>57</v>
      </c>
      <c r="AG151" s="9">
        <v>57</v>
      </c>
      <c r="AH151" s="9">
        <v>57</v>
      </c>
      <c r="AI151" s="9">
        <v>57</v>
      </c>
      <c r="AJ151" s="9">
        <v>57</v>
      </c>
      <c r="AK151" s="9">
        <v>57</v>
      </c>
      <c r="AL151" s="9">
        <v>57</v>
      </c>
      <c r="AM151" s="9">
        <v>57</v>
      </c>
      <c r="AN151" s="10">
        <v>0</v>
      </c>
      <c r="AO151" s="10">
        <v>0</v>
      </c>
      <c r="AP151" s="10">
        <v>16</v>
      </c>
      <c r="AQ151" s="10">
        <v>0</v>
      </c>
      <c r="AR151" s="10">
        <v>0</v>
      </c>
      <c r="AS151" s="10">
        <v>0</v>
      </c>
      <c r="AT151" s="10">
        <v>0</v>
      </c>
      <c r="AU151" s="10">
        <v>0</v>
      </c>
      <c r="AV151" s="10">
        <v>0</v>
      </c>
      <c r="AW151" s="10">
        <v>0</v>
      </c>
      <c r="AX151" s="10">
        <v>0</v>
      </c>
      <c r="AY151" s="10">
        <v>0</v>
      </c>
      <c r="AZ151" s="7">
        <f t="shared" si="8"/>
        <v>16</v>
      </c>
      <c r="BA151" s="11">
        <f t="shared" si="9"/>
        <v>1.3333333333333333</v>
      </c>
      <c r="BC151" s="12">
        <v>0</v>
      </c>
      <c r="BD151" s="12">
        <v>0</v>
      </c>
      <c r="BE151" s="12">
        <v>912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  <c r="BL151" s="12">
        <v>0</v>
      </c>
      <c r="BM151" s="12">
        <v>0</v>
      </c>
      <c r="BN151" s="12">
        <v>0</v>
      </c>
      <c r="BO151" s="12">
        <f t="shared" si="10"/>
        <v>912</v>
      </c>
      <c r="BP151" s="12">
        <f t="shared" si="11"/>
        <v>76</v>
      </c>
      <c r="BQ151" s="7"/>
      <c r="BR151" s="7"/>
      <c r="BS151" s="7" t="s">
        <v>95</v>
      </c>
      <c r="BT151" s="7" t="s">
        <v>53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/>
    </row>
    <row r="152" spans="1:78" x14ac:dyDescent="0.35">
      <c r="A152" s="7" t="s">
        <v>42</v>
      </c>
      <c r="B152" s="7"/>
      <c r="C152" s="7" t="s">
        <v>396</v>
      </c>
      <c r="D152" s="7" t="s">
        <v>44</v>
      </c>
      <c r="E152" s="7" t="s">
        <v>397</v>
      </c>
      <c r="F152" s="7" t="s">
        <v>46</v>
      </c>
      <c r="G152" s="7" t="s">
        <v>47</v>
      </c>
      <c r="H152" s="7"/>
      <c r="I152" s="7"/>
      <c r="J152" s="7" t="s">
        <v>48</v>
      </c>
      <c r="K152" s="7" t="s">
        <v>49</v>
      </c>
      <c r="L152" s="7" t="s">
        <v>49</v>
      </c>
      <c r="M152" s="7" t="s">
        <v>49</v>
      </c>
      <c r="N152" s="7" t="s">
        <v>50</v>
      </c>
      <c r="O152" s="7" t="s">
        <v>4</v>
      </c>
      <c r="P152" s="7">
        <v>1802</v>
      </c>
      <c r="Q152" s="7">
        <v>1802</v>
      </c>
      <c r="R152" s="7">
        <v>1802</v>
      </c>
      <c r="S152" s="7">
        <v>1802</v>
      </c>
      <c r="T152" s="7">
        <v>1802</v>
      </c>
      <c r="U152" s="7">
        <v>1802</v>
      </c>
      <c r="V152" s="7">
        <v>1802</v>
      </c>
      <c r="W152" s="7">
        <v>1802</v>
      </c>
      <c r="X152" s="7">
        <v>1802</v>
      </c>
      <c r="Y152" s="7">
        <v>1802</v>
      </c>
      <c r="Z152" s="7">
        <v>1802</v>
      </c>
      <c r="AA152" s="7">
        <v>1802</v>
      </c>
      <c r="AB152" s="9">
        <v>0.1140607395592</v>
      </c>
      <c r="AC152" s="9">
        <v>0.1140607395592</v>
      </c>
      <c r="AD152" s="9">
        <v>0.1140607395592</v>
      </c>
      <c r="AE152" s="9">
        <v>0.1140607395592</v>
      </c>
      <c r="AF152" s="9">
        <v>0.1140607395592</v>
      </c>
      <c r="AG152" s="9">
        <v>0.1140607395592</v>
      </c>
      <c r="AH152" s="9">
        <v>0.1140607395592</v>
      </c>
      <c r="AI152" s="9">
        <v>0.1140607395592</v>
      </c>
      <c r="AJ152" s="9">
        <v>0.1140607395592</v>
      </c>
      <c r="AK152" s="9">
        <v>0.1140607395592</v>
      </c>
      <c r="AL152" s="9">
        <v>0.1140607395592</v>
      </c>
      <c r="AM152" s="9">
        <v>0.1140607395592</v>
      </c>
      <c r="AN152" s="10">
        <v>0</v>
      </c>
      <c r="AO152" s="10">
        <v>12</v>
      </c>
      <c r="AP152" s="10">
        <v>0</v>
      </c>
      <c r="AQ152" s="10">
        <v>0</v>
      </c>
      <c r="AR152" s="10">
        <v>0</v>
      </c>
      <c r="AS152" s="10">
        <v>0</v>
      </c>
      <c r="AT152" s="10">
        <v>0</v>
      </c>
      <c r="AU152" s="10">
        <v>0</v>
      </c>
      <c r="AV152" s="10">
        <v>0</v>
      </c>
      <c r="AW152" s="10">
        <v>0</v>
      </c>
      <c r="AX152" s="10">
        <v>0</v>
      </c>
      <c r="AY152" s="10">
        <v>0</v>
      </c>
      <c r="AZ152" s="7">
        <f t="shared" si="8"/>
        <v>12</v>
      </c>
      <c r="BA152" s="11">
        <f t="shared" si="9"/>
        <v>1</v>
      </c>
      <c r="BC152" s="12">
        <v>0</v>
      </c>
      <c r="BD152" s="12">
        <v>1.3687288747104001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  <c r="BK152" s="12">
        <v>0</v>
      </c>
      <c r="BL152" s="12">
        <v>0</v>
      </c>
      <c r="BM152" s="12">
        <v>0</v>
      </c>
      <c r="BN152" s="12">
        <v>0</v>
      </c>
      <c r="BO152" s="12">
        <f t="shared" si="10"/>
        <v>1.3687288747104001</v>
      </c>
      <c r="BP152" s="12">
        <f t="shared" si="11"/>
        <v>0.1140607395592</v>
      </c>
      <c r="BQ152" s="7"/>
      <c r="BR152" s="7"/>
      <c r="BS152" s="7" t="s">
        <v>52</v>
      </c>
      <c r="BT152" s="7" t="s">
        <v>53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/>
    </row>
    <row r="153" spans="1:78" x14ac:dyDescent="0.35">
      <c r="A153" s="7" t="s">
        <v>42</v>
      </c>
      <c r="B153" s="7"/>
      <c r="C153" s="7" t="s">
        <v>398</v>
      </c>
      <c r="D153" s="7" t="s">
        <v>399</v>
      </c>
      <c r="E153" s="7" t="s">
        <v>400</v>
      </c>
      <c r="F153" s="7" t="s">
        <v>57</v>
      </c>
      <c r="G153" s="7" t="s">
        <v>47</v>
      </c>
      <c r="H153" s="7"/>
      <c r="I153" s="7"/>
      <c r="J153" s="7" t="s">
        <v>48</v>
      </c>
      <c r="K153" s="7" t="s">
        <v>49</v>
      </c>
      <c r="L153" s="7" t="s">
        <v>49</v>
      </c>
      <c r="M153" s="7" t="s">
        <v>49</v>
      </c>
      <c r="N153" s="7" t="s">
        <v>58</v>
      </c>
      <c r="O153" s="7" t="s">
        <v>4</v>
      </c>
      <c r="P153" s="7">
        <v>2523</v>
      </c>
      <c r="Q153" s="7">
        <v>2523</v>
      </c>
      <c r="R153" s="7">
        <v>2523</v>
      </c>
      <c r="S153" s="7">
        <v>2523</v>
      </c>
      <c r="T153" s="7">
        <v>2523</v>
      </c>
      <c r="U153" s="7">
        <v>2523</v>
      </c>
      <c r="V153" s="7">
        <v>2523</v>
      </c>
      <c r="W153" s="7">
        <v>2523</v>
      </c>
      <c r="X153" s="7">
        <v>2523</v>
      </c>
      <c r="Y153" s="7">
        <v>2523</v>
      </c>
      <c r="Z153" s="7">
        <v>2523</v>
      </c>
      <c r="AA153" s="7">
        <v>2523</v>
      </c>
      <c r="AB153" s="9">
        <v>0.15969769473244</v>
      </c>
      <c r="AC153" s="9">
        <v>0.15969769473244</v>
      </c>
      <c r="AD153" s="9">
        <v>0.15969769473244</v>
      </c>
      <c r="AE153" s="9">
        <v>0.15969769473244</v>
      </c>
      <c r="AF153" s="9">
        <v>0.15969769473244</v>
      </c>
      <c r="AG153" s="9">
        <v>0.15969769473244</v>
      </c>
      <c r="AH153" s="9">
        <v>0.15969769473244</v>
      </c>
      <c r="AI153" s="9">
        <v>0.15969769473244</v>
      </c>
      <c r="AJ153" s="9">
        <v>0.15969769473244</v>
      </c>
      <c r="AK153" s="9">
        <v>0.15969769473244</v>
      </c>
      <c r="AL153" s="9">
        <v>0.15969769473244</v>
      </c>
      <c r="AM153" s="9">
        <v>0.15969769473244</v>
      </c>
      <c r="AN153" s="10">
        <v>1</v>
      </c>
      <c r="AO153" s="10">
        <v>1</v>
      </c>
      <c r="AP153" s="10">
        <v>1</v>
      </c>
      <c r="AQ153" s="10">
        <v>1</v>
      </c>
      <c r="AR153" s="10">
        <v>1</v>
      </c>
      <c r="AS153" s="10">
        <v>1</v>
      </c>
      <c r="AT153" s="10">
        <v>1</v>
      </c>
      <c r="AU153" s="10">
        <v>1</v>
      </c>
      <c r="AV153" s="10">
        <v>1</v>
      </c>
      <c r="AW153" s="10">
        <v>1</v>
      </c>
      <c r="AX153" s="10">
        <v>1</v>
      </c>
      <c r="AY153" s="10">
        <v>1</v>
      </c>
      <c r="AZ153" s="7">
        <f t="shared" si="8"/>
        <v>12</v>
      </c>
      <c r="BA153" s="11">
        <f t="shared" si="9"/>
        <v>1</v>
      </c>
      <c r="BC153" s="12">
        <v>0.15969769473244</v>
      </c>
      <c r="BD153" s="12">
        <v>0.15969769473244</v>
      </c>
      <c r="BE153" s="12">
        <v>0.15969769473244</v>
      </c>
      <c r="BF153" s="12">
        <v>0.15969769473244</v>
      </c>
      <c r="BG153" s="12">
        <v>0.15969769473244</v>
      </c>
      <c r="BH153" s="12">
        <v>0.15969769473244</v>
      </c>
      <c r="BI153" s="12">
        <v>0.15969769473244</v>
      </c>
      <c r="BJ153" s="12">
        <v>0.15969769473244</v>
      </c>
      <c r="BK153" s="12">
        <v>0.15969769473244</v>
      </c>
      <c r="BL153" s="12">
        <v>0.15969769473244</v>
      </c>
      <c r="BM153" s="12">
        <v>0.15969769473244</v>
      </c>
      <c r="BN153" s="12">
        <v>0.15969769473244</v>
      </c>
      <c r="BO153" s="12">
        <f t="shared" si="10"/>
        <v>1.91637233678928</v>
      </c>
      <c r="BP153" s="12">
        <f t="shared" si="11"/>
        <v>0.15969769473244</v>
      </c>
      <c r="BQ153" s="7"/>
      <c r="BR153" s="7"/>
      <c r="BS153" s="7" t="s">
        <v>52</v>
      </c>
      <c r="BT153" s="7" t="s">
        <v>53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/>
    </row>
    <row r="154" spans="1:78" x14ac:dyDescent="0.35">
      <c r="A154" s="7" t="s">
        <v>42</v>
      </c>
      <c r="B154" s="7"/>
      <c r="C154" s="7" t="s">
        <v>160</v>
      </c>
      <c r="D154" s="7" t="s">
        <v>161</v>
      </c>
      <c r="E154" s="7" t="s">
        <v>162</v>
      </c>
      <c r="F154" s="7" t="s">
        <v>401</v>
      </c>
      <c r="G154" s="7" t="s">
        <v>47</v>
      </c>
      <c r="H154" s="7"/>
      <c r="I154" s="7"/>
      <c r="J154" s="7" t="s">
        <v>48</v>
      </c>
      <c r="K154" s="7" t="s">
        <v>49</v>
      </c>
      <c r="L154" s="7" t="s">
        <v>49</v>
      </c>
      <c r="M154" s="7" t="s">
        <v>49</v>
      </c>
      <c r="N154" s="7" t="s">
        <v>100</v>
      </c>
      <c r="O154" s="7" t="s">
        <v>4</v>
      </c>
      <c r="P154" s="7">
        <v>50000</v>
      </c>
      <c r="Q154" s="7">
        <v>50000</v>
      </c>
      <c r="R154" s="7">
        <v>50000</v>
      </c>
      <c r="S154" s="7">
        <v>50000</v>
      </c>
      <c r="T154" s="7">
        <v>50000</v>
      </c>
      <c r="U154" s="7">
        <v>50000</v>
      </c>
      <c r="V154" s="7">
        <v>50000</v>
      </c>
      <c r="W154" s="7">
        <v>50000</v>
      </c>
      <c r="X154" s="7">
        <v>50000</v>
      </c>
      <c r="Y154" s="7">
        <v>50000</v>
      </c>
      <c r="Z154" s="7">
        <v>50000</v>
      </c>
      <c r="AA154" s="7">
        <v>50000</v>
      </c>
      <c r="AB154" s="9">
        <v>3.1648373906548999</v>
      </c>
      <c r="AC154" s="9">
        <v>3.1648373906548999</v>
      </c>
      <c r="AD154" s="9">
        <v>3.1648373906548999</v>
      </c>
      <c r="AE154" s="9">
        <v>3.1648373906548999</v>
      </c>
      <c r="AF154" s="9">
        <v>3.1648373906548999</v>
      </c>
      <c r="AG154" s="9">
        <v>3.1648373906548999</v>
      </c>
      <c r="AH154" s="9">
        <v>3.1648373906548999</v>
      </c>
      <c r="AI154" s="9">
        <v>3.1648373906548999</v>
      </c>
      <c r="AJ154" s="9">
        <v>3.1648373906548999</v>
      </c>
      <c r="AK154" s="9">
        <v>3.1648373906548999</v>
      </c>
      <c r="AL154" s="9">
        <v>3.1648373906548999</v>
      </c>
      <c r="AM154" s="9">
        <v>3.1648373906548999</v>
      </c>
      <c r="AN154" s="10">
        <v>0</v>
      </c>
      <c r="AO154" s="10">
        <v>30</v>
      </c>
      <c r="AP154" s="10">
        <v>0</v>
      </c>
      <c r="AQ154" s="10">
        <v>30</v>
      </c>
      <c r="AR154" s="10">
        <v>0</v>
      </c>
      <c r="AS154" s="10">
        <v>30</v>
      </c>
      <c r="AT154" s="10">
        <v>0</v>
      </c>
      <c r="AU154" s="10">
        <v>30</v>
      </c>
      <c r="AV154" s="10">
        <v>0</v>
      </c>
      <c r="AW154" s="10">
        <v>30</v>
      </c>
      <c r="AX154" s="10">
        <v>0</v>
      </c>
      <c r="AY154" s="10">
        <v>30</v>
      </c>
      <c r="AZ154" s="7">
        <f t="shared" si="8"/>
        <v>180</v>
      </c>
      <c r="BA154" s="11">
        <f t="shared" si="9"/>
        <v>15</v>
      </c>
      <c r="BC154" s="12">
        <v>0</v>
      </c>
      <c r="BD154" s="12">
        <v>94.945121719645996</v>
      </c>
      <c r="BE154" s="12">
        <v>0</v>
      </c>
      <c r="BF154" s="12">
        <v>94.945121719645996</v>
      </c>
      <c r="BG154" s="12">
        <v>0</v>
      </c>
      <c r="BH154" s="12">
        <v>94.945121719645996</v>
      </c>
      <c r="BI154" s="12">
        <v>0</v>
      </c>
      <c r="BJ154" s="12">
        <v>94.945121719645996</v>
      </c>
      <c r="BK154" s="12">
        <v>0</v>
      </c>
      <c r="BL154" s="12">
        <v>94.945121719645996</v>
      </c>
      <c r="BM154" s="12">
        <v>0</v>
      </c>
      <c r="BN154" s="12">
        <v>94.945121719645996</v>
      </c>
      <c r="BO154" s="12">
        <f t="shared" si="10"/>
        <v>569.67073031787595</v>
      </c>
      <c r="BP154" s="12">
        <f t="shared" si="11"/>
        <v>47.472560859822998</v>
      </c>
      <c r="BQ154" s="7"/>
      <c r="BR154" s="7"/>
      <c r="BS154" s="7" t="s">
        <v>95</v>
      </c>
      <c r="BT154" s="7" t="s">
        <v>53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/>
    </row>
    <row r="155" spans="1:78" x14ac:dyDescent="0.35">
      <c r="A155" s="7" t="s">
        <v>42</v>
      </c>
      <c r="B155" s="7"/>
      <c r="C155" s="7" t="s">
        <v>402</v>
      </c>
      <c r="D155" s="7" t="s">
        <v>104</v>
      </c>
      <c r="E155" s="7" t="s">
        <v>403</v>
      </c>
      <c r="F155" s="7" t="s">
        <v>102</v>
      </c>
      <c r="G155" s="7" t="s">
        <v>47</v>
      </c>
      <c r="H155" s="7"/>
      <c r="I155" s="7"/>
      <c r="J155" s="7" t="s">
        <v>48</v>
      </c>
      <c r="K155" s="7" t="s">
        <v>49</v>
      </c>
      <c r="L155" s="7" t="s">
        <v>49</v>
      </c>
      <c r="M155" s="7" t="s">
        <v>49</v>
      </c>
      <c r="N155" s="7" t="s">
        <v>100</v>
      </c>
      <c r="O155" s="7" t="s">
        <v>6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10">
        <v>0</v>
      </c>
      <c r="AO155" s="10">
        <v>0</v>
      </c>
      <c r="AP155" s="10">
        <v>0</v>
      </c>
      <c r="AQ155" s="10">
        <v>0</v>
      </c>
      <c r="AR155" s="10">
        <v>0</v>
      </c>
      <c r="AS155" s="10">
        <v>0</v>
      </c>
      <c r="AT155" s="10">
        <v>1</v>
      </c>
      <c r="AU155" s="10">
        <v>0</v>
      </c>
      <c r="AV155" s="10">
        <v>0</v>
      </c>
      <c r="AW155" s="10">
        <v>0</v>
      </c>
      <c r="AX155" s="10">
        <v>0</v>
      </c>
      <c r="AY155" s="10">
        <v>0</v>
      </c>
      <c r="AZ155" s="7">
        <f t="shared" si="8"/>
        <v>1</v>
      </c>
      <c r="BA155" s="11">
        <f t="shared" si="9"/>
        <v>8.3333333333333329E-2</v>
      </c>
      <c r="BC155" s="12">
        <v>0</v>
      </c>
      <c r="BD155" s="12">
        <v>0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  <c r="BJ155" s="12">
        <v>0</v>
      </c>
      <c r="BK155" s="12">
        <v>0</v>
      </c>
      <c r="BL155" s="12">
        <v>0</v>
      </c>
      <c r="BM155" s="12">
        <v>0</v>
      </c>
      <c r="BN155" s="12">
        <v>0</v>
      </c>
      <c r="BO155" s="12">
        <f t="shared" si="10"/>
        <v>0</v>
      </c>
      <c r="BP155" s="12">
        <f t="shared" si="11"/>
        <v>0</v>
      </c>
      <c r="BQ155" s="7"/>
      <c r="BR155" s="7"/>
      <c r="BS155" s="7" t="s">
        <v>95</v>
      </c>
      <c r="BT155" s="7" t="s">
        <v>53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/>
    </row>
    <row r="156" spans="1:78" x14ac:dyDescent="0.35">
      <c r="A156" s="7" t="s">
        <v>42</v>
      </c>
      <c r="B156" s="7"/>
      <c r="C156" s="7" t="s">
        <v>404</v>
      </c>
      <c r="D156" s="7" t="s">
        <v>104</v>
      </c>
      <c r="E156" s="7" t="s">
        <v>405</v>
      </c>
      <c r="F156" s="7" t="s">
        <v>102</v>
      </c>
      <c r="G156" s="7" t="s">
        <v>47</v>
      </c>
      <c r="H156" s="7"/>
      <c r="I156" s="7"/>
      <c r="J156" s="7" t="s">
        <v>48</v>
      </c>
      <c r="K156" s="7" t="s">
        <v>49</v>
      </c>
      <c r="L156" s="7" t="s">
        <v>49</v>
      </c>
      <c r="M156" s="7" t="s">
        <v>49</v>
      </c>
      <c r="N156" s="7" t="s">
        <v>100</v>
      </c>
      <c r="O156" s="7" t="s">
        <v>6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10">
        <v>0</v>
      </c>
      <c r="AO156" s="10">
        <v>0</v>
      </c>
      <c r="AP156" s="10">
        <v>0</v>
      </c>
      <c r="AQ156" s="10">
        <v>0</v>
      </c>
      <c r="AR156" s="10">
        <v>0</v>
      </c>
      <c r="AS156" s="10">
        <v>0</v>
      </c>
      <c r="AT156" s="10">
        <v>1</v>
      </c>
      <c r="AU156" s="10">
        <v>0</v>
      </c>
      <c r="AV156" s="10">
        <v>0</v>
      </c>
      <c r="AW156" s="10">
        <v>0</v>
      </c>
      <c r="AX156" s="10">
        <v>0</v>
      </c>
      <c r="AY156" s="10">
        <v>0</v>
      </c>
      <c r="AZ156" s="7">
        <f t="shared" si="8"/>
        <v>1</v>
      </c>
      <c r="BA156" s="11">
        <f t="shared" si="9"/>
        <v>8.3333333333333329E-2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  <c r="BJ156" s="12">
        <v>0</v>
      </c>
      <c r="BK156" s="12">
        <v>0</v>
      </c>
      <c r="BL156" s="12">
        <v>0</v>
      </c>
      <c r="BM156" s="12">
        <v>0</v>
      </c>
      <c r="BN156" s="12">
        <v>0</v>
      </c>
      <c r="BO156" s="12">
        <f t="shared" si="10"/>
        <v>0</v>
      </c>
      <c r="BP156" s="12">
        <f t="shared" si="11"/>
        <v>0</v>
      </c>
      <c r="BQ156" s="7"/>
      <c r="BR156" s="7"/>
      <c r="BS156" s="7" t="s">
        <v>95</v>
      </c>
      <c r="BT156" s="7" t="s">
        <v>53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/>
    </row>
    <row r="157" spans="1:78" x14ac:dyDescent="0.35">
      <c r="A157" s="7" t="s">
        <v>42</v>
      </c>
      <c r="B157" s="7"/>
      <c r="C157" s="7" t="s">
        <v>345</v>
      </c>
      <c r="D157" s="7" t="s">
        <v>104</v>
      </c>
      <c r="E157" s="7" t="s">
        <v>346</v>
      </c>
      <c r="F157" s="7" t="s">
        <v>102</v>
      </c>
      <c r="G157" s="7" t="s">
        <v>47</v>
      </c>
      <c r="H157" s="7"/>
      <c r="I157" s="7"/>
      <c r="J157" s="7" t="s">
        <v>48</v>
      </c>
      <c r="K157" s="7" t="s">
        <v>49</v>
      </c>
      <c r="L157" s="7" t="s">
        <v>49</v>
      </c>
      <c r="M157" s="7" t="s">
        <v>49</v>
      </c>
      <c r="N157" s="7" t="s">
        <v>100</v>
      </c>
      <c r="O157" s="7" t="s">
        <v>6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10">
        <v>0</v>
      </c>
      <c r="AO157" s="10">
        <v>0</v>
      </c>
      <c r="AP157" s="10">
        <v>0</v>
      </c>
      <c r="AQ157" s="10">
        <v>0</v>
      </c>
      <c r="AR157" s="10">
        <v>0</v>
      </c>
      <c r="AS157" s="10">
        <v>0</v>
      </c>
      <c r="AT157" s="10">
        <v>1</v>
      </c>
      <c r="AU157" s="10">
        <v>1</v>
      </c>
      <c r="AV157" s="10">
        <v>1</v>
      </c>
      <c r="AW157" s="10">
        <v>1</v>
      </c>
      <c r="AX157" s="10">
        <v>1</v>
      </c>
      <c r="AY157" s="10">
        <v>1</v>
      </c>
      <c r="AZ157" s="7">
        <f t="shared" si="8"/>
        <v>6</v>
      </c>
      <c r="BA157" s="11">
        <f t="shared" si="9"/>
        <v>0.5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  <c r="BK157" s="12">
        <v>0</v>
      </c>
      <c r="BL157" s="12">
        <v>0</v>
      </c>
      <c r="BM157" s="12">
        <v>0</v>
      </c>
      <c r="BN157" s="12">
        <v>0</v>
      </c>
      <c r="BO157" s="12">
        <f t="shared" si="10"/>
        <v>0</v>
      </c>
      <c r="BP157" s="12">
        <f t="shared" si="11"/>
        <v>0</v>
      </c>
      <c r="BQ157" s="7"/>
      <c r="BR157" s="7"/>
      <c r="BS157" s="7" t="s">
        <v>95</v>
      </c>
      <c r="BT157" s="7" t="s">
        <v>53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/>
    </row>
    <row r="158" spans="1:78" x14ac:dyDescent="0.35">
      <c r="A158" s="7" t="s">
        <v>42</v>
      </c>
      <c r="B158" s="7"/>
      <c r="C158" s="7" t="s">
        <v>406</v>
      </c>
      <c r="D158" s="7" t="s">
        <v>121</v>
      </c>
      <c r="E158" s="7" t="s">
        <v>407</v>
      </c>
      <c r="F158" s="7" t="s">
        <v>237</v>
      </c>
      <c r="G158" s="7" t="s">
        <v>47</v>
      </c>
      <c r="H158" s="7"/>
      <c r="I158" s="7"/>
      <c r="J158" s="7" t="s">
        <v>48</v>
      </c>
      <c r="K158" s="7" t="s">
        <v>49</v>
      </c>
      <c r="L158" s="7" t="s">
        <v>49</v>
      </c>
      <c r="M158" s="7" t="s">
        <v>49</v>
      </c>
      <c r="N158" s="7" t="s">
        <v>242</v>
      </c>
      <c r="O158" s="7" t="s">
        <v>4</v>
      </c>
      <c r="P158" s="7">
        <v>205000</v>
      </c>
      <c r="Q158" s="7">
        <v>205000</v>
      </c>
      <c r="R158" s="7">
        <v>205000</v>
      </c>
      <c r="S158" s="7">
        <v>205000</v>
      </c>
      <c r="T158" s="7">
        <v>205000</v>
      </c>
      <c r="U158" s="7">
        <v>205000</v>
      </c>
      <c r="V158" s="7">
        <v>205000</v>
      </c>
      <c r="W158" s="7">
        <v>205000</v>
      </c>
      <c r="X158" s="7">
        <v>205000</v>
      </c>
      <c r="Y158" s="7">
        <v>205000</v>
      </c>
      <c r="Z158" s="7">
        <v>205000</v>
      </c>
      <c r="AA158" s="7">
        <v>205000</v>
      </c>
      <c r="AB158" s="9">
        <v>12.975833301685</v>
      </c>
      <c r="AC158" s="9">
        <v>12.975833301685</v>
      </c>
      <c r="AD158" s="9">
        <v>12.975833301685</v>
      </c>
      <c r="AE158" s="9">
        <v>12.975833301685</v>
      </c>
      <c r="AF158" s="9">
        <v>12.975833301685</v>
      </c>
      <c r="AG158" s="9">
        <v>12.975833301685</v>
      </c>
      <c r="AH158" s="9">
        <v>12.975833301685</v>
      </c>
      <c r="AI158" s="9">
        <v>12.975833301685</v>
      </c>
      <c r="AJ158" s="9">
        <v>12.975833301685</v>
      </c>
      <c r="AK158" s="9">
        <v>12.975833301685</v>
      </c>
      <c r="AL158" s="9">
        <v>12.975833301685</v>
      </c>
      <c r="AM158" s="9">
        <v>12.975833301685</v>
      </c>
      <c r="AN158" s="10">
        <v>0</v>
      </c>
      <c r="AO158" s="10">
        <v>0</v>
      </c>
      <c r="AP158" s="10">
        <v>0</v>
      </c>
      <c r="AQ158" s="10">
        <v>0</v>
      </c>
      <c r="AR158" s="10">
        <v>0</v>
      </c>
      <c r="AS158" s="10">
        <v>0</v>
      </c>
      <c r="AT158" s="10">
        <v>0</v>
      </c>
      <c r="AU158" s="10">
        <v>0</v>
      </c>
      <c r="AV158" s="10">
        <v>0</v>
      </c>
      <c r="AW158" s="10">
        <v>0</v>
      </c>
      <c r="AX158" s="10">
        <v>4</v>
      </c>
      <c r="AY158" s="10">
        <v>0</v>
      </c>
      <c r="AZ158" s="7">
        <f t="shared" si="8"/>
        <v>4</v>
      </c>
      <c r="BA158" s="11">
        <f t="shared" si="9"/>
        <v>0.33333333333333331</v>
      </c>
      <c r="BC158" s="12">
        <v>0</v>
      </c>
      <c r="BD158" s="12">
        <v>0</v>
      </c>
      <c r="BE158" s="12">
        <v>0</v>
      </c>
      <c r="BF158" s="12">
        <v>0</v>
      </c>
      <c r="BG158" s="12">
        <v>0</v>
      </c>
      <c r="BH158" s="12">
        <v>0</v>
      </c>
      <c r="BI158" s="12">
        <v>0</v>
      </c>
      <c r="BJ158" s="12">
        <v>0</v>
      </c>
      <c r="BK158" s="12">
        <v>0</v>
      </c>
      <c r="BL158" s="12">
        <v>0</v>
      </c>
      <c r="BM158" s="12">
        <v>51.903333206740001</v>
      </c>
      <c r="BN158" s="12">
        <v>0</v>
      </c>
      <c r="BO158" s="12">
        <f t="shared" si="10"/>
        <v>51.903333206740001</v>
      </c>
      <c r="BP158" s="12">
        <f t="shared" si="11"/>
        <v>4.3252777672283331</v>
      </c>
      <c r="BQ158" s="7"/>
      <c r="BR158" s="7"/>
      <c r="BS158" s="7" t="s">
        <v>95</v>
      </c>
      <c r="BT158" s="7" t="s">
        <v>53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/>
    </row>
    <row r="159" spans="1:78" x14ac:dyDescent="0.35">
      <c r="A159" s="7" t="s">
        <v>42</v>
      </c>
      <c r="B159" s="7"/>
      <c r="C159" s="7" t="s">
        <v>408</v>
      </c>
      <c r="D159" s="7" t="s">
        <v>169</v>
      </c>
      <c r="E159" s="7" t="s">
        <v>409</v>
      </c>
      <c r="F159" s="7" t="s">
        <v>410</v>
      </c>
      <c r="G159" s="7" t="s">
        <v>47</v>
      </c>
      <c r="H159" s="7"/>
      <c r="I159" s="7"/>
      <c r="J159" s="7" t="s">
        <v>48</v>
      </c>
      <c r="K159" s="7" t="s">
        <v>49</v>
      </c>
      <c r="L159" s="7" t="s">
        <v>49</v>
      </c>
      <c r="M159" s="7" t="s">
        <v>49</v>
      </c>
      <c r="N159" s="7" t="s">
        <v>50</v>
      </c>
      <c r="O159" s="7" t="s">
        <v>4</v>
      </c>
      <c r="P159" s="7">
        <v>1601</v>
      </c>
      <c r="Q159" s="7">
        <v>1601</v>
      </c>
      <c r="R159" s="7">
        <v>1601</v>
      </c>
      <c r="S159" s="7">
        <v>1601</v>
      </c>
      <c r="T159" s="7">
        <v>1601</v>
      </c>
      <c r="U159" s="7">
        <v>1601</v>
      </c>
      <c r="V159" s="7">
        <v>1601</v>
      </c>
      <c r="W159" s="7">
        <v>1601</v>
      </c>
      <c r="X159" s="7">
        <v>1601</v>
      </c>
      <c r="Y159" s="7">
        <v>1601</v>
      </c>
      <c r="Z159" s="7">
        <v>1601</v>
      </c>
      <c r="AA159" s="7">
        <v>1601</v>
      </c>
      <c r="AB159" s="9">
        <v>0.10133809324876999</v>
      </c>
      <c r="AC159" s="9">
        <v>0.10133809324876999</v>
      </c>
      <c r="AD159" s="9">
        <v>0.10133809324876999</v>
      </c>
      <c r="AE159" s="9">
        <v>0.10133809324876999</v>
      </c>
      <c r="AF159" s="9">
        <v>0.10133809324876999</v>
      </c>
      <c r="AG159" s="9">
        <v>0.10133809324876999</v>
      </c>
      <c r="AH159" s="9">
        <v>0.10133809324876999</v>
      </c>
      <c r="AI159" s="9">
        <v>0.10133809324876999</v>
      </c>
      <c r="AJ159" s="9">
        <v>0.10133809324876999</v>
      </c>
      <c r="AK159" s="9">
        <v>0.10133809324876999</v>
      </c>
      <c r="AL159" s="9">
        <v>0.10133809324876999</v>
      </c>
      <c r="AM159" s="9">
        <v>0.10133809324876999</v>
      </c>
      <c r="AN159" s="10">
        <v>125</v>
      </c>
      <c r="AO159" s="10">
        <v>0</v>
      </c>
      <c r="AP159" s="10">
        <v>125</v>
      </c>
      <c r="AQ159" s="10">
        <v>0</v>
      </c>
      <c r="AR159" s="10">
        <v>125</v>
      </c>
      <c r="AS159" s="10">
        <v>0</v>
      </c>
      <c r="AT159" s="10">
        <v>125</v>
      </c>
      <c r="AU159" s="10">
        <v>0</v>
      </c>
      <c r="AV159" s="10">
        <v>125</v>
      </c>
      <c r="AW159" s="10">
        <v>0</v>
      </c>
      <c r="AX159" s="10">
        <v>125</v>
      </c>
      <c r="AY159" s="10">
        <v>0</v>
      </c>
      <c r="AZ159" s="7">
        <f t="shared" si="8"/>
        <v>750</v>
      </c>
      <c r="BA159" s="11">
        <f t="shared" si="9"/>
        <v>62.5</v>
      </c>
      <c r="BC159" s="12">
        <v>12.667261656096001</v>
      </c>
      <c r="BD159" s="12">
        <v>0</v>
      </c>
      <c r="BE159" s="12">
        <v>12.667261656096001</v>
      </c>
      <c r="BF159" s="12">
        <v>0</v>
      </c>
      <c r="BG159" s="12">
        <v>12.667261656096001</v>
      </c>
      <c r="BH159" s="12">
        <v>0</v>
      </c>
      <c r="BI159" s="12">
        <v>12.667261656096001</v>
      </c>
      <c r="BJ159" s="12">
        <v>0</v>
      </c>
      <c r="BK159" s="12">
        <v>12.667261656096001</v>
      </c>
      <c r="BL159" s="12">
        <v>0</v>
      </c>
      <c r="BM159" s="12">
        <v>12.667261656096001</v>
      </c>
      <c r="BN159" s="12">
        <v>0</v>
      </c>
      <c r="BO159" s="12">
        <f t="shared" si="10"/>
        <v>76.003569936576</v>
      </c>
      <c r="BP159" s="12">
        <f t="shared" si="11"/>
        <v>6.3336308280480003</v>
      </c>
      <c r="BQ159" s="7"/>
      <c r="BR159" s="7"/>
      <c r="BS159" s="7" t="s">
        <v>52</v>
      </c>
      <c r="BT159" s="7" t="s">
        <v>53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/>
    </row>
    <row r="160" spans="1:78" x14ac:dyDescent="0.35">
      <c r="A160" s="7" t="s">
        <v>42</v>
      </c>
      <c r="B160" s="7"/>
      <c r="C160" s="7" t="s">
        <v>411</v>
      </c>
      <c r="D160" s="7" t="s">
        <v>117</v>
      </c>
      <c r="E160" s="7" t="s">
        <v>412</v>
      </c>
      <c r="F160" s="7" t="s">
        <v>413</v>
      </c>
      <c r="G160" s="7" t="s">
        <v>47</v>
      </c>
      <c r="H160" s="7"/>
      <c r="I160" s="7"/>
      <c r="J160" s="7" t="s">
        <v>48</v>
      </c>
      <c r="K160" s="7" t="s">
        <v>49</v>
      </c>
      <c r="L160" s="7" t="s">
        <v>49</v>
      </c>
      <c r="M160" s="7" t="s">
        <v>49</v>
      </c>
      <c r="N160" s="7" t="s">
        <v>115</v>
      </c>
      <c r="O160" s="7" t="s">
        <v>4</v>
      </c>
      <c r="P160" s="7">
        <v>75000</v>
      </c>
      <c r="Q160" s="7">
        <v>75000</v>
      </c>
      <c r="R160" s="7">
        <v>75000</v>
      </c>
      <c r="S160" s="7">
        <v>75000</v>
      </c>
      <c r="T160" s="7">
        <v>75000</v>
      </c>
      <c r="U160" s="7">
        <v>75000</v>
      </c>
      <c r="V160" s="7">
        <v>75000</v>
      </c>
      <c r="W160" s="7">
        <v>75000</v>
      </c>
      <c r="X160" s="7">
        <v>75000</v>
      </c>
      <c r="Y160" s="7">
        <v>75000</v>
      </c>
      <c r="Z160" s="7">
        <v>75000</v>
      </c>
      <c r="AA160" s="7">
        <v>75000</v>
      </c>
      <c r="AB160" s="9">
        <v>4.7472560859822996</v>
      </c>
      <c r="AC160" s="9">
        <v>4.7472560859822996</v>
      </c>
      <c r="AD160" s="9">
        <v>4.7472560859822996</v>
      </c>
      <c r="AE160" s="9">
        <v>4.7472560859822996</v>
      </c>
      <c r="AF160" s="9">
        <v>4.7472560859822996</v>
      </c>
      <c r="AG160" s="9">
        <v>4.7472560859822996</v>
      </c>
      <c r="AH160" s="9">
        <v>4.7472560859822996</v>
      </c>
      <c r="AI160" s="9">
        <v>4.7472560859822996</v>
      </c>
      <c r="AJ160" s="9">
        <v>4.7472560859822996</v>
      </c>
      <c r="AK160" s="9">
        <v>4.7472560859822996</v>
      </c>
      <c r="AL160" s="9">
        <v>4.7472560859822996</v>
      </c>
      <c r="AM160" s="9">
        <v>4.7472560859822996</v>
      </c>
      <c r="AN160" s="10">
        <v>1</v>
      </c>
      <c r="AO160" s="10">
        <v>1</v>
      </c>
      <c r="AP160" s="10">
        <v>1</v>
      </c>
      <c r="AQ160" s="10">
        <v>1</v>
      </c>
      <c r="AR160" s="10">
        <v>1</v>
      </c>
      <c r="AS160" s="10">
        <v>1</v>
      </c>
      <c r="AT160" s="10">
        <v>1</v>
      </c>
      <c r="AU160" s="10">
        <v>1</v>
      </c>
      <c r="AV160" s="10">
        <v>1</v>
      </c>
      <c r="AW160" s="10">
        <v>1</v>
      </c>
      <c r="AX160" s="10">
        <v>1</v>
      </c>
      <c r="AY160" s="10">
        <v>1</v>
      </c>
      <c r="AZ160" s="7">
        <f t="shared" si="8"/>
        <v>12</v>
      </c>
      <c r="BA160" s="11">
        <f t="shared" si="9"/>
        <v>1</v>
      </c>
      <c r="BC160" s="12">
        <v>4.7472560859822996</v>
      </c>
      <c r="BD160" s="12">
        <v>4.7472560859822996</v>
      </c>
      <c r="BE160" s="12">
        <v>4.7472560859822996</v>
      </c>
      <c r="BF160" s="12">
        <v>4.7472560859822996</v>
      </c>
      <c r="BG160" s="12">
        <v>4.7472560859822996</v>
      </c>
      <c r="BH160" s="12">
        <v>4.7472560859822996</v>
      </c>
      <c r="BI160" s="12">
        <v>4.7472560859822996</v>
      </c>
      <c r="BJ160" s="12">
        <v>4.7472560859822996</v>
      </c>
      <c r="BK160" s="12">
        <v>4.7472560859822996</v>
      </c>
      <c r="BL160" s="12">
        <v>4.7472560859822996</v>
      </c>
      <c r="BM160" s="12">
        <v>4.7472560859822996</v>
      </c>
      <c r="BN160" s="12">
        <v>4.7472560859822996</v>
      </c>
      <c r="BO160" s="12">
        <f t="shared" si="10"/>
        <v>56.967073031787599</v>
      </c>
      <c r="BP160" s="12">
        <f t="shared" si="11"/>
        <v>4.7472560859822996</v>
      </c>
      <c r="BQ160" s="7"/>
      <c r="BR160" s="7"/>
      <c r="BS160" s="7" t="s">
        <v>52</v>
      </c>
      <c r="BT160" s="7" t="s">
        <v>53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/>
    </row>
    <row r="161" spans="1:78" x14ac:dyDescent="0.35">
      <c r="A161" s="7" t="s">
        <v>42</v>
      </c>
      <c r="B161" s="7"/>
      <c r="C161" s="7" t="s">
        <v>414</v>
      </c>
      <c r="D161" s="7" t="s">
        <v>117</v>
      </c>
      <c r="E161" s="7" t="s">
        <v>415</v>
      </c>
      <c r="F161" s="7" t="s">
        <v>416</v>
      </c>
      <c r="G161" s="7" t="s">
        <v>47</v>
      </c>
      <c r="H161" s="7"/>
      <c r="I161" s="7"/>
      <c r="J161" s="7" t="s">
        <v>48</v>
      </c>
      <c r="K161" s="7" t="s">
        <v>49</v>
      </c>
      <c r="L161" s="7" t="s">
        <v>49</v>
      </c>
      <c r="M161" s="7" t="s">
        <v>49</v>
      </c>
      <c r="N161" s="7" t="s">
        <v>115</v>
      </c>
      <c r="O161" s="7" t="s">
        <v>4</v>
      </c>
      <c r="P161" s="7">
        <v>75000</v>
      </c>
      <c r="Q161" s="7">
        <v>75000</v>
      </c>
      <c r="R161" s="7">
        <v>75000</v>
      </c>
      <c r="S161" s="7">
        <v>75000</v>
      </c>
      <c r="T161" s="7">
        <v>75000</v>
      </c>
      <c r="U161" s="7">
        <v>75000</v>
      </c>
      <c r="V161" s="7">
        <v>75000</v>
      </c>
      <c r="W161" s="7">
        <v>75000</v>
      </c>
      <c r="X161" s="7">
        <v>75000</v>
      </c>
      <c r="Y161" s="7">
        <v>75000</v>
      </c>
      <c r="Z161" s="7">
        <v>75000</v>
      </c>
      <c r="AA161" s="7">
        <v>75000</v>
      </c>
      <c r="AB161" s="9">
        <v>4.7472560859822996</v>
      </c>
      <c r="AC161" s="9">
        <v>4.7472560859822996</v>
      </c>
      <c r="AD161" s="9">
        <v>4.7472560859822996</v>
      </c>
      <c r="AE161" s="9">
        <v>4.7472560859822996</v>
      </c>
      <c r="AF161" s="9">
        <v>4.7472560859822996</v>
      </c>
      <c r="AG161" s="9">
        <v>4.7472560859822996</v>
      </c>
      <c r="AH161" s="9">
        <v>4.7472560859822996</v>
      </c>
      <c r="AI161" s="9">
        <v>4.7472560859822996</v>
      </c>
      <c r="AJ161" s="9">
        <v>4.7472560859822996</v>
      </c>
      <c r="AK161" s="9">
        <v>4.7472560859822996</v>
      </c>
      <c r="AL161" s="9">
        <v>4.7472560859822996</v>
      </c>
      <c r="AM161" s="9">
        <v>4.7472560859822996</v>
      </c>
      <c r="AN161" s="10">
        <v>0</v>
      </c>
      <c r="AO161" s="10">
        <v>0</v>
      </c>
      <c r="AP161" s="10">
        <v>0</v>
      </c>
      <c r="AQ161" s="10">
        <v>1</v>
      </c>
      <c r="AR161" s="10">
        <v>0</v>
      </c>
      <c r="AS161" s="10">
        <v>0</v>
      </c>
      <c r="AT161" s="10">
        <v>0</v>
      </c>
      <c r="AU161" s="10">
        <v>0</v>
      </c>
      <c r="AV161" s="10">
        <v>0</v>
      </c>
      <c r="AW161" s="10">
        <v>1</v>
      </c>
      <c r="AX161" s="10">
        <v>0</v>
      </c>
      <c r="AY161" s="10">
        <v>0</v>
      </c>
      <c r="AZ161" s="7">
        <f t="shared" si="8"/>
        <v>2</v>
      </c>
      <c r="BA161" s="11">
        <f t="shared" si="9"/>
        <v>0.16666666666666666</v>
      </c>
      <c r="BC161" s="12">
        <v>0</v>
      </c>
      <c r="BD161" s="12">
        <v>0</v>
      </c>
      <c r="BE161" s="12">
        <v>0</v>
      </c>
      <c r="BF161" s="12">
        <v>4.7472560859822996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  <c r="BL161" s="12">
        <v>4.7472560859822996</v>
      </c>
      <c r="BM161" s="12">
        <v>0</v>
      </c>
      <c r="BN161" s="12">
        <v>0</v>
      </c>
      <c r="BO161" s="12">
        <f t="shared" si="10"/>
        <v>9.4945121719645993</v>
      </c>
      <c r="BP161" s="12">
        <f t="shared" si="11"/>
        <v>0.79120934766371664</v>
      </c>
      <c r="BQ161" s="7"/>
      <c r="BR161" s="7"/>
      <c r="BS161" s="7" t="s">
        <v>52</v>
      </c>
      <c r="BT161" s="7" t="s">
        <v>53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/>
    </row>
    <row r="162" spans="1:78" x14ac:dyDescent="0.35">
      <c r="A162" s="7" t="s">
        <v>42</v>
      </c>
      <c r="B162" s="7"/>
      <c r="C162" s="7" t="s">
        <v>417</v>
      </c>
      <c r="D162" s="7" t="s">
        <v>121</v>
      </c>
      <c r="E162" s="7" t="s">
        <v>418</v>
      </c>
      <c r="F162" s="7" t="s">
        <v>123</v>
      </c>
      <c r="G162" s="7" t="s">
        <v>47</v>
      </c>
      <c r="H162" s="7"/>
      <c r="I162" s="7"/>
      <c r="J162" s="7" t="s">
        <v>48</v>
      </c>
      <c r="K162" s="7" t="s">
        <v>49</v>
      </c>
      <c r="L162" s="7" t="s">
        <v>49</v>
      </c>
      <c r="M162" s="7" t="s">
        <v>49</v>
      </c>
      <c r="N162" s="7" t="s">
        <v>124</v>
      </c>
      <c r="O162" s="7" t="s">
        <v>4</v>
      </c>
      <c r="P162" s="7">
        <v>615000</v>
      </c>
      <c r="Q162" s="7">
        <v>615000</v>
      </c>
      <c r="R162" s="7">
        <v>615000</v>
      </c>
      <c r="S162" s="7">
        <v>615000</v>
      </c>
      <c r="T162" s="7">
        <v>615000</v>
      </c>
      <c r="U162" s="7">
        <v>615000</v>
      </c>
      <c r="V162" s="7">
        <v>615000</v>
      </c>
      <c r="W162" s="7">
        <v>615000</v>
      </c>
      <c r="X162" s="7">
        <v>615000</v>
      </c>
      <c r="Y162" s="7">
        <v>615000</v>
      </c>
      <c r="Z162" s="7">
        <v>615000</v>
      </c>
      <c r="AA162" s="7">
        <v>615000</v>
      </c>
      <c r="AB162" s="9">
        <v>38.927499905055001</v>
      </c>
      <c r="AC162" s="9">
        <v>38.927499905055001</v>
      </c>
      <c r="AD162" s="9">
        <v>38.927499905055001</v>
      </c>
      <c r="AE162" s="9">
        <v>38.927499905055001</v>
      </c>
      <c r="AF162" s="9">
        <v>38.927499905055001</v>
      </c>
      <c r="AG162" s="9">
        <v>38.927499905055001</v>
      </c>
      <c r="AH162" s="9">
        <v>38.927499905055001</v>
      </c>
      <c r="AI162" s="9">
        <v>38.927499905055001</v>
      </c>
      <c r="AJ162" s="9">
        <v>38.927499905055001</v>
      </c>
      <c r="AK162" s="9">
        <v>38.927499905055001</v>
      </c>
      <c r="AL162" s="9">
        <v>38.927499905055001</v>
      </c>
      <c r="AM162" s="9">
        <v>38.927499905055001</v>
      </c>
      <c r="AN162" s="10">
        <v>0</v>
      </c>
      <c r="AO162" s="10">
        <v>0</v>
      </c>
      <c r="AP162" s="10">
        <v>1</v>
      </c>
      <c r="AQ162" s="10">
        <v>0</v>
      </c>
      <c r="AR162" s="10">
        <v>0</v>
      </c>
      <c r="AS162" s="10">
        <v>0</v>
      </c>
      <c r="AT162" s="10">
        <v>0</v>
      </c>
      <c r="AU162" s="10">
        <v>0</v>
      </c>
      <c r="AV162" s="10">
        <v>1</v>
      </c>
      <c r="AW162" s="10">
        <v>0</v>
      </c>
      <c r="AX162" s="10">
        <v>0</v>
      </c>
      <c r="AY162" s="10">
        <v>0</v>
      </c>
      <c r="AZ162" s="7">
        <f t="shared" si="8"/>
        <v>2</v>
      </c>
      <c r="BA162" s="11">
        <f t="shared" si="9"/>
        <v>0.16666666666666666</v>
      </c>
      <c r="BC162" s="12">
        <v>0</v>
      </c>
      <c r="BD162" s="12">
        <v>0</v>
      </c>
      <c r="BE162" s="12">
        <v>38.927499905055001</v>
      </c>
      <c r="BF162" s="12">
        <v>0</v>
      </c>
      <c r="BG162" s="12">
        <v>0</v>
      </c>
      <c r="BH162" s="12">
        <v>0</v>
      </c>
      <c r="BI162" s="12">
        <v>0</v>
      </c>
      <c r="BJ162" s="12">
        <v>0</v>
      </c>
      <c r="BK162" s="12">
        <v>38.927499905055001</v>
      </c>
      <c r="BL162" s="12">
        <v>0</v>
      </c>
      <c r="BM162" s="12">
        <v>0</v>
      </c>
      <c r="BN162" s="12">
        <v>0</v>
      </c>
      <c r="BO162" s="12">
        <f t="shared" si="10"/>
        <v>77.854999810110002</v>
      </c>
      <c r="BP162" s="12">
        <f t="shared" si="11"/>
        <v>6.4879166508425001</v>
      </c>
      <c r="BQ162" s="7"/>
      <c r="BR162" s="7"/>
      <c r="BS162" s="7" t="s">
        <v>95</v>
      </c>
      <c r="BT162" s="7" t="s">
        <v>53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/>
    </row>
    <row r="163" spans="1:78" x14ac:dyDescent="0.35">
      <c r="A163" s="7" t="s">
        <v>42</v>
      </c>
      <c r="B163" s="7"/>
      <c r="C163" s="7" t="s">
        <v>419</v>
      </c>
      <c r="D163" s="7" t="s">
        <v>121</v>
      </c>
      <c r="E163" s="7" t="s">
        <v>420</v>
      </c>
      <c r="F163" s="7" t="s">
        <v>163</v>
      </c>
      <c r="G163" s="7" t="s">
        <v>47</v>
      </c>
      <c r="H163" s="7"/>
      <c r="I163" s="7"/>
      <c r="J163" s="7" t="s">
        <v>48</v>
      </c>
      <c r="K163" s="7" t="s">
        <v>49</v>
      </c>
      <c r="L163" s="7" t="s">
        <v>49</v>
      </c>
      <c r="M163" s="7" t="s">
        <v>49</v>
      </c>
      <c r="N163" s="7" t="s">
        <v>100</v>
      </c>
      <c r="O163" s="7" t="s">
        <v>4</v>
      </c>
      <c r="P163" s="7">
        <v>205000</v>
      </c>
      <c r="Q163" s="7">
        <v>205000</v>
      </c>
      <c r="R163" s="7">
        <v>205000</v>
      </c>
      <c r="S163" s="7">
        <v>205000</v>
      </c>
      <c r="T163" s="7">
        <v>205000</v>
      </c>
      <c r="U163" s="7">
        <v>205000</v>
      </c>
      <c r="V163" s="7">
        <v>205000</v>
      </c>
      <c r="W163" s="7">
        <v>205000</v>
      </c>
      <c r="X163" s="7">
        <v>205000</v>
      </c>
      <c r="Y163" s="7">
        <v>205000</v>
      </c>
      <c r="Z163" s="7">
        <v>205000</v>
      </c>
      <c r="AA163" s="7">
        <v>205000</v>
      </c>
      <c r="AB163" s="9">
        <v>12.975833301685</v>
      </c>
      <c r="AC163" s="9">
        <v>12.975833301685</v>
      </c>
      <c r="AD163" s="9">
        <v>12.975833301685</v>
      </c>
      <c r="AE163" s="9">
        <v>12.975833301685</v>
      </c>
      <c r="AF163" s="9">
        <v>12.975833301685</v>
      </c>
      <c r="AG163" s="9">
        <v>12.975833301685</v>
      </c>
      <c r="AH163" s="9">
        <v>12.975833301685</v>
      </c>
      <c r="AI163" s="9">
        <v>12.975833301685</v>
      </c>
      <c r="AJ163" s="9">
        <v>12.975833301685</v>
      </c>
      <c r="AK163" s="9">
        <v>12.975833301685</v>
      </c>
      <c r="AL163" s="9">
        <v>12.975833301685</v>
      </c>
      <c r="AM163" s="9">
        <v>12.975833301685</v>
      </c>
      <c r="AN163" s="10">
        <v>0</v>
      </c>
      <c r="AO163" s="10">
        <v>0</v>
      </c>
      <c r="AP163" s="10">
        <v>2</v>
      </c>
      <c r="AQ163" s="10">
        <v>0</v>
      </c>
      <c r="AR163" s="10">
        <v>0</v>
      </c>
      <c r="AS163" s="10">
        <v>0</v>
      </c>
      <c r="AT163" s="10">
        <v>0</v>
      </c>
      <c r="AU163" s="10">
        <v>0</v>
      </c>
      <c r="AV163" s="10">
        <v>0</v>
      </c>
      <c r="AW163" s="10">
        <v>0</v>
      </c>
      <c r="AX163" s="10">
        <v>0</v>
      </c>
      <c r="AY163" s="10">
        <v>0</v>
      </c>
      <c r="AZ163" s="7">
        <f t="shared" si="8"/>
        <v>2</v>
      </c>
      <c r="BA163" s="11">
        <f t="shared" si="9"/>
        <v>0.16666666666666666</v>
      </c>
      <c r="BC163" s="12">
        <v>0</v>
      </c>
      <c r="BD163" s="12">
        <v>0</v>
      </c>
      <c r="BE163" s="12">
        <v>25.951666603370001</v>
      </c>
      <c r="BF163" s="12">
        <v>0</v>
      </c>
      <c r="BG163" s="12">
        <v>0</v>
      </c>
      <c r="BH163" s="12">
        <v>0</v>
      </c>
      <c r="BI163" s="12">
        <v>0</v>
      </c>
      <c r="BJ163" s="12">
        <v>0</v>
      </c>
      <c r="BK163" s="12">
        <v>0</v>
      </c>
      <c r="BL163" s="12">
        <v>0</v>
      </c>
      <c r="BM163" s="12">
        <v>0</v>
      </c>
      <c r="BN163" s="12">
        <v>0</v>
      </c>
      <c r="BO163" s="12">
        <f t="shared" si="10"/>
        <v>25.951666603370001</v>
      </c>
      <c r="BP163" s="12">
        <f t="shared" si="11"/>
        <v>2.1626388836141666</v>
      </c>
      <c r="BQ163" s="7"/>
      <c r="BR163" s="7"/>
      <c r="BS163" s="7" t="s">
        <v>95</v>
      </c>
      <c r="BT163" s="7" t="s">
        <v>53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/>
    </row>
    <row r="164" spans="1:78" x14ac:dyDescent="0.35">
      <c r="A164" s="7" t="s">
        <v>42</v>
      </c>
      <c r="B164" s="7"/>
      <c r="C164" s="7" t="s">
        <v>421</v>
      </c>
      <c r="D164" s="7" t="s">
        <v>121</v>
      </c>
      <c r="E164" s="7" t="s">
        <v>422</v>
      </c>
      <c r="F164" s="7" t="s">
        <v>163</v>
      </c>
      <c r="G164" s="7" t="s">
        <v>47</v>
      </c>
      <c r="H164" s="7"/>
      <c r="I164" s="7"/>
      <c r="J164" s="7" t="s">
        <v>48</v>
      </c>
      <c r="K164" s="7" t="s">
        <v>49</v>
      </c>
      <c r="L164" s="7" t="s">
        <v>49</v>
      </c>
      <c r="M164" s="7" t="s">
        <v>49</v>
      </c>
      <c r="N164" s="7" t="s">
        <v>242</v>
      </c>
      <c r="O164" s="7" t="s">
        <v>4</v>
      </c>
      <c r="P164" s="7">
        <v>25625</v>
      </c>
      <c r="Q164" s="7">
        <v>25625</v>
      </c>
      <c r="R164" s="7">
        <v>25625</v>
      </c>
      <c r="S164" s="7">
        <v>25625</v>
      </c>
      <c r="T164" s="7">
        <v>25625</v>
      </c>
      <c r="U164" s="7">
        <v>25625</v>
      </c>
      <c r="V164" s="7">
        <v>25625</v>
      </c>
      <c r="W164" s="7">
        <v>25625</v>
      </c>
      <c r="X164" s="7">
        <v>25625</v>
      </c>
      <c r="Y164" s="7">
        <v>25625</v>
      </c>
      <c r="Z164" s="7">
        <v>25625</v>
      </c>
      <c r="AA164" s="7">
        <v>25625</v>
      </c>
      <c r="AB164" s="9">
        <v>1.6219791627105999</v>
      </c>
      <c r="AC164" s="9">
        <v>1.6219791627105999</v>
      </c>
      <c r="AD164" s="9">
        <v>1.6219791627105999</v>
      </c>
      <c r="AE164" s="9">
        <v>1.6219791627105999</v>
      </c>
      <c r="AF164" s="9">
        <v>1.6219791627105999</v>
      </c>
      <c r="AG164" s="9">
        <v>1.6219791627105999</v>
      </c>
      <c r="AH164" s="9">
        <v>1.6219791627105999</v>
      </c>
      <c r="AI164" s="9">
        <v>1.6219791627105999</v>
      </c>
      <c r="AJ164" s="9">
        <v>1.6219791627105999</v>
      </c>
      <c r="AK164" s="9">
        <v>1.6219791627105999</v>
      </c>
      <c r="AL164" s="9">
        <v>1.6219791627105999</v>
      </c>
      <c r="AM164" s="9">
        <v>1.6219791627105999</v>
      </c>
      <c r="AN164" s="10">
        <v>0</v>
      </c>
      <c r="AO164" s="10">
        <v>0</v>
      </c>
      <c r="AP164" s="10">
        <v>20</v>
      </c>
      <c r="AQ164" s="10">
        <v>0</v>
      </c>
      <c r="AR164" s="10">
        <v>0</v>
      </c>
      <c r="AS164" s="10">
        <v>0</v>
      </c>
      <c r="AT164" s="10">
        <v>0</v>
      </c>
      <c r="AU164" s="10">
        <v>0</v>
      </c>
      <c r="AV164" s="10">
        <v>0</v>
      </c>
      <c r="AW164" s="10">
        <v>0</v>
      </c>
      <c r="AX164" s="10">
        <v>0</v>
      </c>
      <c r="AY164" s="10">
        <v>0</v>
      </c>
      <c r="AZ164" s="7">
        <f t="shared" si="8"/>
        <v>20</v>
      </c>
      <c r="BA164" s="11">
        <f t="shared" si="9"/>
        <v>1.6666666666666667</v>
      </c>
      <c r="BC164" s="12">
        <v>0</v>
      </c>
      <c r="BD164" s="12">
        <v>0</v>
      </c>
      <c r="BE164" s="12">
        <v>32.439583254212003</v>
      </c>
      <c r="BF164" s="12">
        <v>0</v>
      </c>
      <c r="BG164" s="12">
        <v>0</v>
      </c>
      <c r="BH164" s="12">
        <v>0</v>
      </c>
      <c r="BI164" s="12">
        <v>0</v>
      </c>
      <c r="BJ164" s="12">
        <v>0</v>
      </c>
      <c r="BK164" s="12">
        <v>0</v>
      </c>
      <c r="BL164" s="12">
        <v>0</v>
      </c>
      <c r="BM164" s="12">
        <v>0</v>
      </c>
      <c r="BN164" s="12">
        <v>0</v>
      </c>
      <c r="BO164" s="12">
        <f t="shared" si="10"/>
        <v>32.439583254212003</v>
      </c>
      <c r="BP164" s="12">
        <f t="shared" si="11"/>
        <v>2.7032986045176668</v>
      </c>
      <c r="BQ164" s="7"/>
      <c r="BR164" s="7"/>
      <c r="BS164" s="7" t="s">
        <v>95</v>
      </c>
      <c r="BT164" s="7" t="s">
        <v>53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/>
    </row>
    <row r="165" spans="1:78" x14ac:dyDescent="0.35">
      <c r="A165" s="7" t="s">
        <v>42</v>
      </c>
      <c r="B165" s="7"/>
      <c r="C165" s="7" t="s">
        <v>263</v>
      </c>
      <c r="D165" s="7" t="s">
        <v>126</v>
      </c>
      <c r="E165" s="7" t="s">
        <v>264</v>
      </c>
      <c r="F165" s="7" t="s">
        <v>99</v>
      </c>
      <c r="G165" s="7" t="s">
        <v>47</v>
      </c>
      <c r="H165" s="7"/>
      <c r="I165" s="7"/>
      <c r="J165" s="7" t="s">
        <v>48</v>
      </c>
      <c r="K165" s="7" t="s">
        <v>49</v>
      </c>
      <c r="L165" s="7" t="s">
        <v>49</v>
      </c>
      <c r="M165" s="7" t="s">
        <v>49</v>
      </c>
      <c r="N165" s="7" t="s">
        <v>100</v>
      </c>
      <c r="O165" s="7" t="s">
        <v>4</v>
      </c>
      <c r="P165" s="7">
        <v>1025000</v>
      </c>
      <c r="Q165" s="7">
        <v>1025000</v>
      </c>
      <c r="R165" s="7">
        <v>1025000</v>
      </c>
      <c r="S165" s="7">
        <v>1025000</v>
      </c>
      <c r="T165" s="7">
        <v>1025000</v>
      </c>
      <c r="U165" s="7">
        <v>1025000</v>
      </c>
      <c r="V165" s="7">
        <v>1025000</v>
      </c>
      <c r="W165" s="7">
        <v>1025000</v>
      </c>
      <c r="X165" s="7">
        <v>1025000</v>
      </c>
      <c r="Y165" s="7">
        <v>1025000</v>
      </c>
      <c r="Z165" s="7">
        <v>1025000</v>
      </c>
      <c r="AA165" s="7">
        <v>1025000</v>
      </c>
      <c r="AB165" s="9">
        <v>64.879166508425001</v>
      </c>
      <c r="AC165" s="9">
        <v>64.879166508425001</v>
      </c>
      <c r="AD165" s="9">
        <v>64.879166508425001</v>
      </c>
      <c r="AE165" s="9">
        <v>64.879166508425001</v>
      </c>
      <c r="AF165" s="9">
        <v>64.879166508425001</v>
      </c>
      <c r="AG165" s="9">
        <v>64.879166508425001</v>
      </c>
      <c r="AH165" s="9">
        <v>64.879166508425001</v>
      </c>
      <c r="AI165" s="9">
        <v>64.879166508425001</v>
      </c>
      <c r="AJ165" s="9">
        <v>64.879166508425001</v>
      </c>
      <c r="AK165" s="9">
        <v>64.879166508425001</v>
      </c>
      <c r="AL165" s="9">
        <v>64.879166508425001</v>
      </c>
      <c r="AM165" s="9">
        <v>64.879166508425001</v>
      </c>
      <c r="AN165" s="10">
        <v>2</v>
      </c>
      <c r="AO165" s="10">
        <v>0</v>
      </c>
      <c r="AP165" s="10">
        <v>0</v>
      </c>
      <c r="AQ165" s="10">
        <v>0</v>
      </c>
      <c r="AR165" s="10">
        <v>0</v>
      </c>
      <c r="AS165" s="10">
        <v>0</v>
      </c>
      <c r="AT165" s="10">
        <v>0</v>
      </c>
      <c r="AU165" s="10">
        <v>0</v>
      </c>
      <c r="AV165" s="10">
        <v>0</v>
      </c>
      <c r="AW165" s="10">
        <v>0</v>
      </c>
      <c r="AX165" s="10">
        <v>0</v>
      </c>
      <c r="AY165" s="10">
        <v>0</v>
      </c>
      <c r="AZ165" s="7">
        <f t="shared" si="8"/>
        <v>2</v>
      </c>
      <c r="BA165" s="11">
        <f t="shared" si="9"/>
        <v>0.16666666666666666</v>
      </c>
      <c r="BC165" s="12">
        <v>129.75833301685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  <c r="BL165" s="12">
        <v>0</v>
      </c>
      <c r="BM165" s="12">
        <v>0</v>
      </c>
      <c r="BN165" s="12">
        <v>0</v>
      </c>
      <c r="BO165" s="12">
        <f t="shared" si="10"/>
        <v>129.75833301685</v>
      </c>
      <c r="BP165" s="12">
        <f t="shared" si="11"/>
        <v>10.813194418070834</v>
      </c>
      <c r="BQ165" s="7"/>
      <c r="BR165" s="7"/>
      <c r="BS165" s="7" t="s">
        <v>95</v>
      </c>
      <c r="BT165" s="7" t="s">
        <v>53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/>
    </row>
    <row r="166" spans="1:78" x14ac:dyDescent="0.35">
      <c r="A166" s="7" t="s">
        <v>42</v>
      </c>
      <c r="B166" s="7"/>
      <c r="C166" s="7" t="s">
        <v>423</v>
      </c>
      <c r="D166" s="7" t="s">
        <v>126</v>
      </c>
      <c r="E166" s="7" t="s">
        <v>424</v>
      </c>
      <c r="F166" s="7" t="s">
        <v>130</v>
      </c>
      <c r="G166" s="7" t="s">
        <v>47</v>
      </c>
      <c r="H166" s="7"/>
      <c r="I166" s="7"/>
      <c r="J166" s="7" t="s">
        <v>48</v>
      </c>
      <c r="K166" s="7" t="s">
        <v>49</v>
      </c>
      <c r="L166" s="7" t="s">
        <v>49</v>
      </c>
      <c r="M166" s="7" t="s">
        <v>49</v>
      </c>
      <c r="N166" s="7" t="s">
        <v>100</v>
      </c>
      <c r="O166" s="7" t="s">
        <v>6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10">
        <v>0</v>
      </c>
      <c r="AO166" s="10">
        <v>0</v>
      </c>
      <c r="AP166" s="10">
        <v>0</v>
      </c>
      <c r="AQ166" s="10">
        <v>1</v>
      </c>
      <c r="AR166" s="10">
        <v>0</v>
      </c>
      <c r="AS166" s="10">
        <v>0</v>
      </c>
      <c r="AT166" s="10">
        <v>0</v>
      </c>
      <c r="AU166" s="10">
        <v>0</v>
      </c>
      <c r="AV166" s="10">
        <v>0</v>
      </c>
      <c r="AW166" s="10">
        <v>0</v>
      </c>
      <c r="AX166" s="10">
        <v>0</v>
      </c>
      <c r="AY166" s="10">
        <v>0</v>
      </c>
      <c r="AZ166" s="7">
        <f t="shared" si="8"/>
        <v>1</v>
      </c>
      <c r="BA166" s="11">
        <f t="shared" si="9"/>
        <v>8.3333333333333329E-2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  <c r="BL166" s="12">
        <v>0</v>
      </c>
      <c r="BM166" s="12">
        <v>0</v>
      </c>
      <c r="BN166" s="12">
        <v>0</v>
      </c>
      <c r="BO166" s="12">
        <f t="shared" si="10"/>
        <v>0</v>
      </c>
      <c r="BP166" s="12">
        <f t="shared" si="11"/>
        <v>0</v>
      </c>
      <c r="BQ166" s="7"/>
      <c r="BR166" s="7"/>
      <c r="BS166" s="7" t="s">
        <v>95</v>
      </c>
      <c r="BT166" s="7" t="s">
        <v>53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/>
    </row>
    <row r="167" spans="1:78" x14ac:dyDescent="0.35">
      <c r="A167" s="7" t="s">
        <v>42</v>
      </c>
      <c r="B167" s="7"/>
      <c r="C167" s="7" t="s">
        <v>425</v>
      </c>
      <c r="D167" s="7" t="s">
        <v>190</v>
      </c>
      <c r="E167" s="7" t="s">
        <v>426</v>
      </c>
      <c r="F167" s="7" t="s">
        <v>99</v>
      </c>
      <c r="G167" s="7" t="s">
        <v>47</v>
      </c>
      <c r="H167" s="7"/>
      <c r="I167" s="7"/>
      <c r="J167" s="7" t="s">
        <v>48</v>
      </c>
      <c r="K167" s="7" t="s">
        <v>49</v>
      </c>
      <c r="L167" s="7" t="s">
        <v>49</v>
      </c>
      <c r="M167" s="7" t="s">
        <v>49</v>
      </c>
      <c r="N167" s="7" t="s">
        <v>100</v>
      </c>
      <c r="O167" s="7" t="s">
        <v>4</v>
      </c>
      <c r="P167" s="7">
        <v>25000000</v>
      </c>
      <c r="Q167" s="7">
        <v>25000000</v>
      </c>
      <c r="R167" s="7">
        <v>25000000</v>
      </c>
      <c r="S167" s="7">
        <v>25000000</v>
      </c>
      <c r="T167" s="7">
        <v>25000000</v>
      </c>
      <c r="U167" s="7">
        <v>25000000</v>
      </c>
      <c r="V167" s="7">
        <v>25000000</v>
      </c>
      <c r="W167" s="7">
        <v>25000000</v>
      </c>
      <c r="X167" s="7">
        <v>25000000</v>
      </c>
      <c r="Y167" s="7">
        <v>25000000</v>
      </c>
      <c r="Z167" s="7">
        <v>25000000</v>
      </c>
      <c r="AA167" s="7">
        <v>25000000</v>
      </c>
      <c r="AB167" s="9">
        <v>1582.4186953274</v>
      </c>
      <c r="AC167" s="9">
        <v>1582.4186953274</v>
      </c>
      <c r="AD167" s="9">
        <v>1582.4186953274</v>
      </c>
      <c r="AE167" s="9">
        <v>1582.4186953274</v>
      </c>
      <c r="AF167" s="9">
        <v>1582.4186953274</v>
      </c>
      <c r="AG167" s="9">
        <v>1582.4186953274</v>
      </c>
      <c r="AH167" s="9">
        <v>1582.4186953274</v>
      </c>
      <c r="AI167" s="9">
        <v>1582.4186953274</v>
      </c>
      <c r="AJ167" s="9">
        <v>1582.4186953274</v>
      </c>
      <c r="AK167" s="9">
        <v>1582.4186953274</v>
      </c>
      <c r="AL167" s="9">
        <v>1582.4186953274</v>
      </c>
      <c r="AM167" s="9">
        <v>1582.4186953274</v>
      </c>
      <c r="AN167" s="10">
        <v>2</v>
      </c>
      <c r="AO167" s="10">
        <v>0</v>
      </c>
      <c r="AP167" s="10">
        <v>0</v>
      </c>
      <c r="AQ167" s="10">
        <v>0</v>
      </c>
      <c r="AR167" s="10">
        <v>0</v>
      </c>
      <c r="AS167" s="10">
        <v>0</v>
      </c>
      <c r="AT167" s="10">
        <v>0</v>
      </c>
      <c r="AU167" s="10">
        <v>0</v>
      </c>
      <c r="AV167" s="10">
        <v>0</v>
      </c>
      <c r="AW167" s="10">
        <v>0</v>
      </c>
      <c r="AX167" s="10">
        <v>0</v>
      </c>
      <c r="AY167" s="10">
        <v>0</v>
      </c>
      <c r="AZ167" s="7">
        <f t="shared" si="8"/>
        <v>2</v>
      </c>
      <c r="BA167" s="11">
        <f t="shared" si="9"/>
        <v>0.16666666666666666</v>
      </c>
      <c r="BC167" s="12">
        <v>3164.8373906549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  <c r="BL167" s="12">
        <v>0</v>
      </c>
      <c r="BM167" s="12">
        <v>0</v>
      </c>
      <c r="BN167" s="12">
        <v>0</v>
      </c>
      <c r="BO167" s="12">
        <f t="shared" si="10"/>
        <v>3164.8373906549</v>
      </c>
      <c r="BP167" s="12">
        <f t="shared" si="11"/>
        <v>263.73644922124168</v>
      </c>
      <c r="BQ167" s="7"/>
      <c r="BR167" s="7"/>
      <c r="BS167" s="7" t="s">
        <v>95</v>
      </c>
      <c r="BT167" s="7" t="s">
        <v>53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/>
    </row>
    <row r="168" spans="1:78" x14ac:dyDescent="0.35">
      <c r="A168" s="7" t="s">
        <v>42</v>
      </c>
      <c r="B168" s="7"/>
      <c r="C168" s="7" t="s">
        <v>194</v>
      </c>
      <c r="D168" s="7" t="s">
        <v>136</v>
      </c>
      <c r="E168" s="7" t="s">
        <v>195</v>
      </c>
      <c r="F168" s="7" t="s">
        <v>212</v>
      </c>
      <c r="G168" s="7" t="s">
        <v>47</v>
      </c>
      <c r="H168" s="7"/>
      <c r="I168" s="7"/>
      <c r="J168" s="7" t="s">
        <v>48</v>
      </c>
      <c r="K168" s="7" t="s">
        <v>49</v>
      </c>
      <c r="L168" s="7" t="s">
        <v>49</v>
      </c>
      <c r="M168" s="7" t="s">
        <v>49</v>
      </c>
      <c r="N168" s="7" t="s">
        <v>139</v>
      </c>
      <c r="O168" s="7" t="s">
        <v>4</v>
      </c>
      <c r="P168" s="7">
        <v>800000</v>
      </c>
      <c r="Q168" s="7">
        <v>800000</v>
      </c>
      <c r="R168" s="7">
        <v>800000</v>
      </c>
      <c r="S168" s="7">
        <v>800000</v>
      </c>
      <c r="T168" s="7">
        <v>800000</v>
      </c>
      <c r="U168" s="7">
        <v>800000</v>
      </c>
      <c r="V168" s="7">
        <v>800000</v>
      </c>
      <c r="W168" s="7">
        <v>800000</v>
      </c>
      <c r="X168" s="7">
        <v>800000</v>
      </c>
      <c r="Y168" s="7">
        <v>800000</v>
      </c>
      <c r="Z168" s="7">
        <v>800000</v>
      </c>
      <c r="AA168" s="7">
        <v>800000</v>
      </c>
      <c r="AB168" s="9">
        <v>50.637398250478</v>
      </c>
      <c r="AC168" s="9">
        <v>50.637398250478</v>
      </c>
      <c r="AD168" s="9">
        <v>50.637398250478</v>
      </c>
      <c r="AE168" s="9">
        <v>50.637398250478</v>
      </c>
      <c r="AF168" s="9">
        <v>50.637398250478</v>
      </c>
      <c r="AG168" s="9">
        <v>50.637398250478</v>
      </c>
      <c r="AH168" s="9">
        <v>50.637398250478</v>
      </c>
      <c r="AI168" s="9">
        <v>50.637398250478</v>
      </c>
      <c r="AJ168" s="9">
        <v>50.637398250478</v>
      </c>
      <c r="AK168" s="9">
        <v>50.637398250478</v>
      </c>
      <c r="AL168" s="9">
        <v>50.637398250478</v>
      </c>
      <c r="AM168" s="9">
        <v>50.637398250478</v>
      </c>
      <c r="AN168" s="10">
        <v>0</v>
      </c>
      <c r="AO168" s="10">
        <v>0</v>
      </c>
      <c r="AP168" s="10">
        <v>0</v>
      </c>
      <c r="AQ168" s="10">
        <v>0</v>
      </c>
      <c r="AR168" s="10">
        <v>2</v>
      </c>
      <c r="AS168" s="10">
        <v>0</v>
      </c>
      <c r="AT168" s="10">
        <v>0</v>
      </c>
      <c r="AU168" s="10">
        <v>0</v>
      </c>
      <c r="AV168" s="10">
        <v>0</v>
      </c>
      <c r="AW168" s="10">
        <v>0</v>
      </c>
      <c r="AX168" s="10">
        <v>0</v>
      </c>
      <c r="AY168" s="10">
        <v>0</v>
      </c>
      <c r="AZ168" s="7">
        <f t="shared" si="8"/>
        <v>2</v>
      </c>
      <c r="BA168" s="11">
        <f t="shared" si="9"/>
        <v>0.16666666666666666</v>
      </c>
      <c r="BC168" s="12">
        <v>0</v>
      </c>
      <c r="BD168" s="12">
        <v>0</v>
      </c>
      <c r="BE168" s="12">
        <v>0</v>
      </c>
      <c r="BF168" s="12">
        <v>0</v>
      </c>
      <c r="BG168" s="12">
        <v>101.27479650095999</v>
      </c>
      <c r="BH168" s="12">
        <v>0</v>
      </c>
      <c r="BI168" s="12">
        <v>0</v>
      </c>
      <c r="BJ168" s="12">
        <v>0</v>
      </c>
      <c r="BK168" s="12">
        <v>0</v>
      </c>
      <c r="BL168" s="12">
        <v>0</v>
      </c>
      <c r="BM168" s="12">
        <v>0</v>
      </c>
      <c r="BN168" s="12">
        <v>0</v>
      </c>
      <c r="BO168" s="12">
        <f t="shared" si="10"/>
        <v>101.27479650095999</v>
      </c>
      <c r="BP168" s="12">
        <f t="shared" si="11"/>
        <v>8.4395663750800001</v>
      </c>
      <c r="BQ168" s="7"/>
      <c r="BR168" s="7"/>
      <c r="BS168" s="7" t="s">
        <v>95</v>
      </c>
      <c r="BT168" s="7" t="s">
        <v>53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/>
    </row>
    <row r="169" spans="1:78" x14ac:dyDescent="0.35">
      <c r="A169" s="7" t="s">
        <v>42</v>
      </c>
      <c r="B169" s="7"/>
      <c r="C169" s="7" t="s">
        <v>135</v>
      </c>
      <c r="D169" s="7" t="s">
        <v>136</v>
      </c>
      <c r="E169" s="7" t="s">
        <v>137</v>
      </c>
      <c r="F169" s="7" t="s">
        <v>149</v>
      </c>
      <c r="G169" s="7" t="s">
        <v>47</v>
      </c>
      <c r="H169" s="7"/>
      <c r="I169" s="7"/>
      <c r="J169" s="7" t="s">
        <v>48</v>
      </c>
      <c r="K169" s="7" t="s">
        <v>49</v>
      </c>
      <c r="L169" s="7" t="s">
        <v>49</v>
      </c>
      <c r="M169" s="7" t="s">
        <v>49</v>
      </c>
      <c r="N169" s="7" t="s">
        <v>139</v>
      </c>
      <c r="O169" s="7" t="s">
        <v>4</v>
      </c>
      <c r="P169" s="7">
        <v>1200000</v>
      </c>
      <c r="Q169" s="7">
        <v>1200000</v>
      </c>
      <c r="R169" s="7">
        <v>1200000</v>
      </c>
      <c r="S169" s="7">
        <v>1200000</v>
      </c>
      <c r="T169" s="7">
        <v>1200000</v>
      </c>
      <c r="U169" s="7">
        <v>1200000</v>
      </c>
      <c r="V169" s="7">
        <v>1200000</v>
      </c>
      <c r="W169" s="7">
        <v>1200000</v>
      </c>
      <c r="X169" s="7">
        <v>1200000</v>
      </c>
      <c r="Y169" s="7">
        <v>1200000</v>
      </c>
      <c r="Z169" s="7">
        <v>1200000</v>
      </c>
      <c r="AA169" s="7">
        <v>1200000</v>
      </c>
      <c r="AB169" s="9">
        <v>75.956097375716993</v>
      </c>
      <c r="AC169" s="9">
        <v>75.956097375716993</v>
      </c>
      <c r="AD169" s="9">
        <v>75.956097375716993</v>
      </c>
      <c r="AE169" s="9">
        <v>75.956097375716993</v>
      </c>
      <c r="AF169" s="9">
        <v>75.956097375716993</v>
      </c>
      <c r="AG169" s="9">
        <v>75.956097375716993</v>
      </c>
      <c r="AH169" s="9">
        <v>75.956097375716993</v>
      </c>
      <c r="AI169" s="9">
        <v>75.956097375716993</v>
      </c>
      <c r="AJ169" s="9">
        <v>75.956097375716993</v>
      </c>
      <c r="AK169" s="9">
        <v>75.956097375716993</v>
      </c>
      <c r="AL169" s="9">
        <v>75.956097375716993</v>
      </c>
      <c r="AM169" s="9">
        <v>75.956097375716993</v>
      </c>
      <c r="AN169" s="10">
        <v>0</v>
      </c>
      <c r="AO169" s="10">
        <v>0</v>
      </c>
      <c r="AP169" s="10">
        <v>0</v>
      </c>
      <c r="AQ169" s="10">
        <v>0</v>
      </c>
      <c r="AR169" s="10">
        <v>2</v>
      </c>
      <c r="AS169" s="10">
        <v>0</v>
      </c>
      <c r="AT169" s="10">
        <v>0</v>
      </c>
      <c r="AU169" s="10">
        <v>0</v>
      </c>
      <c r="AV169" s="10">
        <v>0</v>
      </c>
      <c r="AW169" s="10">
        <v>0</v>
      </c>
      <c r="AX169" s="10">
        <v>0</v>
      </c>
      <c r="AY169" s="10">
        <v>0</v>
      </c>
      <c r="AZ169" s="7">
        <f t="shared" si="8"/>
        <v>2</v>
      </c>
      <c r="BA169" s="11">
        <f t="shared" si="9"/>
        <v>0.16666666666666666</v>
      </c>
      <c r="BC169" s="12">
        <v>0</v>
      </c>
      <c r="BD169" s="12">
        <v>0</v>
      </c>
      <c r="BE169" s="12">
        <v>0</v>
      </c>
      <c r="BF169" s="12">
        <v>0</v>
      </c>
      <c r="BG169" s="12">
        <v>151.91219475143001</v>
      </c>
      <c r="BH169" s="12">
        <v>0</v>
      </c>
      <c r="BI169" s="12">
        <v>0</v>
      </c>
      <c r="BJ169" s="12">
        <v>0</v>
      </c>
      <c r="BK169" s="12">
        <v>0</v>
      </c>
      <c r="BL169" s="12">
        <v>0</v>
      </c>
      <c r="BM169" s="12">
        <v>0</v>
      </c>
      <c r="BN169" s="12">
        <v>0</v>
      </c>
      <c r="BO169" s="12">
        <f t="shared" si="10"/>
        <v>151.91219475143001</v>
      </c>
      <c r="BP169" s="12">
        <f t="shared" si="11"/>
        <v>12.659349562619168</v>
      </c>
      <c r="BQ169" s="7"/>
      <c r="BR169" s="7"/>
      <c r="BS169" s="7" t="s">
        <v>95</v>
      </c>
      <c r="BT169" s="7" t="s">
        <v>53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/>
    </row>
    <row r="170" spans="1:78" x14ac:dyDescent="0.35">
      <c r="A170" s="7" t="s">
        <v>42</v>
      </c>
      <c r="B170" s="7"/>
      <c r="C170" s="7" t="s">
        <v>427</v>
      </c>
      <c r="D170" s="7" t="s">
        <v>428</v>
      </c>
      <c r="E170" s="7" t="s">
        <v>429</v>
      </c>
      <c r="F170" s="7" t="s">
        <v>430</v>
      </c>
      <c r="G170" s="7" t="s">
        <v>47</v>
      </c>
      <c r="H170" s="7"/>
      <c r="I170" s="7"/>
      <c r="J170" s="7" t="s">
        <v>48</v>
      </c>
      <c r="K170" s="7" t="s">
        <v>49</v>
      </c>
      <c r="L170" s="7" t="s">
        <v>49</v>
      </c>
      <c r="M170" s="7" t="s">
        <v>49</v>
      </c>
      <c r="N170" s="7" t="s">
        <v>50</v>
      </c>
      <c r="O170" s="7" t="s">
        <v>4</v>
      </c>
      <c r="P170" s="7">
        <v>1892</v>
      </c>
      <c r="Q170" s="7">
        <v>1892</v>
      </c>
      <c r="R170" s="7">
        <v>1892</v>
      </c>
      <c r="S170" s="7">
        <v>1892</v>
      </c>
      <c r="T170" s="7">
        <v>1892</v>
      </c>
      <c r="U170" s="7">
        <v>1892</v>
      </c>
      <c r="V170" s="7">
        <v>1892</v>
      </c>
      <c r="W170" s="7">
        <v>1892</v>
      </c>
      <c r="X170" s="7">
        <v>1892</v>
      </c>
      <c r="Y170" s="7">
        <v>1892</v>
      </c>
      <c r="Z170" s="7">
        <v>1892</v>
      </c>
      <c r="AA170" s="7">
        <v>1892</v>
      </c>
      <c r="AB170" s="9">
        <v>0.11975744686238</v>
      </c>
      <c r="AC170" s="9">
        <v>0.11975744686238</v>
      </c>
      <c r="AD170" s="9">
        <v>0.11975744686238</v>
      </c>
      <c r="AE170" s="9">
        <v>0.11975744686238</v>
      </c>
      <c r="AF170" s="9">
        <v>0.11975744686238</v>
      </c>
      <c r="AG170" s="9">
        <v>0.11975744686238</v>
      </c>
      <c r="AH170" s="9">
        <v>0.11975744686238</v>
      </c>
      <c r="AI170" s="9">
        <v>0.11975744686238</v>
      </c>
      <c r="AJ170" s="9">
        <v>0.11975744686238</v>
      </c>
      <c r="AK170" s="9">
        <v>0.11975744686238</v>
      </c>
      <c r="AL170" s="9">
        <v>0.11975744686238</v>
      </c>
      <c r="AM170" s="9">
        <v>0.11975744686238</v>
      </c>
      <c r="AN170" s="10">
        <v>0</v>
      </c>
      <c r="AO170" s="10">
        <v>0</v>
      </c>
      <c r="AP170" s="10">
        <v>0</v>
      </c>
      <c r="AQ170" s="10">
        <v>0</v>
      </c>
      <c r="AR170" s="10">
        <v>6</v>
      </c>
      <c r="AS170" s="10">
        <v>0</v>
      </c>
      <c r="AT170" s="10">
        <v>0</v>
      </c>
      <c r="AU170" s="10">
        <v>0</v>
      </c>
      <c r="AV170" s="10">
        <v>0</v>
      </c>
      <c r="AW170" s="10">
        <v>0</v>
      </c>
      <c r="AX170" s="10">
        <v>0</v>
      </c>
      <c r="AY170" s="10">
        <v>0</v>
      </c>
      <c r="AZ170" s="7">
        <f t="shared" si="8"/>
        <v>6</v>
      </c>
      <c r="BA170" s="11">
        <f t="shared" si="9"/>
        <v>0.5</v>
      </c>
      <c r="BC170" s="12">
        <v>0</v>
      </c>
      <c r="BD170" s="12">
        <v>0</v>
      </c>
      <c r="BE170" s="12">
        <v>0</v>
      </c>
      <c r="BF170" s="12">
        <v>0</v>
      </c>
      <c r="BG170" s="12">
        <v>0.71854468117428005</v>
      </c>
      <c r="BH170" s="12">
        <v>0</v>
      </c>
      <c r="BI170" s="12">
        <v>0</v>
      </c>
      <c r="BJ170" s="12">
        <v>0</v>
      </c>
      <c r="BK170" s="12">
        <v>0</v>
      </c>
      <c r="BL170" s="12">
        <v>0</v>
      </c>
      <c r="BM170" s="12">
        <v>0</v>
      </c>
      <c r="BN170" s="12">
        <v>0</v>
      </c>
      <c r="BO170" s="12">
        <f t="shared" si="10"/>
        <v>0.71854468117428005</v>
      </c>
      <c r="BP170" s="12">
        <f t="shared" si="11"/>
        <v>5.9878723431190002E-2</v>
      </c>
      <c r="BQ170" s="7"/>
      <c r="BR170" s="7"/>
      <c r="BS170" s="7" t="s">
        <v>52</v>
      </c>
      <c r="BT170" s="7" t="s">
        <v>53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/>
    </row>
    <row r="171" spans="1:78" x14ac:dyDescent="0.35">
      <c r="A171" s="7" t="s">
        <v>42</v>
      </c>
      <c r="B171" s="7"/>
      <c r="C171" s="7" t="s">
        <v>431</v>
      </c>
      <c r="D171" s="7" t="s">
        <v>230</v>
      </c>
      <c r="E171" s="7" t="s">
        <v>432</v>
      </c>
      <c r="F171" s="7" t="s">
        <v>433</v>
      </c>
      <c r="G171" s="7" t="s">
        <v>47</v>
      </c>
      <c r="H171" s="7"/>
      <c r="I171" s="7"/>
      <c r="J171" s="7" t="s">
        <v>48</v>
      </c>
      <c r="K171" s="7" t="s">
        <v>49</v>
      </c>
      <c r="L171" s="7" t="s">
        <v>49</v>
      </c>
      <c r="M171" s="7" t="s">
        <v>49</v>
      </c>
      <c r="N171" s="7" t="s">
        <v>50</v>
      </c>
      <c r="O171" s="7" t="s">
        <v>4</v>
      </c>
      <c r="P171" s="7">
        <v>8423</v>
      </c>
      <c r="Q171" s="7">
        <v>8423</v>
      </c>
      <c r="R171" s="7">
        <v>8423</v>
      </c>
      <c r="S171" s="7">
        <v>8423</v>
      </c>
      <c r="T171" s="7">
        <v>8423</v>
      </c>
      <c r="U171" s="7">
        <v>8423</v>
      </c>
      <c r="V171" s="7">
        <v>8423</v>
      </c>
      <c r="W171" s="7">
        <v>8423</v>
      </c>
      <c r="X171" s="7">
        <v>8423</v>
      </c>
      <c r="Y171" s="7">
        <v>8423</v>
      </c>
      <c r="Z171" s="7">
        <v>8423</v>
      </c>
      <c r="AA171" s="7">
        <v>8423</v>
      </c>
      <c r="AB171" s="9">
        <v>0.53314850682972004</v>
      </c>
      <c r="AC171" s="9">
        <v>0.53314850682972004</v>
      </c>
      <c r="AD171" s="9">
        <v>0.53314850682972004</v>
      </c>
      <c r="AE171" s="9">
        <v>0.53314850682972004</v>
      </c>
      <c r="AF171" s="9">
        <v>0.53314850682972004</v>
      </c>
      <c r="AG171" s="9">
        <v>0.53314850682972004</v>
      </c>
      <c r="AH171" s="9">
        <v>0.53314850682972004</v>
      </c>
      <c r="AI171" s="9">
        <v>0.53314850682972004</v>
      </c>
      <c r="AJ171" s="9">
        <v>0.53314850682972004</v>
      </c>
      <c r="AK171" s="9">
        <v>0.53314850682972004</v>
      </c>
      <c r="AL171" s="9">
        <v>0.53314850682972004</v>
      </c>
      <c r="AM171" s="9">
        <v>0.53314850682972004</v>
      </c>
      <c r="AN171" s="10">
        <v>0</v>
      </c>
      <c r="AO171" s="10">
        <v>0</v>
      </c>
      <c r="AP171" s="10">
        <v>0</v>
      </c>
      <c r="AQ171" s="10">
        <v>0</v>
      </c>
      <c r="AR171" s="10">
        <v>1</v>
      </c>
      <c r="AS171" s="10">
        <v>0</v>
      </c>
      <c r="AT171" s="10">
        <v>0</v>
      </c>
      <c r="AU171" s="10">
        <v>0</v>
      </c>
      <c r="AV171" s="10">
        <v>0</v>
      </c>
      <c r="AW171" s="10">
        <v>1</v>
      </c>
      <c r="AX171" s="10">
        <v>0</v>
      </c>
      <c r="AY171" s="10">
        <v>0</v>
      </c>
      <c r="AZ171" s="7">
        <f t="shared" si="8"/>
        <v>2</v>
      </c>
      <c r="BA171" s="11">
        <f t="shared" si="9"/>
        <v>0.16666666666666666</v>
      </c>
      <c r="BC171" s="12">
        <v>0</v>
      </c>
      <c r="BD171" s="12">
        <v>0</v>
      </c>
      <c r="BE171" s="12">
        <v>0</v>
      </c>
      <c r="BF171" s="12">
        <v>0</v>
      </c>
      <c r="BG171" s="12">
        <v>0.53314850682972004</v>
      </c>
      <c r="BH171" s="12">
        <v>0</v>
      </c>
      <c r="BI171" s="12">
        <v>0</v>
      </c>
      <c r="BJ171" s="12">
        <v>0</v>
      </c>
      <c r="BK171" s="12">
        <v>0</v>
      </c>
      <c r="BL171" s="12">
        <v>0.53314850682972004</v>
      </c>
      <c r="BM171" s="12">
        <v>0</v>
      </c>
      <c r="BN171" s="12">
        <v>0</v>
      </c>
      <c r="BO171" s="12">
        <f t="shared" si="10"/>
        <v>1.0662970136594401</v>
      </c>
      <c r="BP171" s="12">
        <f t="shared" si="11"/>
        <v>8.8858084471620011E-2</v>
      </c>
      <c r="BQ171" s="7"/>
      <c r="BR171" s="7"/>
      <c r="BS171" s="7" t="s">
        <v>52</v>
      </c>
      <c r="BT171" s="7" t="s">
        <v>53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/>
    </row>
    <row r="172" spans="1:78" x14ac:dyDescent="0.35">
      <c r="A172" s="7" t="s">
        <v>42</v>
      </c>
      <c r="B172" s="7"/>
      <c r="C172" s="7" t="s">
        <v>434</v>
      </c>
      <c r="D172" s="7" t="s">
        <v>435</v>
      </c>
      <c r="E172" s="7" t="s">
        <v>436</v>
      </c>
      <c r="F172" s="7" t="s">
        <v>77</v>
      </c>
      <c r="G172" s="7" t="s">
        <v>47</v>
      </c>
      <c r="H172" s="7"/>
      <c r="I172" s="7"/>
      <c r="J172" s="7" t="s">
        <v>48</v>
      </c>
      <c r="K172" s="7" t="s">
        <v>49</v>
      </c>
      <c r="L172" s="7" t="s">
        <v>49</v>
      </c>
      <c r="M172" s="7" t="s">
        <v>49</v>
      </c>
      <c r="N172" s="7" t="s">
        <v>50</v>
      </c>
      <c r="O172" s="7" t="s">
        <v>4</v>
      </c>
      <c r="P172" s="7">
        <v>1127500</v>
      </c>
      <c r="Q172" s="7">
        <v>1127500</v>
      </c>
      <c r="R172" s="7">
        <v>1127500</v>
      </c>
      <c r="S172" s="7">
        <v>1127500</v>
      </c>
      <c r="T172" s="7">
        <v>1127500</v>
      </c>
      <c r="U172" s="7">
        <v>1127500</v>
      </c>
      <c r="V172" s="7">
        <v>1127500</v>
      </c>
      <c r="W172" s="7">
        <v>1127500</v>
      </c>
      <c r="X172" s="7">
        <v>1127500</v>
      </c>
      <c r="Y172" s="7">
        <v>1127500</v>
      </c>
      <c r="Z172" s="7">
        <v>1127500</v>
      </c>
      <c r="AA172" s="7">
        <v>1127500</v>
      </c>
      <c r="AB172" s="9">
        <v>71.367083159266997</v>
      </c>
      <c r="AC172" s="9">
        <v>71.367083159266997</v>
      </c>
      <c r="AD172" s="9">
        <v>71.367083159266997</v>
      </c>
      <c r="AE172" s="9">
        <v>71.367083159266997</v>
      </c>
      <c r="AF172" s="9">
        <v>71.367083159266997</v>
      </c>
      <c r="AG172" s="9">
        <v>71.367083159266997</v>
      </c>
      <c r="AH172" s="9">
        <v>71.367083159266997</v>
      </c>
      <c r="AI172" s="9">
        <v>71.367083159266997</v>
      </c>
      <c r="AJ172" s="9">
        <v>71.367083159266997</v>
      </c>
      <c r="AK172" s="9">
        <v>71.367083159266997</v>
      </c>
      <c r="AL172" s="9">
        <v>71.367083159266997</v>
      </c>
      <c r="AM172" s="9">
        <v>71.367083159266997</v>
      </c>
      <c r="AN172" s="10">
        <v>0</v>
      </c>
      <c r="AO172" s="10">
        <v>0</v>
      </c>
      <c r="AP172" s="10">
        <v>0</v>
      </c>
      <c r="AQ172" s="10">
        <v>0</v>
      </c>
      <c r="AR172" s="10">
        <v>1</v>
      </c>
      <c r="AS172" s="10">
        <v>0</v>
      </c>
      <c r="AT172" s="10">
        <v>0</v>
      </c>
      <c r="AU172" s="10">
        <v>0</v>
      </c>
      <c r="AV172" s="10">
        <v>1</v>
      </c>
      <c r="AW172" s="10">
        <v>0</v>
      </c>
      <c r="AX172" s="10">
        <v>0</v>
      </c>
      <c r="AY172" s="10">
        <v>1</v>
      </c>
      <c r="AZ172" s="7">
        <f t="shared" si="8"/>
        <v>3</v>
      </c>
      <c r="BA172" s="11">
        <f t="shared" si="9"/>
        <v>0.25</v>
      </c>
      <c r="BC172" s="12">
        <v>0</v>
      </c>
      <c r="BD172" s="12">
        <v>0</v>
      </c>
      <c r="BE172" s="12">
        <v>0</v>
      </c>
      <c r="BF172" s="12">
        <v>0</v>
      </c>
      <c r="BG172" s="12">
        <v>71.367083159266997</v>
      </c>
      <c r="BH172" s="12">
        <v>0</v>
      </c>
      <c r="BI172" s="12">
        <v>0</v>
      </c>
      <c r="BJ172" s="12">
        <v>0</v>
      </c>
      <c r="BK172" s="12">
        <v>71.367083159266997</v>
      </c>
      <c r="BL172" s="12">
        <v>0</v>
      </c>
      <c r="BM172" s="12">
        <v>0</v>
      </c>
      <c r="BN172" s="12">
        <v>71.367083159266997</v>
      </c>
      <c r="BO172" s="12">
        <f t="shared" si="10"/>
        <v>214.10124947780099</v>
      </c>
      <c r="BP172" s="12">
        <f t="shared" si="11"/>
        <v>17.841770789816749</v>
      </c>
      <c r="BQ172" s="7"/>
      <c r="BR172" s="7"/>
      <c r="BS172" s="7" t="s">
        <v>52</v>
      </c>
      <c r="BT172" s="7" t="s">
        <v>53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/>
    </row>
    <row r="173" spans="1:78" x14ac:dyDescent="0.35">
      <c r="A173" s="7" t="s">
        <v>42</v>
      </c>
      <c r="B173" s="7"/>
      <c r="C173" s="7" t="s">
        <v>437</v>
      </c>
      <c r="D173" s="7" t="s">
        <v>438</v>
      </c>
      <c r="E173" s="7" t="s">
        <v>439</v>
      </c>
      <c r="F173" s="7" t="s">
        <v>159</v>
      </c>
      <c r="G173" s="7" t="s">
        <v>47</v>
      </c>
      <c r="H173" s="7"/>
      <c r="I173" s="7"/>
      <c r="J173" s="7" t="s">
        <v>48</v>
      </c>
      <c r="K173" s="7" t="s">
        <v>49</v>
      </c>
      <c r="L173" s="7" t="s">
        <v>49</v>
      </c>
      <c r="M173" s="7" t="s">
        <v>49</v>
      </c>
      <c r="N173" s="7" t="s">
        <v>261</v>
      </c>
      <c r="O173" s="7" t="s">
        <v>4</v>
      </c>
      <c r="P173" s="7">
        <v>800000</v>
      </c>
      <c r="Q173" s="7">
        <v>800000</v>
      </c>
      <c r="R173" s="7">
        <v>800000</v>
      </c>
      <c r="S173" s="7">
        <v>800000</v>
      </c>
      <c r="T173" s="7">
        <v>800000</v>
      </c>
      <c r="U173" s="7">
        <v>800000</v>
      </c>
      <c r="V173" s="7">
        <v>800000</v>
      </c>
      <c r="W173" s="7">
        <v>800000</v>
      </c>
      <c r="X173" s="7">
        <v>800000</v>
      </c>
      <c r="Y173" s="7">
        <v>800000</v>
      </c>
      <c r="Z173" s="7">
        <v>800000</v>
      </c>
      <c r="AA173" s="7">
        <v>800000</v>
      </c>
      <c r="AB173" s="9">
        <v>50.637398250478</v>
      </c>
      <c r="AC173" s="9">
        <v>50.637398250478</v>
      </c>
      <c r="AD173" s="9">
        <v>50.637398250478</v>
      </c>
      <c r="AE173" s="9">
        <v>50.637398250478</v>
      </c>
      <c r="AF173" s="9">
        <v>50.637398250478</v>
      </c>
      <c r="AG173" s="9">
        <v>50.637398250478</v>
      </c>
      <c r="AH173" s="9">
        <v>50.637398250478</v>
      </c>
      <c r="AI173" s="9">
        <v>50.637398250478</v>
      </c>
      <c r="AJ173" s="9">
        <v>50.637398250478</v>
      </c>
      <c r="AK173" s="9">
        <v>50.637398250478</v>
      </c>
      <c r="AL173" s="9">
        <v>50.637398250478</v>
      </c>
      <c r="AM173" s="9">
        <v>50.637398250478</v>
      </c>
      <c r="AN173" s="10">
        <v>0</v>
      </c>
      <c r="AO173" s="10">
        <v>1</v>
      </c>
      <c r="AP173" s="10">
        <v>0</v>
      </c>
      <c r="AQ173" s="10">
        <v>0</v>
      </c>
      <c r="AR173" s="10">
        <v>0</v>
      </c>
      <c r="AS173" s="10">
        <v>0</v>
      </c>
      <c r="AT173" s="10">
        <v>1</v>
      </c>
      <c r="AU173" s="10">
        <v>0</v>
      </c>
      <c r="AV173" s="10">
        <v>0</v>
      </c>
      <c r="AW173" s="10">
        <v>0</v>
      </c>
      <c r="AX173" s="10">
        <v>0</v>
      </c>
      <c r="AY173" s="10">
        <v>0</v>
      </c>
      <c r="AZ173" s="7">
        <f t="shared" si="8"/>
        <v>2</v>
      </c>
      <c r="BA173" s="11">
        <f t="shared" si="9"/>
        <v>0.16666666666666666</v>
      </c>
      <c r="BC173" s="12">
        <v>0</v>
      </c>
      <c r="BD173" s="12">
        <v>50.637398250478</v>
      </c>
      <c r="BE173" s="12">
        <v>0</v>
      </c>
      <c r="BF173" s="12">
        <v>0</v>
      </c>
      <c r="BG173" s="12">
        <v>0</v>
      </c>
      <c r="BH173" s="12">
        <v>0</v>
      </c>
      <c r="BI173" s="12">
        <v>50.637398250478</v>
      </c>
      <c r="BJ173" s="12">
        <v>0</v>
      </c>
      <c r="BK173" s="12">
        <v>0</v>
      </c>
      <c r="BL173" s="12">
        <v>0</v>
      </c>
      <c r="BM173" s="12">
        <v>0</v>
      </c>
      <c r="BN173" s="12">
        <v>0</v>
      </c>
      <c r="BO173" s="12">
        <f t="shared" si="10"/>
        <v>101.274796500956</v>
      </c>
      <c r="BP173" s="12">
        <f t="shared" si="11"/>
        <v>8.4395663750796661</v>
      </c>
      <c r="BQ173" s="7"/>
      <c r="BR173" s="7"/>
      <c r="BS173" s="7" t="s">
        <v>95</v>
      </c>
      <c r="BT173" s="7" t="s">
        <v>53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/>
    </row>
    <row r="174" spans="1:78" x14ac:dyDescent="0.35">
      <c r="A174" s="7" t="s">
        <v>42</v>
      </c>
      <c r="B174" s="7"/>
      <c r="C174" s="7" t="s">
        <v>440</v>
      </c>
      <c r="D174" s="7" t="s">
        <v>121</v>
      </c>
      <c r="E174" s="7" t="s">
        <v>441</v>
      </c>
      <c r="F174" s="7" t="s">
        <v>237</v>
      </c>
      <c r="G174" s="7" t="s">
        <v>47</v>
      </c>
      <c r="H174" s="7"/>
      <c r="I174" s="7"/>
      <c r="J174" s="7" t="s">
        <v>48</v>
      </c>
      <c r="K174" s="7" t="s">
        <v>49</v>
      </c>
      <c r="L174" s="7" t="s">
        <v>49</v>
      </c>
      <c r="M174" s="7" t="s">
        <v>49</v>
      </c>
      <c r="N174" s="7" t="s">
        <v>245</v>
      </c>
      <c r="O174" s="7" t="s">
        <v>4</v>
      </c>
      <c r="P174" s="7">
        <v>410000</v>
      </c>
      <c r="Q174" s="7">
        <v>410000</v>
      </c>
      <c r="R174" s="7">
        <v>410000</v>
      </c>
      <c r="S174" s="7">
        <v>410000</v>
      </c>
      <c r="T174" s="7">
        <v>410000</v>
      </c>
      <c r="U174" s="7">
        <v>410000</v>
      </c>
      <c r="V174" s="7">
        <v>410000</v>
      </c>
      <c r="W174" s="7">
        <v>410000</v>
      </c>
      <c r="X174" s="7">
        <v>410000</v>
      </c>
      <c r="Y174" s="7">
        <v>410000</v>
      </c>
      <c r="Z174" s="7">
        <v>410000</v>
      </c>
      <c r="AA174" s="7">
        <v>410000</v>
      </c>
      <c r="AB174" s="9">
        <v>25.951666603370001</v>
      </c>
      <c r="AC174" s="9">
        <v>25.951666603370001</v>
      </c>
      <c r="AD174" s="9">
        <v>25.951666603370001</v>
      </c>
      <c r="AE174" s="9">
        <v>25.951666603370001</v>
      </c>
      <c r="AF174" s="9">
        <v>25.951666603370001</v>
      </c>
      <c r="AG174" s="9">
        <v>25.951666603370001</v>
      </c>
      <c r="AH174" s="9">
        <v>25.951666603370001</v>
      </c>
      <c r="AI174" s="9">
        <v>25.951666603370001</v>
      </c>
      <c r="AJ174" s="9">
        <v>25.951666603370001</v>
      </c>
      <c r="AK174" s="9">
        <v>25.951666603370001</v>
      </c>
      <c r="AL174" s="9">
        <v>25.951666603370001</v>
      </c>
      <c r="AM174" s="9">
        <v>25.951666603370001</v>
      </c>
      <c r="AN174" s="10">
        <v>0</v>
      </c>
      <c r="AO174" s="10">
        <v>0</v>
      </c>
      <c r="AP174" s="10">
        <v>0</v>
      </c>
      <c r="AQ174" s="10">
        <v>0</v>
      </c>
      <c r="AR174" s="10">
        <v>0</v>
      </c>
      <c r="AS174" s="10">
        <v>0</v>
      </c>
      <c r="AT174" s="10">
        <v>0</v>
      </c>
      <c r="AU174" s="10">
        <v>0</v>
      </c>
      <c r="AV174" s="10">
        <v>0</v>
      </c>
      <c r="AW174" s="10">
        <v>0</v>
      </c>
      <c r="AX174" s="10">
        <v>1</v>
      </c>
      <c r="AY174" s="10">
        <v>0</v>
      </c>
      <c r="AZ174" s="7">
        <f t="shared" si="8"/>
        <v>1</v>
      </c>
      <c r="BA174" s="11">
        <f t="shared" si="9"/>
        <v>8.3333333333333329E-2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  <c r="BL174" s="12">
        <v>0</v>
      </c>
      <c r="BM174" s="12">
        <v>25.951666603370001</v>
      </c>
      <c r="BN174" s="12">
        <v>0</v>
      </c>
      <c r="BO174" s="12">
        <f t="shared" si="10"/>
        <v>25.951666603370001</v>
      </c>
      <c r="BP174" s="12">
        <f t="shared" si="11"/>
        <v>2.1626388836141666</v>
      </c>
      <c r="BQ174" s="7"/>
      <c r="BR174" s="7"/>
      <c r="BS174" s="7" t="s">
        <v>95</v>
      </c>
      <c r="BT174" s="7" t="s">
        <v>53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/>
    </row>
    <row r="175" spans="1:78" x14ac:dyDescent="0.35">
      <c r="A175" s="7" t="s">
        <v>42</v>
      </c>
      <c r="B175" s="7"/>
      <c r="C175" s="7" t="s">
        <v>442</v>
      </c>
      <c r="D175" s="7" t="s">
        <v>121</v>
      </c>
      <c r="E175" s="7" t="s">
        <v>443</v>
      </c>
      <c r="F175" s="7" t="s">
        <v>237</v>
      </c>
      <c r="G175" s="7" t="s">
        <v>47</v>
      </c>
      <c r="H175" s="7"/>
      <c r="I175" s="7"/>
      <c r="J175" s="7" t="s">
        <v>48</v>
      </c>
      <c r="K175" s="7" t="s">
        <v>49</v>
      </c>
      <c r="L175" s="7" t="s">
        <v>49</v>
      </c>
      <c r="M175" s="7" t="s">
        <v>49</v>
      </c>
      <c r="N175" s="7" t="s">
        <v>245</v>
      </c>
      <c r="O175" s="7" t="s">
        <v>4</v>
      </c>
      <c r="P175" s="7">
        <v>205000</v>
      </c>
      <c r="Q175" s="7">
        <v>205000</v>
      </c>
      <c r="R175" s="7">
        <v>205000</v>
      </c>
      <c r="S175" s="7">
        <v>205000</v>
      </c>
      <c r="T175" s="7">
        <v>205000</v>
      </c>
      <c r="U175" s="7">
        <v>205000</v>
      </c>
      <c r="V175" s="7">
        <v>205000</v>
      </c>
      <c r="W175" s="7">
        <v>205000</v>
      </c>
      <c r="X175" s="7">
        <v>205000</v>
      </c>
      <c r="Y175" s="7">
        <v>205000</v>
      </c>
      <c r="Z175" s="7">
        <v>205000</v>
      </c>
      <c r="AA175" s="7">
        <v>205000</v>
      </c>
      <c r="AB175" s="9">
        <v>12.975833301685</v>
      </c>
      <c r="AC175" s="9">
        <v>12.975833301685</v>
      </c>
      <c r="AD175" s="9">
        <v>12.975833301685</v>
      </c>
      <c r="AE175" s="9">
        <v>12.975833301685</v>
      </c>
      <c r="AF175" s="9">
        <v>12.975833301685</v>
      </c>
      <c r="AG175" s="9">
        <v>12.975833301685</v>
      </c>
      <c r="AH175" s="9">
        <v>12.975833301685</v>
      </c>
      <c r="AI175" s="9">
        <v>12.975833301685</v>
      </c>
      <c r="AJ175" s="9">
        <v>12.975833301685</v>
      </c>
      <c r="AK175" s="9">
        <v>12.975833301685</v>
      </c>
      <c r="AL175" s="9">
        <v>12.975833301685</v>
      </c>
      <c r="AM175" s="9">
        <v>12.975833301685</v>
      </c>
      <c r="AN175" s="10">
        <v>0</v>
      </c>
      <c r="AO175" s="10">
        <v>0</v>
      </c>
      <c r="AP175" s="10">
        <v>0</v>
      </c>
      <c r="AQ175" s="10">
        <v>0</v>
      </c>
      <c r="AR175" s="10">
        <v>0</v>
      </c>
      <c r="AS175" s="10">
        <v>0</v>
      </c>
      <c r="AT175" s="10">
        <v>0</v>
      </c>
      <c r="AU175" s="10">
        <v>0</v>
      </c>
      <c r="AV175" s="10">
        <v>0</v>
      </c>
      <c r="AW175" s="10">
        <v>0</v>
      </c>
      <c r="AX175" s="10">
        <v>2</v>
      </c>
      <c r="AY175" s="10">
        <v>0</v>
      </c>
      <c r="AZ175" s="7">
        <f t="shared" si="8"/>
        <v>2</v>
      </c>
      <c r="BA175" s="11">
        <f t="shared" si="9"/>
        <v>0.16666666666666666</v>
      </c>
      <c r="BC175" s="12">
        <v>0</v>
      </c>
      <c r="BD175" s="12">
        <v>0</v>
      </c>
      <c r="BE175" s="12">
        <v>0</v>
      </c>
      <c r="BF175" s="12">
        <v>0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  <c r="BL175" s="12">
        <v>0</v>
      </c>
      <c r="BM175" s="12">
        <v>25.951666603370001</v>
      </c>
      <c r="BN175" s="12">
        <v>0</v>
      </c>
      <c r="BO175" s="12">
        <f t="shared" si="10"/>
        <v>25.951666603370001</v>
      </c>
      <c r="BP175" s="12">
        <f t="shared" si="11"/>
        <v>2.1626388836141666</v>
      </c>
      <c r="BQ175" s="7"/>
      <c r="BR175" s="7"/>
      <c r="BS175" s="7" t="s">
        <v>95</v>
      </c>
      <c r="BT175" s="7" t="s">
        <v>53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/>
    </row>
    <row r="176" spans="1:78" x14ac:dyDescent="0.35">
      <c r="A176" s="7" t="s">
        <v>42</v>
      </c>
      <c r="B176" s="7"/>
      <c r="C176" s="7" t="s">
        <v>444</v>
      </c>
      <c r="D176" s="7" t="s">
        <v>117</v>
      </c>
      <c r="E176" s="7" t="s">
        <v>445</v>
      </c>
      <c r="F176" s="7" t="s">
        <v>446</v>
      </c>
      <c r="G176" s="7" t="s">
        <v>47</v>
      </c>
      <c r="H176" s="7"/>
      <c r="I176" s="7"/>
      <c r="J176" s="7" t="s">
        <v>48</v>
      </c>
      <c r="K176" s="7" t="s">
        <v>49</v>
      </c>
      <c r="L176" s="7" t="s">
        <v>49</v>
      </c>
      <c r="M176" s="7" t="s">
        <v>49</v>
      </c>
      <c r="N176" s="7" t="s">
        <v>115</v>
      </c>
      <c r="O176" s="7" t="s">
        <v>4</v>
      </c>
      <c r="P176" s="7">
        <v>75000</v>
      </c>
      <c r="Q176" s="7">
        <v>75000</v>
      </c>
      <c r="R176" s="7">
        <v>75000</v>
      </c>
      <c r="S176" s="7">
        <v>75000</v>
      </c>
      <c r="T176" s="7">
        <v>75000</v>
      </c>
      <c r="U176" s="7">
        <v>75000</v>
      </c>
      <c r="V176" s="7">
        <v>75000</v>
      </c>
      <c r="W176" s="7">
        <v>75000</v>
      </c>
      <c r="X176" s="7">
        <v>75000</v>
      </c>
      <c r="Y176" s="7">
        <v>75000</v>
      </c>
      <c r="Z176" s="7">
        <v>75000</v>
      </c>
      <c r="AA176" s="7">
        <v>75000</v>
      </c>
      <c r="AB176" s="9">
        <v>4.7472560859822996</v>
      </c>
      <c r="AC176" s="9">
        <v>4.7472560859822996</v>
      </c>
      <c r="AD176" s="9">
        <v>4.7472560859822996</v>
      </c>
      <c r="AE176" s="9">
        <v>4.7472560859822996</v>
      </c>
      <c r="AF176" s="9">
        <v>4.7472560859822996</v>
      </c>
      <c r="AG176" s="9">
        <v>4.7472560859822996</v>
      </c>
      <c r="AH176" s="9">
        <v>4.7472560859822996</v>
      </c>
      <c r="AI176" s="9">
        <v>4.7472560859822996</v>
      </c>
      <c r="AJ176" s="9">
        <v>4.7472560859822996</v>
      </c>
      <c r="AK176" s="9">
        <v>4.7472560859822996</v>
      </c>
      <c r="AL176" s="9">
        <v>4.7472560859822996</v>
      </c>
      <c r="AM176" s="9">
        <v>4.7472560859822996</v>
      </c>
      <c r="AN176" s="10">
        <v>0</v>
      </c>
      <c r="AO176" s="10">
        <v>0</v>
      </c>
      <c r="AP176" s="10">
        <v>1</v>
      </c>
      <c r="AQ176" s="10">
        <v>0</v>
      </c>
      <c r="AR176" s="10">
        <v>0</v>
      </c>
      <c r="AS176" s="10">
        <v>0</v>
      </c>
      <c r="AT176" s="10">
        <v>0</v>
      </c>
      <c r="AU176" s="10">
        <v>0</v>
      </c>
      <c r="AV176" s="10">
        <v>0</v>
      </c>
      <c r="AW176" s="10">
        <v>1</v>
      </c>
      <c r="AX176" s="10">
        <v>0</v>
      </c>
      <c r="AY176" s="10">
        <v>0</v>
      </c>
      <c r="AZ176" s="7">
        <f t="shared" si="8"/>
        <v>2</v>
      </c>
      <c r="BA176" s="11">
        <f t="shared" si="9"/>
        <v>0.16666666666666666</v>
      </c>
      <c r="BC176" s="12">
        <v>0</v>
      </c>
      <c r="BD176" s="12">
        <v>0</v>
      </c>
      <c r="BE176" s="12">
        <v>4.7472560859822996</v>
      </c>
      <c r="BF176" s="12">
        <v>0</v>
      </c>
      <c r="BG176" s="12">
        <v>0</v>
      </c>
      <c r="BH176" s="12">
        <v>0</v>
      </c>
      <c r="BI176" s="12">
        <v>0</v>
      </c>
      <c r="BJ176" s="12">
        <v>0</v>
      </c>
      <c r="BK176" s="12">
        <v>0</v>
      </c>
      <c r="BL176" s="12">
        <v>4.7472560859822996</v>
      </c>
      <c r="BM176" s="12">
        <v>0</v>
      </c>
      <c r="BN176" s="12">
        <v>0</v>
      </c>
      <c r="BO176" s="12">
        <f t="shared" si="10"/>
        <v>9.4945121719645993</v>
      </c>
      <c r="BP176" s="12">
        <f t="shared" si="11"/>
        <v>0.79120934766371664</v>
      </c>
      <c r="BQ176" s="7"/>
      <c r="BR176" s="7"/>
      <c r="BS176" s="7" t="s">
        <v>52</v>
      </c>
      <c r="BT176" s="7" t="s">
        <v>53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/>
    </row>
    <row r="177" spans="1:78" x14ac:dyDescent="0.35">
      <c r="A177" s="7" t="s">
        <v>42</v>
      </c>
      <c r="B177" s="7"/>
      <c r="C177" s="7" t="s">
        <v>447</v>
      </c>
      <c r="D177" s="7" t="s">
        <v>112</v>
      </c>
      <c r="E177" s="7" t="s">
        <v>448</v>
      </c>
      <c r="F177" s="7" t="s">
        <v>449</v>
      </c>
      <c r="G177" s="7" t="s">
        <v>47</v>
      </c>
      <c r="H177" s="7"/>
      <c r="I177" s="7"/>
      <c r="J177" s="7" t="s">
        <v>48</v>
      </c>
      <c r="K177" s="7" t="s">
        <v>49</v>
      </c>
      <c r="L177" s="7" t="s">
        <v>49</v>
      </c>
      <c r="M177" s="7" t="s">
        <v>49</v>
      </c>
      <c r="N177" s="7" t="s">
        <v>115</v>
      </c>
      <c r="O177" s="7" t="s">
        <v>4</v>
      </c>
      <c r="P177" s="7">
        <v>200000</v>
      </c>
      <c r="Q177" s="7">
        <v>200000</v>
      </c>
      <c r="R177" s="7">
        <v>200000</v>
      </c>
      <c r="S177" s="7">
        <v>200000</v>
      </c>
      <c r="T177" s="7">
        <v>200000</v>
      </c>
      <c r="U177" s="7">
        <v>200000</v>
      </c>
      <c r="V177" s="7">
        <v>200000</v>
      </c>
      <c r="W177" s="7">
        <v>200000</v>
      </c>
      <c r="X177" s="7">
        <v>200000</v>
      </c>
      <c r="Y177" s="7">
        <v>200000</v>
      </c>
      <c r="Z177" s="7">
        <v>200000</v>
      </c>
      <c r="AA177" s="7">
        <v>200000</v>
      </c>
      <c r="AB177" s="9">
        <v>12.659349562618999</v>
      </c>
      <c r="AC177" s="9">
        <v>12.659349562618999</v>
      </c>
      <c r="AD177" s="9">
        <v>12.659349562618999</v>
      </c>
      <c r="AE177" s="9">
        <v>12.659349562618999</v>
      </c>
      <c r="AF177" s="9">
        <v>12.659349562618999</v>
      </c>
      <c r="AG177" s="9">
        <v>12.659349562618999</v>
      </c>
      <c r="AH177" s="9">
        <v>12.659349562618999</v>
      </c>
      <c r="AI177" s="9">
        <v>12.659349562618999</v>
      </c>
      <c r="AJ177" s="9">
        <v>12.659349562618999</v>
      </c>
      <c r="AK177" s="9">
        <v>12.659349562618999</v>
      </c>
      <c r="AL177" s="9">
        <v>12.659349562618999</v>
      </c>
      <c r="AM177" s="9">
        <v>12.659349562618999</v>
      </c>
      <c r="AN177" s="10">
        <v>0</v>
      </c>
      <c r="AO177" s="10">
        <v>0</v>
      </c>
      <c r="AP177" s="10">
        <v>0</v>
      </c>
      <c r="AQ177" s="10">
        <v>1</v>
      </c>
      <c r="AR177" s="10">
        <v>0</v>
      </c>
      <c r="AS177" s="10">
        <v>0</v>
      </c>
      <c r="AT177" s="10">
        <v>0</v>
      </c>
      <c r="AU177" s="10">
        <v>0</v>
      </c>
      <c r="AV177" s="10">
        <v>0</v>
      </c>
      <c r="AW177" s="10">
        <v>1</v>
      </c>
      <c r="AX177" s="10">
        <v>0</v>
      </c>
      <c r="AY177" s="10">
        <v>0</v>
      </c>
      <c r="AZ177" s="7">
        <f t="shared" si="8"/>
        <v>2</v>
      </c>
      <c r="BA177" s="11">
        <f t="shared" si="9"/>
        <v>0.16666666666666666</v>
      </c>
      <c r="BC177" s="12">
        <v>0</v>
      </c>
      <c r="BD177" s="12">
        <v>0</v>
      </c>
      <c r="BE177" s="12">
        <v>0</v>
      </c>
      <c r="BF177" s="12">
        <v>12.659349562618999</v>
      </c>
      <c r="BG177" s="12">
        <v>0</v>
      </c>
      <c r="BH177" s="12">
        <v>0</v>
      </c>
      <c r="BI177" s="12">
        <v>0</v>
      </c>
      <c r="BJ177" s="12">
        <v>0</v>
      </c>
      <c r="BK177" s="12">
        <v>0</v>
      </c>
      <c r="BL177" s="12">
        <v>12.659349562618999</v>
      </c>
      <c r="BM177" s="12">
        <v>0</v>
      </c>
      <c r="BN177" s="12">
        <v>0</v>
      </c>
      <c r="BO177" s="12">
        <f t="shared" si="10"/>
        <v>25.318699125237998</v>
      </c>
      <c r="BP177" s="12">
        <f t="shared" si="11"/>
        <v>2.109891593769833</v>
      </c>
      <c r="BQ177" s="7"/>
      <c r="BR177" s="7"/>
      <c r="BS177" s="7" t="s">
        <v>52</v>
      </c>
      <c r="BT177" s="7" t="s">
        <v>53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/>
    </row>
    <row r="178" spans="1:78" x14ac:dyDescent="0.35">
      <c r="A178" s="7" t="s">
        <v>42</v>
      </c>
      <c r="B178" s="7"/>
      <c r="C178" s="7" t="s">
        <v>450</v>
      </c>
      <c r="D178" s="7" t="s">
        <v>117</v>
      </c>
      <c r="E178" s="7" t="s">
        <v>451</v>
      </c>
      <c r="F178" s="7" t="s">
        <v>452</v>
      </c>
      <c r="G178" s="7" t="s">
        <v>47</v>
      </c>
      <c r="H178" s="7"/>
      <c r="I178" s="7"/>
      <c r="J178" s="7" t="s">
        <v>48</v>
      </c>
      <c r="K178" s="7" t="s">
        <v>49</v>
      </c>
      <c r="L178" s="7" t="s">
        <v>49</v>
      </c>
      <c r="M178" s="7" t="s">
        <v>49</v>
      </c>
      <c r="N178" s="7" t="s">
        <v>115</v>
      </c>
      <c r="O178" s="7" t="s">
        <v>4</v>
      </c>
      <c r="P178" s="7">
        <v>100000</v>
      </c>
      <c r="Q178" s="7">
        <v>100000</v>
      </c>
      <c r="R178" s="7">
        <v>100000</v>
      </c>
      <c r="S178" s="7">
        <v>100000</v>
      </c>
      <c r="T178" s="7">
        <v>100000</v>
      </c>
      <c r="U178" s="7">
        <v>100000</v>
      </c>
      <c r="V178" s="7">
        <v>100000</v>
      </c>
      <c r="W178" s="7">
        <v>100000</v>
      </c>
      <c r="X178" s="7">
        <v>100000</v>
      </c>
      <c r="Y178" s="7">
        <v>100000</v>
      </c>
      <c r="Z178" s="7">
        <v>100000</v>
      </c>
      <c r="AA178" s="7">
        <v>100000</v>
      </c>
      <c r="AB178" s="9">
        <v>6.3296747813097003</v>
      </c>
      <c r="AC178" s="9">
        <v>6.3296747813097003</v>
      </c>
      <c r="AD178" s="9">
        <v>6.3296747813097003</v>
      </c>
      <c r="AE178" s="9">
        <v>6.3296747813097003</v>
      </c>
      <c r="AF178" s="9">
        <v>6.3296747813097003</v>
      </c>
      <c r="AG178" s="9">
        <v>6.3296747813097003</v>
      </c>
      <c r="AH178" s="9">
        <v>6.3296747813097003</v>
      </c>
      <c r="AI178" s="9">
        <v>6.3296747813097003</v>
      </c>
      <c r="AJ178" s="9">
        <v>6.3296747813097003</v>
      </c>
      <c r="AK178" s="9">
        <v>6.3296747813097003</v>
      </c>
      <c r="AL178" s="9">
        <v>6.3296747813097003</v>
      </c>
      <c r="AM178" s="9">
        <v>6.3296747813097003</v>
      </c>
      <c r="AN178" s="10">
        <v>1</v>
      </c>
      <c r="AO178" s="10">
        <v>0</v>
      </c>
      <c r="AP178" s="10">
        <v>0</v>
      </c>
      <c r="AQ178" s="10">
        <v>0</v>
      </c>
      <c r="AR178" s="10">
        <v>0</v>
      </c>
      <c r="AS178" s="10">
        <v>0</v>
      </c>
      <c r="AT178" s="10">
        <v>0</v>
      </c>
      <c r="AU178" s="10">
        <v>0</v>
      </c>
      <c r="AV178" s="10">
        <v>0</v>
      </c>
      <c r="AW178" s="10">
        <v>0</v>
      </c>
      <c r="AX178" s="10">
        <v>0</v>
      </c>
      <c r="AY178" s="10">
        <v>0</v>
      </c>
      <c r="AZ178" s="7">
        <f t="shared" si="8"/>
        <v>1</v>
      </c>
      <c r="BA178" s="11">
        <f t="shared" si="9"/>
        <v>8.3333333333333329E-2</v>
      </c>
      <c r="BC178" s="12">
        <v>6.3296747813097003</v>
      </c>
      <c r="BD178" s="12">
        <v>0</v>
      </c>
      <c r="BE178" s="12">
        <v>0</v>
      </c>
      <c r="BF178" s="12">
        <v>0</v>
      </c>
      <c r="BG178" s="12">
        <v>0</v>
      </c>
      <c r="BH178" s="12">
        <v>0</v>
      </c>
      <c r="BI178" s="12">
        <v>0</v>
      </c>
      <c r="BJ178" s="12">
        <v>0</v>
      </c>
      <c r="BK178" s="12">
        <v>0</v>
      </c>
      <c r="BL178" s="12">
        <v>0</v>
      </c>
      <c r="BM178" s="12">
        <v>0</v>
      </c>
      <c r="BN178" s="12">
        <v>0</v>
      </c>
      <c r="BO178" s="12">
        <f t="shared" si="10"/>
        <v>6.3296747813097003</v>
      </c>
      <c r="BP178" s="12">
        <f t="shared" si="11"/>
        <v>0.52747289844247502</v>
      </c>
      <c r="BQ178" s="7"/>
      <c r="BR178" s="7"/>
      <c r="BS178" s="7" t="s">
        <v>52</v>
      </c>
      <c r="BT178" s="7" t="s">
        <v>53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/>
    </row>
    <row r="179" spans="1:78" x14ac:dyDescent="0.35">
      <c r="A179" s="7" t="s">
        <v>42</v>
      </c>
      <c r="B179" s="7"/>
      <c r="C179" s="7" t="s">
        <v>146</v>
      </c>
      <c r="D179" s="7" t="s">
        <v>147</v>
      </c>
      <c r="E179" s="7" t="s">
        <v>148</v>
      </c>
      <c r="F179" s="7" t="s">
        <v>212</v>
      </c>
      <c r="G179" s="7" t="s">
        <v>47</v>
      </c>
      <c r="H179" s="7"/>
      <c r="I179" s="7"/>
      <c r="J179" s="7" t="s">
        <v>48</v>
      </c>
      <c r="K179" s="7" t="s">
        <v>49</v>
      </c>
      <c r="L179" s="7" t="s">
        <v>49</v>
      </c>
      <c r="M179" s="7" t="s">
        <v>49</v>
      </c>
      <c r="N179" s="7" t="s">
        <v>100</v>
      </c>
      <c r="O179" s="7" t="s">
        <v>4</v>
      </c>
      <c r="P179" s="7">
        <v>35000</v>
      </c>
      <c r="Q179" s="7">
        <v>35000</v>
      </c>
      <c r="R179" s="7">
        <v>35000</v>
      </c>
      <c r="S179" s="7">
        <v>35000</v>
      </c>
      <c r="T179" s="7">
        <v>35000</v>
      </c>
      <c r="U179" s="7">
        <v>35000</v>
      </c>
      <c r="V179" s="7">
        <v>35000</v>
      </c>
      <c r="W179" s="7">
        <v>35000</v>
      </c>
      <c r="X179" s="7">
        <v>35000</v>
      </c>
      <c r="Y179" s="7">
        <v>35000</v>
      </c>
      <c r="Z179" s="7">
        <v>35000</v>
      </c>
      <c r="AA179" s="7">
        <v>35000</v>
      </c>
      <c r="AB179" s="9">
        <v>2.2153861734584002</v>
      </c>
      <c r="AC179" s="9">
        <v>2.2153861734584002</v>
      </c>
      <c r="AD179" s="9">
        <v>2.2153861734584002</v>
      </c>
      <c r="AE179" s="9">
        <v>2.2153861734584002</v>
      </c>
      <c r="AF179" s="9">
        <v>2.2153861734584002</v>
      </c>
      <c r="AG179" s="9">
        <v>2.2153861734584002</v>
      </c>
      <c r="AH179" s="9">
        <v>2.2153861734584002</v>
      </c>
      <c r="AI179" s="9">
        <v>2.2153861734584002</v>
      </c>
      <c r="AJ179" s="9">
        <v>2.2153861734584002</v>
      </c>
      <c r="AK179" s="9">
        <v>2.2153861734584002</v>
      </c>
      <c r="AL179" s="9">
        <v>2.2153861734584002</v>
      </c>
      <c r="AM179" s="9">
        <v>2.2153861734584002</v>
      </c>
      <c r="AN179" s="10">
        <v>0</v>
      </c>
      <c r="AO179" s="10">
        <v>0</v>
      </c>
      <c r="AP179" s="10">
        <v>0</v>
      </c>
      <c r="AQ179" s="10">
        <v>0</v>
      </c>
      <c r="AR179" s="10">
        <v>6</v>
      </c>
      <c r="AS179" s="10">
        <v>0</v>
      </c>
      <c r="AT179" s="10">
        <v>0</v>
      </c>
      <c r="AU179" s="10">
        <v>0</v>
      </c>
      <c r="AV179" s="10">
        <v>0</v>
      </c>
      <c r="AW179" s="10">
        <v>0</v>
      </c>
      <c r="AX179" s="10">
        <v>0</v>
      </c>
      <c r="AY179" s="10">
        <v>0</v>
      </c>
      <c r="AZ179" s="7">
        <f t="shared" si="8"/>
        <v>6</v>
      </c>
      <c r="BA179" s="11">
        <f t="shared" si="9"/>
        <v>0.5</v>
      </c>
      <c r="BC179" s="12">
        <v>0</v>
      </c>
      <c r="BD179" s="12">
        <v>0</v>
      </c>
      <c r="BE179" s="12">
        <v>0</v>
      </c>
      <c r="BF179" s="12">
        <v>0</v>
      </c>
      <c r="BG179" s="12">
        <v>13.29231704075</v>
      </c>
      <c r="BH179" s="12">
        <v>0</v>
      </c>
      <c r="BI179" s="12">
        <v>0</v>
      </c>
      <c r="BJ179" s="12">
        <v>0</v>
      </c>
      <c r="BK179" s="12">
        <v>0</v>
      </c>
      <c r="BL179" s="12">
        <v>0</v>
      </c>
      <c r="BM179" s="12">
        <v>0</v>
      </c>
      <c r="BN179" s="12">
        <v>0</v>
      </c>
      <c r="BO179" s="12">
        <f t="shared" si="10"/>
        <v>13.29231704075</v>
      </c>
      <c r="BP179" s="12">
        <f t="shared" si="11"/>
        <v>1.1076930867291666</v>
      </c>
      <c r="BQ179" s="7"/>
      <c r="BR179" s="7"/>
      <c r="BS179" s="7" t="s">
        <v>95</v>
      </c>
      <c r="BT179" s="7" t="s">
        <v>53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/>
    </row>
    <row r="180" spans="1:78" x14ac:dyDescent="0.35">
      <c r="A180" s="7" t="s">
        <v>42</v>
      </c>
      <c r="B180" s="7"/>
      <c r="C180" s="7" t="s">
        <v>453</v>
      </c>
      <c r="D180" s="7" t="s">
        <v>251</v>
      </c>
      <c r="E180" s="7" t="s">
        <v>454</v>
      </c>
      <c r="F180" s="7" t="s">
        <v>455</v>
      </c>
      <c r="G180" s="7" t="s">
        <v>47</v>
      </c>
      <c r="H180" s="7"/>
      <c r="I180" s="7"/>
      <c r="J180" s="7" t="s">
        <v>48</v>
      </c>
      <c r="K180" s="7" t="s">
        <v>49</v>
      </c>
      <c r="L180" s="7" t="s">
        <v>49</v>
      </c>
      <c r="M180" s="7" t="s">
        <v>49</v>
      </c>
      <c r="N180" s="7" t="s">
        <v>252</v>
      </c>
      <c r="O180" s="7" t="s">
        <v>4</v>
      </c>
      <c r="P180" s="7">
        <v>22500</v>
      </c>
      <c r="Q180" s="7">
        <v>22500</v>
      </c>
      <c r="R180" s="7">
        <v>22500</v>
      </c>
      <c r="S180" s="7">
        <v>22500</v>
      </c>
      <c r="T180" s="7">
        <v>22500</v>
      </c>
      <c r="U180" s="7">
        <v>22500</v>
      </c>
      <c r="V180" s="7">
        <v>22500</v>
      </c>
      <c r="W180" s="7">
        <v>22500</v>
      </c>
      <c r="X180" s="7">
        <v>22500</v>
      </c>
      <c r="Y180" s="7">
        <v>22500</v>
      </c>
      <c r="Z180" s="7">
        <v>22500</v>
      </c>
      <c r="AA180" s="7">
        <v>22500</v>
      </c>
      <c r="AB180" s="9">
        <v>1.4241768257947001</v>
      </c>
      <c r="AC180" s="9">
        <v>1.4241768257947001</v>
      </c>
      <c r="AD180" s="9">
        <v>1.4241768257947001</v>
      </c>
      <c r="AE180" s="9">
        <v>1.4241768257947001</v>
      </c>
      <c r="AF180" s="9">
        <v>1.4241768257947001</v>
      </c>
      <c r="AG180" s="9">
        <v>1.4241768257947001</v>
      </c>
      <c r="AH180" s="9">
        <v>1.4241768257947001</v>
      </c>
      <c r="AI180" s="9">
        <v>1.4241768257947001</v>
      </c>
      <c r="AJ180" s="9">
        <v>1.4241768257947001</v>
      </c>
      <c r="AK180" s="9">
        <v>1.4241768257947001</v>
      </c>
      <c r="AL180" s="9">
        <v>1.4241768257947001</v>
      </c>
      <c r="AM180" s="9">
        <v>1.4241768257947001</v>
      </c>
      <c r="AN180" s="10">
        <v>0</v>
      </c>
      <c r="AO180" s="10">
        <v>15</v>
      </c>
      <c r="AP180" s="10">
        <v>0</v>
      </c>
      <c r="AQ180" s="10">
        <v>15</v>
      </c>
      <c r="AR180" s="10">
        <v>0</v>
      </c>
      <c r="AS180" s="10">
        <v>15</v>
      </c>
      <c r="AT180" s="10">
        <v>0</v>
      </c>
      <c r="AU180" s="10">
        <v>15</v>
      </c>
      <c r="AV180" s="10">
        <v>0</v>
      </c>
      <c r="AW180" s="10">
        <v>15</v>
      </c>
      <c r="AX180" s="10">
        <v>0</v>
      </c>
      <c r="AY180" s="10">
        <v>15</v>
      </c>
      <c r="AZ180" s="7">
        <f t="shared" si="8"/>
        <v>90</v>
      </c>
      <c r="BA180" s="11">
        <f t="shared" si="9"/>
        <v>7.5</v>
      </c>
      <c r="BC180" s="12">
        <v>0</v>
      </c>
      <c r="BD180" s="12">
        <v>21.362652386920001</v>
      </c>
      <c r="BE180" s="12">
        <v>0</v>
      </c>
      <c r="BF180" s="12">
        <v>21.362652386920001</v>
      </c>
      <c r="BG180" s="12">
        <v>0</v>
      </c>
      <c r="BH180" s="12">
        <v>21.362652386920001</v>
      </c>
      <c r="BI180" s="12">
        <v>0</v>
      </c>
      <c r="BJ180" s="12">
        <v>21.362652386920001</v>
      </c>
      <c r="BK180" s="12">
        <v>0</v>
      </c>
      <c r="BL180" s="12">
        <v>21.362652386920001</v>
      </c>
      <c r="BM180" s="12">
        <v>0</v>
      </c>
      <c r="BN180" s="12">
        <v>21.362652386920001</v>
      </c>
      <c r="BO180" s="12">
        <f t="shared" si="10"/>
        <v>128.17591432152</v>
      </c>
      <c r="BP180" s="12">
        <f t="shared" si="11"/>
        <v>10.68132619346</v>
      </c>
      <c r="BQ180" s="7"/>
      <c r="BR180" s="7"/>
      <c r="BS180" s="7" t="s">
        <v>52</v>
      </c>
      <c r="BT180" s="7" t="s">
        <v>53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/>
    </row>
    <row r="181" spans="1:78" x14ac:dyDescent="0.35">
      <c r="A181" s="7" t="s">
        <v>42</v>
      </c>
      <c r="B181" s="7"/>
      <c r="C181" s="7" t="s">
        <v>456</v>
      </c>
      <c r="D181" s="7" t="s">
        <v>230</v>
      </c>
      <c r="E181" s="7" t="s">
        <v>457</v>
      </c>
      <c r="F181" s="7" t="s">
        <v>458</v>
      </c>
      <c r="G181" s="7" t="s">
        <v>47</v>
      </c>
      <c r="H181" s="7"/>
      <c r="I181" s="7"/>
      <c r="J181" s="7" t="s">
        <v>48</v>
      </c>
      <c r="K181" s="7" t="s">
        <v>49</v>
      </c>
      <c r="L181" s="7" t="s">
        <v>49</v>
      </c>
      <c r="M181" s="7" t="s">
        <v>49</v>
      </c>
      <c r="N181" s="7" t="s">
        <v>50</v>
      </c>
      <c r="O181" s="7" t="s">
        <v>4</v>
      </c>
      <c r="P181" s="7">
        <v>1800</v>
      </c>
      <c r="Q181" s="7">
        <v>1800</v>
      </c>
      <c r="R181" s="7">
        <v>1800</v>
      </c>
      <c r="S181" s="7">
        <v>1800</v>
      </c>
      <c r="T181" s="7">
        <v>1800</v>
      </c>
      <c r="U181" s="7">
        <v>1800</v>
      </c>
      <c r="V181" s="7">
        <v>1800</v>
      </c>
      <c r="W181" s="7">
        <v>1800</v>
      </c>
      <c r="X181" s="7">
        <v>1800</v>
      </c>
      <c r="Y181" s="7">
        <v>1800</v>
      </c>
      <c r="Z181" s="7">
        <v>1800</v>
      </c>
      <c r="AA181" s="7">
        <v>1800</v>
      </c>
      <c r="AB181" s="9">
        <v>0.11393414606358</v>
      </c>
      <c r="AC181" s="9">
        <v>0.11393414606358</v>
      </c>
      <c r="AD181" s="9">
        <v>0.11393414606358</v>
      </c>
      <c r="AE181" s="9">
        <v>0.11393414606358</v>
      </c>
      <c r="AF181" s="9">
        <v>0.11393414606358</v>
      </c>
      <c r="AG181" s="9">
        <v>0.11393414606358</v>
      </c>
      <c r="AH181" s="9">
        <v>0.11393414606358</v>
      </c>
      <c r="AI181" s="9">
        <v>0.11393414606358</v>
      </c>
      <c r="AJ181" s="9">
        <v>0.11393414606358</v>
      </c>
      <c r="AK181" s="9">
        <v>0.11393414606358</v>
      </c>
      <c r="AL181" s="9">
        <v>0.11393414606358</v>
      </c>
      <c r="AM181" s="9">
        <v>0.11393414606358</v>
      </c>
      <c r="AN181" s="10">
        <v>60</v>
      </c>
      <c r="AO181" s="10">
        <v>157</v>
      </c>
      <c r="AP181" s="10">
        <v>167</v>
      </c>
      <c r="AQ181" s="10">
        <v>190</v>
      </c>
      <c r="AR181" s="10">
        <v>162</v>
      </c>
      <c r="AS181" s="10">
        <v>126</v>
      </c>
      <c r="AT181" s="10">
        <v>47</v>
      </c>
      <c r="AU181" s="10">
        <v>27</v>
      </c>
      <c r="AV181" s="10">
        <v>39</v>
      </c>
      <c r="AW181" s="10">
        <v>140</v>
      </c>
      <c r="AX181" s="10">
        <v>129</v>
      </c>
      <c r="AY181" s="10">
        <v>25</v>
      </c>
      <c r="AZ181" s="7">
        <f t="shared" si="8"/>
        <v>1269</v>
      </c>
      <c r="BA181" s="11">
        <f t="shared" si="9"/>
        <v>105.75</v>
      </c>
      <c r="BC181" s="12">
        <v>6.8360487638145004</v>
      </c>
      <c r="BD181" s="12">
        <v>17.887660931980999</v>
      </c>
      <c r="BE181" s="12">
        <v>19.027002392617</v>
      </c>
      <c r="BF181" s="12">
        <v>21.647487752079002</v>
      </c>
      <c r="BG181" s="12">
        <v>18.457331662299001</v>
      </c>
      <c r="BH181" s="12">
        <v>14.35570240401</v>
      </c>
      <c r="BI181" s="12">
        <v>5.3549048649879998</v>
      </c>
      <c r="BJ181" s="12">
        <v>3.0762219437164999</v>
      </c>
      <c r="BK181" s="12">
        <v>4.4434316964793998</v>
      </c>
      <c r="BL181" s="12">
        <v>15.950780448901</v>
      </c>
      <c r="BM181" s="12">
        <v>14.697504842201001</v>
      </c>
      <c r="BN181" s="12">
        <v>2.8483536515894001</v>
      </c>
      <c r="BO181" s="12">
        <f t="shared" si="10"/>
        <v>144.5824313546758</v>
      </c>
      <c r="BP181" s="12">
        <f t="shared" si="11"/>
        <v>12.048535946222984</v>
      </c>
      <c r="BQ181" s="7"/>
      <c r="BR181" s="7"/>
      <c r="BS181" s="7" t="s">
        <v>52</v>
      </c>
      <c r="BT181" s="7" t="s">
        <v>53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/>
    </row>
    <row r="182" spans="1:78" x14ac:dyDescent="0.35">
      <c r="A182" s="7" t="s">
        <v>42</v>
      </c>
      <c r="B182" s="7"/>
      <c r="C182" s="7" t="s">
        <v>459</v>
      </c>
      <c r="D182" s="7" t="s">
        <v>190</v>
      </c>
      <c r="E182" s="7" t="s">
        <v>460</v>
      </c>
      <c r="F182" s="7" t="s">
        <v>138</v>
      </c>
      <c r="G182" s="7" t="s">
        <v>47</v>
      </c>
      <c r="H182" s="7"/>
      <c r="I182" s="7"/>
      <c r="J182" s="7" t="s">
        <v>48</v>
      </c>
      <c r="K182" s="7" t="s">
        <v>49</v>
      </c>
      <c r="L182" s="7" t="s">
        <v>49</v>
      </c>
      <c r="M182" s="7" t="s">
        <v>49</v>
      </c>
      <c r="N182" s="7" t="s">
        <v>261</v>
      </c>
      <c r="O182" s="7" t="s">
        <v>4</v>
      </c>
      <c r="P182" s="7">
        <v>1000000</v>
      </c>
      <c r="Q182" s="7">
        <v>1000000</v>
      </c>
      <c r="R182" s="7">
        <v>1000000</v>
      </c>
      <c r="S182" s="7">
        <v>1000000</v>
      </c>
      <c r="T182" s="7">
        <v>1000000</v>
      </c>
      <c r="U182" s="7">
        <v>1000000</v>
      </c>
      <c r="V182" s="7">
        <v>1000000</v>
      </c>
      <c r="W182" s="7">
        <v>1000000</v>
      </c>
      <c r="X182" s="7">
        <v>1000000</v>
      </c>
      <c r="Y182" s="7">
        <v>1000000</v>
      </c>
      <c r="Z182" s="7">
        <v>1000000</v>
      </c>
      <c r="AA182" s="7">
        <v>1000000</v>
      </c>
      <c r="AB182" s="9">
        <v>63.296747813096999</v>
      </c>
      <c r="AC182" s="9">
        <v>63.296747813096999</v>
      </c>
      <c r="AD182" s="9">
        <v>63.296747813096999</v>
      </c>
      <c r="AE182" s="9">
        <v>63.296747813096999</v>
      </c>
      <c r="AF182" s="9">
        <v>63.296747813096999</v>
      </c>
      <c r="AG182" s="9">
        <v>63.296747813096999</v>
      </c>
      <c r="AH182" s="9">
        <v>63.296747813096999</v>
      </c>
      <c r="AI182" s="9">
        <v>63.296747813096999</v>
      </c>
      <c r="AJ182" s="9">
        <v>63.296747813096999</v>
      </c>
      <c r="AK182" s="9">
        <v>63.296747813096999</v>
      </c>
      <c r="AL182" s="9">
        <v>63.296747813096999</v>
      </c>
      <c r="AM182" s="9">
        <v>63.296747813096999</v>
      </c>
      <c r="AN182" s="10">
        <v>0</v>
      </c>
      <c r="AO182" s="10">
        <v>0</v>
      </c>
      <c r="AP182" s="10">
        <v>0</v>
      </c>
      <c r="AQ182" s="10">
        <v>0</v>
      </c>
      <c r="AR182" s="10">
        <v>0</v>
      </c>
      <c r="AS182" s="10">
        <v>0</v>
      </c>
      <c r="AT182" s="10">
        <v>0</v>
      </c>
      <c r="AU182" s="10">
        <v>0</v>
      </c>
      <c r="AV182" s="10">
        <v>0</v>
      </c>
      <c r="AW182" s="10">
        <v>0</v>
      </c>
      <c r="AX182" s="10">
        <v>0</v>
      </c>
      <c r="AY182" s="10">
        <v>1</v>
      </c>
      <c r="AZ182" s="7">
        <f t="shared" si="8"/>
        <v>1</v>
      </c>
      <c r="BA182" s="11">
        <f t="shared" si="9"/>
        <v>8.3333333333333329E-2</v>
      </c>
      <c r="BC182" s="12">
        <v>0</v>
      </c>
      <c r="BD182" s="12">
        <v>0</v>
      </c>
      <c r="BE182" s="12">
        <v>0</v>
      </c>
      <c r="BF182" s="12">
        <v>0</v>
      </c>
      <c r="BG182" s="12">
        <v>0</v>
      </c>
      <c r="BH182" s="12">
        <v>0</v>
      </c>
      <c r="BI182" s="12">
        <v>0</v>
      </c>
      <c r="BJ182" s="12">
        <v>0</v>
      </c>
      <c r="BK182" s="12">
        <v>0</v>
      </c>
      <c r="BL182" s="12">
        <v>0</v>
      </c>
      <c r="BM182" s="12">
        <v>0</v>
      </c>
      <c r="BN182" s="12">
        <v>63.296747813096999</v>
      </c>
      <c r="BO182" s="12">
        <f t="shared" si="10"/>
        <v>63.296747813096999</v>
      </c>
      <c r="BP182" s="12">
        <f t="shared" si="11"/>
        <v>5.2747289844247502</v>
      </c>
      <c r="BQ182" s="7"/>
      <c r="BR182" s="7"/>
      <c r="BS182" s="7" t="s">
        <v>95</v>
      </c>
      <c r="BT182" s="7" t="s">
        <v>53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/>
    </row>
    <row r="183" spans="1:78" x14ac:dyDescent="0.35">
      <c r="A183" s="7" t="s">
        <v>42</v>
      </c>
      <c r="B183" s="7"/>
      <c r="C183" s="7" t="s">
        <v>125</v>
      </c>
      <c r="D183" s="7" t="s">
        <v>126</v>
      </c>
      <c r="E183" s="7" t="s">
        <v>127</v>
      </c>
      <c r="F183" s="7" t="s">
        <v>99</v>
      </c>
      <c r="G183" s="7" t="s">
        <v>47</v>
      </c>
      <c r="H183" s="7"/>
      <c r="I183" s="7"/>
      <c r="J183" s="7" t="s">
        <v>48</v>
      </c>
      <c r="K183" s="7" t="s">
        <v>49</v>
      </c>
      <c r="L183" s="7" t="s">
        <v>49</v>
      </c>
      <c r="M183" s="7" t="s">
        <v>49</v>
      </c>
      <c r="N183" s="7" t="s">
        <v>100</v>
      </c>
      <c r="O183" s="7" t="s">
        <v>4</v>
      </c>
      <c r="P183" s="7">
        <v>256250</v>
      </c>
      <c r="Q183" s="7">
        <v>256250</v>
      </c>
      <c r="R183" s="7">
        <v>256250</v>
      </c>
      <c r="S183" s="7">
        <v>256250</v>
      </c>
      <c r="T183" s="7">
        <v>256250</v>
      </c>
      <c r="U183" s="7">
        <v>256250</v>
      </c>
      <c r="V183" s="7">
        <v>256250</v>
      </c>
      <c r="W183" s="7">
        <v>256250</v>
      </c>
      <c r="X183" s="7">
        <v>256250</v>
      </c>
      <c r="Y183" s="7">
        <v>256250</v>
      </c>
      <c r="Z183" s="7">
        <v>256250</v>
      </c>
      <c r="AA183" s="7">
        <v>256250</v>
      </c>
      <c r="AB183" s="9">
        <v>16.219791627106002</v>
      </c>
      <c r="AC183" s="9">
        <v>16.219791627106002</v>
      </c>
      <c r="AD183" s="9">
        <v>16.219791627106002</v>
      </c>
      <c r="AE183" s="9">
        <v>16.219791627106002</v>
      </c>
      <c r="AF183" s="9">
        <v>16.219791627106002</v>
      </c>
      <c r="AG183" s="9">
        <v>16.219791627106002</v>
      </c>
      <c r="AH183" s="9">
        <v>16.219791627106002</v>
      </c>
      <c r="AI183" s="9">
        <v>16.219791627106002</v>
      </c>
      <c r="AJ183" s="9">
        <v>16.219791627106002</v>
      </c>
      <c r="AK183" s="9">
        <v>16.219791627106002</v>
      </c>
      <c r="AL183" s="9">
        <v>16.219791627106002</v>
      </c>
      <c r="AM183" s="9">
        <v>16.219791627106002</v>
      </c>
      <c r="AN183" s="10">
        <v>20</v>
      </c>
      <c r="AO183" s="10">
        <v>20</v>
      </c>
      <c r="AP183" s="10">
        <v>0</v>
      </c>
      <c r="AQ183" s="10">
        <v>0</v>
      </c>
      <c r="AR183" s="10">
        <v>0</v>
      </c>
      <c r="AS183" s="10">
        <v>0</v>
      </c>
      <c r="AT183" s="10">
        <v>0</v>
      </c>
      <c r="AU183" s="10">
        <v>0</v>
      </c>
      <c r="AV183" s="10">
        <v>0</v>
      </c>
      <c r="AW183" s="10">
        <v>0</v>
      </c>
      <c r="AX183" s="10">
        <v>0</v>
      </c>
      <c r="AY183" s="10">
        <v>0</v>
      </c>
      <c r="AZ183" s="7">
        <f t="shared" si="8"/>
        <v>40</v>
      </c>
      <c r="BA183" s="11">
        <f t="shared" si="9"/>
        <v>3.3333333333333335</v>
      </c>
      <c r="BC183" s="12">
        <v>324.39583254211999</v>
      </c>
      <c r="BD183" s="12">
        <v>324.39583254211999</v>
      </c>
      <c r="BE183" s="12">
        <v>0</v>
      </c>
      <c r="BF183" s="12">
        <v>0</v>
      </c>
      <c r="BG183" s="12">
        <v>0</v>
      </c>
      <c r="BH183" s="12">
        <v>0</v>
      </c>
      <c r="BI183" s="12">
        <v>0</v>
      </c>
      <c r="BJ183" s="12">
        <v>0</v>
      </c>
      <c r="BK183" s="12">
        <v>0</v>
      </c>
      <c r="BL183" s="12">
        <v>0</v>
      </c>
      <c r="BM183" s="12">
        <v>0</v>
      </c>
      <c r="BN183" s="12">
        <v>0</v>
      </c>
      <c r="BO183" s="12">
        <f t="shared" si="10"/>
        <v>648.79166508423998</v>
      </c>
      <c r="BP183" s="12">
        <f t="shared" si="11"/>
        <v>54.065972090353334</v>
      </c>
      <c r="BQ183" s="7"/>
      <c r="BR183" s="7"/>
      <c r="BS183" s="7" t="s">
        <v>95</v>
      </c>
      <c r="BT183" s="7" t="s">
        <v>53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/>
    </row>
    <row r="184" spans="1:78" x14ac:dyDescent="0.35">
      <c r="A184" s="7" t="s">
        <v>42</v>
      </c>
      <c r="B184" s="7"/>
      <c r="C184" s="7" t="s">
        <v>461</v>
      </c>
      <c r="D184" s="7" t="s">
        <v>121</v>
      </c>
      <c r="E184" s="7" t="s">
        <v>462</v>
      </c>
      <c r="F184" s="7" t="s">
        <v>202</v>
      </c>
      <c r="G184" s="7" t="s">
        <v>47</v>
      </c>
      <c r="H184" s="7"/>
      <c r="I184" s="7"/>
      <c r="J184" s="7" t="s">
        <v>48</v>
      </c>
      <c r="K184" s="7" t="s">
        <v>49</v>
      </c>
      <c r="L184" s="7" t="s">
        <v>49</v>
      </c>
      <c r="M184" s="7" t="s">
        <v>49</v>
      </c>
      <c r="N184" s="7" t="s">
        <v>124</v>
      </c>
      <c r="O184" s="7" t="s">
        <v>4</v>
      </c>
      <c r="P184" s="7">
        <v>15375</v>
      </c>
      <c r="Q184" s="7">
        <v>15375</v>
      </c>
      <c r="R184" s="7">
        <v>15375</v>
      </c>
      <c r="S184" s="7">
        <v>15375</v>
      </c>
      <c r="T184" s="7">
        <v>15375</v>
      </c>
      <c r="U184" s="7">
        <v>15375</v>
      </c>
      <c r="V184" s="7">
        <v>15375</v>
      </c>
      <c r="W184" s="7">
        <v>15375</v>
      </c>
      <c r="X184" s="7">
        <v>15375</v>
      </c>
      <c r="Y184" s="7">
        <v>15375</v>
      </c>
      <c r="Z184" s="7">
        <v>15375</v>
      </c>
      <c r="AA184" s="7">
        <v>15375</v>
      </c>
      <c r="AB184" s="9">
        <v>0.97318749762637002</v>
      </c>
      <c r="AC184" s="9">
        <v>0.97318749762637002</v>
      </c>
      <c r="AD184" s="9">
        <v>0.97318749762637002</v>
      </c>
      <c r="AE184" s="9">
        <v>0.97318749762637002</v>
      </c>
      <c r="AF184" s="9">
        <v>0.97318749762637002</v>
      </c>
      <c r="AG184" s="9">
        <v>0.97318749762637002</v>
      </c>
      <c r="AH184" s="9">
        <v>0.97318749762637002</v>
      </c>
      <c r="AI184" s="9">
        <v>0.97318749762637002</v>
      </c>
      <c r="AJ184" s="9">
        <v>0.97318749762637002</v>
      </c>
      <c r="AK184" s="9">
        <v>0.97318749762637002</v>
      </c>
      <c r="AL184" s="9">
        <v>0.97318749762637002</v>
      </c>
      <c r="AM184" s="9">
        <v>0.97318749762637002</v>
      </c>
      <c r="AN184" s="10">
        <v>85</v>
      </c>
      <c r="AO184" s="10">
        <v>85</v>
      </c>
      <c r="AP184" s="10">
        <v>85</v>
      </c>
      <c r="AQ184" s="10">
        <v>85</v>
      </c>
      <c r="AR184" s="10">
        <v>85</v>
      </c>
      <c r="AS184" s="10">
        <v>85</v>
      </c>
      <c r="AT184" s="10">
        <v>85</v>
      </c>
      <c r="AU184" s="10">
        <v>85</v>
      </c>
      <c r="AV184" s="10">
        <v>85</v>
      </c>
      <c r="AW184" s="10">
        <v>85</v>
      </c>
      <c r="AX184" s="10">
        <v>85</v>
      </c>
      <c r="AY184" s="10">
        <v>85</v>
      </c>
      <c r="AZ184" s="7">
        <f t="shared" si="8"/>
        <v>1020</v>
      </c>
      <c r="BA184" s="11">
        <f t="shared" si="9"/>
        <v>85</v>
      </c>
      <c r="BC184" s="12">
        <v>82.720937298242006</v>
      </c>
      <c r="BD184" s="12">
        <v>82.720937298242006</v>
      </c>
      <c r="BE184" s="12">
        <v>82.720937298242006</v>
      </c>
      <c r="BF184" s="12">
        <v>82.720937298242006</v>
      </c>
      <c r="BG184" s="12">
        <v>82.720937298242006</v>
      </c>
      <c r="BH184" s="12">
        <v>82.720937298242006</v>
      </c>
      <c r="BI184" s="12">
        <v>82.720937298242006</v>
      </c>
      <c r="BJ184" s="12">
        <v>82.720937298242006</v>
      </c>
      <c r="BK184" s="12">
        <v>82.720937298242006</v>
      </c>
      <c r="BL184" s="12">
        <v>82.720937298242006</v>
      </c>
      <c r="BM184" s="12">
        <v>82.720937298242006</v>
      </c>
      <c r="BN184" s="12">
        <v>82.720937298242006</v>
      </c>
      <c r="BO184" s="12">
        <f t="shared" si="10"/>
        <v>992.65124757890408</v>
      </c>
      <c r="BP184" s="12">
        <f t="shared" si="11"/>
        <v>82.720937298242006</v>
      </c>
      <c r="BQ184" s="7"/>
      <c r="BR184" s="7"/>
      <c r="BS184" s="7" t="s">
        <v>95</v>
      </c>
      <c r="BT184" s="7" t="s">
        <v>53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/>
    </row>
    <row r="185" spans="1:78" x14ac:dyDescent="0.35">
      <c r="A185" s="7" t="s">
        <v>42</v>
      </c>
      <c r="B185" s="7"/>
      <c r="C185" s="7" t="s">
        <v>463</v>
      </c>
      <c r="D185" s="7" t="s">
        <v>121</v>
      </c>
      <c r="E185" s="7" t="s">
        <v>464</v>
      </c>
      <c r="F185" s="7" t="s">
        <v>275</v>
      </c>
      <c r="G185" s="7" t="s">
        <v>47</v>
      </c>
      <c r="H185" s="7"/>
      <c r="I185" s="7"/>
      <c r="J185" s="7" t="s">
        <v>48</v>
      </c>
      <c r="K185" s="7" t="s">
        <v>49</v>
      </c>
      <c r="L185" s="7" t="s">
        <v>49</v>
      </c>
      <c r="M185" s="7" t="s">
        <v>49</v>
      </c>
      <c r="N185" s="7" t="s">
        <v>323</v>
      </c>
      <c r="O185" s="7" t="s">
        <v>4</v>
      </c>
      <c r="P185" s="7">
        <v>300000</v>
      </c>
      <c r="Q185" s="7">
        <v>300000</v>
      </c>
      <c r="R185" s="7">
        <v>300000</v>
      </c>
      <c r="S185" s="7">
        <v>300000</v>
      </c>
      <c r="T185" s="7">
        <v>300000</v>
      </c>
      <c r="U185" s="7">
        <v>300000</v>
      </c>
      <c r="V185" s="7">
        <v>300000</v>
      </c>
      <c r="W185" s="7">
        <v>300000</v>
      </c>
      <c r="X185" s="7">
        <v>300000</v>
      </c>
      <c r="Y185" s="7">
        <v>300000</v>
      </c>
      <c r="Z185" s="7">
        <v>300000</v>
      </c>
      <c r="AA185" s="7">
        <v>300000</v>
      </c>
      <c r="AB185" s="9">
        <v>18.989024343929</v>
      </c>
      <c r="AC185" s="9">
        <v>18.989024343929</v>
      </c>
      <c r="AD185" s="9">
        <v>18.989024343929</v>
      </c>
      <c r="AE185" s="9">
        <v>18.989024343929</v>
      </c>
      <c r="AF185" s="9">
        <v>18.989024343929</v>
      </c>
      <c r="AG185" s="9">
        <v>18.989024343929</v>
      </c>
      <c r="AH185" s="9">
        <v>18.989024343929</v>
      </c>
      <c r="AI185" s="9">
        <v>18.989024343929</v>
      </c>
      <c r="AJ185" s="9">
        <v>18.989024343929</v>
      </c>
      <c r="AK185" s="9">
        <v>18.989024343929</v>
      </c>
      <c r="AL185" s="9">
        <v>18.989024343929</v>
      </c>
      <c r="AM185" s="9">
        <v>18.989024343929</v>
      </c>
      <c r="AN185" s="10">
        <v>1</v>
      </c>
      <c r="AO185" s="10">
        <v>0</v>
      </c>
      <c r="AP185" s="10">
        <v>0</v>
      </c>
      <c r="AQ185" s="10">
        <v>0</v>
      </c>
      <c r="AR185" s="10">
        <v>0</v>
      </c>
      <c r="AS185" s="10">
        <v>0</v>
      </c>
      <c r="AT185" s="10">
        <v>0</v>
      </c>
      <c r="AU185" s="10">
        <v>0</v>
      </c>
      <c r="AV185" s="10">
        <v>0</v>
      </c>
      <c r="AW185" s="10">
        <v>0</v>
      </c>
      <c r="AX185" s="10">
        <v>0</v>
      </c>
      <c r="AY185" s="10">
        <v>0</v>
      </c>
      <c r="AZ185" s="7">
        <f t="shared" si="8"/>
        <v>1</v>
      </c>
      <c r="BA185" s="11">
        <f t="shared" si="9"/>
        <v>8.3333333333333329E-2</v>
      </c>
      <c r="BC185" s="12">
        <v>18.989024343929</v>
      </c>
      <c r="BD185" s="12">
        <v>0</v>
      </c>
      <c r="BE185" s="12">
        <v>0</v>
      </c>
      <c r="BF185" s="12">
        <v>0</v>
      </c>
      <c r="BG185" s="12">
        <v>0</v>
      </c>
      <c r="BH185" s="12">
        <v>0</v>
      </c>
      <c r="BI185" s="12">
        <v>0</v>
      </c>
      <c r="BJ185" s="12">
        <v>0</v>
      </c>
      <c r="BK185" s="12">
        <v>0</v>
      </c>
      <c r="BL185" s="12">
        <v>0</v>
      </c>
      <c r="BM185" s="12">
        <v>0</v>
      </c>
      <c r="BN185" s="12">
        <v>0</v>
      </c>
      <c r="BO185" s="12">
        <f t="shared" si="10"/>
        <v>18.989024343929</v>
      </c>
      <c r="BP185" s="12">
        <f t="shared" si="11"/>
        <v>1.5824186953274166</v>
      </c>
      <c r="BQ185" s="7"/>
      <c r="BR185" s="7"/>
      <c r="BS185" s="7" t="s">
        <v>95</v>
      </c>
      <c r="BT185" s="7" t="s">
        <v>53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/>
    </row>
    <row r="186" spans="1:78" x14ac:dyDescent="0.35">
      <c r="A186" s="7" t="s">
        <v>42</v>
      </c>
      <c r="B186" s="7"/>
      <c r="C186" s="7" t="s">
        <v>465</v>
      </c>
      <c r="D186" s="7" t="s">
        <v>147</v>
      </c>
      <c r="E186" s="7" t="s">
        <v>466</v>
      </c>
      <c r="F186" s="7" t="s">
        <v>212</v>
      </c>
      <c r="G186" s="7" t="s">
        <v>47</v>
      </c>
      <c r="H186" s="7"/>
      <c r="I186" s="7"/>
      <c r="J186" s="7" t="s">
        <v>48</v>
      </c>
      <c r="K186" s="7" t="s">
        <v>49</v>
      </c>
      <c r="L186" s="7" t="s">
        <v>49</v>
      </c>
      <c r="M186" s="7" t="s">
        <v>49</v>
      </c>
      <c r="N186" s="7" t="s">
        <v>100</v>
      </c>
      <c r="O186" s="7" t="s">
        <v>4</v>
      </c>
      <c r="P186" s="7">
        <v>30000</v>
      </c>
      <c r="Q186" s="7">
        <v>30000</v>
      </c>
      <c r="R186" s="7">
        <v>30000</v>
      </c>
      <c r="S186" s="7">
        <v>30000</v>
      </c>
      <c r="T186" s="7">
        <v>30000</v>
      </c>
      <c r="U186" s="7">
        <v>30000</v>
      </c>
      <c r="V186" s="7">
        <v>30000</v>
      </c>
      <c r="W186" s="7">
        <v>30000</v>
      </c>
      <c r="X186" s="7">
        <v>30000</v>
      </c>
      <c r="Y186" s="7">
        <v>30000</v>
      </c>
      <c r="Z186" s="7">
        <v>30000</v>
      </c>
      <c r="AA186" s="7">
        <v>30000</v>
      </c>
      <c r="AB186" s="9">
        <v>1.8989024343929</v>
      </c>
      <c r="AC186" s="9">
        <v>1.8989024343929</v>
      </c>
      <c r="AD186" s="9">
        <v>1.8989024343929</v>
      </c>
      <c r="AE186" s="9">
        <v>1.8989024343929</v>
      </c>
      <c r="AF186" s="9">
        <v>1.8989024343929</v>
      </c>
      <c r="AG186" s="9">
        <v>1.8989024343929</v>
      </c>
      <c r="AH186" s="9">
        <v>1.8989024343929</v>
      </c>
      <c r="AI186" s="9">
        <v>1.8989024343929</v>
      </c>
      <c r="AJ186" s="9">
        <v>1.8989024343929</v>
      </c>
      <c r="AK186" s="9">
        <v>1.8989024343929</v>
      </c>
      <c r="AL186" s="9">
        <v>1.8989024343929</v>
      </c>
      <c r="AM186" s="9">
        <v>1.8989024343929</v>
      </c>
      <c r="AN186" s="10">
        <v>0</v>
      </c>
      <c r="AO186" s="10">
        <v>0</v>
      </c>
      <c r="AP186" s="10">
        <v>0</v>
      </c>
      <c r="AQ186" s="10">
        <v>0</v>
      </c>
      <c r="AR186" s="10">
        <v>2</v>
      </c>
      <c r="AS186" s="10">
        <v>0</v>
      </c>
      <c r="AT186" s="10">
        <v>0</v>
      </c>
      <c r="AU186" s="10">
        <v>0</v>
      </c>
      <c r="AV186" s="10">
        <v>0</v>
      </c>
      <c r="AW186" s="10">
        <v>0</v>
      </c>
      <c r="AX186" s="10">
        <v>0</v>
      </c>
      <c r="AY186" s="10">
        <v>0</v>
      </c>
      <c r="AZ186" s="7">
        <f t="shared" si="8"/>
        <v>2</v>
      </c>
      <c r="BA186" s="11">
        <f t="shared" si="9"/>
        <v>0.16666666666666666</v>
      </c>
      <c r="BC186" s="12">
        <v>0</v>
      </c>
      <c r="BD186" s="12">
        <v>0</v>
      </c>
      <c r="BE186" s="12">
        <v>0</v>
      </c>
      <c r="BF186" s="12">
        <v>0</v>
      </c>
      <c r="BG186" s="12">
        <v>3.7978048687857999</v>
      </c>
      <c r="BH186" s="12">
        <v>0</v>
      </c>
      <c r="BI186" s="12">
        <v>0</v>
      </c>
      <c r="BJ186" s="12">
        <v>0</v>
      </c>
      <c r="BK186" s="12">
        <v>0</v>
      </c>
      <c r="BL186" s="12">
        <v>0</v>
      </c>
      <c r="BM186" s="12">
        <v>0</v>
      </c>
      <c r="BN186" s="12">
        <v>0</v>
      </c>
      <c r="BO186" s="12">
        <f t="shared" si="10"/>
        <v>3.7978048687857999</v>
      </c>
      <c r="BP186" s="12">
        <f t="shared" si="11"/>
        <v>0.31648373906548333</v>
      </c>
      <c r="BQ186" s="7"/>
      <c r="BR186" s="7"/>
      <c r="BS186" s="7" t="s">
        <v>95</v>
      </c>
      <c r="BT186" s="7" t="s">
        <v>53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/>
    </row>
    <row r="187" spans="1:78" x14ac:dyDescent="0.35">
      <c r="A187" s="7" t="s">
        <v>42</v>
      </c>
      <c r="B187" s="7"/>
      <c r="C187" s="7" t="s">
        <v>210</v>
      </c>
      <c r="D187" s="7" t="s">
        <v>147</v>
      </c>
      <c r="E187" s="7" t="s">
        <v>211</v>
      </c>
      <c r="F187" s="7" t="s">
        <v>138</v>
      </c>
      <c r="G187" s="7" t="s">
        <v>47</v>
      </c>
      <c r="H187" s="7"/>
      <c r="I187" s="7"/>
      <c r="J187" s="7" t="s">
        <v>48</v>
      </c>
      <c r="K187" s="7" t="s">
        <v>49</v>
      </c>
      <c r="L187" s="7" t="s">
        <v>49</v>
      </c>
      <c r="M187" s="7" t="s">
        <v>49</v>
      </c>
      <c r="N187" s="7" t="s">
        <v>100</v>
      </c>
      <c r="O187" s="7" t="s">
        <v>4</v>
      </c>
      <c r="P187" s="7">
        <v>40000</v>
      </c>
      <c r="Q187" s="7">
        <v>40000</v>
      </c>
      <c r="R187" s="7">
        <v>40000</v>
      </c>
      <c r="S187" s="7">
        <v>40000</v>
      </c>
      <c r="T187" s="7">
        <v>40000</v>
      </c>
      <c r="U187" s="7">
        <v>40000</v>
      </c>
      <c r="V187" s="7">
        <v>40000</v>
      </c>
      <c r="W187" s="7">
        <v>40000</v>
      </c>
      <c r="X187" s="7">
        <v>40000</v>
      </c>
      <c r="Y187" s="7">
        <v>40000</v>
      </c>
      <c r="Z187" s="7">
        <v>40000</v>
      </c>
      <c r="AA187" s="7">
        <v>40000</v>
      </c>
      <c r="AB187" s="9">
        <v>2.5318699125238999</v>
      </c>
      <c r="AC187" s="9">
        <v>2.5318699125238999</v>
      </c>
      <c r="AD187" s="9">
        <v>2.5318699125238999</v>
      </c>
      <c r="AE187" s="9">
        <v>2.5318699125238999</v>
      </c>
      <c r="AF187" s="9">
        <v>2.5318699125238999</v>
      </c>
      <c r="AG187" s="9">
        <v>2.5318699125238999</v>
      </c>
      <c r="AH187" s="9">
        <v>2.5318699125238999</v>
      </c>
      <c r="AI187" s="9">
        <v>2.5318699125238999</v>
      </c>
      <c r="AJ187" s="9">
        <v>2.5318699125238999</v>
      </c>
      <c r="AK187" s="9">
        <v>2.5318699125238999</v>
      </c>
      <c r="AL187" s="9">
        <v>2.5318699125238999</v>
      </c>
      <c r="AM187" s="9">
        <v>2.5318699125238999</v>
      </c>
      <c r="AN187" s="10">
        <v>0</v>
      </c>
      <c r="AO187" s="10">
        <v>0</v>
      </c>
      <c r="AP187" s="10">
        <v>0</v>
      </c>
      <c r="AQ187" s="10">
        <v>0</v>
      </c>
      <c r="AR187" s="10">
        <v>0</v>
      </c>
      <c r="AS187" s="10">
        <v>0</v>
      </c>
      <c r="AT187" s="10">
        <v>0</v>
      </c>
      <c r="AU187" s="10">
        <v>0</v>
      </c>
      <c r="AV187" s="10">
        <v>0</v>
      </c>
      <c r="AW187" s="10">
        <v>0</v>
      </c>
      <c r="AX187" s="10">
        <v>0</v>
      </c>
      <c r="AY187" s="10">
        <v>6</v>
      </c>
      <c r="AZ187" s="7">
        <f t="shared" si="8"/>
        <v>6</v>
      </c>
      <c r="BA187" s="11">
        <f t="shared" si="9"/>
        <v>0.5</v>
      </c>
      <c r="BC187" s="12">
        <v>0</v>
      </c>
      <c r="BD187" s="12">
        <v>0</v>
      </c>
      <c r="BE187" s="12">
        <v>0</v>
      </c>
      <c r="BF187" s="12">
        <v>0</v>
      </c>
      <c r="BG187" s="12">
        <v>0</v>
      </c>
      <c r="BH187" s="12">
        <v>0</v>
      </c>
      <c r="BI187" s="12">
        <v>0</v>
      </c>
      <c r="BJ187" s="12">
        <v>0</v>
      </c>
      <c r="BK187" s="12">
        <v>0</v>
      </c>
      <c r="BL187" s="12">
        <v>0</v>
      </c>
      <c r="BM187" s="12">
        <v>0</v>
      </c>
      <c r="BN187" s="12">
        <v>15.191219475143001</v>
      </c>
      <c r="BO187" s="12">
        <f t="shared" si="10"/>
        <v>15.191219475143001</v>
      </c>
      <c r="BP187" s="12">
        <f t="shared" si="11"/>
        <v>1.2659349562619167</v>
      </c>
      <c r="BQ187" s="7"/>
      <c r="BR187" s="7"/>
      <c r="BS187" s="7" t="s">
        <v>95</v>
      </c>
      <c r="BT187" s="7" t="s">
        <v>53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/>
    </row>
    <row r="188" spans="1:78" x14ac:dyDescent="0.35">
      <c r="A188" s="7" t="s">
        <v>42</v>
      </c>
      <c r="B188" s="7"/>
      <c r="C188" s="7" t="s">
        <v>467</v>
      </c>
      <c r="D188" s="7" t="s">
        <v>468</v>
      </c>
      <c r="E188" s="7" t="s">
        <v>469</v>
      </c>
      <c r="F188" s="7" t="s">
        <v>470</v>
      </c>
      <c r="G188" s="7" t="s">
        <v>47</v>
      </c>
      <c r="H188" s="7"/>
      <c r="I188" s="7"/>
      <c r="J188" s="7" t="s">
        <v>48</v>
      </c>
      <c r="K188" s="7" t="s">
        <v>49</v>
      </c>
      <c r="L188" s="7" t="s">
        <v>49</v>
      </c>
      <c r="M188" s="7" t="s">
        <v>49</v>
      </c>
      <c r="N188" s="7" t="s">
        <v>50</v>
      </c>
      <c r="O188" s="7" t="s">
        <v>4</v>
      </c>
      <c r="P188" s="7">
        <v>9775</v>
      </c>
      <c r="Q188" s="7">
        <v>9775</v>
      </c>
      <c r="R188" s="7">
        <v>9775</v>
      </c>
      <c r="S188" s="7">
        <v>9775</v>
      </c>
      <c r="T188" s="7">
        <v>9775</v>
      </c>
      <c r="U188" s="7">
        <v>9775</v>
      </c>
      <c r="V188" s="7">
        <v>9775</v>
      </c>
      <c r="W188" s="7">
        <v>9775</v>
      </c>
      <c r="X188" s="7">
        <v>9775</v>
      </c>
      <c r="Y188" s="7">
        <v>9775</v>
      </c>
      <c r="Z188" s="7">
        <v>9775</v>
      </c>
      <c r="AA188" s="7">
        <v>9775</v>
      </c>
      <c r="AB188" s="9">
        <v>0.61872570987302999</v>
      </c>
      <c r="AC188" s="9">
        <v>0.61872570987302999</v>
      </c>
      <c r="AD188" s="9">
        <v>0.61872570987302999</v>
      </c>
      <c r="AE188" s="9">
        <v>0.61872570987302999</v>
      </c>
      <c r="AF188" s="9">
        <v>0.61872570987302999</v>
      </c>
      <c r="AG188" s="9">
        <v>0.61872570987302999</v>
      </c>
      <c r="AH188" s="9">
        <v>0.61872570987302999</v>
      </c>
      <c r="AI188" s="9">
        <v>0.61872570987302999</v>
      </c>
      <c r="AJ188" s="9">
        <v>0.61872570987302999</v>
      </c>
      <c r="AK188" s="9">
        <v>0.61872570987302999</v>
      </c>
      <c r="AL188" s="9">
        <v>0.61872570987302999</v>
      </c>
      <c r="AM188" s="9">
        <v>0.61872570987302999</v>
      </c>
      <c r="AN188" s="10">
        <v>0</v>
      </c>
      <c r="AO188" s="10">
        <v>1</v>
      </c>
      <c r="AP188" s="10">
        <v>0</v>
      </c>
      <c r="AQ188" s="10">
        <v>0</v>
      </c>
      <c r="AR188" s="10">
        <v>0</v>
      </c>
      <c r="AS188" s="10">
        <v>0</v>
      </c>
      <c r="AT188" s="10">
        <v>0</v>
      </c>
      <c r="AU188" s="10">
        <v>0</v>
      </c>
      <c r="AV188" s="10">
        <v>0</v>
      </c>
      <c r="AW188" s="10">
        <v>0</v>
      </c>
      <c r="AX188" s="10">
        <v>0</v>
      </c>
      <c r="AY188" s="10">
        <v>0</v>
      </c>
      <c r="AZ188" s="7">
        <f t="shared" si="8"/>
        <v>1</v>
      </c>
      <c r="BA188" s="11">
        <f t="shared" si="9"/>
        <v>8.3333333333333329E-2</v>
      </c>
      <c r="BC188" s="12">
        <v>0</v>
      </c>
      <c r="BD188" s="12">
        <v>0.61872570987302999</v>
      </c>
      <c r="BE188" s="12">
        <v>0</v>
      </c>
      <c r="BF188" s="12">
        <v>0</v>
      </c>
      <c r="BG188" s="12">
        <v>0</v>
      </c>
      <c r="BH188" s="12">
        <v>0</v>
      </c>
      <c r="BI188" s="12">
        <v>0</v>
      </c>
      <c r="BJ188" s="12">
        <v>0</v>
      </c>
      <c r="BK188" s="12">
        <v>0</v>
      </c>
      <c r="BL188" s="12">
        <v>0</v>
      </c>
      <c r="BM188" s="12">
        <v>0</v>
      </c>
      <c r="BN188" s="12">
        <v>0</v>
      </c>
      <c r="BO188" s="12">
        <f t="shared" si="10"/>
        <v>0.61872570987302999</v>
      </c>
      <c r="BP188" s="12">
        <f t="shared" si="11"/>
        <v>5.15604758227525E-2</v>
      </c>
      <c r="BQ188" s="7"/>
      <c r="BR188" s="7"/>
      <c r="BS188" s="7" t="s">
        <v>52</v>
      </c>
      <c r="BT188" s="7" t="s">
        <v>53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/>
    </row>
    <row r="189" spans="1:78" x14ac:dyDescent="0.35">
      <c r="A189" s="7" t="s">
        <v>42</v>
      </c>
      <c r="B189" s="7"/>
      <c r="C189" s="7" t="s">
        <v>471</v>
      </c>
      <c r="D189" s="7" t="s">
        <v>472</v>
      </c>
      <c r="E189" s="7" t="s">
        <v>473</v>
      </c>
      <c r="F189" s="7" t="s">
        <v>46</v>
      </c>
      <c r="G189" s="7" t="s">
        <v>47</v>
      </c>
      <c r="H189" s="7"/>
      <c r="I189" s="7"/>
      <c r="J189" s="7" t="s">
        <v>48</v>
      </c>
      <c r="K189" s="7" t="s">
        <v>49</v>
      </c>
      <c r="L189" s="7" t="s">
        <v>49</v>
      </c>
      <c r="M189" s="7" t="s">
        <v>49</v>
      </c>
      <c r="N189" s="7" t="s">
        <v>50</v>
      </c>
      <c r="O189" s="7" t="s">
        <v>4</v>
      </c>
      <c r="P189" s="7">
        <v>901</v>
      </c>
      <c r="Q189" s="7">
        <v>901</v>
      </c>
      <c r="R189" s="7">
        <v>901</v>
      </c>
      <c r="S189" s="7">
        <v>901</v>
      </c>
      <c r="T189" s="7">
        <v>901</v>
      </c>
      <c r="U189" s="7">
        <v>901</v>
      </c>
      <c r="V189" s="7">
        <v>901</v>
      </c>
      <c r="W189" s="7">
        <v>901</v>
      </c>
      <c r="X189" s="7">
        <v>901</v>
      </c>
      <c r="Y189" s="7">
        <v>901</v>
      </c>
      <c r="Z189" s="7">
        <v>901</v>
      </c>
      <c r="AA189" s="7">
        <v>901</v>
      </c>
      <c r="AB189" s="9" t="s">
        <v>474</v>
      </c>
      <c r="AC189" s="9" t="s">
        <v>474</v>
      </c>
      <c r="AD189" s="9" t="s">
        <v>474</v>
      </c>
      <c r="AE189" s="9" t="s">
        <v>474</v>
      </c>
      <c r="AF189" s="9" t="s">
        <v>474</v>
      </c>
      <c r="AG189" s="9" t="s">
        <v>474</v>
      </c>
      <c r="AH189" s="9" t="s">
        <v>474</v>
      </c>
      <c r="AI189" s="9" t="s">
        <v>474</v>
      </c>
      <c r="AJ189" s="9" t="s">
        <v>474</v>
      </c>
      <c r="AK189" s="9" t="s">
        <v>474</v>
      </c>
      <c r="AL189" s="9" t="s">
        <v>474</v>
      </c>
      <c r="AM189" s="9" t="s">
        <v>474</v>
      </c>
      <c r="AN189" s="10">
        <v>0</v>
      </c>
      <c r="AO189" s="10">
        <v>0</v>
      </c>
      <c r="AP189" s="10">
        <v>12</v>
      </c>
      <c r="AQ189" s="10">
        <v>0</v>
      </c>
      <c r="AR189" s="10">
        <v>0</v>
      </c>
      <c r="AS189" s="10">
        <v>12</v>
      </c>
      <c r="AT189" s="10">
        <v>0</v>
      </c>
      <c r="AU189" s="10">
        <v>0</v>
      </c>
      <c r="AV189" s="10">
        <v>12</v>
      </c>
      <c r="AW189" s="10">
        <v>0</v>
      </c>
      <c r="AX189" s="10">
        <v>0</v>
      </c>
      <c r="AY189" s="10">
        <v>6</v>
      </c>
      <c r="AZ189" s="7">
        <f t="shared" si="8"/>
        <v>42</v>
      </c>
      <c r="BA189" s="11">
        <f t="shared" si="9"/>
        <v>3.5</v>
      </c>
      <c r="BC189" s="12">
        <v>0</v>
      </c>
      <c r="BD189" s="12">
        <v>0</v>
      </c>
      <c r="BE189" s="12">
        <v>0.68436443735521002</v>
      </c>
      <c r="BF189" s="12">
        <v>0</v>
      </c>
      <c r="BG189" s="12">
        <v>0</v>
      </c>
      <c r="BH189" s="12">
        <v>0.68436443735521002</v>
      </c>
      <c r="BI189" s="12">
        <v>0</v>
      </c>
      <c r="BJ189" s="12">
        <v>0</v>
      </c>
      <c r="BK189" s="12">
        <v>0.68436443735521002</v>
      </c>
      <c r="BL189" s="12">
        <v>0</v>
      </c>
      <c r="BM189" s="12">
        <v>0</v>
      </c>
      <c r="BN189" s="12">
        <v>0.34218221867760001</v>
      </c>
      <c r="BO189" s="12">
        <f t="shared" si="10"/>
        <v>2.3952755307432296</v>
      </c>
      <c r="BP189" s="12">
        <f t="shared" si="11"/>
        <v>0.19960629422860246</v>
      </c>
      <c r="BQ189" s="7"/>
      <c r="BR189" s="7"/>
      <c r="BS189" s="7" t="s">
        <v>52</v>
      </c>
      <c r="BT189" s="7" t="s">
        <v>53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/>
    </row>
    <row r="190" spans="1:78" x14ac:dyDescent="0.35">
      <c r="A190" s="7" t="s">
        <v>42</v>
      </c>
      <c r="B190" s="7"/>
      <c r="C190" s="7" t="s">
        <v>475</v>
      </c>
      <c r="D190" s="7" t="s">
        <v>291</v>
      </c>
      <c r="E190" s="7" t="s">
        <v>476</v>
      </c>
      <c r="F190" s="7" t="s">
        <v>102</v>
      </c>
      <c r="G190" s="7" t="s">
        <v>47</v>
      </c>
      <c r="H190" s="7"/>
      <c r="I190" s="7"/>
      <c r="J190" s="7" t="s">
        <v>48</v>
      </c>
      <c r="K190" s="7" t="s">
        <v>49</v>
      </c>
      <c r="L190" s="7" t="s">
        <v>49</v>
      </c>
      <c r="M190" s="7" t="s">
        <v>49</v>
      </c>
      <c r="N190" s="7" t="s">
        <v>100</v>
      </c>
      <c r="O190" s="7" t="s">
        <v>6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9">
        <v>0</v>
      </c>
      <c r="AC190" s="9">
        <v>0</v>
      </c>
      <c r="AD190" s="9">
        <v>0</v>
      </c>
      <c r="AE190" s="9">
        <v>0</v>
      </c>
      <c r="AF190" s="9">
        <v>0</v>
      </c>
      <c r="AG190" s="9">
        <v>0</v>
      </c>
      <c r="AH190" s="9">
        <v>0</v>
      </c>
      <c r="AI190" s="9">
        <v>0</v>
      </c>
      <c r="AJ190" s="9">
        <v>0</v>
      </c>
      <c r="AK190" s="9">
        <v>0</v>
      </c>
      <c r="AL190" s="9">
        <v>0</v>
      </c>
      <c r="AM190" s="9">
        <v>0</v>
      </c>
      <c r="AN190" s="10">
        <v>0</v>
      </c>
      <c r="AO190" s="10">
        <v>0</v>
      </c>
      <c r="AP190" s="10">
        <v>0</v>
      </c>
      <c r="AQ190" s="10">
        <v>0</v>
      </c>
      <c r="AR190" s="10">
        <v>0</v>
      </c>
      <c r="AS190" s="10">
        <v>0</v>
      </c>
      <c r="AT190" s="10">
        <v>1</v>
      </c>
      <c r="AU190" s="10">
        <v>0</v>
      </c>
      <c r="AV190" s="10">
        <v>0</v>
      </c>
      <c r="AW190" s="10">
        <v>0</v>
      </c>
      <c r="AX190" s="10">
        <v>0</v>
      </c>
      <c r="AY190" s="10">
        <v>0</v>
      </c>
      <c r="AZ190" s="7">
        <f t="shared" si="8"/>
        <v>1</v>
      </c>
      <c r="BA190" s="11">
        <f t="shared" si="9"/>
        <v>8.3333333333333329E-2</v>
      </c>
      <c r="BC190" s="12">
        <v>0</v>
      </c>
      <c r="BD190" s="12">
        <v>0</v>
      </c>
      <c r="BE190" s="12">
        <v>0</v>
      </c>
      <c r="BF190" s="12">
        <v>0</v>
      </c>
      <c r="BG190" s="12">
        <v>0</v>
      </c>
      <c r="BH190" s="12">
        <v>0</v>
      </c>
      <c r="BI190" s="12">
        <v>0</v>
      </c>
      <c r="BJ190" s="12">
        <v>0</v>
      </c>
      <c r="BK190" s="12">
        <v>0</v>
      </c>
      <c r="BL190" s="12">
        <v>0</v>
      </c>
      <c r="BM190" s="12">
        <v>0</v>
      </c>
      <c r="BN190" s="12">
        <v>0</v>
      </c>
      <c r="BO190" s="12">
        <f t="shared" si="10"/>
        <v>0</v>
      </c>
      <c r="BP190" s="12">
        <f t="shared" si="11"/>
        <v>0</v>
      </c>
      <c r="BQ190" s="7"/>
      <c r="BR190" s="7"/>
      <c r="BS190" s="7" t="s">
        <v>101</v>
      </c>
      <c r="BT190" s="7" t="s">
        <v>53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/>
    </row>
    <row r="191" spans="1:78" x14ac:dyDescent="0.35">
      <c r="A191" s="7" t="s">
        <v>42</v>
      </c>
      <c r="B191" s="7"/>
      <c r="C191" s="7" t="s">
        <v>477</v>
      </c>
      <c r="D191" s="7" t="s">
        <v>104</v>
      </c>
      <c r="E191" s="7" t="s">
        <v>478</v>
      </c>
      <c r="F191" s="7" t="s">
        <v>108</v>
      </c>
      <c r="G191" s="7" t="s">
        <v>47</v>
      </c>
      <c r="H191" s="7"/>
      <c r="I191" s="7"/>
      <c r="J191" s="7" t="s">
        <v>48</v>
      </c>
      <c r="K191" s="7" t="s">
        <v>49</v>
      </c>
      <c r="L191" s="7" t="s">
        <v>49</v>
      </c>
      <c r="M191" s="7" t="s">
        <v>49</v>
      </c>
      <c r="N191" s="7" t="s">
        <v>100</v>
      </c>
      <c r="O191" s="7" t="s">
        <v>6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10">
        <v>1</v>
      </c>
      <c r="AO191" s="10">
        <v>1</v>
      </c>
      <c r="AP191" s="10">
        <v>1</v>
      </c>
      <c r="AQ191" s="10">
        <v>1</v>
      </c>
      <c r="AR191" s="10">
        <v>1</v>
      </c>
      <c r="AS191" s="10">
        <v>1</v>
      </c>
      <c r="AT191" s="10">
        <v>0</v>
      </c>
      <c r="AU191" s="10">
        <v>0</v>
      </c>
      <c r="AV191" s="10">
        <v>0</v>
      </c>
      <c r="AW191" s="10">
        <v>0</v>
      </c>
      <c r="AX191" s="10">
        <v>0</v>
      </c>
      <c r="AY191" s="10">
        <v>0</v>
      </c>
      <c r="AZ191" s="7">
        <f t="shared" si="8"/>
        <v>6</v>
      </c>
      <c r="BA191" s="11">
        <f t="shared" si="9"/>
        <v>0.5</v>
      </c>
      <c r="BC191" s="12">
        <v>0</v>
      </c>
      <c r="BD191" s="12">
        <v>0</v>
      </c>
      <c r="BE191" s="12">
        <v>0</v>
      </c>
      <c r="BF191" s="12">
        <v>0</v>
      </c>
      <c r="BG191" s="12">
        <v>0</v>
      </c>
      <c r="BH191" s="12">
        <v>0</v>
      </c>
      <c r="BI191" s="12">
        <v>0</v>
      </c>
      <c r="BJ191" s="12">
        <v>0</v>
      </c>
      <c r="BK191" s="12">
        <v>0</v>
      </c>
      <c r="BL191" s="12">
        <v>0</v>
      </c>
      <c r="BM191" s="12">
        <v>0</v>
      </c>
      <c r="BN191" s="12">
        <v>0</v>
      </c>
      <c r="BO191" s="12">
        <f t="shared" si="10"/>
        <v>0</v>
      </c>
      <c r="BP191" s="12">
        <f t="shared" si="11"/>
        <v>0</v>
      </c>
      <c r="BQ191" s="7"/>
      <c r="BR191" s="7"/>
      <c r="BS191" s="7" t="s">
        <v>95</v>
      </c>
      <c r="BT191" s="7" t="s">
        <v>53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/>
    </row>
    <row r="192" spans="1:78" x14ac:dyDescent="0.35">
      <c r="A192" s="7" t="s">
        <v>42</v>
      </c>
      <c r="B192" s="7"/>
      <c r="C192" s="7" t="s">
        <v>477</v>
      </c>
      <c r="D192" s="7" t="s">
        <v>104</v>
      </c>
      <c r="E192" s="7" t="s">
        <v>478</v>
      </c>
      <c r="F192" s="7" t="s">
        <v>102</v>
      </c>
      <c r="G192" s="7" t="s">
        <v>47</v>
      </c>
      <c r="H192" s="7"/>
      <c r="I192" s="7"/>
      <c r="J192" s="7" t="s">
        <v>48</v>
      </c>
      <c r="K192" s="7" t="s">
        <v>49</v>
      </c>
      <c r="L192" s="7" t="s">
        <v>49</v>
      </c>
      <c r="M192" s="7" t="s">
        <v>49</v>
      </c>
      <c r="N192" s="7" t="s">
        <v>100</v>
      </c>
      <c r="O192" s="7" t="s">
        <v>6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10">
        <v>0</v>
      </c>
      <c r="AO192" s="10">
        <v>0</v>
      </c>
      <c r="AP192" s="10">
        <v>0</v>
      </c>
      <c r="AQ192" s="10">
        <v>0</v>
      </c>
      <c r="AR192" s="10">
        <v>0</v>
      </c>
      <c r="AS192" s="10">
        <v>0</v>
      </c>
      <c r="AT192" s="10">
        <v>1</v>
      </c>
      <c r="AU192" s="10">
        <v>0</v>
      </c>
      <c r="AV192" s="10">
        <v>0</v>
      </c>
      <c r="AW192" s="10">
        <v>1</v>
      </c>
      <c r="AX192" s="10">
        <v>0</v>
      </c>
      <c r="AY192" s="10">
        <v>0</v>
      </c>
      <c r="AZ192" s="7">
        <f t="shared" si="8"/>
        <v>2</v>
      </c>
      <c r="BA192" s="11">
        <f t="shared" si="9"/>
        <v>0.16666666666666666</v>
      </c>
      <c r="BC192" s="12">
        <v>0</v>
      </c>
      <c r="BD192" s="12">
        <v>0</v>
      </c>
      <c r="BE192" s="12">
        <v>0</v>
      </c>
      <c r="BF192" s="12">
        <v>0</v>
      </c>
      <c r="BG192" s="12">
        <v>0</v>
      </c>
      <c r="BH192" s="12">
        <v>0</v>
      </c>
      <c r="BI192" s="12">
        <v>0</v>
      </c>
      <c r="BJ192" s="12">
        <v>0</v>
      </c>
      <c r="BK192" s="12">
        <v>0</v>
      </c>
      <c r="BL192" s="12">
        <v>0</v>
      </c>
      <c r="BM192" s="12">
        <v>0</v>
      </c>
      <c r="BN192" s="12">
        <v>0</v>
      </c>
      <c r="BO192" s="12">
        <f t="shared" si="10"/>
        <v>0</v>
      </c>
      <c r="BP192" s="12">
        <f t="shared" si="11"/>
        <v>0</v>
      </c>
      <c r="BQ192" s="7"/>
      <c r="BR192" s="7"/>
      <c r="BS192" s="7" t="s">
        <v>95</v>
      </c>
      <c r="BT192" s="7" t="s">
        <v>53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/>
    </row>
    <row r="193" spans="1:78" x14ac:dyDescent="0.35">
      <c r="A193" s="7" t="s">
        <v>42</v>
      </c>
      <c r="B193" s="7"/>
      <c r="C193" s="7" t="s">
        <v>166</v>
      </c>
      <c r="D193" s="7" t="s">
        <v>104</v>
      </c>
      <c r="E193" s="7" t="s">
        <v>167</v>
      </c>
      <c r="F193" s="7" t="s">
        <v>102</v>
      </c>
      <c r="G193" s="7" t="s">
        <v>47</v>
      </c>
      <c r="H193" s="7"/>
      <c r="I193" s="7"/>
      <c r="J193" s="7" t="s">
        <v>48</v>
      </c>
      <c r="K193" s="7" t="s">
        <v>49</v>
      </c>
      <c r="L193" s="7" t="s">
        <v>49</v>
      </c>
      <c r="M193" s="7" t="s">
        <v>49</v>
      </c>
      <c r="N193" s="7" t="s">
        <v>100</v>
      </c>
      <c r="O193" s="7" t="s">
        <v>6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9">
        <v>0</v>
      </c>
      <c r="AC193" s="9">
        <v>0</v>
      </c>
      <c r="AD193" s="9">
        <v>0</v>
      </c>
      <c r="AE193" s="9">
        <v>0</v>
      </c>
      <c r="AF193" s="9">
        <v>0</v>
      </c>
      <c r="AG193" s="9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10">
        <v>0</v>
      </c>
      <c r="AO193" s="10">
        <v>0</v>
      </c>
      <c r="AP193" s="10">
        <v>0</v>
      </c>
      <c r="AQ193" s="10">
        <v>0</v>
      </c>
      <c r="AR193" s="10">
        <v>0</v>
      </c>
      <c r="AS193" s="10">
        <v>0</v>
      </c>
      <c r="AT193" s="10">
        <v>1</v>
      </c>
      <c r="AU193" s="10">
        <v>1</v>
      </c>
      <c r="AV193" s="10">
        <v>1</v>
      </c>
      <c r="AW193" s="10">
        <v>1</v>
      </c>
      <c r="AX193" s="10">
        <v>1</v>
      </c>
      <c r="AY193" s="10">
        <v>1</v>
      </c>
      <c r="AZ193" s="7">
        <f t="shared" si="8"/>
        <v>6</v>
      </c>
      <c r="BA193" s="11">
        <f t="shared" si="9"/>
        <v>0.5</v>
      </c>
      <c r="BC193" s="12">
        <v>0</v>
      </c>
      <c r="BD193" s="12">
        <v>0</v>
      </c>
      <c r="BE193" s="12">
        <v>0</v>
      </c>
      <c r="BF193" s="12">
        <v>0</v>
      </c>
      <c r="BG193" s="12">
        <v>0</v>
      </c>
      <c r="BH193" s="12">
        <v>0</v>
      </c>
      <c r="BI193" s="12">
        <v>0</v>
      </c>
      <c r="BJ193" s="12">
        <v>0</v>
      </c>
      <c r="BK193" s="12">
        <v>0</v>
      </c>
      <c r="BL193" s="12">
        <v>0</v>
      </c>
      <c r="BM193" s="12">
        <v>0</v>
      </c>
      <c r="BN193" s="12">
        <v>0</v>
      </c>
      <c r="BO193" s="12">
        <f t="shared" si="10"/>
        <v>0</v>
      </c>
      <c r="BP193" s="12">
        <f t="shared" si="11"/>
        <v>0</v>
      </c>
      <c r="BQ193" s="7"/>
      <c r="BR193" s="7"/>
      <c r="BS193" s="7" t="s">
        <v>95</v>
      </c>
      <c r="BT193" s="7" t="s">
        <v>53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/>
    </row>
    <row r="194" spans="1:78" x14ac:dyDescent="0.35">
      <c r="A194" s="7" t="s">
        <v>42</v>
      </c>
      <c r="B194" s="7"/>
      <c r="C194" s="7" t="s">
        <v>479</v>
      </c>
      <c r="D194" s="7" t="s">
        <v>121</v>
      </c>
      <c r="E194" s="7" t="s">
        <v>480</v>
      </c>
      <c r="F194" s="7" t="s">
        <v>237</v>
      </c>
      <c r="G194" s="7" t="s">
        <v>47</v>
      </c>
      <c r="H194" s="7"/>
      <c r="I194" s="7"/>
      <c r="J194" s="7" t="s">
        <v>48</v>
      </c>
      <c r="K194" s="7" t="s">
        <v>49</v>
      </c>
      <c r="L194" s="7" t="s">
        <v>49</v>
      </c>
      <c r="M194" s="7" t="s">
        <v>49</v>
      </c>
      <c r="N194" s="7" t="s">
        <v>245</v>
      </c>
      <c r="O194" s="7" t="s">
        <v>4</v>
      </c>
      <c r="P194" s="7">
        <v>307500</v>
      </c>
      <c r="Q194" s="7">
        <v>307500</v>
      </c>
      <c r="R194" s="7">
        <v>307500</v>
      </c>
      <c r="S194" s="7">
        <v>307500</v>
      </c>
      <c r="T194" s="7">
        <v>307500</v>
      </c>
      <c r="U194" s="7">
        <v>307500</v>
      </c>
      <c r="V194" s="7">
        <v>307500</v>
      </c>
      <c r="W194" s="7">
        <v>307500</v>
      </c>
      <c r="X194" s="7">
        <v>307500</v>
      </c>
      <c r="Y194" s="7">
        <v>307500</v>
      </c>
      <c r="Z194" s="7">
        <v>307500</v>
      </c>
      <c r="AA194" s="7">
        <v>307500</v>
      </c>
      <c r="AB194" s="9">
        <v>19.463749952526999</v>
      </c>
      <c r="AC194" s="9">
        <v>19.463749952526999</v>
      </c>
      <c r="AD194" s="9">
        <v>19.463749952526999</v>
      </c>
      <c r="AE194" s="9">
        <v>19.463749952526999</v>
      </c>
      <c r="AF194" s="9">
        <v>19.463749952526999</v>
      </c>
      <c r="AG194" s="9">
        <v>19.463749952526999</v>
      </c>
      <c r="AH194" s="9">
        <v>19.463749952526999</v>
      </c>
      <c r="AI194" s="9">
        <v>19.463749952526999</v>
      </c>
      <c r="AJ194" s="9">
        <v>19.463749952526999</v>
      </c>
      <c r="AK194" s="9">
        <v>19.463749952526999</v>
      </c>
      <c r="AL194" s="9">
        <v>19.463749952526999</v>
      </c>
      <c r="AM194" s="9">
        <v>19.463749952526999</v>
      </c>
      <c r="AN194" s="10">
        <v>0</v>
      </c>
      <c r="AO194" s="10">
        <v>0</v>
      </c>
      <c r="AP194" s="10">
        <v>0</v>
      </c>
      <c r="AQ194" s="10">
        <v>0</v>
      </c>
      <c r="AR194" s="10">
        <v>0</v>
      </c>
      <c r="AS194" s="10">
        <v>0</v>
      </c>
      <c r="AT194" s="10">
        <v>0</v>
      </c>
      <c r="AU194" s="10">
        <v>0</v>
      </c>
      <c r="AV194" s="10">
        <v>0</v>
      </c>
      <c r="AW194" s="10">
        <v>0</v>
      </c>
      <c r="AX194" s="10">
        <v>2</v>
      </c>
      <c r="AY194" s="10">
        <v>0</v>
      </c>
      <c r="AZ194" s="7">
        <f t="shared" si="8"/>
        <v>2</v>
      </c>
      <c r="BA194" s="11">
        <f t="shared" si="9"/>
        <v>0.16666666666666666</v>
      </c>
      <c r="BC194" s="12">
        <v>0</v>
      </c>
      <c r="BD194" s="12">
        <v>0</v>
      </c>
      <c r="BE194" s="12">
        <v>0</v>
      </c>
      <c r="BF194" s="12">
        <v>0</v>
      </c>
      <c r="BG194" s="12">
        <v>0</v>
      </c>
      <c r="BH194" s="12">
        <v>0</v>
      </c>
      <c r="BI194" s="12">
        <v>0</v>
      </c>
      <c r="BJ194" s="12">
        <v>0</v>
      </c>
      <c r="BK194" s="12">
        <v>0</v>
      </c>
      <c r="BL194" s="12">
        <v>0</v>
      </c>
      <c r="BM194" s="12">
        <v>38.927499905055001</v>
      </c>
      <c r="BN194" s="12">
        <v>0</v>
      </c>
      <c r="BO194" s="12">
        <f t="shared" si="10"/>
        <v>38.927499905055001</v>
      </c>
      <c r="BP194" s="12">
        <f t="shared" si="11"/>
        <v>3.2439583254212501</v>
      </c>
      <c r="BQ194" s="7"/>
      <c r="BR194" s="7"/>
      <c r="BS194" s="7" t="s">
        <v>95</v>
      </c>
      <c r="BT194" s="7" t="s">
        <v>53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/>
    </row>
    <row r="195" spans="1:78" x14ac:dyDescent="0.35">
      <c r="A195" s="7" t="s">
        <v>42</v>
      </c>
      <c r="B195" s="7"/>
      <c r="C195" s="7" t="s">
        <v>481</v>
      </c>
      <c r="D195" s="7" t="s">
        <v>121</v>
      </c>
      <c r="E195" s="7" t="s">
        <v>482</v>
      </c>
      <c r="F195" s="7" t="s">
        <v>123</v>
      </c>
      <c r="G195" s="7" t="s">
        <v>47</v>
      </c>
      <c r="H195" s="7"/>
      <c r="I195" s="7"/>
      <c r="J195" s="7" t="s">
        <v>48</v>
      </c>
      <c r="K195" s="7" t="s">
        <v>49</v>
      </c>
      <c r="L195" s="7" t="s">
        <v>49</v>
      </c>
      <c r="M195" s="7" t="s">
        <v>49</v>
      </c>
      <c r="N195" s="7" t="s">
        <v>100</v>
      </c>
      <c r="O195" s="7" t="s">
        <v>4</v>
      </c>
      <c r="P195" s="7">
        <v>10250</v>
      </c>
      <c r="Q195" s="7">
        <v>10250</v>
      </c>
      <c r="R195" s="7">
        <v>10250</v>
      </c>
      <c r="S195" s="7">
        <v>10250</v>
      </c>
      <c r="T195" s="7">
        <v>10250</v>
      </c>
      <c r="U195" s="7">
        <v>10250</v>
      </c>
      <c r="V195" s="7">
        <v>10250</v>
      </c>
      <c r="W195" s="7">
        <v>10250</v>
      </c>
      <c r="X195" s="7">
        <v>10250</v>
      </c>
      <c r="Y195" s="7">
        <v>10250</v>
      </c>
      <c r="Z195" s="7">
        <v>10250</v>
      </c>
      <c r="AA195" s="7">
        <v>10250</v>
      </c>
      <c r="AB195" s="9">
        <v>0.64879166508425001</v>
      </c>
      <c r="AC195" s="9">
        <v>0.64879166508425001</v>
      </c>
      <c r="AD195" s="9">
        <v>0.64879166508425001</v>
      </c>
      <c r="AE195" s="9">
        <v>0.64879166508425001</v>
      </c>
      <c r="AF195" s="9">
        <v>0.64879166508425001</v>
      </c>
      <c r="AG195" s="9">
        <v>0.64879166508425001</v>
      </c>
      <c r="AH195" s="9">
        <v>0.64879166508425001</v>
      </c>
      <c r="AI195" s="9">
        <v>0.64879166508425001</v>
      </c>
      <c r="AJ195" s="9">
        <v>0.64879166508425001</v>
      </c>
      <c r="AK195" s="9">
        <v>0.64879166508425001</v>
      </c>
      <c r="AL195" s="9">
        <v>0.64879166508425001</v>
      </c>
      <c r="AM195" s="9">
        <v>0.64879166508425001</v>
      </c>
      <c r="AN195" s="10">
        <v>0</v>
      </c>
      <c r="AO195" s="10">
        <v>0</v>
      </c>
      <c r="AP195" s="10">
        <v>2772</v>
      </c>
      <c r="AQ195" s="10">
        <v>0</v>
      </c>
      <c r="AR195" s="10">
        <v>0</v>
      </c>
      <c r="AS195" s="10">
        <v>0</v>
      </c>
      <c r="AT195" s="10">
        <v>0</v>
      </c>
      <c r="AU195" s="10">
        <v>0</v>
      </c>
      <c r="AV195" s="10">
        <v>2772</v>
      </c>
      <c r="AW195" s="10">
        <v>0</v>
      </c>
      <c r="AX195" s="10">
        <v>0</v>
      </c>
      <c r="AY195" s="10">
        <v>0</v>
      </c>
      <c r="AZ195" s="7">
        <f t="shared" si="8"/>
        <v>5544</v>
      </c>
      <c r="BA195" s="11">
        <f t="shared" si="9"/>
        <v>462</v>
      </c>
      <c r="BC195" s="12">
        <v>0</v>
      </c>
      <c r="BD195" s="12">
        <v>0</v>
      </c>
      <c r="BE195" s="12">
        <v>1798.4504956134999</v>
      </c>
      <c r="BF195" s="12">
        <v>0</v>
      </c>
      <c r="BG195" s="12">
        <v>0</v>
      </c>
      <c r="BH195" s="12">
        <v>0</v>
      </c>
      <c r="BI195" s="12">
        <v>0</v>
      </c>
      <c r="BJ195" s="12">
        <v>0</v>
      </c>
      <c r="BK195" s="12">
        <v>1798.4504956134999</v>
      </c>
      <c r="BL195" s="12">
        <v>0</v>
      </c>
      <c r="BM195" s="12">
        <v>0</v>
      </c>
      <c r="BN195" s="12">
        <v>0</v>
      </c>
      <c r="BO195" s="12">
        <f t="shared" si="10"/>
        <v>3596.9009912269998</v>
      </c>
      <c r="BP195" s="12">
        <f t="shared" si="11"/>
        <v>299.74174926891664</v>
      </c>
      <c r="BQ195" s="7"/>
      <c r="BR195" s="7"/>
      <c r="BS195" s="7" t="s">
        <v>95</v>
      </c>
      <c r="BT195" s="7" t="s">
        <v>53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/>
    </row>
    <row r="196" spans="1:78" x14ac:dyDescent="0.35">
      <c r="A196" s="7" t="s">
        <v>42</v>
      </c>
      <c r="B196" s="7"/>
      <c r="C196" s="7" t="s">
        <v>459</v>
      </c>
      <c r="D196" s="7" t="s">
        <v>190</v>
      </c>
      <c r="E196" s="7" t="s">
        <v>460</v>
      </c>
      <c r="F196" s="7" t="s">
        <v>93</v>
      </c>
      <c r="G196" s="7" t="s">
        <v>47</v>
      </c>
      <c r="H196" s="7"/>
      <c r="I196" s="7"/>
      <c r="J196" s="7" t="s">
        <v>48</v>
      </c>
      <c r="K196" s="7" t="s">
        <v>49</v>
      </c>
      <c r="L196" s="7" t="s">
        <v>49</v>
      </c>
      <c r="M196" s="7" t="s">
        <v>49</v>
      </c>
      <c r="N196" s="7" t="s">
        <v>261</v>
      </c>
      <c r="O196" s="7" t="s">
        <v>4</v>
      </c>
      <c r="P196" s="7">
        <v>1000000</v>
      </c>
      <c r="Q196" s="7">
        <v>1000000</v>
      </c>
      <c r="R196" s="7">
        <v>1000000</v>
      </c>
      <c r="S196" s="7">
        <v>1000000</v>
      </c>
      <c r="T196" s="7">
        <v>1000000</v>
      </c>
      <c r="U196" s="7">
        <v>1000000</v>
      </c>
      <c r="V196" s="7">
        <v>1000000</v>
      </c>
      <c r="W196" s="7">
        <v>1000000</v>
      </c>
      <c r="X196" s="7">
        <v>1000000</v>
      </c>
      <c r="Y196" s="7">
        <v>1000000</v>
      </c>
      <c r="Z196" s="7">
        <v>1000000</v>
      </c>
      <c r="AA196" s="7">
        <v>1000000</v>
      </c>
      <c r="AB196" s="9">
        <v>63.296747813096999</v>
      </c>
      <c r="AC196" s="9">
        <v>63.296747813096999</v>
      </c>
      <c r="AD196" s="9">
        <v>63.296747813096999</v>
      </c>
      <c r="AE196" s="9">
        <v>63.296747813096999</v>
      </c>
      <c r="AF196" s="9">
        <v>63.296747813096999</v>
      </c>
      <c r="AG196" s="9">
        <v>63.296747813096999</v>
      </c>
      <c r="AH196" s="9">
        <v>63.296747813096999</v>
      </c>
      <c r="AI196" s="9">
        <v>63.296747813096999</v>
      </c>
      <c r="AJ196" s="9">
        <v>63.296747813096999</v>
      </c>
      <c r="AK196" s="9">
        <v>63.296747813096999</v>
      </c>
      <c r="AL196" s="9">
        <v>63.296747813096999</v>
      </c>
      <c r="AM196" s="9">
        <v>63.296747813096999</v>
      </c>
      <c r="AN196" s="10">
        <v>0</v>
      </c>
      <c r="AO196" s="10">
        <v>0</v>
      </c>
      <c r="AP196" s="10">
        <v>1</v>
      </c>
      <c r="AQ196" s="10">
        <v>0</v>
      </c>
      <c r="AR196" s="10">
        <v>0</v>
      </c>
      <c r="AS196" s="10">
        <v>0</v>
      </c>
      <c r="AT196" s="10">
        <v>0</v>
      </c>
      <c r="AU196" s="10">
        <v>0</v>
      </c>
      <c r="AV196" s="10">
        <v>0</v>
      </c>
      <c r="AW196" s="10">
        <v>0</v>
      </c>
      <c r="AX196" s="10">
        <v>0</v>
      </c>
      <c r="AY196" s="10">
        <v>0</v>
      </c>
      <c r="AZ196" s="7">
        <f t="shared" si="8"/>
        <v>1</v>
      </c>
      <c r="BA196" s="11">
        <f t="shared" si="9"/>
        <v>8.3333333333333329E-2</v>
      </c>
      <c r="BC196" s="12">
        <v>0</v>
      </c>
      <c r="BD196" s="12">
        <v>0</v>
      </c>
      <c r="BE196" s="12">
        <v>63.296747813096999</v>
      </c>
      <c r="BF196" s="12">
        <v>0</v>
      </c>
      <c r="BG196" s="12">
        <v>0</v>
      </c>
      <c r="BH196" s="12">
        <v>0</v>
      </c>
      <c r="BI196" s="12">
        <v>0</v>
      </c>
      <c r="BJ196" s="12">
        <v>0</v>
      </c>
      <c r="BK196" s="12">
        <v>0</v>
      </c>
      <c r="BL196" s="12">
        <v>0</v>
      </c>
      <c r="BM196" s="12">
        <v>0</v>
      </c>
      <c r="BN196" s="12">
        <v>0</v>
      </c>
      <c r="BO196" s="12">
        <f t="shared" si="10"/>
        <v>63.296747813096999</v>
      </c>
      <c r="BP196" s="12">
        <f t="shared" si="11"/>
        <v>5.2747289844247502</v>
      </c>
      <c r="BQ196" s="7"/>
      <c r="BR196" s="7"/>
      <c r="BS196" s="7" t="s">
        <v>95</v>
      </c>
      <c r="BT196" s="7" t="s">
        <v>53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/>
    </row>
    <row r="197" spans="1:78" x14ac:dyDescent="0.35">
      <c r="A197" s="7" t="s">
        <v>42</v>
      </c>
      <c r="B197" s="7"/>
      <c r="C197" s="7" t="s">
        <v>305</v>
      </c>
      <c r="D197" s="7" t="s">
        <v>126</v>
      </c>
      <c r="E197" s="7" t="s">
        <v>306</v>
      </c>
      <c r="F197" s="7" t="s">
        <v>99</v>
      </c>
      <c r="G197" s="7" t="s">
        <v>47</v>
      </c>
      <c r="H197" s="7"/>
      <c r="I197" s="7"/>
      <c r="J197" s="7" t="s">
        <v>48</v>
      </c>
      <c r="K197" s="7" t="s">
        <v>49</v>
      </c>
      <c r="L197" s="7" t="s">
        <v>49</v>
      </c>
      <c r="M197" s="7" t="s">
        <v>49</v>
      </c>
      <c r="N197" s="7" t="s">
        <v>100</v>
      </c>
      <c r="O197" s="7" t="s">
        <v>4</v>
      </c>
      <c r="P197" s="7">
        <v>2562500</v>
      </c>
      <c r="Q197" s="7">
        <v>2562500</v>
      </c>
      <c r="R197" s="7">
        <v>2562500</v>
      </c>
      <c r="S197" s="7">
        <v>2562500</v>
      </c>
      <c r="T197" s="7">
        <v>2562500</v>
      </c>
      <c r="U197" s="7">
        <v>2562500</v>
      </c>
      <c r="V197" s="7">
        <v>2562500</v>
      </c>
      <c r="W197" s="7">
        <v>2562500</v>
      </c>
      <c r="X197" s="7">
        <v>2562500</v>
      </c>
      <c r="Y197" s="7">
        <v>2562500</v>
      </c>
      <c r="Z197" s="7">
        <v>2562500</v>
      </c>
      <c r="AA197" s="7">
        <v>2562500</v>
      </c>
      <c r="AB197" s="9">
        <v>162.19791627106</v>
      </c>
      <c r="AC197" s="9">
        <v>162.19791627106</v>
      </c>
      <c r="AD197" s="9">
        <v>162.19791627106</v>
      </c>
      <c r="AE197" s="9">
        <v>162.19791627106</v>
      </c>
      <c r="AF197" s="9">
        <v>162.19791627106</v>
      </c>
      <c r="AG197" s="9">
        <v>162.19791627106</v>
      </c>
      <c r="AH197" s="9">
        <v>162.19791627106</v>
      </c>
      <c r="AI197" s="9">
        <v>162.19791627106</v>
      </c>
      <c r="AJ197" s="9">
        <v>162.19791627106</v>
      </c>
      <c r="AK197" s="9">
        <v>162.19791627106</v>
      </c>
      <c r="AL197" s="9">
        <v>162.19791627106</v>
      </c>
      <c r="AM197" s="9">
        <v>162.19791627106</v>
      </c>
      <c r="AN197" s="10">
        <v>0</v>
      </c>
      <c r="AO197" s="10">
        <v>0</v>
      </c>
      <c r="AP197" s="10">
        <v>0</v>
      </c>
      <c r="AQ197" s="10">
        <v>0</v>
      </c>
      <c r="AR197" s="10">
        <v>0</v>
      </c>
      <c r="AS197" s="10">
        <v>0</v>
      </c>
      <c r="AT197" s="10">
        <v>0</v>
      </c>
      <c r="AU197" s="10">
        <v>0</v>
      </c>
      <c r="AV197" s="10">
        <v>0</v>
      </c>
      <c r="AW197" s="10">
        <v>0</v>
      </c>
      <c r="AX197" s="10">
        <v>1</v>
      </c>
      <c r="AY197" s="10">
        <v>0</v>
      </c>
      <c r="AZ197" s="7">
        <f t="shared" si="8"/>
        <v>1</v>
      </c>
      <c r="BA197" s="11">
        <f t="shared" si="9"/>
        <v>8.3333333333333329E-2</v>
      </c>
      <c r="BC197" s="12">
        <v>0</v>
      </c>
      <c r="BD197" s="12">
        <v>0</v>
      </c>
      <c r="BE197" s="12">
        <v>0</v>
      </c>
      <c r="BF197" s="12">
        <v>0</v>
      </c>
      <c r="BG197" s="12">
        <v>0</v>
      </c>
      <c r="BH197" s="12">
        <v>0</v>
      </c>
      <c r="BI197" s="12">
        <v>0</v>
      </c>
      <c r="BJ197" s="12">
        <v>0</v>
      </c>
      <c r="BK197" s="12">
        <v>0</v>
      </c>
      <c r="BL197" s="12">
        <v>0</v>
      </c>
      <c r="BM197" s="12">
        <v>162.19791627106</v>
      </c>
      <c r="BN197" s="12">
        <v>0</v>
      </c>
      <c r="BO197" s="12">
        <f t="shared" si="10"/>
        <v>162.19791627106</v>
      </c>
      <c r="BP197" s="12">
        <f t="shared" si="11"/>
        <v>13.516493022588334</v>
      </c>
      <c r="BQ197" s="7"/>
      <c r="BR197" s="7"/>
      <c r="BS197" s="7" t="s">
        <v>95</v>
      </c>
      <c r="BT197" s="7" t="s">
        <v>53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/>
    </row>
    <row r="198" spans="1:78" x14ac:dyDescent="0.35">
      <c r="A198" s="7" t="s">
        <v>42</v>
      </c>
      <c r="B198" s="7"/>
      <c r="C198" s="7" t="s">
        <v>483</v>
      </c>
      <c r="D198" s="7" t="s">
        <v>126</v>
      </c>
      <c r="E198" s="7" t="s">
        <v>484</v>
      </c>
      <c r="F198" s="7" t="s">
        <v>130</v>
      </c>
      <c r="G198" s="7" t="s">
        <v>47</v>
      </c>
      <c r="H198" s="7"/>
      <c r="I198" s="7"/>
      <c r="J198" s="7" t="s">
        <v>48</v>
      </c>
      <c r="K198" s="7" t="s">
        <v>49</v>
      </c>
      <c r="L198" s="7" t="s">
        <v>49</v>
      </c>
      <c r="M198" s="7" t="s">
        <v>49</v>
      </c>
      <c r="N198" s="7" t="s">
        <v>100</v>
      </c>
      <c r="O198" s="7" t="s">
        <v>6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10">
        <v>0</v>
      </c>
      <c r="AO198" s="10">
        <v>0</v>
      </c>
      <c r="AP198" s="10">
        <v>0</v>
      </c>
      <c r="AQ198" s="10">
        <v>1</v>
      </c>
      <c r="AR198" s="10">
        <v>0</v>
      </c>
      <c r="AS198" s="10">
        <v>0</v>
      </c>
      <c r="AT198" s="10">
        <v>0</v>
      </c>
      <c r="AU198" s="10">
        <v>0</v>
      </c>
      <c r="AV198" s="10">
        <v>0</v>
      </c>
      <c r="AW198" s="10">
        <v>0</v>
      </c>
      <c r="AX198" s="10">
        <v>0</v>
      </c>
      <c r="AY198" s="10">
        <v>0</v>
      </c>
      <c r="AZ198" s="7">
        <f t="shared" si="8"/>
        <v>1</v>
      </c>
      <c r="BA198" s="11">
        <f t="shared" si="9"/>
        <v>8.3333333333333329E-2</v>
      </c>
      <c r="BC198" s="12">
        <v>0</v>
      </c>
      <c r="BD198" s="12">
        <v>0</v>
      </c>
      <c r="BE198" s="12">
        <v>0</v>
      </c>
      <c r="BF198" s="12">
        <v>0</v>
      </c>
      <c r="BG198" s="12">
        <v>0</v>
      </c>
      <c r="BH198" s="12">
        <v>0</v>
      </c>
      <c r="BI198" s="12">
        <v>0</v>
      </c>
      <c r="BJ198" s="12">
        <v>0</v>
      </c>
      <c r="BK198" s="12">
        <v>0</v>
      </c>
      <c r="BL198" s="12">
        <v>0</v>
      </c>
      <c r="BM198" s="12">
        <v>0</v>
      </c>
      <c r="BN198" s="12">
        <v>0</v>
      </c>
      <c r="BO198" s="12">
        <f t="shared" si="10"/>
        <v>0</v>
      </c>
      <c r="BP198" s="12">
        <f t="shared" si="11"/>
        <v>0</v>
      </c>
      <c r="BQ198" s="7"/>
      <c r="BR198" s="7"/>
      <c r="BS198" s="7" t="s">
        <v>95</v>
      </c>
      <c r="BT198" s="7" t="s">
        <v>53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/>
    </row>
    <row r="199" spans="1:78" x14ac:dyDescent="0.35">
      <c r="A199" s="7" t="s">
        <v>42</v>
      </c>
      <c r="B199" s="7"/>
      <c r="C199" s="7" t="s">
        <v>485</v>
      </c>
      <c r="D199" s="7" t="s">
        <v>190</v>
      </c>
      <c r="E199" s="7" t="s">
        <v>486</v>
      </c>
      <c r="F199" s="7" t="s">
        <v>212</v>
      </c>
      <c r="G199" s="7" t="s">
        <v>47</v>
      </c>
      <c r="H199" s="7"/>
      <c r="I199" s="7"/>
      <c r="J199" s="7" t="s">
        <v>48</v>
      </c>
      <c r="K199" s="7" t="s">
        <v>49</v>
      </c>
      <c r="L199" s="7" t="s">
        <v>49</v>
      </c>
      <c r="M199" s="7" t="s">
        <v>49</v>
      </c>
      <c r="N199" s="7" t="s">
        <v>100</v>
      </c>
      <c r="O199" s="7" t="s">
        <v>4</v>
      </c>
      <c r="P199" s="7">
        <v>2500000</v>
      </c>
      <c r="Q199" s="7">
        <v>2500000</v>
      </c>
      <c r="R199" s="7">
        <v>2500000</v>
      </c>
      <c r="S199" s="7">
        <v>2500000</v>
      </c>
      <c r="T199" s="7">
        <v>2500000</v>
      </c>
      <c r="U199" s="7">
        <v>2500000</v>
      </c>
      <c r="V199" s="7">
        <v>2500000</v>
      </c>
      <c r="W199" s="7">
        <v>2500000</v>
      </c>
      <c r="X199" s="7">
        <v>2500000</v>
      </c>
      <c r="Y199" s="7">
        <v>2500000</v>
      </c>
      <c r="Z199" s="7">
        <v>2500000</v>
      </c>
      <c r="AA199" s="7">
        <v>2500000</v>
      </c>
      <c r="AB199" s="9">
        <v>158.24186953274</v>
      </c>
      <c r="AC199" s="9">
        <v>158.24186953274</v>
      </c>
      <c r="AD199" s="9">
        <v>158.24186953274</v>
      </c>
      <c r="AE199" s="9">
        <v>158.24186953274</v>
      </c>
      <c r="AF199" s="9">
        <v>158.24186953274</v>
      </c>
      <c r="AG199" s="9">
        <v>158.24186953274</v>
      </c>
      <c r="AH199" s="9">
        <v>158.24186953274</v>
      </c>
      <c r="AI199" s="9">
        <v>158.24186953274</v>
      </c>
      <c r="AJ199" s="9">
        <v>158.24186953274</v>
      </c>
      <c r="AK199" s="9">
        <v>158.24186953274</v>
      </c>
      <c r="AL199" s="9">
        <v>158.24186953274</v>
      </c>
      <c r="AM199" s="9">
        <v>158.24186953274</v>
      </c>
      <c r="AN199" s="10">
        <v>0</v>
      </c>
      <c r="AO199" s="10">
        <v>0</v>
      </c>
      <c r="AP199" s="10">
        <v>0</v>
      </c>
      <c r="AQ199" s="10">
        <v>0</v>
      </c>
      <c r="AR199" s="10">
        <v>2</v>
      </c>
      <c r="AS199" s="10">
        <v>0</v>
      </c>
      <c r="AT199" s="10">
        <v>0</v>
      </c>
      <c r="AU199" s="10">
        <v>0</v>
      </c>
      <c r="AV199" s="10">
        <v>0</v>
      </c>
      <c r="AW199" s="10">
        <v>0</v>
      </c>
      <c r="AX199" s="10">
        <v>0</v>
      </c>
      <c r="AY199" s="10">
        <v>0</v>
      </c>
      <c r="AZ199" s="7">
        <f t="shared" si="8"/>
        <v>2</v>
      </c>
      <c r="BA199" s="11">
        <f t="shared" si="9"/>
        <v>0.16666666666666666</v>
      </c>
      <c r="BC199" s="12">
        <v>0</v>
      </c>
      <c r="BD199" s="12">
        <v>0</v>
      </c>
      <c r="BE199" s="12">
        <v>0</v>
      </c>
      <c r="BF199" s="12">
        <v>0</v>
      </c>
      <c r="BG199" s="12">
        <v>316.48373906549</v>
      </c>
      <c r="BH199" s="12">
        <v>0</v>
      </c>
      <c r="BI199" s="12">
        <v>0</v>
      </c>
      <c r="BJ199" s="12">
        <v>0</v>
      </c>
      <c r="BK199" s="12">
        <v>0</v>
      </c>
      <c r="BL199" s="12">
        <v>0</v>
      </c>
      <c r="BM199" s="12">
        <v>0</v>
      </c>
      <c r="BN199" s="12">
        <v>0</v>
      </c>
      <c r="BO199" s="12">
        <f t="shared" si="10"/>
        <v>316.48373906549</v>
      </c>
      <c r="BP199" s="12">
        <f t="shared" si="11"/>
        <v>26.373644922124168</v>
      </c>
      <c r="BQ199" s="7"/>
      <c r="BR199" s="7"/>
      <c r="BS199" s="7" t="s">
        <v>95</v>
      </c>
      <c r="BT199" s="7" t="s">
        <v>53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/>
    </row>
    <row r="200" spans="1:78" x14ac:dyDescent="0.35">
      <c r="A200" s="7" t="s">
        <v>42</v>
      </c>
      <c r="B200" s="7"/>
      <c r="C200" s="7" t="s">
        <v>487</v>
      </c>
      <c r="D200" s="7" t="s">
        <v>190</v>
      </c>
      <c r="E200" s="7" t="s">
        <v>488</v>
      </c>
      <c r="F200" s="7" t="s">
        <v>130</v>
      </c>
      <c r="G200" s="7" t="s">
        <v>47</v>
      </c>
      <c r="H200" s="7"/>
      <c r="I200" s="7"/>
      <c r="J200" s="7" t="s">
        <v>48</v>
      </c>
      <c r="K200" s="7" t="s">
        <v>49</v>
      </c>
      <c r="L200" s="7" t="s">
        <v>49</v>
      </c>
      <c r="M200" s="7" t="s">
        <v>49</v>
      </c>
      <c r="N200" s="7" t="s">
        <v>100</v>
      </c>
      <c r="O200" s="7" t="s">
        <v>4</v>
      </c>
      <c r="P200" s="7">
        <v>25000000</v>
      </c>
      <c r="Q200" s="7">
        <v>25000000</v>
      </c>
      <c r="R200" s="7">
        <v>25000000</v>
      </c>
      <c r="S200" s="7">
        <v>25000000</v>
      </c>
      <c r="T200" s="7">
        <v>25000000</v>
      </c>
      <c r="U200" s="7">
        <v>25000000</v>
      </c>
      <c r="V200" s="7">
        <v>25000000</v>
      </c>
      <c r="W200" s="7">
        <v>25000000</v>
      </c>
      <c r="X200" s="7">
        <v>25000000</v>
      </c>
      <c r="Y200" s="7">
        <v>25000000</v>
      </c>
      <c r="Z200" s="7">
        <v>25000000</v>
      </c>
      <c r="AA200" s="7">
        <v>25000000</v>
      </c>
      <c r="AB200" s="9">
        <v>1582.4186953274</v>
      </c>
      <c r="AC200" s="9">
        <v>1582.4186953274</v>
      </c>
      <c r="AD200" s="9">
        <v>1582.4186953274</v>
      </c>
      <c r="AE200" s="9">
        <v>1582.4186953274</v>
      </c>
      <c r="AF200" s="9">
        <v>1582.4186953274</v>
      </c>
      <c r="AG200" s="9">
        <v>1582.4186953274</v>
      </c>
      <c r="AH200" s="9">
        <v>1582.4186953274</v>
      </c>
      <c r="AI200" s="9">
        <v>1582.4186953274</v>
      </c>
      <c r="AJ200" s="9">
        <v>1582.4186953274</v>
      </c>
      <c r="AK200" s="9">
        <v>1582.4186953274</v>
      </c>
      <c r="AL200" s="9">
        <v>1582.4186953274</v>
      </c>
      <c r="AM200" s="9">
        <v>1582.4186953274</v>
      </c>
      <c r="AN200" s="10">
        <v>0</v>
      </c>
      <c r="AO200" s="10">
        <v>1</v>
      </c>
      <c r="AP200" s="10">
        <v>0</v>
      </c>
      <c r="AQ200" s="10">
        <v>0</v>
      </c>
      <c r="AR200" s="10">
        <v>0</v>
      </c>
      <c r="AS200" s="10">
        <v>0</v>
      </c>
      <c r="AT200" s="10">
        <v>0</v>
      </c>
      <c r="AU200" s="10">
        <v>0</v>
      </c>
      <c r="AV200" s="10">
        <v>0</v>
      </c>
      <c r="AW200" s="10">
        <v>0</v>
      </c>
      <c r="AX200" s="10">
        <v>0</v>
      </c>
      <c r="AY200" s="10">
        <v>0</v>
      </c>
      <c r="AZ200" s="7">
        <f t="shared" si="8"/>
        <v>1</v>
      </c>
      <c r="BA200" s="11">
        <f t="shared" si="9"/>
        <v>8.3333333333333329E-2</v>
      </c>
      <c r="BC200" s="12">
        <v>0</v>
      </c>
      <c r="BD200" s="12">
        <v>1582.4186953274</v>
      </c>
      <c r="BE200" s="12">
        <v>0</v>
      </c>
      <c r="BF200" s="12">
        <v>0</v>
      </c>
      <c r="BG200" s="12">
        <v>0</v>
      </c>
      <c r="BH200" s="12">
        <v>0</v>
      </c>
      <c r="BI200" s="12">
        <v>0</v>
      </c>
      <c r="BJ200" s="12">
        <v>0</v>
      </c>
      <c r="BK200" s="12">
        <v>0</v>
      </c>
      <c r="BL200" s="12">
        <v>0</v>
      </c>
      <c r="BM200" s="12">
        <v>0</v>
      </c>
      <c r="BN200" s="12">
        <v>0</v>
      </c>
      <c r="BO200" s="12">
        <f t="shared" si="10"/>
        <v>1582.4186953274</v>
      </c>
      <c r="BP200" s="12">
        <f t="shared" si="11"/>
        <v>131.86822461061666</v>
      </c>
      <c r="BQ200" s="7"/>
      <c r="BR200" s="7"/>
      <c r="BS200" s="7" t="s">
        <v>95</v>
      </c>
      <c r="BT200" s="7" t="s">
        <v>53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/>
    </row>
    <row r="201" spans="1:78" x14ac:dyDescent="0.35">
      <c r="A201" s="7" t="s">
        <v>42</v>
      </c>
      <c r="B201" s="7"/>
      <c r="C201" s="7" t="s">
        <v>489</v>
      </c>
      <c r="D201" s="7" t="s">
        <v>490</v>
      </c>
      <c r="E201" s="7" t="s">
        <v>491</v>
      </c>
      <c r="F201" s="7" t="s">
        <v>93</v>
      </c>
      <c r="G201" s="7" t="s">
        <v>47</v>
      </c>
      <c r="H201" s="7"/>
      <c r="I201" s="7"/>
      <c r="J201" s="7" t="s">
        <v>48</v>
      </c>
      <c r="K201" s="7" t="s">
        <v>49</v>
      </c>
      <c r="L201" s="7" t="s">
        <v>49</v>
      </c>
      <c r="M201" s="7" t="s">
        <v>49</v>
      </c>
      <c r="N201" s="7" t="s">
        <v>139</v>
      </c>
      <c r="O201" s="7" t="s">
        <v>9</v>
      </c>
      <c r="P201" s="7">
        <v>42</v>
      </c>
      <c r="Q201" s="7">
        <v>42</v>
      </c>
      <c r="R201" s="7">
        <v>42</v>
      </c>
      <c r="S201" s="7">
        <v>42</v>
      </c>
      <c r="T201" s="7">
        <v>42</v>
      </c>
      <c r="U201" s="7">
        <v>42</v>
      </c>
      <c r="V201" s="7">
        <v>42</v>
      </c>
      <c r="W201" s="7">
        <v>42</v>
      </c>
      <c r="X201" s="7">
        <v>42</v>
      </c>
      <c r="Y201" s="7">
        <v>42</v>
      </c>
      <c r="Z201" s="7">
        <v>42</v>
      </c>
      <c r="AA201" s="7">
        <v>42</v>
      </c>
      <c r="AB201" s="9">
        <v>42</v>
      </c>
      <c r="AC201" s="9">
        <v>42</v>
      </c>
      <c r="AD201" s="9">
        <v>42</v>
      </c>
      <c r="AE201" s="9">
        <v>42</v>
      </c>
      <c r="AF201" s="9">
        <v>42</v>
      </c>
      <c r="AG201" s="9">
        <v>42</v>
      </c>
      <c r="AH201" s="9">
        <v>42</v>
      </c>
      <c r="AI201" s="9">
        <v>42</v>
      </c>
      <c r="AJ201" s="9">
        <v>42</v>
      </c>
      <c r="AK201" s="9">
        <v>42</v>
      </c>
      <c r="AL201" s="9">
        <v>42</v>
      </c>
      <c r="AM201" s="9">
        <v>42</v>
      </c>
      <c r="AN201" s="10">
        <v>0</v>
      </c>
      <c r="AO201" s="10">
        <v>0</v>
      </c>
      <c r="AP201" s="10">
        <v>14</v>
      </c>
      <c r="AQ201" s="10">
        <v>0</v>
      </c>
      <c r="AR201" s="10">
        <v>0</v>
      </c>
      <c r="AS201" s="10">
        <v>0</v>
      </c>
      <c r="AT201" s="10">
        <v>0</v>
      </c>
      <c r="AU201" s="10">
        <v>0</v>
      </c>
      <c r="AV201" s="10">
        <v>0</v>
      </c>
      <c r="AW201" s="10">
        <v>0</v>
      </c>
      <c r="AX201" s="10">
        <v>0</v>
      </c>
      <c r="AY201" s="10">
        <v>0</v>
      </c>
      <c r="AZ201" s="7">
        <f t="shared" si="8"/>
        <v>14</v>
      </c>
      <c r="BA201" s="11">
        <f t="shared" si="9"/>
        <v>1.1666666666666667</v>
      </c>
      <c r="BC201" s="12">
        <v>0</v>
      </c>
      <c r="BD201" s="12">
        <v>0</v>
      </c>
      <c r="BE201" s="12">
        <v>588</v>
      </c>
      <c r="BF201" s="12">
        <v>0</v>
      </c>
      <c r="BG201" s="12">
        <v>0</v>
      </c>
      <c r="BH201" s="12">
        <v>0</v>
      </c>
      <c r="BI201" s="12">
        <v>0</v>
      </c>
      <c r="BJ201" s="12">
        <v>0</v>
      </c>
      <c r="BK201" s="12">
        <v>0</v>
      </c>
      <c r="BL201" s="12">
        <v>0</v>
      </c>
      <c r="BM201" s="12">
        <v>0</v>
      </c>
      <c r="BN201" s="12">
        <v>0</v>
      </c>
      <c r="BO201" s="12">
        <f t="shared" si="10"/>
        <v>588</v>
      </c>
      <c r="BP201" s="12">
        <f t="shared" si="11"/>
        <v>49</v>
      </c>
      <c r="BQ201" s="7"/>
      <c r="BR201" s="7"/>
      <c r="BS201" s="7" t="s">
        <v>95</v>
      </c>
      <c r="BT201" s="7" t="s">
        <v>53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/>
    </row>
    <row r="202" spans="1:78" x14ac:dyDescent="0.35">
      <c r="A202" s="7" t="s">
        <v>42</v>
      </c>
      <c r="B202" s="7"/>
      <c r="C202" s="7" t="s">
        <v>492</v>
      </c>
      <c r="D202" s="7" t="s">
        <v>147</v>
      </c>
      <c r="E202" s="7" t="s">
        <v>493</v>
      </c>
      <c r="F202" s="7" t="s">
        <v>212</v>
      </c>
      <c r="G202" s="7" t="s">
        <v>47</v>
      </c>
      <c r="H202" s="7"/>
      <c r="I202" s="7"/>
      <c r="J202" s="7" t="s">
        <v>48</v>
      </c>
      <c r="K202" s="7" t="s">
        <v>49</v>
      </c>
      <c r="L202" s="7" t="s">
        <v>49</v>
      </c>
      <c r="M202" s="7" t="s">
        <v>49</v>
      </c>
      <c r="N202" s="7" t="s">
        <v>100</v>
      </c>
      <c r="O202" s="7" t="s">
        <v>4</v>
      </c>
      <c r="P202" s="7">
        <v>50000</v>
      </c>
      <c r="Q202" s="7">
        <v>50000</v>
      </c>
      <c r="R202" s="7">
        <v>50000</v>
      </c>
      <c r="S202" s="7">
        <v>50000</v>
      </c>
      <c r="T202" s="7">
        <v>50000</v>
      </c>
      <c r="U202" s="7">
        <v>50000</v>
      </c>
      <c r="V202" s="7">
        <v>50000</v>
      </c>
      <c r="W202" s="7">
        <v>50000</v>
      </c>
      <c r="X202" s="7">
        <v>50000</v>
      </c>
      <c r="Y202" s="7">
        <v>50000</v>
      </c>
      <c r="Z202" s="7">
        <v>50000</v>
      </c>
      <c r="AA202" s="7">
        <v>50000</v>
      </c>
      <c r="AB202" s="9">
        <v>3.1648373906548999</v>
      </c>
      <c r="AC202" s="9">
        <v>3.1648373906548999</v>
      </c>
      <c r="AD202" s="9">
        <v>3.1648373906548999</v>
      </c>
      <c r="AE202" s="9">
        <v>3.1648373906548999</v>
      </c>
      <c r="AF202" s="9">
        <v>3.1648373906548999</v>
      </c>
      <c r="AG202" s="9">
        <v>3.1648373906548999</v>
      </c>
      <c r="AH202" s="9">
        <v>3.1648373906548999</v>
      </c>
      <c r="AI202" s="9">
        <v>3.1648373906548999</v>
      </c>
      <c r="AJ202" s="9">
        <v>3.1648373906548999</v>
      </c>
      <c r="AK202" s="9">
        <v>3.1648373906548999</v>
      </c>
      <c r="AL202" s="9">
        <v>3.1648373906548999</v>
      </c>
      <c r="AM202" s="9">
        <v>3.1648373906548999</v>
      </c>
      <c r="AN202" s="10">
        <v>0</v>
      </c>
      <c r="AO202" s="10">
        <v>0</v>
      </c>
      <c r="AP202" s="10">
        <v>0</v>
      </c>
      <c r="AQ202" s="10">
        <v>0</v>
      </c>
      <c r="AR202" s="10">
        <v>4</v>
      </c>
      <c r="AS202" s="10">
        <v>0</v>
      </c>
      <c r="AT202" s="10">
        <v>0</v>
      </c>
      <c r="AU202" s="10">
        <v>0</v>
      </c>
      <c r="AV202" s="10">
        <v>0</v>
      </c>
      <c r="AW202" s="10">
        <v>0</v>
      </c>
      <c r="AX202" s="10">
        <v>0</v>
      </c>
      <c r="AY202" s="10">
        <v>0</v>
      </c>
      <c r="AZ202" s="7">
        <f t="shared" si="8"/>
        <v>4</v>
      </c>
      <c r="BA202" s="11">
        <f t="shared" si="9"/>
        <v>0.33333333333333331</v>
      </c>
      <c r="BC202" s="12">
        <v>0</v>
      </c>
      <c r="BD202" s="12">
        <v>0</v>
      </c>
      <c r="BE202" s="12">
        <v>0</v>
      </c>
      <c r="BF202" s="12">
        <v>0</v>
      </c>
      <c r="BG202" s="12">
        <v>12.659349562618999</v>
      </c>
      <c r="BH202" s="12">
        <v>0</v>
      </c>
      <c r="BI202" s="12">
        <v>0</v>
      </c>
      <c r="BJ202" s="12">
        <v>0</v>
      </c>
      <c r="BK202" s="12">
        <v>0</v>
      </c>
      <c r="BL202" s="12">
        <v>0</v>
      </c>
      <c r="BM202" s="12">
        <v>0</v>
      </c>
      <c r="BN202" s="12">
        <v>0</v>
      </c>
      <c r="BO202" s="12">
        <f t="shared" si="10"/>
        <v>12.659349562618999</v>
      </c>
      <c r="BP202" s="12">
        <f t="shared" si="11"/>
        <v>1.0549457968849165</v>
      </c>
      <c r="BQ202" s="7"/>
      <c r="BR202" s="7"/>
      <c r="BS202" s="7" t="s">
        <v>95</v>
      </c>
      <c r="BT202" s="7" t="s">
        <v>53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/>
    </row>
    <row r="203" spans="1:78" x14ac:dyDescent="0.35">
      <c r="A203" s="7" t="s">
        <v>42</v>
      </c>
      <c r="B203" s="7"/>
      <c r="C203" s="7" t="s">
        <v>494</v>
      </c>
      <c r="D203" s="7" t="s">
        <v>495</v>
      </c>
      <c r="E203" s="7" t="s">
        <v>496</v>
      </c>
      <c r="F203" s="7" t="s">
        <v>497</v>
      </c>
      <c r="G203" s="7" t="s">
        <v>47</v>
      </c>
      <c r="H203" s="7"/>
      <c r="I203" s="7"/>
      <c r="J203" s="7" t="s">
        <v>498</v>
      </c>
      <c r="K203" s="7" t="s">
        <v>49</v>
      </c>
      <c r="L203" s="7" t="s">
        <v>49</v>
      </c>
      <c r="M203" s="7" t="s">
        <v>49</v>
      </c>
      <c r="N203" s="7" t="s">
        <v>73</v>
      </c>
      <c r="O203" s="7" t="s">
        <v>4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9">
        <v>0</v>
      </c>
      <c r="AC203" s="9">
        <v>0</v>
      </c>
      <c r="AD203" s="9">
        <v>0</v>
      </c>
      <c r="AE203" s="9">
        <v>0</v>
      </c>
      <c r="AF203" s="9">
        <v>0</v>
      </c>
      <c r="AG203" s="9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10">
        <v>0</v>
      </c>
      <c r="AO203" s="10">
        <v>0</v>
      </c>
      <c r="AP203" s="10">
        <v>6</v>
      </c>
      <c r="AQ203" s="10">
        <v>6</v>
      </c>
      <c r="AR203" s="10">
        <v>6</v>
      </c>
      <c r="AS203" s="10">
        <v>6</v>
      </c>
      <c r="AT203" s="10">
        <v>6</v>
      </c>
      <c r="AU203" s="10">
        <v>0</v>
      </c>
      <c r="AV203" s="10">
        <v>0</v>
      </c>
      <c r="AW203" s="10">
        <v>0</v>
      </c>
      <c r="AX203" s="10">
        <v>0</v>
      </c>
      <c r="AY203" s="10">
        <v>0</v>
      </c>
      <c r="AZ203" s="7">
        <f t="shared" si="8"/>
        <v>30</v>
      </c>
      <c r="BA203" s="11">
        <f t="shared" si="9"/>
        <v>2.5</v>
      </c>
      <c r="BC203" s="12">
        <v>0</v>
      </c>
      <c r="BD203" s="12">
        <v>0</v>
      </c>
      <c r="BE203" s="12">
        <v>0</v>
      </c>
      <c r="BF203" s="12">
        <v>0</v>
      </c>
      <c r="BG203" s="12">
        <v>0</v>
      </c>
      <c r="BH203" s="12">
        <v>0</v>
      </c>
      <c r="BI203" s="12">
        <v>0</v>
      </c>
      <c r="BJ203" s="12">
        <v>0</v>
      </c>
      <c r="BK203" s="12">
        <v>0</v>
      </c>
      <c r="BL203" s="12">
        <v>0</v>
      </c>
      <c r="BM203" s="12">
        <v>0</v>
      </c>
      <c r="BN203" s="12">
        <v>0</v>
      </c>
      <c r="BO203" s="12">
        <f t="shared" si="10"/>
        <v>0</v>
      </c>
      <c r="BP203" s="12">
        <f t="shared" si="11"/>
        <v>0</v>
      </c>
      <c r="BQ203" s="7"/>
      <c r="BR203" s="7"/>
      <c r="BS203" s="7" t="s">
        <v>52</v>
      </c>
      <c r="BT203" s="7" t="s">
        <v>53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/>
    </row>
    <row r="204" spans="1:78" x14ac:dyDescent="0.35">
      <c r="A204" s="7" t="s">
        <v>42</v>
      </c>
      <c r="B204" s="7"/>
      <c r="C204" s="7" t="s">
        <v>499</v>
      </c>
      <c r="D204" s="7" t="s">
        <v>495</v>
      </c>
      <c r="E204" s="7" t="s">
        <v>500</v>
      </c>
      <c r="F204" s="7" t="s">
        <v>501</v>
      </c>
      <c r="G204" s="7" t="s">
        <v>47</v>
      </c>
      <c r="H204" s="7"/>
      <c r="I204" s="7"/>
      <c r="J204" s="7" t="s">
        <v>498</v>
      </c>
      <c r="K204" s="7" t="s">
        <v>49</v>
      </c>
      <c r="L204" s="7" t="s">
        <v>49</v>
      </c>
      <c r="M204" s="7" t="s">
        <v>49</v>
      </c>
      <c r="N204" s="7" t="s">
        <v>73</v>
      </c>
      <c r="O204" s="7" t="s">
        <v>4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9">
        <v>0</v>
      </c>
      <c r="AC204" s="9">
        <v>0</v>
      </c>
      <c r="AD204" s="9">
        <v>0</v>
      </c>
      <c r="AE204" s="9">
        <v>0</v>
      </c>
      <c r="AF204" s="9">
        <v>0</v>
      </c>
      <c r="AG204" s="9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10">
        <v>0</v>
      </c>
      <c r="AO204" s="10">
        <v>0</v>
      </c>
      <c r="AP204" s="10">
        <v>30</v>
      </c>
      <c r="AQ204" s="10">
        <v>30</v>
      </c>
      <c r="AR204" s="10">
        <v>30</v>
      </c>
      <c r="AS204" s="10">
        <v>30</v>
      </c>
      <c r="AT204" s="10">
        <v>30</v>
      </c>
      <c r="AU204" s="10">
        <v>0</v>
      </c>
      <c r="AV204" s="10">
        <v>0</v>
      </c>
      <c r="AW204" s="10">
        <v>0</v>
      </c>
      <c r="AX204" s="10">
        <v>0</v>
      </c>
      <c r="AY204" s="10">
        <v>0</v>
      </c>
      <c r="AZ204" s="7">
        <f t="shared" ref="AZ204:AZ267" si="12">SUM(AN204:AY204)</f>
        <v>150</v>
      </c>
      <c r="BA204" s="11">
        <f t="shared" ref="BA204:BA267" si="13">AZ204/12</f>
        <v>12.5</v>
      </c>
      <c r="BC204" s="12">
        <v>0</v>
      </c>
      <c r="BD204" s="12">
        <v>0</v>
      </c>
      <c r="BE204" s="12">
        <v>0</v>
      </c>
      <c r="BF204" s="12">
        <v>0</v>
      </c>
      <c r="BG204" s="12">
        <v>0</v>
      </c>
      <c r="BH204" s="12">
        <v>0</v>
      </c>
      <c r="BI204" s="12">
        <v>0</v>
      </c>
      <c r="BJ204" s="12">
        <v>0</v>
      </c>
      <c r="BK204" s="12">
        <v>0</v>
      </c>
      <c r="BL204" s="12">
        <v>0</v>
      </c>
      <c r="BM204" s="12">
        <v>0</v>
      </c>
      <c r="BN204" s="12">
        <v>0</v>
      </c>
      <c r="BO204" s="12">
        <f t="shared" ref="BO204:BO267" si="14">SUM(BC204:BN204)</f>
        <v>0</v>
      </c>
      <c r="BP204" s="12">
        <f t="shared" ref="BP204:BP267" si="15">BO204/12</f>
        <v>0</v>
      </c>
      <c r="BQ204" s="7"/>
      <c r="BR204" s="7"/>
      <c r="BS204" s="7" t="s">
        <v>52</v>
      </c>
      <c r="BT204" s="7" t="s">
        <v>53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/>
    </row>
    <row r="205" spans="1:78" x14ac:dyDescent="0.35">
      <c r="A205" s="7" t="s">
        <v>42</v>
      </c>
      <c r="B205" s="7"/>
      <c r="C205" s="7" t="s">
        <v>502</v>
      </c>
      <c r="D205" s="7" t="s">
        <v>503</v>
      </c>
      <c r="E205" s="7" t="s">
        <v>504</v>
      </c>
      <c r="F205" s="7" t="s">
        <v>505</v>
      </c>
      <c r="G205" s="7" t="s">
        <v>47</v>
      </c>
      <c r="H205" s="7"/>
      <c r="I205" s="7"/>
      <c r="J205" s="7" t="s">
        <v>498</v>
      </c>
      <c r="K205" s="7" t="s">
        <v>49</v>
      </c>
      <c r="L205" s="7" t="s">
        <v>49</v>
      </c>
      <c r="M205" s="7" t="s">
        <v>49</v>
      </c>
      <c r="N205" s="7" t="s">
        <v>304</v>
      </c>
      <c r="O205" s="7" t="s">
        <v>4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9">
        <v>0</v>
      </c>
      <c r="AC205" s="9">
        <v>0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10">
        <v>1</v>
      </c>
      <c r="AO205" s="10">
        <v>0</v>
      </c>
      <c r="AP205" s="10">
        <v>0</v>
      </c>
      <c r="AQ205" s="10">
        <v>0</v>
      </c>
      <c r="AR205" s="10">
        <v>0</v>
      </c>
      <c r="AS205" s="10">
        <v>0</v>
      </c>
      <c r="AT205" s="10">
        <v>0</v>
      </c>
      <c r="AU205" s="10">
        <v>0</v>
      </c>
      <c r="AV205" s="10">
        <v>0</v>
      </c>
      <c r="AW205" s="10">
        <v>0</v>
      </c>
      <c r="AX205" s="10">
        <v>0</v>
      </c>
      <c r="AY205" s="10">
        <v>0</v>
      </c>
      <c r="AZ205" s="7">
        <f t="shared" si="12"/>
        <v>1</v>
      </c>
      <c r="BA205" s="11">
        <f t="shared" si="13"/>
        <v>8.3333333333333329E-2</v>
      </c>
      <c r="BC205" s="12">
        <v>0</v>
      </c>
      <c r="BD205" s="12">
        <v>0</v>
      </c>
      <c r="BE205" s="12">
        <v>0</v>
      </c>
      <c r="BF205" s="12">
        <v>0</v>
      </c>
      <c r="BG205" s="12">
        <v>0</v>
      </c>
      <c r="BH205" s="12">
        <v>0</v>
      </c>
      <c r="BI205" s="12">
        <v>0</v>
      </c>
      <c r="BJ205" s="12">
        <v>0</v>
      </c>
      <c r="BK205" s="12">
        <v>0</v>
      </c>
      <c r="BL205" s="12">
        <v>0</v>
      </c>
      <c r="BM205" s="12">
        <v>0</v>
      </c>
      <c r="BN205" s="12">
        <v>0</v>
      </c>
      <c r="BO205" s="12">
        <f t="shared" si="14"/>
        <v>0</v>
      </c>
      <c r="BP205" s="12">
        <f t="shared" si="15"/>
        <v>0</v>
      </c>
      <c r="BQ205" s="7"/>
      <c r="BR205" s="7"/>
      <c r="BS205" s="7" t="s">
        <v>52</v>
      </c>
      <c r="BT205" s="7" t="s">
        <v>53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/>
    </row>
    <row r="206" spans="1:78" x14ac:dyDescent="0.35">
      <c r="A206" s="7" t="s">
        <v>42</v>
      </c>
      <c r="B206" s="7"/>
      <c r="C206" s="7" t="s">
        <v>506</v>
      </c>
      <c r="D206" s="7" t="s">
        <v>507</v>
      </c>
      <c r="E206" s="7" t="s">
        <v>508</v>
      </c>
      <c r="F206" s="7" t="s">
        <v>509</v>
      </c>
      <c r="G206" s="7" t="s">
        <v>47</v>
      </c>
      <c r="H206" s="7"/>
      <c r="I206" s="7"/>
      <c r="J206" s="7" t="s">
        <v>498</v>
      </c>
      <c r="K206" s="7" t="s">
        <v>49</v>
      </c>
      <c r="L206" s="7" t="s">
        <v>49</v>
      </c>
      <c r="M206" s="7" t="s">
        <v>49</v>
      </c>
      <c r="N206" s="7" t="s">
        <v>261</v>
      </c>
      <c r="O206" s="7" t="s">
        <v>4</v>
      </c>
      <c r="P206" s="7">
        <v>14520000</v>
      </c>
      <c r="Q206" s="7">
        <v>14520000</v>
      </c>
      <c r="R206" s="7">
        <v>14520000</v>
      </c>
      <c r="S206" s="7">
        <v>14520000</v>
      </c>
      <c r="T206" s="7">
        <v>14520000</v>
      </c>
      <c r="U206" s="7">
        <v>14520000</v>
      </c>
      <c r="V206" s="7">
        <v>14520000</v>
      </c>
      <c r="W206" s="7">
        <v>14520000</v>
      </c>
      <c r="X206" s="7">
        <v>14520000</v>
      </c>
      <c r="Y206" s="7">
        <v>14520000</v>
      </c>
      <c r="Z206" s="7">
        <v>14520000</v>
      </c>
      <c r="AA206" s="7">
        <v>14520000</v>
      </c>
      <c r="AB206" s="9">
        <v>919.06877824617004</v>
      </c>
      <c r="AC206" s="9">
        <v>919.06877824617004</v>
      </c>
      <c r="AD206" s="9">
        <v>919.06877824617004</v>
      </c>
      <c r="AE206" s="9">
        <v>919.06877824617004</v>
      </c>
      <c r="AF206" s="9">
        <v>919.06877824617004</v>
      </c>
      <c r="AG206" s="9">
        <v>919.06877824617004</v>
      </c>
      <c r="AH206" s="9">
        <v>919.06877824617004</v>
      </c>
      <c r="AI206" s="9">
        <v>919.06877824617004</v>
      </c>
      <c r="AJ206" s="9">
        <v>919.06877824617004</v>
      </c>
      <c r="AK206" s="9">
        <v>919.06877824617004</v>
      </c>
      <c r="AL206" s="9">
        <v>919.06877824617004</v>
      </c>
      <c r="AM206" s="9">
        <v>919.06877824617004</v>
      </c>
      <c r="AN206" s="10">
        <v>0</v>
      </c>
      <c r="AO206" s="10">
        <v>1</v>
      </c>
      <c r="AP206" s="10">
        <v>1</v>
      </c>
      <c r="AQ206" s="10">
        <v>0</v>
      </c>
      <c r="AR206" s="10">
        <v>0</v>
      </c>
      <c r="AS206" s="10">
        <v>0</v>
      </c>
      <c r="AT206" s="10">
        <v>0</v>
      </c>
      <c r="AU206" s="10">
        <v>0</v>
      </c>
      <c r="AV206" s="10">
        <v>0</v>
      </c>
      <c r="AW206" s="10">
        <v>0</v>
      </c>
      <c r="AX206" s="10">
        <v>0</v>
      </c>
      <c r="AY206" s="10">
        <v>0</v>
      </c>
      <c r="AZ206" s="7">
        <f t="shared" si="12"/>
        <v>2</v>
      </c>
      <c r="BA206" s="11">
        <f t="shared" si="13"/>
        <v>0.16666666666666666</v>
      </c>
      <c r="BC206" s="12">
        <v>0</v>
      </c>
      <c r="BD206" s="12">
        <v>919.06877824617004</v>
      </c>
      <c r="BE206" s="12">
        <v>919.06877824617004</v>
      </c>
      <c r="BF206" s="12">
        <v>0</v>
      </c>
      <c r="BG206" s="12">
        <v>0</v>
      </c>
      <c r="BH206" s="12">
        <v>0</v>
      </c>
      <c r="BI206" s="12">
        <v>0</v>
      </c>
      <c r="BJ206" s="12">
        <v>0</v>
      </c>
      <c r="BK206" s="12">
        <v>0</v>
      </c>
      <c r="BL206" s="12">
        <v>0</v>
      </c>
      <c r="BM206" s="12">
        <v>0</v>
      </c>
      <c r="BN206" s="12">
        <v>0</v>
      </c>
      <c r="BO206" s="12">
        <f t="shared" si="14"/>
        <v>1838.1375564923401</v>
      </c>
      <c r="BP206" s="12">
        <f t="shared" si="15"/>
        <v>153.17812970769501</v>
      </c>
      <c r="BQ206" s="7"/>
      <c r="BR206" s="7"/>
      <c r="BS206" s="7" t="s">
        <v>52</v>
      </c>
      <c r="BT206" s="7" t="s">
        <v>53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/>
    </row>
    <row r="207" spans="1:78" x14ac:dyDescent="0.35">
      <c r="A207" s="7" t="s">
        <v>42</v>
      </c>
      <c r="B207" s="7"/>
      <c r="C207" s="7" t="s">
        <v>510</v>
      </c>
      <c r="D207" s="7" t="s">
        <v>511</v>
      </c>
      <c r="E207" s="7" t="s">
        <v>512</v>
      </c>
      <c r="F207" s="7" t="s">
        <v>513</v>
      </c>
      <c r="G207" s="7" t="s">
        <v>47</v>
      </c>
      <c r="H207" s="7"/>
      <c r="I207" s="7"/>
      <c r="J207" s="7" t="s">
        <v>498</v>
      </c>
      <c r="K207" s="7" t="s">
        <v>49</v>
      </c>
      <c r="L207" s="7" t="s">
        <v>49</v>
      </c>
      <c r="M207" s="7" t="s">
        <v>49</v>
      </c>
      <c r="N207" s="7" t="s">
        <v>261</v>
      </c>
      <c r="O207" s="7" t="s">
        <v>4</v>
      </c>
      <c r="P207" s="7">
        <v>3190000</v>
      </c>
      <c r="Q207" s="7">
        <v>3190000</v>
      </c>
      <c r="R207" s="7">
        <v>3190000</v>
      </c>
      <c r="S207" s="7">
        <v>3190000</v>
      </c>
      <c r="T207" s="7">
        <v>3190000</v>
      </c>
      <c r="U207" s="7">
        <v>3190000</v>
      </c>
      <c r="V207" s="7">
        <v>3190000</v>
      </c>
      <c r="W207" s="7">
        <v>3190000</v>
      </c>
      <c r="X207" s="7">
        <v>3190000</v>
      </c>
      <c r="Y207" s="7">
        <v>3190000</v>
      </c>
      <c r="Z207" s="7">
        <v>3190000</v>
      </c>
      <c r="AA207" s="7">
        <v>3190000</v>
      </c>
      <c r="AB207" s="9">
        <v>201.91662552378</v>
      </c>
      <c r="AC207" s="9">
        <v>201.91662552378</v>
      </c>
      <c r="AD207" s="9">
        <v>201.91662552378</v>
      </c>
      <c r="AE207" s="9">
        <v>201.91662552378</v>
      </c>
      <c r="AF207" s="9">
        <v>201.91662552378</v>
      </c>
      <c r="AG207" s="9">
        <v>201.91662552378</v>
      </c>
      <c r="AH207" s="9">
        <v>201.91662552378</v>
      </c>
      <c r="AI207" s="9">
        <v>201.91662552378</v>
      </c>
      <c r="AJ207" s="9">
        <v>201.91662552378</v>
      </c>
      <c r="AK207" s="9">
        <v>201.91662552378</v>
      </c>
      <c r="AL207" s="9">
        <v>201.91662552378</v>
      </c>
      <c r="AM207" s="9">
        <v>201.91662552378</v>
      </c>
      <c r="AN207" s="10">
        <v>0</v>
      </c>
      <c r="AO207" s="10">
        <v>1</v>
      </c>
      <c r="AP207" s="10">
        <v>0</v>
      </c>
      <c r="AQ207" s="10">
        <v>0</v>
      </c>
      <c r="AR207" s="10">
        <v>0</v>
      </c>
      <c r="AS207" s="10">
        <v>0</v>
      </c>
      <c r="AT207" s="10">
        <v>0</v>
      </c>
      <c r="AU207" s="10">
        <v>0</v>
      </c>
      <c r="AV207" s="10">
        <v>0</v>
      </c>
      <c r="AW207" s="10">
        <v>0</v>
      </c>
      <c r="AX207" s="10">
        <v>0</v>
      </c>
      <c r="AY207" s="10">
        <v>0</v>
      </c>
      <c r="AZ207" s="7">
        <f t="shared" si="12"/>
        <v>1</v>
      </c>
      <c r="BA207" s="11">
        <f t="shared" si="13"/>
        <v>8.3333333333333329E-2</v>
      </c>
      <c r="BC207" s="12">
        <v>0</v>
      </c>
      <c r="BD207" s="12">
        <v>201.91662552378</v>
      </c>
      <c r="BE207" s="12">
        <v>0</v>
      </c>
      <c r="BF207" s="12">
        <v>0</v>
      </c>
      <c r="BG207" s="12">
        <v>0</v>
      </c>
      <c r="BH207" s="12">
        <v>0</v>
      </c>
      <c r="BI207" s="12">
        <v>0</v>
      </c>
      <c r="BJ207" s="12">
        <v>0</v>
      </c>
      <c r="BK207" s="12">
        <v>0</v>
      </c>
      <c r="BL207" s="12">
        <v>0</v>
      </c>
      <c r="BM207" s="12">
        <v>0</v>
      </c>
      <c r="BN207" s="12">
        <v>0</v>
      </c>
      <c r="BO207" s="12">
        <f t="shared" si="14"/>
        <v>201.91662552378</v>
      </c>
      <c r="BP207" s="12">
        <f t="shared" si="15"/>
        <v>16.826385460314999</v>
      </c>
      <c r="BQ207" s="7"/>
      <c r="BR207" s="7"/>
      <c r="BS207" s="7" t="s">
        <v>52</v>
      </c>
      <c r="BT207" s="7" t="s">
        <v>53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/>
    </row>
    <row r="208" spans="1:78" x14ac:dyDescent="0.35">
      <c r="A208" s="7" t="s">
        <v>42</v>
      </c>
      <c r="B208" s="7"/>
      <c r="C208" s="7" t="s">
        <v>514</v>
      </c>
      <c r="D208" s="7" t="s">
        <v>515</v>
      </c>
      <c r="E208" s="7" t="s">
        <v>516</v>
      </c>
      <c r="F208" s="7" t="s">
        <v>509</v>
      </c>
      <c r="G208" s="7" t="s">
        <v>47</v>
      </c>
      <c r="H208" s="7"/>
      <c r="I208" s="7"/>
      <c r="J208" s="7" t="s">
        <v>498</v>
      </c>
      <c r="K208" s="7" t="s">
        <v>49</v>
      </c>
      <c r="L208" s="7" t="s">
        <v>49</v>
      </c>
      <c r="M208" s="7" t="s">
        <v>49</v>
      </c>
      <c r="N208" s="7" t="s">
        <v>261</v>
      </c>
      <c r="O208" s="7" t="s">
        <v>4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9">
        <v>0</v>
      </c>
      <c r="AC208" s="9">
        <v>0</v>
      </c>
      <c r="AD208" s="9">
        <v>0</v>
      </c>
      <c r="AE208" s="9">
        <v>0</v>
      </c>
      <c r="AF208" s="9">
        <v>0</v>
      </c>
      <c r="AG208" s="9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0</v>
      </c>
      <c r="AN208" s="10">
        <v>0</v>
      </c>
      <c r="AO208" s="10">
        <v>2</v>
      </c>
      <c r="AP208" s="10">
        <v>0</v>
      </c>
      <c r="AQ208" s="10">
        <v>0</v>
      </c>
      <c r="AR208" s="10">
        <v>0</v>
      </c>
      <c r="AS208" s="10">
        <v>0</v>
      </c>
      <c r="AT208" s="10">
        <v>0</v>
      </c>
      <c r="AU208" s="10">
        <v>0</v>
      </c>
      <c r="AV208" s="10">
        <v>0</v>
      </c>
      <c r="AW208" s="10">
        <v>0</v>
      </c>
      <c r="AX208" s="10">
        <v>0</v>
      </c>
      <c r="AY208" s="10">
        <v>0</v>
      </c>
      <c r="AZ208" s="7">
        <f t="shared" si="12"/>
        <v>2</v>
      </c>
      <c r="BA208" s="11">
        <f t="shared" si="13"/>
        <v>0.16666666666666666</v>
      </c>
      <c r="BC208" s="12">
        <v>0</v>
      </c>
      <c r="BD208" s="12">
        <v>0</v>
      </c>
      <c r="BE208" s="12">
        <v>0</v>
      </c>
      <c r="BF208" s="12">
        <v>0</v>
      </c>
      <c r="BG208" s="12">
        <v>0</v>
      </c>
      <c r="BH208" s="12">
        <v>0</v>
      </c>
      <c r="BI208" s="12">
        <v>0</v>
      </c>
      <c r="BJ208" s="12">
        <v>0</v>
      </c>
      <c r="BK208" s="12">
        <v>0</v>
      </c>
      <c r="BL208" s="12">
        <v>0</v>
      </c>
      <c r="BM208" s="12">
        <v>0</v>
      </c>
      <c r="BN208" s="12">
        <v>0</v>
      </c>
      <c r="BO208" s="12">
        <f t="shared" si="14"/>
        <v>0</v>
      </c>
      <c r="BP208" s="12">
        <f t="shared" si="15"/>
        <v>0</v>
      </c>
      <c r="BQ208" s="7"/>
      <c r="BR208" s="7"/>
      <c r="BS208" s="7" t="s">
        <v>52</v>
      </c>
      <c r="BT208" s="7" t="s">
        <v>53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/>
    </row>
    <row r="209" spans="1:78" x14ac:dyDescent="0.35">
      <c r="A209" s="7" t="s">
        <v>42</v>
      </c>
      <c r="B209" s="7"/>
      <c r="C209" s="7" t="s">
        <v>517</v>
      </c>
      <c r="D209" s="7" t="s">
        <v>518</v>
      </c>
      <c r="E209" s="7" t="s">
        <v>519</v>
      </c>
      <c r="F209" s="7" t="s">
        <v>513</v>
      </c>
      <c r="G209" s="7" t="s">
        <v>47</v>
      </c>
      <c r="H209" s="7"/>
      <c r="I209" s="7"/>
      <c r="J209" s="7" t="s">
        <v>498</v>
      </c>
      <c r="K209" s="7" t="s">
        <v>49</v>
      </c>
      <c r="L209" s="7" t="s">
        <v>49</v>
      </c>
      <c r="M209" s="7" t="s">
        <v>49</v>
      </c>
      <c r="N209" s="7" t="s">
        <v>261</v>
      </c>
      <c r="O209" s="7" t="s">
        <v>4</v>
      </c>
      <c r="P209" s="7">
        <v>1650000</v>
      </c>
      <c r="Q209" s="7">
        <v>1650000</v>
      </c>
      <c r="R209" s="7">
        <v>1650000</v>
      </c>
      <c r="S209" s="7">
        <v>1650000</v>
      </c>
      <c r="T209" s="7">
        <v>1650000</v>
      </c>
      <c r="U209" s="7">
        <v>1650000</v>
      </c>
      <c r="V209" s="7">
        <v>1650000</v>
      </c>
      <c r="W209" s="7">
        <v>1650000</v>
      </c>
      <c r="X209" s="7">
        <v>1650000</v>
      </c>
      <c r="Y209" s="7">
        <v>1650000</v>
      </c>
      <c r="Z209" s="7">
        <v>1650000</v>
      </c>
      <c r="AA209" s="7">
        <v>1650000</v>
      </c>
      <c r="AB209" s="9">
        <v>104.43963389161</v>
      </c>
      <c r="AC209" s="9">
        <v>104.43963389161</v>
      </c>
      <c r="AD209" s="9">
        <v>104.43963389161</v>
      </c>
      <c r="AE209" s="9">
        <v>104.43963389161</v>
      </c>
      <c r="AF209" s="9">
        <v>104.43963389161</v>
      </c>
      <c r="AG209" s="9">
        <v>104.43963389161</v>
      </c>
      <c r="AH209" s="9">
        <v>104.43963389161</v>
      </c>
      <c r="AI209" s="9">
        <v>104.43963389161</v>
      </c>
      <c r="AJ209" s="9">
        <v>104.43963389161</v>
      </c>
      <c r="AK209" s="9">
        <v>104.43963389161</v>
      </c>
      <c r="AL209" s="9">
        <v>104.43963389161</v>
      </c>
      <c r="AM209" s="9">
        <v>104.43963389161</v>
      </c>
      <c r="AN209" s="10">
        <v>0</v>
      </c>
      <c r="AO209" s="10">
        <v>1</v>
      </c>
      <c r="AP209" s="10">
        <v>0</v>
      </c>
      <c r="AQ209" s="10">
        <v>0</v>
      </c>
      <c r="AR209" s="10">
        <v>0</v>
      </c>
      <c r="AS209" s="10">
        <v>0</v>
      </c>
      <c r="AT209" s="10">
        <v>0</v>
      </c>
      <c r="AU209" s="10">
        <v>0</v>
      </c>
      <c r="AV209" s="10">
        <v>0</v>
      </c>
      <c r="AW209" s="10">
        <v>0</v>
      </c>
      <c r="AX209" s="10">
        <v>0</v>
      </c>
      <c r="AY209" s="10">
        <v>0</v>
      </c>
      <c r="AZ209" s="7">
        <f t="shared" si="12"/>
        <v>1</v>
      </c>
      <c r="BA209" s="11">
        <f t="shared" si="13"/>
        <v>8.3333333333333329E-2</v>
      </c>
      <c r="BC209" s="12">
        <v>0</v>
      </c>
      <c r="BD209" s="12">
        <v>104.43963389161</v>
      </c>
      <c r="BE209" s="12">
        <v>0</v>
      </c>
      <c r="BF209" s="12">
        <v>0</v>
      </c>
      <c r="BG209" s="12">
        <v>0</v>
      </c>
      <c r="BH209" s="12">
        <v>0</v>
      </c>
      <c r="BI209" s="12">
        <v>0</v>
      </c>
      <c r="BJ209" s="12">
        <v>0</v>
      </c>
      <c r="BK209" s="12">
        <v>0</v>
      </c>
      <c r="BL209" s="12">
        <v>0</v>
      </c>
      <c r="BM209" s="12">
        <v>0</v>
      </c>
      <c r="BN209" s="12">
        <v>0</v>
      </c>
      <c r="BO209" s="12">
        <f t="shared" si="14"/>
        <v>104.43963389161</v>
      </c>
      <c r="BP209" s="12">
        <f t="shared" si="15"/>
        <v>8.7033028243008328</v>
      </c>
      <c r="BQ209" s="7"/>
      <c r="BR209" s="7"/>
      <c r="BS209" s="7" t="s">
        <v>52</v>
      </c>
      <c r="BT209" s="7" t="s">
        <v>53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/>
    </row>
    <row r="210" spans="1:78" x14ac:dyDescent="0.35">
      <c r="A210" s="7" t="s">
        <v>42</v>
      </c>
      <c r="B210" s="7"/>
      <c r="C210" s="7" t="s">
        <v>520</v>
      </c>
      <c r="D210" s="7" t="s">
        <v>521</v>
      </c>
      <c r="E210" s="7" t="s">
        <v>522</v>
      </c>
      <c r="F210" s="7" t="s">
        <v>513</v>
      </c>
      <c r="G210" s="7" t="s">
        <v>47</v>
      </c>
      <c r="H210" s="7"/>
      <c r="I210" s="7"/>
      <c r="J210" s="7" t="s">
        <v>498</v>
      </c>
      <c r="K210" s="7" t="s">
        <v>49</v>
      </c>
      <c r="L210" s="7" t="s">
        <v>49</v>
      </c>
      <c r="M210" s="7" t="s">
        <v>49</v>
      </c>
      <c r="N210" s="7" t="s">
        <v>261</v>
      </c>
      <c r="O210" s="7" t="s">
        <v>4</v>
      </c>
      <c r="P210" s="7">
        <v>16500000</v>
      </c>
      <c r="Q210" s="7">
        <v>16500000</v>
      </c>
      <c r="R210" s="7">
        <v>16500000</v>
      </c>
      <c r="S210" s="7">
        <v>16500000</v>
      </c>
      <c r="T210" s="7">
        <v>16500000</v>
      </c>
      <c r="U210" s="7">
        <v>16500000</v>
      </c>
      <c r="V210" s="7">
        <v>16500000</v>
      </c>
      <c r="W210" s="7">
        <v>16500000</v>
      </c>
      <c r="X210" s="7">
        <v>16500000</v>
      </c>
      <c r="Y210" s="7">
        <v>16500000</v>
      </c>
      <c r="Z210" s="7">
        <v>16500000</v>
      </c>
      <c r="AA210" s="7">
        <v>16500000</v>
      </c>
      <c r="AB210" s="9">
        <v>1044.3963389160999</v>
      </c>
      <c r="AC210" s="9">
        <v>1044.3963389160999</v>
      </c>
      <c r="AD210" s="9">
        <v>1044.3963389160999</v>
      </c>
      <c r="AE210" s="9">
        <v>1044.3963389160999</v>
      </c>
      <c r="AF210" s="9">
        <v>1044.3963389160999</v>
      </c>
      <c r="AG210" s="9">
        <v>1044.3963389160999</v>
      </c>
      <c r="AH210" s="9">
        <v>1044.3963389160999</v>
      </c>
      <c r="AI210" s="9">
        <v>1044.3963389160999</v>
      </c>
      <c r="AJ210" s="9">
        <v>1044.3963389160999</v>
      </c>
      <c r="AK210" s="9">
        <v>1044.3963389160999</v>
      </c>
      <c r="AL210" s="9">
        <v>1044.3963389160999</v>
      </c>
      <c r="AM210" s="9">
        <v>1044.3963389160999</v>
      </c>
      <c r="AN210" s="10">
        <v>0</v>
      </c>
      <c r="AO210" s="10">
        <v>1</v>
      </c>
      <c r="AP210" s="10">
        <v>1</v>
      </c>
      <c r="AQ210" s="10">
        <v>0</v>
      </c>
      <c r="AR210" s="10">
        <v>0</v>
      </c>
      <c r="AS210" s="10">
        <v>0</v>
      </c>
      <c r="AT210" s="10">
        <v>0</v>
      </c>
      <c r="AU210" s="10">
        <v>0</v>
      </c>
      <c r="AV210" s="10">
        <v>0</v>
      </c>
      <c r="AW210" s="10">
        <v>0</v>
      </c>
      <c r="AX210" s="10">
        <v>0</v>
      </c>
      <c r="AY210" s="10">
        <v>0</v>
      </c>
      <c r="AZ210" s="7">
        <f t="shared" si="12"/>
        <v>2</v>
      </c>
      <c r="BA210" s="11">
        <f t="shared" si="13"/>
        <v>0.16666666666666666</v>
      </c>
      <c r="BC210" s="12">
        <v>0</v>
      </c>
      <c r="BD210" s="12">
        <v>1044.3963389160999</v>
      </c>
      <c r="BE210" s="12">
        <v>1044.3963389160999</v>
      </c>
      <c r="BF210" s="12">
        <v>0</v>
      </c>
      <c r="BG210" s="12">
        <v>0</v>
      </c>
      <c r="BH210" s="12">
        <v>0</v>
      </c>
      <c r="BI210" s="12">
        <v>0</v>
      </c>
      <c r="BJ210" s="12">
        <v>0</v>
      </c>
      <c r="BK210" s="12">
        <v>0</v>
      </c>
      <c r="BL210" s="12">
        <v>0</v>
      </c>
      <c r="BM210" s="12">
        <v>0</v>
      </c>
      <c r="BN210" s="12">
        <v>0</v>
      </c>
      <c r="BO210" s="12">
        <f t="shared" si="14"/>
        <v>2088.7926778321998</v>
      </c>
      <c r="BP210" s="12">
        <f t="shared" si="15"/>
        <v>174.06605648601666</v>
      </c>
      <c r="BQ210" s="7"/>
      <c r="BR210" s="7"/>
      <c r="BS210" s="7" t="s">
        <v>52</v>
      </c>
      <c r="BT210" s="7" t="s">
        <v>53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/>
    </row>
    <row r="211" spans="1:78" x14ac:dyDescent="0.35">
      <c r="A211" s="7" t="s">
        <v>42</v>
      </c>
      <c r="B211" s="7"/>
      <c r="C211" s="7" t="s">
        <v>523</v>
      </c>
      <c r="D211" s="7" t="s">
        <v>521</v>
      </c>
      <c r="E211" s="7" t="s">
        <v>524</v>
      </c>
      <c r="F211" s="7" t="s">
        <v>513</v>
      </c>
      <c r="G211" s="7" t="s">
        <v>47</v>
      </c>
      <c r="H211" s="7"/>
      <c r="I211" s="7"/>
      <c r="J211" s="7" t="s">
        <v>498</v>
      </c>
      <c r="K211" s="7" t="s">
        <v>49</v>
      </c>
      <c r="L211" s="7" t="s">
        <v>49</v>
      </c>
      <c r="M211" s="7" t="s">
        <v>49</v>
      </c>
      <c r="N211" s="7" t="s">
        <v>261</v>
      </c>
      <c r="O211" s="7" t="s">
        <v>4</v>
      </c>
      <c r="P211" s="7">
        <v>11880000</v>
      </c>
      <c r="Q211" s="7">
        <v>11880000</v>
      </c>
      <c r="R211" s="7">
        <v>11880000</v>
      </c>
      <c r="S211" s="7">
        <v>11880000</v>
      </c>
      <c r="T211" s="7">
        <v>11880000</v>
      </c>
      <c r="U211" s="7">
        <v>11880000</v>
      </c>
      <c r="V211" s="7">
        <v>11880000</v>
      </c>
      <c r="W211" s="7">
        <v>11880000</v>
      </c>
      <c r="X211" s="7">
        <v>11880000</v>
      </c>
      <c r="Y211" s="7">
        <v>11880000</v>
      </c>
      <c r="Z211" s="7">
        <v>11880000</v>
      </c>
      <c r="AA211" s="7">
        <v>11880000</v>
      </c>
      <c r="AB211" s="9">
        <v>751.96536401959997</v>
      </c>
      <c r="AC211" s="9">
        <v>751.96536401959997</v>
      </c>
      <c r="AD211" s="9">
        <v>751.96536401959997</v>
      </c>
      <c r="AE211" s="9">
        <v>751.96536401959997</v>
      </c>
      <c r="AF211" s="9">
        <v>751.96536401959997</v>
      </c>
      <c r="AG211" s="9">
        <v>751.96536401959997</v>
      </c>
      <c r="AH211" s="9">
        <v>751.96536401959997</v>
      </c>
      <c r="AI211" s="9">
        <v>751.96536401959997</v>
      </c>
      <c r="AJ211" s="9">
        <v>751.96536401959997</v>
      </c>
      <c r="AK211" s="9">
        <v>751.96536401959997</v>
      </c>
      <c r="AL211" s="9">
        <v>751.96536401959997</v>
      </c>
      <c r="AM211" s="9">
        <v>751.96536401959997</v>
      </c>
      <c r="AN211" s="10">
        <v>0</v>
      </c>
      <c r="AO211" s="10">
        <v>1</v>
      </c>
      <c r="AP211" s="10">
        <v>1</v>
      </c>
      <c r="AQ211" s="10">
        <v>0</v>
      </c>
      <c r="AR211" s="10">
        <v>0</v>
      </c>
      <c r="AS211" s="10">
        <v>0</v>
      </c>
      <c r="AT211" s="10">
        <v>0</v>
      </c>
      <c r="AU211" s="10">
        <v>0</v>
      </c>
      <c r="AV211" s="10">
        <v>0</v>
      </c>
      <c r="AW211" s="10">
        <v>0</v>
      </c>
      <c r="AX211" s="10">
        <v>0</v>
      </c>
      <c r="AY211" s="10">
        <v>0</v>
      </c>
      <c r="AZ211" s="7">
        <f t="shared" si="12"/>
        <v>2</v>
      </c>
      <c r="BA211" s="11">
        <f t="shared" si="13"/>
        <v>0.16666666666666666</v>
      </c>
      <c r="BC211" s="12">
        <v>0</v>
      </c>
      <c r="BD211" s="12">
        <v>751.96536401959997</v>
      </c>
      <c r="BE211" s="12">
        <v>751.96536401959997</v>
      </c>
      <c r="BF211" s="12">
        <v>0</v>
      </c>
      <c r="BG211" s="12">
        <v>0</v>
      </c>
      <c r="BH211" s="12">
        <v>0</v>
      </c>
      <c r="BI211" s="12">
        <v>0</v>
      </c>
      <c r="BJ211" s="12">
        <v>0</v>
      </c>
      <c r="BK211" s="12">
        <v>0</v>
      </c>
      <c r="BL211" s="12">
        <v>0</v>
      </c>
      <c r="BM211" s="12">
        <v>0</v>
      </c>
      <c r="BN211" s="12">
        <v>0</v>
      </c>
      <c r="BO211" s="12">
        <f t="shared" si="14"/>
        <v>1503.9307280391999</v>
      </c>
      <c r="BP211" s="12">
        <f t="shared" si="15"/>
        <v>125.32756066993333</v>
      </c>
      <c r="BQ211" s="7"/>
      <c r="BR211" s="7"/>
      <c r="BS211" s="7" t="s">
        <v>52</v>
      </c>
      <c r="BT211" s="7" t="s">
        <v>53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/>
    </row>
    <row r="212" spans="1:78" x14ac:dyDescent="0.35">
      <c r="A212" s="7" t="s">
        <v>42</v>
      </c>
      <c r="B212" s="7"/>
      <c r="C212" s="7" t="s">
        <v>525</v>
      </c>
      <c r="D212" s="7" t="s">
        <v>526</v>
      </c>
      <c r="E212" s="7" t="s">
        <v>527</v>
      </c>
      <c r="F212" s="7" t="s">
        <v>509</v>
      </c>
      <c r="G212" s="7" t="s">
        <v>47</v>
      </c>
      <c r="H212" s="7"/>
      <c r="I212" s="7"/>
      <c r="J212" s="7" t="s">
        <v>498</v>
      </c>
      <c r="K212" s="7" t="s">
        <v>49</v>
      </c>
      <c r="L212" s="7" t="s">
        <v>49</v>
      </c>
      <c r="M212" s="7" t="s">
        <v>49</v>
      </c>
      <c r="N212" s="7" t="s">
        <v>261</v>
      </c>
      <c r="O212" s="7" t="s">
        <v>4</v>
      </c>
      <c r="P212" s="7">
        <v>1650000</v>
      </c>
      <c r="Q212" s="7">
        <v>1650000</v>
      </c>
      <c r="R212" s="7">
        <v>1650000</v>
      </c>
      <c r="S212" s="7">
        <v>1650000</v>
      </c>
      <c r="T212" s="7">
        <v>1650000</v>
      </c>
      <c r="U212" s="7">
        <v>1650000</v>
      </c>
      <c r="V212" s="7">
        <v>1650000</v>
      </c>
      <c r="W212" s="7">
        <v>1650000</v>
      </c>
      <c r="X212" s="7">
        <v>1650000</v>
      </c>
      <c r="Y212" s="7">
        <v>1650000</v>
      </c>
      <c r="Z212" s="7">
        <v>1650000</v>
      </c>
      <c r="AA212" s="7">
        <v>1650000</v>
      </c>
      <c r="AB212" s="9">
        <v>104.43963389161</v>
      </c>
      <c r="AC212" s="9">
        <v>104.43963389161</v>
      </c>
      <c r="AD212" s="9">
        <v>104.43963389161</v>
      </c>
      <c r="AE212" s="9">
        <v>104.43963389161</v>
      </c>
      <c r="AF212" s="9">
        <v>104.43963389161</v>
      </c>
      <c r="AG212" s="9">
        <v>104.43963389161</v>
      </c>
      <c r="AH212" s="9">
        <v>104.43963389161</v>
      </c>
      <c r="AI212" s="9">
        <v>104.43963389161</v>
      </c>
      <c r="AJ212" s="9">
        <v>104.43963389161</v>
      </c>
      <c r="AK212" s="9">
        <v>104.43963389161</v>
      </c>
      <c r="AL212" s="9">
        <v>104.43963389161</v>
      </c>
      <c r="AM212" s="9">
        <v>104.43963389161</v>
      </c>
      <c r="AN212" s="10">
        <v>0</v>
      </c>
      <c r="AO212" s="10">
        <v>2</v>
      </c>
      <c r="AP212" s="10">
        <v>0</v>
      </c>
      <c r="AQ212" s="10">
        <v>0</v>
      </c>
      <c r="AR212" s="10">
        <v>0</v>
      </c>
      <c r="AS212" s="10">
        <v>0</v>
      </c>
      <c r="AT212" s="10">
        <v>0</v>
      </c>
      <c r="AU212" s="10">
        <v>0</v>
      </c>
      <c r="AV212" s="10">
        <v>0</v>
      </c>
      <c r="AW212" s="10">
        <v>0</v>
      </c>
      <c r="AX212" s="10">
        <v>0</v>
      </c>
      <c r="AY212" s="10">
        <v>0</v>
      </c>
      <c r="AZ212" s="7">
        <f t="shared" si="12"/>
        <v>2</v>
      </c>
      <c r="BA212" s="11">
        <f t="shared" si="13"/>
        <v>0.16666666666666666</v>
      </c>
      <c r="BC212" s="12">
        <v>0</v>
      </c>
      <c r="BD212" s="12">
        <v>208.87926778322</v>
      </c>
      <c r="BE212" s="12">
        <v>0</v>
      </c>
      <c r="BF212" s="12">
        <v>0</v>
      </c>
      <c r="BG212" s="12">
        <v>0</v>
      </c>
      <c r="BH212" s="12">
        <v>0</v>
      </c>
      <c r="BI212" s="12">
        <v>0</v>
      </c>
      <c r="BJ212" s="12">
        <v>0</v>
      </c>
      <c r="BK212" s="12">
        <v>0</v>
      </c>
      <c r="BL212" s="12">
        <v>0</v>
      </c>
      <c r="BM212" s="12">
        <v>0</v>
      </c>
      <c r="BN212" s="12">
        <v>0</v>
      </c>
      <c r="BO212" s="12">
        <f t="shared" si="14"/>
        <v>208.87926778322</v>
      </c>
      <c r="BP212" s="12">
        <f t="shared" si="15"/>
        <v>17.406605648601666</v>
      </c>
      <c r="BQ212" s="7"/>
      <c r="BR212" s="7"/>
      <c r="BS212" s="7" t="s">
        <v>52</v>
      </c>
      <c r="BT212" s="7" t="s">
        <v>53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/>
    </row>
    <row r="213" spans="1:78" x14ac:dyDescent="0.35">
      <c r="A213" s="7" t="s">
        <v>42</v>
      </c>
      <c r="B213" s="7"/>
      <c r="C213" s="7" t="s">
        <v>528</v>
      </c>
      <c r="D213" s="7" t="s">
        <v>529</v>
      </c>
      <c r="E213" s="7" t="s">
        <v>530</v>
      </c>
      <c r="F213" s="7" t="s">
        <v>509</v>
      </c>
      <c r="G213" s="7" t="s">
        <v>47</v>
      </c>
      <c r="H213" s="7"/>
      <c r="I213" s="7"/>
      <c r="J213" s="7" t="s">
        <v>498</v>
      </c>
      <c r="K213" s="7" t="s">
        <v>49</v>
      </c>
      <c r="L213" s="7" t="s">
        <v>49</v>
      </c>
      <c r="M213" s="7" t="s">
        <v>49</v>
      </c>
      <c r="N213" s="7" t="s">
        <v>261</v>
      </c>
      <c r="O213" s="7" t="s">
        <v>4</v>
      </c>
      <c r="P213" s="7">
        <v>3300000</v>
      </c>
      <c r="Q213" s="7">
        <v>3300000</v>
      </c>
      <c r="R213" s="7">
        <v>3300000</v>
      </c>
      <c r="S213" s="7">
        <v>3300000</v>
      </c>
      <c r="T213" s="7">
        <v>3300000</v>
      </c>
      <c r="U213" s="7">
        <v>3300000</v>
      </c>
      <c r="V213" s="7">
        <v>3300000</v>
      </c>
      <c r="W213" s="7">
        <v>3300000</v>
      </c>
      <c r="X213" s="7">
        <v>3300000</v>
      </c>
      <c r="Y213" s="7">
        <v>3300000</v>
      </c>
      <c r="Z213" s="7">
        <v>3300000</v>
      </c>
      <c r="AA213" s="7">
        <v>3300000</v>
      </c>
      <c r="AB213" s="9">
        <v>208.87926778322</v>
      </c>
      <c r="AC213" s="9">
        <v>208.87926778322</v>
      </c>
      <c r="AD213" s="9">
        <v>208.87926778322</v>
      </c>
      <c r="AE213" s="9">
        <v>208.87926778322</v>
      </c>
      <c r="AF213" s="9">
        <v>208.87926778322</v>
      </c>
      <c r="AG213" s="9">
        <v>208.87926778322</v>
      </c>
      <c r="AH213" s="9">
        <v>208.87926778322</v>
      </c>
      <c r="AI213" s="9">
        <v>208.87926778322</v>
      </c>
      <c r="AJ213" s="9">
        <v>208.87926778322</v>
      </c>
      <c r="AK213" s="9">
        <v>208.87926778322</v>
      </c>
      <c r="AL213" s="9">
        <v>208.87926778322</v>
      </c>
      <c r="AM213" s="9">
        <v>208.87926778322</v>
      </c>
      <c r="AN213" s="10">
        <v>3</v>
      </c>
      <c r="AO213" s="10">
        <v>0</v>
      </c>
      <c r="AP213" s="10">
        <v>0</v>
      </c>
      <c r="AQ213" s="10">
        <v>0</v>
      </c>
      <c r="AR213" s="10">
        <v>0</v>
      </c>
      <c r="AS213" s="10">
        <v>0</v>
      </c>
      <c r="AT213" s="10">
        <v>0</v>
      </c>
      <c r="AU213" s="10">
        <v>0</v>
      </c>
      <c r="AV213" s="10">
        <v>0</v>
      </c>
      <c r="AW213" s="10">
        <v>0</v>
      </c>
      <c r="AX213" s="10">
        <v>0</v>
      </c>
      <c r="AY213" s="10">
        <v>0</v>
      </c>
      <c r="AZ213" s="7">
        <f t="shared" si="12"/>
        <v>3</v>
      </c>
      <c r="BA213" s="11">
        <f t="shared" si="13"/>
        <v>0.25</v>
      </c>
      <c r="BC213" s="12">
        <v>626.63780334965998</v>
      </c>
      <c r="BD213" s="12">
        <v>0</v>
      </c>
      <c r="BE213" s="12">
        <v>0</v>
      </c>
      <c r="BF213" s="12">
        <v>0</v>
      </c>
      <c r="BG213" s="12">
        <v>0</v>
      </c>
      <c r="BH213" s="12">
        <v>0</v>
      </c>
      <c r="BI213" s="12">
        <v>0</v>
      </c>
      <c r="BJ213" s="12">
        <v>0</v>
      </c>
      <c r="BK213" s="12">
        <v>0</v>
      </c>
      <c r="BL213" s="12">
        <v>0</v>
      </c>
      <c r="BM213" s="12">
        <v>0</v>
      </c>
      <c r="BN213" s="12">
        <v>0</v>
      </c>
      <c r="BO213" s="12">
        <f t="shared" si="14"/>
        <v>626.63780334965998</v>
      </c>
      <c r="BP213" s="12">
        <f t="shared" si="15"/>
        <v>52.219816945805</v>
      </c>
      <c r="BQ213" s="7"/>
      <c r="BR213" s="7"/>
      <c r="BS213" s="7" t="s">
        <v>52</v>
      </c>
      <c r="BT213" s="7" t="s">
        <v>53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/>
    </row>
    <row r="214" spans="1:78" x14ac:dyDescent="0.35">
      <c r="A214" s="7" t="s">
        <v>42</v>
      </c>
      <c r="B214" s="7"/>
      <c r="C214" s="7" t="s">
        <v>531</v>
      </c>
      <c r="D214" s="7" t="s">
        <v>214</v>
      </c>
      <c r="E214" s="7" t="s">
        <v>532</v>
      </c>
      <c r="F214" s="7" t="s">
        <v>533</v>
      </c>
      <c r="G214" s="7" t="s">
        <v>47</v>
      </c>
      <c r="H214" s="7"/>
      <c r="I214" s="7"/>
      <c r="J214" s="7" t="s">
        <v>498</v>
      </c>
      <c r="K214" s="7" t="s">
        <v>49</v>
      </c>
      <c r="L214" s="7" t="s">
        <v>49</v>
      </c>
      <c r="M214" s="7" t="s">
        <v>49</v>
      </c>
      <c r="N214" s="7" t="s">
        <v>73</v>
      </c>
      <c r="O214" s="7" t="s">
        <v>4</v>
      </c>
      <c r="P214" s="7">
        <v>338496</v>
      </c>
      <c r="Q214" s="7">
        <v>338496</v>
      </c>
      <c r="R214" s="7">
        <v>338496</v>
      </c>
      <c r="S214" s="7">
        <v>338496</v>
      </c>
      <c r="T214" s="7">
        <v>338496</v>
      </c>
      <c r="U214" s="7">
        <v>338496</v>
      </c>
      <c r="V214" s="7">
        <v>338496</v>
      </c>
      <c r="W214" s="7">
        <v>338496</v>
      </c>
      <c r="X214" s="7">
        <v>338496</v>
      </c>
      <c r="Y214" s="7">
        <v>338496</v>
      </c>
      <c r="Z214" s="7">
        <v>338496</v>
      </c>
      <c r="AA214" s="7">
        <v>338496</v>
      </c>
      <c r="AB214" s="9">
        <v>21.425695947742</v>
      </c>
      <c r="AC214" s="9">
        <v>21.425695947742</v>
      </c>
      <c r="AD214" s="9">
        <v>21.425695947742</v>
      </c>
      <c r="AE214" s="9">
        <v>21.425695947742</v>
      </c>
      <c r="AF214" s="9">
        <v>21.425695947742</v>
      </c>
      <c r="AG214" s="9">
        <v>21.425695947742</v>
      </c>
      <c r="AH214" s="9">
        <v>21.425695947742</v>
      </c>
      <c r="AI214" s="9">
        <v>21.425695947742</v>
      </c>
      <c r="AJ214" s="9">
        <v>21.425695947742</v>
      </c>
      <c r="AK214" s="9">
        <v>21.425695947742</v>
      </c>
      <c r="AL214" s="9">
        <v>21.425695947742</v>
      </c>
      <c r="AM214" s="9">
        <v>21.425695947742</v>
      </c>
      <c r="AN214" s="10">
        <v>0</v>
      </c>
      <c r="AO214" s="10">
        <v>0</v>
      </c>
      <c r="AP214" s="10">
        <v>1</v>
      </c>
      <c r="AQ214" s="10">
        <v>0</v>
      </c>
      <c r="AR214" s="10">
        <v>0</v>
      </c>
      <c r="AS214" s="10">
        <v>0</v>
      </c>
      <c r="AT214" s="10">
        <v>0</v>
      </c>
      <c r="AU214" s="10">
        <v>0</v>
      </c>
      <c r="AV214" s="10">
        <v>0</v>
      </c>
      <c r="AW214" s="10">
        <v>0</v>
      </c>
      <c r="AX214" s="10">
        <v>0</v>
      </c>
      <c r="AY214" s="10">
        <v>0</v>
      </c>
      <c r="AZ214" s="7">
        <f t="shared" si="12"/>
        <v>1</v>
      </c>
      <c r="BA214" s="11">
        <f t="shared" si="13"/>
        <v>8.3333333333333329E-2</v>
      </c>
      <c r="BC214" s="12">
        <v>0</v>
      </c>
      <c r="BD214" s="12">
        <v>0</v>
      </c>
      <c r="BE214" s="12">
        <v>21.425695947742</v>
      </c>
      <c r="BF214" s="12">
        <v>0</v>
      </c>
      <c r="BG214" s="12">
        <v>0</v>
      </c>
      <c r="BH214" s="12">
        <v>0</v>
      </c>
      <c r="BI214" s="12">
        <v>0</v>
      </c>
      <c r="BJ214" s="12">
        <v>0</v>
      </c>
      <c r="BK214" s="12">
        <v>0</v>
      </c>
      <c r="BL214" s="12">
        <v>0</v>
      </c>
      <c r="BM214" s="12">
        <v>0</v>
      </c>
      <c r="BN214" s="12">
        <v>0</v>
      </c>
      <c r="BO214" s="12">
        <f t="shared" si="14"/>
        <v>21.425695947742</v>
      </c>
      <c r="BP214" s="12">
        <f t="shared" si="15"/>
        <v>1.7854746623118334</v>
      </c>
      <c r="BQ214" s="7"/>
      <c r="BR214" s="7"/>
      <c r="BS214" s="7" t="s">
        <v>52</v>
      </c>
      <c r="BT214" s="7" t="s">
        <v>53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/>
    </row>
    <row r="215" spans="1:78" x14ac:dyDescent="0.35">
      <c r="A215" s="7" t="s">
        <v>42</v>
      </c>
      <c r="B215" s="7"/>
      <c r="C215" s="7" t="s">
        <v>534</v>
      </c>
      <c r="D215" s="7" t="s">
        <v>535</v>
      </c>
      <c r="E215" s="7" t="s">
        <v>536</v>
      </c>
      <c r="F215" s="7" t="s">
        <v>509</v>
      </c>
      <c r="G215" s="7" t="s">
        <v>47</v>
      </c>
      <c r="H215" s="7"/>
      <c r="I215" s="7"/>
      <c r="J215" s="7" t="s">
        <v>498</v>
      </c>
      <c r="K215" s="7" t="s">
        <v>49</v>
      </c>
      <c r="L215" s="7" t="s">
        <v>49</v>
      </c>
      <c r="M215" s="7" t="s">
        <v>49</v>
      </c>
      <c r="N215" s="7" t="s">
        <v>261</v>
      </c>
      <c r="O215" s="7" t="s">
        <v>4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0</v>
      </c>
      <c r="AM215" s="9">
        <v>0</v>
      </c>
      <c r="AN215" s="10">
        <v>0</v>
      </c>
      <c r="AO215" s="10">
        <v>1</v>
      </c>
      <c r="AP215" s="10">
        <v>0</v>
      </c>
      <c r="AQ215" s="10">
        <v>0</v>
      </c>
      <c r="AR215" s="10">
        <v>0</v>
      </c>
      <c r="AS215" s="10">
        <v>0</v>
      </c>
      <c r="AT215" s="10">
        <v>0</v>
      </c>
      <c r="AU215" s="10">
        <v>0</v>
      </c>
      <c r="AV215" s="10">
        <v>0</v>
      </c>
      <c r="AW215" s="10">
        <v>0</v>
      </c>
      <c r="AX215" s="10">
        <v>0</v>
      </c>
      <c r="AY215" s="10">
        <v>0</v>
      </c>
      <c r="AZ215" s="7">
        <f t="shared" si="12"/>
        <v>1</v>
      </c>
      <c r="BA215" s="11">
        <f t="shared" si="13"/>
        <v>8.3333333333333329E-2</v>
      </c>
      <c r="BC215" s="12">
        <v>0</v>
      </c>
      <c r="BD215" s="12">
        <v>0</v>
      </c>
      <c r="BE215" s="12">
        <v>0</v>
      </c>
      <c r="BF215" s="12">
        <v>0</v>
      </c>
      <c r="BG215" s="12">
        <v>0</v>
      </c>
      <c r="BH215" s="12">
        <v>0</v>
      </c>
      <c r="BI215" s="12">
        <v>0</v>
      </c>
      <c r="BJ215" s="12">
        <v>0</v>
      </c>
      <c r="BK215" s="12">
        <v>0</v>
      </c>
      <c r="BL215" s="12">
        <v>0</v>
      </c>
      <c r="BM215" s="12">
        <v>0</v>
      </c>
      <c r="BN215" s="12">
        <v>0</v>
      </c>
      <c r="BO215" s="12">
        <f t="shared" si="14"/>
        <v>0</v>
      </c>
      <c r="BP215" s="12">
        <f t="shared" si="15"/>
        <v>0</v>
      </c>
      <c r="BQ215" s="7"/>
      <c r="BR215" s="7"/>
      <c r="BS215" s="7" t="s">
        <v>52</v>
      </c>
      <c r="BT215" s="7" t="s">
        <v>53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/>
    </row>
    <row r="216" spans="1:78" x14ac:dyDescent="0.35">
      <c r="A216" s="7" t="s">
        <v>42</v>
      </c>
      <c r="B216" s="7"/>
      <c r="C216" s="7" t="s">
        <v>537</v>
      </c>
      <c r="D216" s="7" t="s">
        <v>538</v>
      </c>
      <c r="E216" s="7" t="s">
        <v>539</v>
      </c>
      <c r="F216" s="7" t="s">
        <v>509</v>
      </c>
      <c r="G216" s="7" t="s">
        <v>47</v>
      </c>
      <c r="H216" s="7"/>
      <c r="I216" s="7"/>
      <c r="J216" s="7" t="s">
        <v>498</v>
      </c>
      <c r="K216" s="7" t="s">
        <v>49</v>
      </c>
      <c r="L216" s="7" t="s">
        <v>49</v>
      </c>
      <c r="M216" s="7" t="s">
        <v>49</v>
      </c>
      <c r="N216" s="7" t="s">
        <v>50</v>
      </c>
      <c r="O216" s="7" t="s">
        <v>4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0</v>
      </c>
      <c r="AH216" s="9">
        <v>0</v>
      </c>
      <c r="AI216" s="9">
        <v>0</v>
      </c>
      <c r="AJ216" s="9">
        <v>0</v>
      </c>
      <c r="AK216" s="9">
        <v>0</v>
      </c>
      <c r="AL216" s="9">
        <v>0</v>
      </c>
      <c r="AM216" s="9">
        <v>0</v>
      </c>
      <c r="AN216" s="10">
        <v>0</v>
      </c>
      <c r="AO216" s="10">
        <v>2</v>
      </c>
      <c r="AP216" s="10">
        <v>0</v>
      </c>
      <c r="AQ216" s="10">
        <v>0</v>
      </c>
      <c r="AR216" s="10">
        <v>0</v>
      </c>
      <c r="AS216" s="10">
        <v>0</v>
      </c>
      <c r="AT216" s="10">
        <v>0</v>
      </c>
      <c r="AU216" s="10">
        <v>0</v>
      </c>
      <c r="AV216" s="10">
        <v>0</v>
      </c>
      <c r="AW216" s="10">
        <v>0</v>
      </c>
      <c r="AX216" s="10">
        <v>0</v>
      </c>
      <c r="AY216" s="10">
        <v>0</v>
      </c>
      <c r="AZ216" s="7">
        <f t="shared" si="12"/>
        <v>2</v>
      </c>
      <c r="BA216" s="11">
        <f t="shared" si="13"/>
        <v>0.16666666666666666</v>
      </c>
      <c r="BC216" s="12">
        <v>0</v>
      </c>
      <c r="BD216" s="12">
        <v>0</v>
      </c>
      <c r="BE216" s="12">
        <v>0</v>
      </c>
      <c r="BF216" s="12">
        <v>0</v>
      </c>
      <c r="BG216" s="12">
        <v>0</v>
      </c>
      <c r="BH216" s="12">
        <v>0</v>
      </c>
      <c r="BI216" s="12">
        <v>0</v>
      </c>
      <c r="BJ216" s="12">
        <v>0</v>
      </c>
      <c r="BK216" s="12">
        <v>0</v>
      </c>
      <c r="BL216" s="12">
        <v>0</v>
      </c>
      <c r="BM216" s="12">
        <v>0</v>
      </c>
      <c r="BN216" s="12">
        <v>0</v>
      </c>
      <c r="BO216" s="12">
        <f t="shared" si="14"/>
        <v>0</v>
      </c>
      <c r="BP216" s="12">
        <f t="shared" si="15"/>
        <v>0</v>
      </c>
      <c r="BQ216" s="7"/>
      <c r="BR216" s="7"/>
      <c r="BS216" s="7" t="s">
        <v>52</v>
      </c>
      <c r="BT216" s="7" t="s">
        <v>53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/>
    </row>
    <row r="217" spans="1:78" x14ac:dyDescent="0.35">
      <c r="A217" s="7" t="s">
        <v>42</v>
      </c>
      <c r="B217" s="7"/>
      <c r="C217" s="7" t="s">
        <v>540</v>
      </c>
      <c r="D217" s="7" t="s">
        <v>541</v>
      </c>
      <c r="E217" s="7" t="s">
        <v>542</v>
      </c>
      <c r="F217" s="7" t="s">
        <v>513</v>
      </c>
      <c r="G217" s="7" t="s">
        <v>47</v>
      </c>
      <c r="H217" s="7"/>
      <c r="I217" s="7"/>
      <c r="J217" s="7" t="s">
        <v>498</v>
      </c>
      <c r="K217" s="7" t="s">
        <v>49</v>
      </c>
      <c r="L217" s="7" t="s">
        <v>49</v>
      </c>
      <c r="M217" s="7" t="s">
        <v>49</v>
      </c>
      <c r="N217" s="7" t="s">
        <v>261</v>
      </c>
      <c r="O217" s="7" t="s">
        <v>4</v>
      </c>
      <c r="P217" s="7">
        <v>4950000</v>
      </c>
      <c r="Q217" s="7">
        <v>4950000</v>
      </c>
      <c r="R217" s="7">
        <v>4950000</v>
      </c>
      <c r="S217" s="7">
        <v>4950000</v>
      </c>
      <c r="T217" s="7">
        <v>4950000</v>
      </c>
      <c r="U217" s="7">
        <v>4950000</v>
      </c>
      <c r="V217" s="7">
        <v>4950000</v>
      </c>
      <c r="W217" s="7">
        <v>4950000</v>
      </c>
      <c r="X217" s="7">
        <v>4950000</v>
      </c>
      <c r="Y217" s="7">
        <v>4950000</v>
      </c>
      <c r="Z217" s="7">
        <v>4950000</v>
      </c>
      <c r="AA217" s="7">
        <v>4950000</v>
      </c>
      <c r="AB217" s="9">
        <v>313.31890167482999</v>
      </c>
      <c r="AC217" s="9">
        <v>313.31890167482999</v>
      </c>
      <c r="AD217" s="9">
        <v>313.31890167482999</v>
      </c>
      <c r="AE217" s="9">
        <v>313.31890167482999</v>
      </c>
      <c r="AF217" s="9">
        <v>313.31890167482999</v>
      </c>
      <c r="AG217" s="9">
        <v>313.31890167482999</v>
      </c>
      <c r="AH217" s="9">
        <v>313.31890167482999</v>
      </c>
      <c r="AI217" s="9">
        <v>313.31890167482999</v>
      </c>
      <c r="AJ217" s="9">
        <v>313.31890167482999</v>
      </c>
      <c r="AK217" s="9">
        <v>313.31890167482999</v>
      </c>
      <c r="AL217" s="9">
        <v>313.31890167482999</v>
      </c>
      <c r="AM217" s="9">
        <v>313.31890167482999</v>
      </c>
      <c r="AN217" s="10">
        <v>0</v>
      </c>
      <c r="AO217" s="10">
        <v>1</v>
      </c>
      <c r="AP217" s="10">
        <v>1</v>
      </c>
      <c r="AQ217" s="10">
        <v>0</v>
      </c>
      <c r="AR217" s="10">
        <v>0</v>
      </c>
      <c r="AS217" s="10">
        <v>0</v>
      </c>
      <c r="AT217" s="10">
        <v>0</v>
      </c>
      <c r="AU217" s="10">
        <v>0</v>
      </c>
      <c r="AV217" s="10">
        <v>0</v>
      </c>
      <c r="AW217" s="10">
        <v>0</v>
      </c>
      <c r="AX217" s="10">
        <v>0</v>
      </c>
      <c r="AY217" s="10">
        <v>0</v>
      </c>
      <c r="AZ217" s="7">
        <f t="shared" si="12"/>
        <v>2</v>
      </c>
      <c r="BA217" s="11">
        <f t="shared" si="13"/>
        <v>0.16666666666666666</v>
      </c>
      <c r="BC217" s="12">
        <v>0</v>
      </c>
      <c r="BD217" s="12">
        <v>313.31890167482999</v>
      </c>
      <c r="BE217" s="12">
        <v>313.31890167482999</v>
      </c>
      <c r="BF217" s="12">
        <v>0</v>
      </c>
      <c r="BG217" s="12">
        <v>0</v>
      </c>
      <c r="BH217" s="12">
        <v>0</v>
      </c>
      <c r="BI217" s="12">
        <v>0</v>
      </c>
      <c r="BJ217" s="12">
        <v>0</v>
      </c>
      <c r="BK217" s="12">
        <v>0</v>
      </c>
      <c r="BL217" s="12">
        <v>0</v>
      </c>
      <c r="BM217" s="12">
        <v>0</v>
      </c>
      <c r="BN217" s="12">
        <v>0</v>
      </c>
      <c r="BO217" s="12">
        <f t="shared" si="14"/>
        <v>626.63780334965998</v>
      </c>
      <c r="BP217" s="12">
        <f t="shared" si="15"/>
        <v>52.219816945805</v>
      </c>
      <c r="BQ217" s="7"/>
      <c r="BR217" s="7"/>
      <c r="BS217" s="7" t="s">
        <v>52</v>
      </c>
      <c r="BT217" s="7" t="s">
        <v>53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/>
    </row>
    <row r="218" spans="1:78" x14ac:dyDescent="0.35">
      <c r="A218" s="7" t="s">
        <v>42</v>
      </c>
      <c r="B218" s="7"/>
      <c r="C218" s="7" t="s">
        <v>543</v>
      </c>
      <c r="D218" s="7" t="s">
        <v>544</v>
      </c>
      <c r="E218" s="7" t="s">
        <v>545</v>
      </c>
      <c r="F218" s="7" t="s">
        <v>513</v>
      </c>
      <c r="G218" s="7" t="s">
        <v>47</v>
      </c>
      <c r="H218" s="7"/>
      <c r="I218" s="7"/>
      <c r="J218" s="7" t="s">
        <v>498</v>
      </c>
      <c r="K218" s="7" t="s">
        <v>49</v>
      </c>
      <c r="L218" s="7" t="s">
        <v>49</v>
      </c>
      <c r="M218" s="7" t="s">
        <v>49</v>
      </c>
      <c r="N218" s="7" t="s">
        <v>261</v>
      </c>
      <c r="O218" s="7" t="s">
        <v>4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9">
        <v>0</v>
      </c>
      <c r="AC218" s="9">
        <v>0</v>
      </c>
      <c r="AD218" s="9">
        <v>0</v>
      </c>
      <c r="AE218" s="9">
        <v>0</v>
      </c>
      <c r="AF218" s="9">
        <v>0</v>
      </c>
      <c r="AG218" s="9">
        <v>0</v>
      </c>
      <c r="AH218" s="9">
        <v>0</v>
      </c>
      <c r="AI218" s="9">
        <v>0</v>
      </c>
      <c r="AJ218" s="9">
        <v>0</v>
      </c>
      <c r="AK218" s="9">
        <v>0</v>
      </c>
      <c r="AL218" s="9">
        <v>0</v>
      </c>
      <c r="AM218" s="9">
        <v>0</v>
      </c>
      <c r="AN218" s="10">
        <v>1</v>
      </c>
      <c r="AO218" s="10">
        <v>0</v>
      </c>
      <c r="AP218" s="10">
        <v>0</v>
      </c>
      <c r="AQ218" s="10">
        <v>0</v>
      </c>
      <c r="AR218" s="10">
        <v>0</v>
      </c>
      <c r="AS218" s="10">
        <v>0</v>
      </c>
      <c r="AT218" s="10">
        <v>0</v>
      </c>
      <c r="AU218" s="10">
        <v>0</v>
      </c>
      <c r="AV218" s="10">
        <v>0</v>
      </c>
      <c r="AW218" s="10">
        <v>0</v>
      </c>
      <c r="AX218" s="10">
        <v>0</v>
      </c>
      <c r="AY218" s="10">
        <v>0</v>
      </c>
      <c r="AZ218" s="7">
        <f t="shared" si="12"/>
        <v>1</v>
      </c>
      <c r="BA218" s="11">
        <f t="shared" si="13"/>
        <v>8.3333333333333329E-2</v>
      </c>
      <c r="BC218" s="12">
        <v>0</v>
      </c>
      <c r="BD218" s="12">
        <v>0</v>
      </c>
      <c r="BE218" s="12">
        <v>0</v>
      </c>
      <c r="BF218" s="12">
        <v>0</v>
      </c>
      <c r="BG218" s="12">
        <v>0</v>
      </c>
      <c r="BH218" s="12">
        <v>0</v>
      </c>
      <c r="BI218" s="12">
        <v>0</v>
      </c>
      <c r="BJ218" s="12">
        <v>0</v>
      </c>
      <c r="BK218" s="12">
        <v>0</v>
      </c>
      <c r="BL218" s="12">
        <v>0</v>
      </c>
      <c r="BM218" s="12">
        <v>0</v>
      </c>
      <c r="BN218" s="12">
        <v>0</v>
      </c>
      <c r="BO218" s="12">
        <f t="shared" si="14"/>
        <v>0</v>
      </c>
      <c r="BP218" s="12">
        <f t="shared" si="15"/>
        <v>0</v>
      </c>
      <c r="BQ218" s="7"/>
      <c r="BR218" s="7"/>
      <c r="BS218" s="7" t="s">
        <v>52</v>
      </c>
      <c r="BT218" s="7" t="s">
        <v>53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/>
    </row>
    <row r="219" spans="1:78" x14ac:dyDescent="0.35">
      <c r="A219" s="7" t="s">
        <v>42</v>
      </c>
      <c r="B219" s="7"/>
      <c r="C219" s="7" t="s">
        <v>546</v>
      </c>
      <c r="D219" s="7" t="s">
        <v>547</v>
      </c>
      <c r="E219" s="7" t="s">
        <v>548</v>
      </c>
      <c r="F219" s="7" t="s">
        <v>549</v>
      </c>
      <c r="G219" s="7" t="s">
        <v>47</v>
      </c>
      <c r="H219" s="7"/>
      <c r="I219" s="7"/>
      <c r="J219" s="7" t="s">
        <v>498</v>
      </c>
      <c r="K219" s="7" t="s">
        <v>49</v>
      </c>
      <c r="L219" s="7" t="s">
        <v>49</v>
      </c>
      <c r="M219" s="7" t="s">
        <v>49</v>
      </c>
      <c r="N219" s="7" t="s">
        <v>304</v>
      </c>
      <c r="O219" s="7" t="s">
        <v>4</v>
      </c>
      <c r="P219" s="7">
        <v>7700000</v>
      </c>
      <c r="Q219" s="7">
        <v>7700000</v>
      </c>
      <c r="R219" s="7">
        <v>7700000</v>
      </c>
      <c r="S219" s="7">
        <v>7700000</v>
      </c>
      <c r="T219" s="7">
        <v>7700000</v>
      </c>
      <c r="U219" s="7">
        <v>7700000</v>
      </c>
      <c r="V219" s="7">
        <v>7700000</v>
      </c>
      <c r="W219" s="7">
        <v>7700000</v>
      </c>
      <c r="X219" s="7">
        <v>7700000</v>
      </c>
      <c r="Y219" s="7">
        <v>7700000</v>
      </c>
      <c r="Z219" s="7">
        <v>7700000</v>
      </c>
      <c r="AA219" s="7">
        <v>7700000</v>
      </c>
      <c r="AB219" s="9">
        <v>487.38495816084998</v>
      </c>
      <c r="AC219" s="9">
        <v>487.38495816084998</v>
      </c>
      <c r="AD219" s="9">
        <v>487.38495816084998</v>
      </c>
      <c r="AE219" s="9">
        <v>487.38495816084998</v>
      </c>
      <c r="AF219" s="9">
        <v>487.38495816084998</v>
      </c>
      <c r="AG219" s="9">
        <v>487.38495816084998</v>
      </c>
      <c r="AH219" s="9">
        <v>487.38495816084998</v>
      </c>
      <c r="AI219" s="9">
        <v>487.38495816084998</v>
      </c>
      <c r="AJ219" s="9">
        <v>487.38495816084998</v>
      </c>
      <c r="AK219" s="9">
        <v>487.38495816084998</v>
      </c>
      <c r="AL219" s="9">
        <v>487.38495816084998</v>
      </c>
      <c r="AM219" s="9">
        <v>487.38495816084998</v>
      </c>
      <c r="AN219" s="10">
        <v>2</v>
      </c>
      <c r="AO219" s="10">
        <v>0</v>
      </c>
      <c r="AP219" s="10">
        <v>0</v>
      </c>
      <c r="AQ219" s="10">
        <v>0</v>
      </c>
      <c r="AR219" s="10">
        <v>0</v>
      </c>
      <c r="AS219" s="10">
        <v>0</v>
      </c>
      <c r="AT219" s="10">
        <v>0</v>
      </c>
      <c r="AU219" s="10">
        <v>0</v>
      </c>
      <c r="AV219" s="10">
        <v>0</v>
      </c>
      <c r="AW219" s="10">
        <v>0</v>
      </c>
      <c r="AX219" s="10">
        <v>0</v>
      </c>
      <c r="AY219" s="10">
        <v>0</v>
      </c>
      <c r="AZ219" s="7">
        <f t="shared" si="12"/>
        <v>2</v>
      </c>
      <c r="BA219" s="11">
        <f t="shared" si="13"/>
        <v>0.16666666666666666</v>
      </c>
      <c r="BC219" s="12">
        <v>974.76991632169995</v>
      </c>
      <c r="BD219" s="12">
        <v>0</v>
      </c>
      <c r="BE219" s="12">
        <v>0</v>
      </c>
      <c r="BF219" s="12">
        <v>0</v>
      </c>
      <c r="BG219" s="12">
        <v>0</v>
      </c>
      <c r="BH219" s="12">
        <v>0</v>
      </c>
      <c r="BI219" s="12">
        <v>0</v>
      </c>
      <c r="BJ219" s="12">
        <v>0</v>
      </c>
      <c r="BK219" s="12">
        <v>0</v>
      </c>
      <c r="BL219" s="12">
        <v>0</v>
      </c>
      <c r="BM219" s="12">
        <v>0</v>
      </c>
      <c r="BN219" s="12">
        <v>0</v>
      </c>
      <c r="BO219" s="12">
        <f t="shared" si="14"/>
        <v>974.76991632169995</v>
      </c>
      <c r="BP219" s="12">
        <f t="shared" si="15"/>
        <v>81.230826360141663</v>
      </c>
      <c r="BQ219" s="7"/>
      <c r="BR219" s="7"/>
      <c r="BS219" s="7" t="s">
        <v>52</v>
      </c>
      <c r="BT219" s="7" t="s">
        <v>53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/>
    </row>
    <row r="220" spans="1:78" x14ac:dyDescent="0.35">
      <c r="A220" s="7" t="s">
        <v>42</v>
      </c>
      <c r="B220" s="7"/>
      <c r="C220" s="7" t="s">
        <v>550</v>
      </c>
      <c r="D220" s="7" t="s">
        <v>544</v>
      </c>
      <c r="E220" s="7" t="s">
        <v>551</v>
      </c>
      <c r="F220" s="7" t="s">
        <v>513</v>
      </c>
      <c r="G220" s="7" t="s">
        <v>47</v>
      </c>
      <c r="H220" s="7"/>
      <c r="I220" s="7"/>
      <c r="J220" s="7" t="s">
        <v>498</v>
      </c>
      <c r="K220" s="7" t="s">
        <v>49</v>
      </c>
      <c r="L220" s="7" t="s">
        <v>49</v>
      </c>
      <c r="M220" s="7" t="s">
        <v>49</v>
      </c>
      <c r="N220" s="7" t="s">
        <v>261</v>
      </c>
      <c r="O220" s="7" t="s">
        <v>4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9">
        <v>0</v>
      </c>
      <c r="AC220" s="9">
        <v>0</v>
      </c>
      <c r="AD220" s="9">
        <v>0</v>
      </c>
      <c r="AE220" s="9">
        <v>0</v>
      </c>
      <c r="AF220" s="9">
        <v>0</v>
      </c>
      <c r="AG220" s="9">
        <v>0</v>
      </c>
      <c r="AH220" s="9">
        <v>0</v>
      </c>
      <c r="AI220" s="9">
        <v>0</v>
      </c>
      <c r="AJ220" s="9">
        <v>0</v>
      </c>
      <c r="AK220" s="9">
        <v>0</v>
      </c>
      <c r="AL220" s="9">
        <v>0</v>
      </c>
      <c r="AM220" s="9">
        <v>0</v>
      </c>
      <c r="AN220" s="10">
        <v>1</v>
      </c>
      <c r="AO220" s="10">
        <v>0</v>
      </c>
      <c r="AP220" s="10">
        <v>0</v>
      </c>
      <c r="AQ220" s="10">
        <v>0</v>
      </c>
      <c r="AR220" s="10">
        <v>0</v>
      </c>
      <c r="AS220" s="10">
        <v>0</v>
      </c>
      <c r="AT220" s="10">
        <v>0</v>
      </c>
      <c r="AU220" s="10">
        <v>0</v>
      </c>
      <c r="AV220" s="10">
        <v>0</v>
      </c>
      <c r="AW220" s="10">
        <v>0</v>
      </c>
      <c r="AX220" s="10">
        <v>0</v>
      </c>
      <c r="AY220" s="10">
        <v>0</v>
      </c>
      <c r="AZ220" s="7">
        <f t="shared" si="12"/>
        <v>1</v>
      </c>
      <c r="BA220" s="11">
        <f t="shared" si="13"/>
        <v>8.3333333333333329E-2</v>
      </c>
      <c r="BC220" s="12">
        <v>0</v>
      </c>
      <c r="BD220" s="12">
        <v>0</v>
      </c>
      <c r="BE220" s="12">
        <v>0</v>
      </c>
      <c r="BF220" s="12">
        <v>0</v>
      </c>
      <c r="BG220" s="12">
        <v>0</v>
      </c>
      <c r="BH220" s="12">
        <v>0</v>
      </c>
      <c r="BI220" s="12">
        <v>0</v>
      </c>
      <c r="BJ220" s="12">
        <v>0</v>
      </c>
      <c r="BK220" s="12">
        <v>0</v>
      </c>
      <c r="BL220" s="12">
        <v>0</v>
      </c>
      <c r="BM220" s="12">
        <v>0</v>
      </c>
      <c r="BN220" s="12">
        <v>0</v>
      </c>
      <c r="BO220" s="12">
        <f t="shared" si="14"/>
        <v>0</v>
      </c>
      <c r="BP220" s="12">
        <f t="shared" si="15"/>
        <v>0</v>
      </c>
      <c r="BQ220" s="7"/>
      <c r="BR220" s="7"/>
      <c r="BS220" s="7" t="s">
        <v>52</v>
      </c>
      <c r="BT220" s="7" t="s">
        <v>53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/>
    </row>
    <row r="221" spans="1:78" x14ac:dyDescent="0.35">
      <c r="A221" s="7" t="s">
        <v>42</v>
      </c>
      <c r="B221" s="7"/>
      <c r="C221" s="7" t="s">
        <v>552</v>
      </c>
      <c r="D221" s="7" t="s">
        <v>553</v>
      </c>
      <c r="E221" s="7" t="s">
        <v>554</v>
      </c>
      <c r="F221" s="7" t="s">
        <v>513</v>
      </c>
      <c r="G221" s="7" t="s">
        <v>47</v>
      </c>
      <c r="H221" s="7"/>
      <c r="I221" s="7"/>
      <c r="J221" s="7" t="s">
        <v>498</v>
      </c>
      <c r="K221" s="7" t="s">
        <v>49</v>
      </c>
      <c r="L221" s="7" t="s">
        <v>49</v>
      </c>
      <c r="M221" s="7" t="s">
        <v>49</v>
      </c>
      <c r="N221" s="7" t="s">
        <v>261</v>
      </c>
      <c r="O221" s="7" t="s">
        <v>4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0</v>
      </c>
      <c r="AH221" s="9">
        <v>0</v>
      </c>
      <c r="AI221" s="9">
        <v>0</v>
      </c>
      <c r="AJ221" s="9">
        <v>0</v>
      </c>
      <c r="AK221" s="9">
        <v>0</v>
      </c>
      <c r="AL221" s="9">
        <v>0</v>
      </c>
      <c r="AM221" s="9">
        <v>0</v>
      </c>
      <c r="AN221" s="10">
        <v>0</v>
      </c>
      <c r="AO221" s="10">
        <v>1</v>
      </c>
      <c r="AP221" s="10">
        <v>0</v>
      </c>
      <c r="AQ221" s="10">
        <v>0</v>
      </c>
      <c r="AR221" s="10">
        <v>0</v>
      </c>
      <c r="AS221" s="10">
        <v>0</v>
      </c>
      <c r="AT221" s="10">
        <v>0</v>
      </c>
      <c r="AU221" s="10">
        <v>0</v>
      </c>
      <c r="AV221" s="10">
        <v>0</v>
      </c>
      <c r="AW221" s="10">
        <v>0</v>
      </c>
      <c r="AX221" s="10">
        <v>0</v>
      </c>
      <c r="AY221" s="10">
        <v>0</v>
      </c>
      <c r="AZ221" s="7">
        <f t="shared" si="12"/>
        <v>1</v>
      </c>
      <c r="BA221" s="11">
        <f t="shared" si="13"/>
        <v>8.3333333333333329E-2</v>
      </c>
      <c r="BC221" s="12">
        <v>0</v>
      </c>
      <c r="BD221" s="12">
        <v>0</v>
      </c>
      <c r="BE221" s="12">
        <v>0</v>
      </c>
      <c r="BF221" s="12">
        <v>0</v>
      </c>
      <c r="BG221" s="12">
        <v>0</v>
      </c>
      <c r="BH221" s="12">
        <v>0</v>
      </c>
      <c r="BI221" s="12">
        <v>0</v>
      </c>
      <c r="BJ221" s="12">
        <v>0</v>
      </c>
      <c r="BK221" s="12">
        <v>0</v>
      </c>
      <c r="BL221" s="12">
        <v>0</v>
      </c>
      <c r="BM221" s="12">
        <v>0</v>
      </c>
      <c r="BN221" s="12">
        <v>0</v>
      </c>
      <c r="BO221" s="12">
        <f t="shared" si="14"/>
        <v>0</v>
      </c>
      <c r="BP221" s="12">
        <f t="shared" si="15"/>
        <v>0</v>
      </c>
      <c r="BQ221" s="7"/>
      <c r="BR221" s="7"/>
      <c r="BS221" s="7" t="s">
        <v>52</v>
      </c>
      <c r="BT221" s="7" t="s">
        <v>53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/>
    </row>
    <row r="222" spans="1:78" x14ac:dyDescent="0.35">
      <c r="A222" s="7" t="s">
        <v>42</v>
      </c>
      <c r="B222" s="7"/>
      <c r="C222" s="7" t="s">
        <v>555</v>
      </c>
      <c r="D222" s="7" t="s">
        <v>556</v>
      </c>
      <c r="E222" s="7" t="s">
        <v>557</v>
      </c>
      <c r="F222" s="7" t="s">
        <v>509</v>
      </c>
      <c r="G222" s="7" t="s">
        <v>47</v>
      </c>
      <c r="H222" s="7"/>
      <c r="I222" s="7"/>
      <c r="J222" s="7" t="s">
        <v>498</v>
      </c>
      <c r="K222" s="7" t="s">
        <v>49</v>
      </c>
      <c r="L222" s="7" t="s">
        <v>49</v>
      </c>
      <c r="M222" s="7" t="s">
        <v>49</v>
      </c>
      <c r="N222" s="7" t="s">
        <v>261</v>
      </c>
      <c r="O222" s="7" t="s">
        <v>4</v>
      </c>
      <c r="P222" s="7">
        <v>6600000</v>
      </c>
      <c r="Q222" s="7">
        <v>6600000</v>
      </c>
      <c r="R222" s="7">
        <v>6600000</v>
      </c>
      <c r="S222" s="7">
        <v>6600000</v>
      </c>
      <c r="T222" s="7">
        <v>6600000</v>
      </c>
      <c r="U222" s="7">
        <v>6600000</v>
      </c>
      <c r="V222" s="7">
        <v>6600000</v>
      </c>
      <c r="W222" s="7">
        <v>6600000</v>
      </c>
      <c r="X222" s="7">
        <v>6600000</v>
      </c>
      <c r="Y222" s="7">
        <v>6600000</v>
      </c>
      <c r="Z222" s="7">
        <v>6600000</v>
      </c>
      <c r="AA222" s="7">
        <v>6600000</v>
      </c>
      <c r="AB222" s="9">
        <v>417.75853556644</v>
      </c>
      <c r="AC222" s="9">
        <v>417.75853556644</v>
      </c>
      <c r="AD222" s="9">
        <v>417.75853556644</v>
      </c>
      <c r="AE222" s="9">
        <v>417.75853556644</v>
      </c>
      <c r="AF222" s="9">
        <v>417.75853556644</v>
      </c>
      <c r="AG222" s="9">
        <v>417.75853556644</v>
      </c>
      <c r="AH222" s="9">
        <v>417.75853556644</v>
      </c>
      <c r="AI222" s="9">
        <v>417.75853556644</v>
      </c>
      <c r="AJ222" s="9">
        <v>417.75853556644</v>
      </c>
      <c r="AK222" s="9">
        <v>417.75853556644</v>
      </c>
      <c r="AL222" s="9">
        <v>417.75853556644</v>
      </c>
      <c r="AM222" s="9">
        <v>417.75853556644</v>
      </c>
      <c r="AN222" s="10">
        <v>0</v>
      </c>
      <c r="AO222" s="10">
        <v>1</v>
      </c>
      <c r="AP222" s="10">
        <v>0</v>
      </c>
      <c r="AQ222" s="10">
        <v>0</v>
      </c>
      <c r="AR222" s="10">
        <v>0</v>
      </c>
      <c r="AS222" s="10">
        <v>0</v>
      </c>
      <c r="AT222" s="10">
        <v>0</v>
      </c>
      <c r="AU222" s="10">
        <v>0</v>
      </c>
      <c r="AV222" s="10">
        <v>0</v>
      </c>
      <c r="AW222" s="10">
        <v>0</v>
      </c>
      <c r="AX222" s="10">
        <v>0</v>
      </c>
      <c r="AY222" s="10">
        <v>0</v>
      </c>
      <c r="AZ222" s="7">
        <f t="shared" si="12"/>
        <v>1</v>
      </c>
      <c r="BA222" s="11">
        <f t="shared" si="13"/>
        <v>8.3333333333333329E-2</v>
      </c>
      <c r="BC222" s="12">
        <v>0</v>
      </c>
      <c r="BD222" s="12">
        <v>417.75853556644</v>
      </c>
      <c r="BE222" s="12">
        <v>0</v>
      </c>
      <c r="BF222" s="12">
        <v>0</v>
      </c>
      <c r="BG222" s="12">
        <v>0</v>
      </c>
      <c r="BH222" s="12">
        <v>0</v>
      </c>
      <c r="BI222" s="12">
        <v>0</v>
      </c>
      <c r="BJ222" s="12">
        <v>0</v>
      </c>
      <c r="BK222" s="12">
        <v>0</v>
      </c>
      <c r="BL222" s="12">
        <v>0</v>
      </c>
      <c r="BM222" s="12">
        <v>0</v>
      </c>
      <c r="BN222" s="12">
        <v>0</v>
      </c>
      <c r="BO222" s="12">
        <f t="shared" si="14"/>
        <v>417.75853556644</v>
      </c>
      <c r="BP222" s="12">
        <f t="shared" si="15"/>
        <v>34.813211297203331</v>
      </c>
      <c r="BQ222" s="7"/>
      <c r="BR222" s="7"/>
      <c r="BS222" s="7" t="s">
        <v>52</v>
      </c>
      <c r="BT222" s="7" t="s">
        <v>53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/>
    </row>
    <row r="223" spans="1:78" x14ac:dyDescent="0.35">
      <c r="A223" s="7" t="s">
        <v>42</v>
      </c>
      <c r="B223" s="7"/>
      <c r="C223" s="7" t="s">
        <v>558</v>
      </c>
      <c r="D223" s="7" t="s">
        <v>559</v>
      </c>
      <c r="E223" s="7" t="s">
        <v>560</v>
      </c>
      <c r="F223" s="7" t="s">
        <v>561</v>
      </c>
      <c r="G223" s="7" t="s">
        <v>47</v>
      </c>
      <c r="H223" s="7"/>
      <c r="I223" s="7"/>
      <c r="J223" s="7" t="s">
        <v>498</v>
      </c>
      <c r="K223" s="7" t="s">
        <v>49</v>
      </c>
      <c r="L223" s="7" t="s">
        <v>49</v>
      </c>
      <c r="M223" s="7" t="s">
        <v>49</v>
      </c>
      <c r="N223" s="7" t="s">
        <v>261</v>
      </c>
      <c r="O223" s="7" t="s">
        <v>4</v>
      </c>
      <c r="P223" s="7">
        <v>5500000</v>
      </c>
      <c r="Q223" s="7">
        <v>5500000</v>
      </c>
      <c r="R223" s="7">
        <v>5500000</v>
      </c>
      <c r="S223" s="7">
        <v>5500000</v>
      </c>
      <c r="T223" s="7">
        <v>5500000</v>
      </c>
      <c r="U223" s="7">
        <v>5500000</v>
      </c>
      <c r="V223" s="7">
        <v>5500000</v>
      </c>
      <c r="W223" s="7">
        <v>5500000</v>
      </c>
      <c r="X223" s="7">
        <v>5500000</v>
      </c>
      <c r="Y223" s="7">
        <v>5500000</v>
      </c>
      <c r="Z223" s="7">
        <v>5500000</v>
      </c>
      <c r="AA223" s="7">
        <v>5500000</v>
      </c>
      <c r="AB223" s="9">
        <v>348.13211297203998</v>
      </c>
      <c r="AC223" s="9">
        <v>348.13211297203998</v>
      </c>
      <c r="AD223" s="9">
        <v>348.13211297203998</v>
      </c>
      <c r="AE223" s="9">
        <v>348.13211297203998</v>
      </c>
      <c r="AF223" s="9">
        <v>348.13211297203998</v>
      </c>
      <c r="AG223" s="9">
        <v>348.13211297203998</v>
      </c>
      <c r="AH223" s="9">
        <v>348.13211297203998</v>
      </c>
      <c r="AI223" s="9">
        <v>348.13211297203998</v>
      </c>
      <c r="AJ223" s="9">
        <v>348.13211297203998</v>
      </c>
      <c r="AK223" s="9">
        <v>348.13211297203998</v>
      </c>
      <c r="AL223" s="9">
        <v>348.13211297203998</v>
      </c>
      <c r="AM223" s="9">
        <v>348.13211297203998</v>
      </c>
      <c r="AN223" s="10">
        <v>0</v>
      </c>
      <c r="AO223" s="10">
        <v>1</v>
      </c>
      <c r="AP223" s="10">
        <v>0</v>
      </c>
      <c r="AQ223" s="10">
        <v>0</v>
      </c>
      <c r="AR223" s="10">
        <v>0</v>
      </c>
      <c r="AS223" s="10">
        <v>0</v>
      </c>
      <c r="AT223" s="10">
        <v>0</v>
      </c>
      <c r="AU223" s="10">
        <v>0</v>
      </c>
      <c r="AV223" s="10">
        <v>0</v>
      </c>
      <c r="AW223" s="10">
        <v>0</v>
      </c>
      <c r="AX223" s="10">
        <v>0</v>
      </c>
      <c r="AY223" s="10">
        <v>0</v>
      </c>
      <c r="AZ223" s="7">
        <f t="shared" si="12"/>
        <v>1</v>
      </c>
      <c r="BA223" s="11">
        <f t="shared" si="13"/>
        <v>8.3333333333333329E-2</v>
      </c>
      <c r="BC223" s="12">
        <v>0</v>
      </c>
      <c r="BD223" s="12">
        <v>348.13211297203998</v>
      </c>
      <c r="BE223" s="12">
        <v>0</v>
      </c>
      <c r="BF223" s="12">
        <v>0</v>
      </c>
      <c r="BG223" s="12">
        <v>0</v>
      </c>
      <c r="BH223" s="12">
        <v>0</v>
      </c>
      <c r="BI223" s="12">
        <v>0</v>
      </c>
      <c r="BJ223" s="12">
        <v>0</v>
      </c>
      <c r="BK223" s="12">
        <v>0</v>
      </c>
      <c r="BL223" s="12">
        <v>0</v>
      </c>
      <c r="BM223" s="12">
        <v>0</v>
      </c>
      <c r="BN223" s="12">
        <v>0</v>
      </c>
      <c r="BO223" s="12">
        <f t="shared" si="14"/>
        <v>348.13211297203998</v>
      </c>
      <c r="BP223" s="12">
        <f t="shared" si="15"/>
        <v>29.011009414336666</v>
      </c>
      <c r="BQ223" s="7"/>
      <c r="BR223" s="7"/>
      <c r="BS223" s="7" t="s">
        <v>52</v>
      </c>
      <c r="BT223" s="7" t="s">
        <v>53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/>
    </row>
    <row r="224" spans="1:78" x14ac:dyDescent="0.35">
      <c r="A224" s="7" t="s">
        <v>42</v>
      </c>
      <c r="B224" s="7"/>
      <c r="C224" s="7" t="s">
        <v>562</v>
      </c>
      <c r="D224" s="7" t="s">
        <v>563</v>
      </c>
      <c r="E224" s="7" t="s">
        <v>564</v>
      </c>
      <c r="F224" s="7" t="s">
        <v>561</v>
      </c>
      <c r="G224" s="7" t="s">
        <v>47</v>
      </c>
      <c r="H224" s="7"/>
      <c r="I224" s="7"/>
      <c r="J224" s="7" t="s">
        <v>498</v>
      </c>
      <c r="K224" s="7" t="s">
        <v>49</v>
      </c>
      <c r="L224" s="7" t="s">
        <v>49</v>
      </c>
      <c r="M224" s="7" t="s">
        <v>49</v>
      </c>
      <c r="N224" s="7" t="s">
        <v>50</v>
      </c>
      <c r="O224" s="7" t="s">
        <v>4</v>
      </c>
      <c r="P224" s="7">
        <v>2200000</v>
      </c>
      <c r="Q224" s="7">
        <v>2200000</v>
      </c>
      <c r="R224" s="7">
        <v>2200000</v>
      </c>
      <c r="S224" s="7">
        <v>2200000</v>
      </c>
      <c r="T224" s="7">
        <v>2200000</v>
      </c>
      <c r="U224" s="7">
        <v>2200000</v>
      </c>
      <c r="V224" s="7">
        <v>2200000</v>
      </c>
      <c r="W224" s="7">
        <v>2200000</v>
      </c>
      <c r="X224" s="7">
        <v>2200000</v>
      </c>
      <c r="Y224" s="7">
        <v>2200000</v>
      </c>
      <c r="Z224" s="7">
        <v>2200000</v>
      </c>
      <c r="AA224" s="7">
        <v>2200000</v>
      </c>
      <c r="AB224" s="9">
        <v>139.25284518881</v>
      </c>
      <c r="AC224" s="9">
        <v>139.25284518881</v>
      </c>
      <c r="AD224" s="9">
        <v>139.25284518881</v>
      </c>
      <c r="AE224" s="9">
        <v>139.25284518881</v>
      </c>
      <c r="AF224" s="9">
        <v>139.25284518881</v>
      </c>
      <c r="AG224" s="9">
        <v>139.25284518881</v>
      </c>
      <c r="AH224" s="9">
        <v>139.25284518881</v>
      </c>
      <c r="AI224" s="9">
        <v>139.25284518881</v>
      </c>
      <c r="AJ224" s="9">
        <v>139.25284518881</v>
      </c>
      <c r="AK224" s="9">
        <v>139.25284518881</v>
      </c>
      <c r="AL224" s="9">
        <v>139.25284518881</v>
      </c>
      <c r="AM224" s="9">
        <v>139.25284518881</v>
      </c>
      <c r="AN224" s="10">
        <v>0</v>
      </c>
      <c r="AO224" s="10">
        <v>5</v>
      </c>
      <c r="AP224" s="10">
        <v>0</v>
      </c>
      <c r="AQ224" s="10">
        <v>0</v>
      </c>
      <c r="AR224" s="10">
        <v>0</v>
      </c>
      <c r="AS224" s="10">
        <v>0</v>
      </c>
      <c r="AT224" s="10">
        <v>0</v>
      </c>
      <c r="AU224" s="10">
        <v>0</v>
      </c>
      <c r="AV224" s="10">
        <v>0</v>
      </c>
      <c r="AW224" s="10">
        <v>0</v>
      </c>
      <c r="AX224" s="10">
        <v>0</v>
      </c>
      <c r="AY224" s="10">
        <v>0</v>
      </c>
      <c r="AZ224" s="7">
        <f t="shared" si="12"/>
        <v>5</v>
      </c>
      <c r="BA224" s="11">
        <f t="shared" si="13"/>
        <v>0.41666666666666669</v>
      </c>
      <c r="BC224" s="12">
        <v>0</v>
      </c>
      <c r="BD224" s="12">
        <v>696.26422594406995</v>
      </c>
      <c r="BE224" s="12">
        <v>0</v>
      </c>
      <c r="BF224" s="12">
        <v>0</v>
      </c>
      <c r="BG224" s="12">
        <v>0</v>
      </c>
      <c r="BH224" s="12">
        <v>0</v>
      </c>
      <c r="BI224" s="12">
        <v>0</v>
      </c>
      <c r="BJ224" s="12">
        <v>0</v>
      </c>
      <c r="BK224" s="12">
        <v>0</v>
      </c>
      <c r="BL224" s="12">
        <v>0</v>
      </c>
      <c r="BM224" s="12">
        <v>0</v>
      </c>
      <c r="BN224" s="12">
        <v>0</v>
      </c>
      <c r="BO224" s="12">
        <f t="shared" si="14"/>
        <v>696.26422594406995</v>
      </c>
      <c r="BP224" s="12">
        <f t="shared" si="15"/>
        <v>58.022018828672493</v>
      </c>
      <c r="BQ224" s="7"/>
      <c r="BR224" s="7"/>
      <c r="BS224" s="7" t="s">
        <v>52</v>
      </c>
      <c r="BT224" s="7" t="s">
        <v>53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/>
    </row>
    <row r="225" spans="1:78" x14ac:dyDescent="0.35">
      <c r="A225" s="7" t="s">
        <v>42</v>
      </c>
      <c r="B225" s="7"/>
      <c r="C225" s="7" t="s">
        <v>565</v>
      </c>
      <c r="D225" s="7" t="s">
        <v>566</v>
      </c>
      <c r="E225" s="7" t="s">
        <v>567</v>
      </c>
      <c r="F225" s="7" t="s">
        <v>513</v>
      </c>
      <c r="G225" s="7" t="s">
        <v>47</v>
      </c>
      <c r="H225" s="7"/>
      <c r="I225" s="7"/>
      <c r="J225" s="7" t="s">
        <v>498</v>
      </c>
      <c r="K225" s="7" t="s">
        <v>49</v>
      </c>
      <c r="L225" s="7" t="s">
        <v>49</v>
      </c>
      <c r="M225" s="7" t="s">
        <v>49</v>
      </c>
      <c r="N225" s="7" t="s">
        <v>261</v>
      </c>
      <c r="O225" s="7" t="s">
        <v>4</v>
      </c>
      <c r="P225" s="7">
        <v>9460000</v>
      </c>
      <c r="Q225" s="7">
        <v>9460000</v>
      </c>
      <c r="R225" s="7">
        <v>9460000</v>
      </c>
      <c r="S225" s="7">
        <v>9460000</v>
      </c>
      <c r="T225" s="7">
        <v>9460000</v>
      </c>
      <c r="U225" s="7">
        <v>9460000</v>
      </c>
      <c r="V225" s="7">
        <v>9460000</v>
      </c>
      <c r="W225" s="7">
        <v>9460000</v>
      </c>
      <c r="X225" s="7">
        <v>9460000</v>
      </c>
      <c r="Y225" s="7">
        <v>9460000</v>
      </c>
      <c r="Z225" s="7">
        <v>9460000</v>
      </c>
      <c r="AA225" s="7">
        <v>9460000</v>
      </c>
      <c r="AB225" s="9">
        <v>598.78723431189997</v>
      </c>
      <c r="AC225" s="9">
        <v>598.78723431189997</v>
      </c>
      <c r="AD225" s="9">
        <v>598.78723431189997</v>
      </c>
      <c r="AE225" s="9">
        <v>598.78723431189997</v>
      </c>
      <c r="AF225" s="9">
        <v>598.78723431189997</v>
      </c>
      <c r="AG225" s="9">
        <v>598.78723431189997</v>
      </c>
      <c r="AH225" s="9">
        <v>598.78723431189997</v>
      </c>
      <c r="AI225" s="9">
        <v>598.78723431189997</v>
      </c>
      <c r="AJ225" s="9">
        <v>598.78723431189997</v>
      </c>
      <c r="AK225" s="9">
        <v>598.78723431189997</v>
      </c>
      <c r="AL225" s="9">
        <v>598.78723431189997</v>
      </c>
      <c r="AM225" s="9">
        <v>598.78723431189997</v>
      </c>
      <c r="AN225" s="10">
        <v>0</v>
      </c>
      <c r="AO225" s="10">
        <v>1</v>
      </c>
      <c r="AP225" s="10">
        <v>0</v>
      </c>
      <c r="AQ225" s="10">
        <v>0</v>
      </c>
      <c r="AR225" s="10">
        <v>0</v>
      </c>
      <c r="AS225" s="10">
        <v>0</v>
      </c>
      <c r="AT225" s="10">
        <v>0</v>
      </c>
      <c r="AU225" s="10">
        <v>0</v>
      </c>
      <c r="AV225" s="10">
        <v>0</v>
      </c>
      <c r="AW225" s="10">
        <v>0</v>
      </c>
      <c r="AX225" s="10">
        <v>0</v>
      </c>
      <c r="AY225" s="10">
        <v>0</v>
      </c>
      <c r="AZ225" s="7">
        <f t="shared" si="12"/>
        <v>1</v>
      </c>
      <c r="BA225" s="11">
        <f t="shared" si="13"/>
        <v>8.3333333333333329E-2</v>
      </c>
      <c r="BC225" s="12">
        <v>0</v>
      </c>
      <c r="BD225" s="12">
        <v>598.78723431189997</v>
      </c>
      <c r="BE225" s="12">
        <v>0</v>
      </c>
      <c r="BF225" s="12">
        <v>0</v>
      </c>
      <c r="BG225" s="12">
        <v>0</v>
      </c>
      <c r="BH225" s="12">
        <v>0</v>
      </c>
      <c r="BI225" s="12">
        <v>0</v>
      </c>
      <c r="BJ225" s="12">
        <v>0</v>
      </c>
      <c r="BK225" s="12">
        <v>0</v>
      </c>
      <c r="BL225" s="12">
        <v>0</v>
      </c>
      <c r="BM225" s="12">
        <v>0</v>
      </c>
      <c r="BN225" s="12">
        <v>0</v>
      </c>
      <c r="BO225" s="12">
        <f t="shared" si="14"/>
        <v>598.78723431189997</v>
      </c>
      <c r="BP225" s="12">
        <f t="shared" si="15"/>
        <v>49.898936192658333</v>
      </c>
      <c r="BQ225" s="7"/>
      <c r="BR225" s="7"/>
      <c r="BS225" s="7" t="s">
        <v>52</v>
      </c>
      <c r="BT225" s="7" t="s">
        <v>53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/>
    </row>
    <row r="226" spans="1:78" x14ac:dyDescent="0.35">
      <c r="A226" s="7" t="s">
        <v>42</v>
      </c>
      <c r="B226" s="7"/>
      <c r="C226" s="7" t="s">
        <v>568</v>
      </c>
      <c r="D226" s="7" t="s">
        <v>569</v>
      </c>
      <c r="E226" s="7" t="s">
        <v>570</v>
      </c>
      <c r="F226" s="7" t="s">
        <v>509</v>
      </c>
      <c r="G226" s="7" t="s">
        <v>47</v>
      </c>
      <c r="H226" s="7"/>
      <c r="I226" s="7"/>
      <c r="J226" s="7" t="s">
        <v>498</v>
      </c>
      <c r="K226" s="7" t="s">
        <v>49</v>
      </c>
      <c r="L226" s="7" t="s">
        <v>49</v>
      </c>
      <c r="M226" s="7" t="s">
        <v>49</v>
      </c>
      <c r="N226" s="7" t="s">
        <v>50</v>
      </c>
      <c r="O226" s="7" t="s">
        <v>4</v>
      </c>
      <c r="P226" s="7">
        <v>88000</v>
      </c>
      <c r="Q226" s="7">
        <v>88000</v>
      </c>
      <c r="R226" s="7">
        <v>88000</v>
      </c>
      <c r="S226" s="7">
        <v>88000</v>
      </c>
      <c r="T226" s="7">
        <v>88000</v>
      </c>
      <c r="U226" s="7">
        <v>88000</v>
      </c>
      <c r="V226" s="7">
        <v>88000</v>
      </c>
      <c r="W226" s="7">
        <v>88000</v>
      </c>
      <c r="X226" s="7">
        <v>88000</v>
      </c>
      <c r="Y226" s="7">
        <v>88000</v>
      </c>
      <c r="Z226" s="7">
        <v>88000</v>
      </c>
      <c r="AA226" s="7">
        <v>88000</v>
      </c>
      <c r="AB226" s="9">
        <v>5.5701138075526</v>
      </c>
      <c r="AC226" s="9">
        <v>5.5701138075526</v>
      </c>
      <c r="AD226" s="9">
        <v>5.5701138075526</v>
      </c>
      <c r="AE226" s="9">
        <v>5.5701138075526</v>
      </c>
      <c r="AF226" s="9">
        <v>5.5701138075526</v>
      </c>
      <c r="AG226" s="9">
        <v>5.5701138075526</v>
      </c>
      <c r="AH226" s="9">
        <v>5.5701138075526</v>
      </c>
      <c r="AI226" s="9">
        <v>5.5701138075526</v>
      </c>
      <c r="AJ226" s="9">
        <v>5.5701138075526</v>
      </c>
      <c r="AK226" s="9">
        <v>5.5701138075526</v>
      </c>
      <c r="AL226" s="9">
        <v>5.5701138075526</v>
      </c>
      <c r="AM226" s="9">
        <v>5.5701138075526</v>
      </c>
      <c r="AN226" s="10">
        <v>4</v>
      </c>
      <c r="AO226" s="10">
        <v>0</v>
      </c>
      <c r="AP226" s="10">
        <v>0</v>
      </c>
      <c r="AQ226" s="10">
        <v>0</v>
      </c>
      <c r="AR226" s="10">
        <v>0</v>
      </c>
      <c r="AS226" s="10">
        <v>0</v>
      </c>
      <c r="AT226" s="10">
        <v>0</v>
      </c>
      <c r="AU226" s="10">
        <v>0</v>
      </c>
      <c r="AV226" s="10">
        <v>0</v>
      </c>
      <c r="AW226" s="10">
        <v>0</v>
      </c>
      <c r="AX226" s="10">
        <v>0</v>
      </c>
      <c r="AY226" s="10">
        <v>0</v>
      </c>
      <c r="AZ226" s="7">
        <f t="shared" si="12"/>
        <v>4</v>
      </c>
      <c r="BA226" s="11">
        <f t="shared" si="13"/>
        <v>0.33333333333333331</v>
      </c>
      <c r="BC226" s="12">
        <v>22.280455230209999</v>
      </c>
      <c r="BD226" s="12">
        <v>0</v>
      </c>
      <c r="BE226" s="12">
        <v>0</v>
      </c>
      <c r="BF226" s="12">
        <v>0</v>
      </c>
      <c r="BG226" s="12">
        <v>0</v>
      </c>
      <c r="BH226" s="12">
        <v>0</v>
      </c>
      <c r="BI226" s="12">
        <v>0</v>
      </c>
      <c r="BJ226" s="12">
        <v>0</v>
      </c>
      <c r="BK226" s="12">
        <v>0</v>
      </c>
      <c r="BL226" s="12">
        <v>0</v>
      </c>
      <c r="BM226" s="12">
        <v>0</v>
      </c>
      <c r="BN226" s="12">
        <v>0</v>
      </c>
      <c r="BO226" s="12">
        <f t="shared" si="14"/>
        <v>22.280455230209999</v>
      </c>
      <c r="BP226" s="12">
        <f t="shared" si="15"/>
        <v>1.8567046025174998</v>
      </c>
      <c r="BQ226" s="7"/>
      <c r="BR226" s="7"/>
      <c r="BS226" s="7" t="s">
        <v>52</v>
      </c>
      <c r="BT226" s="7" t="s">
        <v>53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/>
    </row>
    <row r="227" spans="1:78" x14ac:dyDescent="0.35">
      <c r="A227" s="7" t="s">
        <v>42</v>
      </c>
      <c r="B227" s="7"/>
      <c r="C227" s="7" t="s">
        <v>571</v>
      </c>
      <c r="D227" s="7" t="s">
        <v>572</v>
      </c>
      <c r="E227" s="7" t="s">
        <v>573</v>
      </c>
      <c r="F227" s="7" t="s">
        <v>513</v>
      </c>
      <c r="G227" s="7" t="s">
        <v>47</v>
      </c>
      <c r="H227" s="7"/>
      <c r="I227" s="7"/>
      <c r="J227" s="7" t="s">
        <v>498</v>
      </c>
      <c r="K227" s="7" t="s">
        <v>49</v>
      </c>
      <c r="L227" s="7" t="s">
        <v>49</v>
      </c>
      <c r="M227" s="7" t="s">
        <v>49</v>
      </c>
      <c r="N227" s="7" t="s">
        <v>261</v>
      </c>
      <c r="O227" s="7" t="s">
        <v>4</v>
      </c>
      <c r="P227" s="7">
        <v>440000</v>
      </c>
      <c r="Q227" s="7">
        <v>440000</v>
      </c>
      <c r="R227" s="7">
        <v>440000</v>
      </c>
      <c r="S227" s="7">
        <v>440000</v>
      </c>
      <c r="T227" s="7">
        <v>440000</v>
      </c>
      <c r="U227" s="7">
        <v>440000</v>
      </c>
      <c r="V227" s="7">
        <v>440000</v>
      </c>
      <c r="W227" s="7">
        <v>440000</v>
      </c>
      <c r="X227" s="7">
        <v>440000</v>
      </c>
      <c r="Y227" s="7">
        <v>440000</v>
      </c>
      <c r="Z227" s="7">
        <v>440000</v>
      </c>
      <c r="AA227" s="7">
        <v>440000</v>
      </c>
      <c r="AB227" s="9">
        <v>27.850569037763002</v>
      </c>
      <c r="AC227" s="9">
        <v>27.850569037763002</v>
      </c>
      <c r="AD227" s="9">
        <v>27.850569037763002</v>
      </c>
      <c r="AE227" s="9">
        <v>27.850569037763002</v>
      </c>
      <c r="AF227" s="9">
        <v>27.850569037763002</v>
      </c>
      <c r="AG227" s="9">
        <v>27.850569037763002</v>
      </c>
      <c r="AH227" s="9">
        <v>27.850569037763002</v>
      </c>
      <c r="AI227" s="9">
        <v>27.850569037763002</v>
      </c>
      <c r="AJ227" s="9">
        <v>27.850569037763002</v>
      </c>
      <c r="AK227" s="9">
        <v>27.850569037763002</v>
      </c>
      <c r="AL227" s="9">
        <v>27.850569037763002</v>
      </c>
      <c r="AM227" s="9">
        <v>27.850569037763002</v>
      </c>
      <c r="AN227" s="10">
        <v>0</v>
      </c>
      <c r="AO227" s="10">
        <v>0</v>
      </c>
      <c r="AP227" s="10">
        <v>2</v>
      </c>
      <c r="AQ227" s="10">
        <v>0</v>
      </c>
      <c r="AR227" s="10">
        <v>0</v>
      </c>
      <c r="AS227" s="10">
        <v>0</v>
      </c>
      <c r="AT227" s="10">
        <v>0</v>
      </c>
      <c r="AU227" s="10">
        <v>0</v>
      </c>
      <c r="AV227" s="10">
        <v>0</v>
      </c>
      <c r="AW227" s="10">
        <v>0</v>
      </c>
      <c r="AX227" s="10">
        <v>0</v>
      </c>
      <c r="AY227" s="10">
        <v>0</v>
      </c>
      <c r="AZ227" s="7">
        <f t="shared" si="12"/>
        <v>2</v>
      </c>
      <c r="BA227" s="11">
        <f t="shared" si="13"/>
        <v>0.16666666666666666</v>
      </c>
      <c r="BC227" s="12">
        <v>0</v>
      </c>
      <c r="BD227" s="12">
        <v>0</v>
      </c>
      <c r="BE227" s="12">
        <v>55.701138075526003</v>
      </c>
      <c r="BF227" s="12">
        <v>0</v>
      </c>
      <c r="BG227" s="12">
        <v>0</v>
      </c>
      <c r="BH227" s="12">
        <v>0</v>
      </c>
      <c r="BI227" s="12">
        <v>0</v>
      </c>
      <c r="BJ227" s="12">
        <v>0</v>
      </c>
      <c r="BK227" s="12">
        <v>0</v>
      </c>
      <c r="BL227" s="12">
        <v>0</v>
      </c>
      <c r="BM227" s="12">
        <v>0</v>
      </c>
      <c r="BN227" s="12">
        <v>0</v>
      </c>
      <c r="BO227" s="12">
        <f t="shared" si="14"/>
        <v>55.701138075526003</v>
      </c>
      <c r="BP227" s="12">
        <f t="shared" si="15"/>
        <v>4.6417615062938333</v>
      </c>
      <c r="BQ227" s="7"/>
      <c r="BR227" s="7"/>
      <c r="BS227" s="7" t="s">
        <v>52</v>
      </c>
      <c r="BT227" s="7" t="s">
        <v>53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/>
    </row>
    <row r="228" spans="1:78" x14ac:dyDescent="0.35">
      <c r="A228" s="7" t="s">
        <v>42</v>
      </c>
      <c r="B228" s="7"/>
      <c r="C228" s="7" t="s">
        <v>574</v>
      </c>
      <c r="D228" s="7" t="s">
        <v>575</v>
      </c>
      <c r="E228" s="7" t="s">
        <v>576</v>
      </c>
      <c r="F228" s="7" t="s">
        <v>561</v>
      </c>
      <c r="G228" s="7" t="s">
        <v>47</v>
      </c>
      <c r="H228" s="7"/>
      <c r="I228" s="7"/>
      <c r="J228" s="7" t="s">
        <v>498</v>
      </c>
      <c r="K228" s="7" t="s">
        <v>49</v>
      </c>
      <c r="L228" s="7" t="s">
        <v>49</v>
      </c>
      <c r="M228" s="7" t="s">
        <v>49</v>
      </c>
      <c r="N228" s="7" t="s">
        <v>261</v>
      </c>
      <c r="O228" s="7" t="s">
        <v>4</v>
      </c>
      <c r="P228" s="7">
        <v>7700000</v>
      </c>
      <c r="Q228" s="7">
        <v>7700000</v>
      </c>
      <c r="R228" s="7">
        <v>7700000</v>
      </c>
      <c r="S228" s="7">
        <v>7700000</v>
      </c>
      <c r="T228" s="7">
        <v>7700000</v>
      </c>
      <c r="U228" s="7">
        <v>7700000</v>
      </c>
      <c r="V228" s="7">
        <v>7700000</v>
      </c>
      <c r="W228" s="7">
        <v>7700000</v>
      </c>
      <c r="X228" s="7">
        <v>7700000</v>
      </c>
      <c r="Y228" s="7">
        <v>7700000</v>
      </c>
      <c r="Z228" s="7">
        <v>7700000</v>
      </c>
      <c r="AA228" s="7">
        <v>7700000</v>
      </c>
      <c r="AB228" s="9">
        <v>487.38495816084998</v>
      </c>
      <c r="AC228" s="9">
        <v>487.38495816084998</v>
      </c>
      <c r="AD228" s="9">
        <v>487.38495816084998</v>
      </c>
      <c r="AE228" s="9">
        <v>487.38495816084998</v>
      </c>
      <c r="AF228" s="9">
        <v>487.38495816084998</v>
      </c>
      <c r="AG228" s="9">
        <v>487.38495816084998</v>
      </c>
      <c r="AH228" s="9">
        <v>487.38495816084998</v>
      </c>
      <c r="AI228" s="9">
        <v>487.38495816084998</v>
      </c>
      <c r="AJ228" s="9">
        <v>487.38495816084998</v>
      </c>
      <c r="AK228" s="9">
        <v>487.38495816084998</v>
      </c>
      <c r="AL228" s="9">
        <v>487.38495816084998</v>
      </c>
      <c r="AM228" s="9">
        <v>487.38495816084998</v>
      </c>
      <c r="AN228" s="10">
        <v>0</v>
      </c>
      <c r="AO228" s="10">
        <v>1</v>
      </c>
      <c r="AP228" s="10">
        <v>0</v>
      </c>
      <c r="AQ228" s="10">
        <v>0</v>
      </c>
      <c r="AR228" s="10">
        <v>0</v>
      </c>
      <c r="AS228" s="10">
        <v>0</v>
      </c>
      <c r="AT228" s="10">
        <v>0</v>
      </c>
      <c r="AU228" s="10">
        <v>0</v>
      </c>
      <c r="AV228" s="10">
        <v>0</v>
      </c>
      <c r="AW228" s="10">
        <v>0</v>
      </c>
      <c r="AX228" s="10">
        <v>0</v>
      </c>
      <c r="AY228" s="10">
        <v>0</v>
      </c>
      <c r="AZ228" s="7">
        <f t="shared" si="12"/>
        <v>1</v>
      </c>
      <c r="BA228" s="11">
        <f t="shared" si="13"/>
        <v>8.3333333333333329E-2</v>
      </c>
      <c r="BC228" s="12">
        <v>0</v>
      </c>
      <c r="BD228" s="12">
        <v>487.38495816084998</v>
      </c>
      <c r="BE228" s="12">
        <v>0</v>
      </c>
      <c r="BF228" s="12">
        <v>0</v>
      </c>
      <c r="BG228" s="12">
        <v>0</v>
      </c>
      <c r="BH228" s="12">
        <v>0</v>
      </c>
      <c r="BI228" s="12">
        <v>0</v>
      </c>
      <c r="BJ228" s="12">
        <v>0</v>
      </c>
      <c r="BK228" s="12">
        <v>0</v>
      </c>
      <c r="BL228" s="12">
        <v>0</v>
      </c>
      <c r="BM228" s="12">
        <v>0</v>
      </c>
      <c r="BN228" s="12">
        <v>0</v>
      </c>
      <c r="BO228" s="12">
        <f t="shared" si="14"/>
        <v>487.38495816084998</v>
      </c>
      <c r="BP228" s="12">
        <f t="shared" si="15"/>
        <v>40.615413180070831</v>
      </c>
      <c r="BQ228" s="7"/>
      <c r="BR228" s="7"/>
      <c r="BS228" s="7" t="s">
        <v>52</v>
      </c>
      <c r="BT228" s="7" t="s">
        <v>53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/>
    </row>
    <row r="229" spans="1:78" x14ac:dyDescent="0.35">
      <c r="A229" s="7" t="s">
        <v>42</v>
      </c>
      <c r="B229" s="7"/>
      <c r="C229" s="7" t="s">
        <v>577</v>
      </c>
      <c r="D229" s="7" t="s">
        <v>569</v>
      </c>
      <c r="E229" s="7" t="s">
        <v>578</v>
      </c>
      <c r="F229" s="7" t="s">
        <v>509</v>
      </c>
      <c r="G229" s="7" t="s">
        <v>47</v>
      </c>
      <c r="H229" s="7"/>
      <c r="I229" s="7"/>
      <c r="J229" s="7" t="s">
        <v>498</v>
      </c>
      <c r="K229" s="7" t="s">
        <v>49</v>
      </c>
      <c r="L229" s="7" t="s">
        <v>49</v>
      </c>
      <c r="M229" s="7" t="s">
        <v>49</v>
      </c>
      <c r="N229" s="7" t="s">
        <v>50</v>
      </c>
      <c r="O229" s="7" t="s">
        <v>4</v>
      </c>
      <c r="P229" s="7">
        <v>150000</v>
      </c>
      <c r="Q229" s="7">
        <v>150000</v>
      </c>
      <c r="R229" s="7">
        <v>150000</v>
      </c>
      <c r="S229" s="7">
        <v>150000</v>
      </c>
      <c r="T229" s="7">
        <v>150000</v>
      </c>
      <c r="U229" s="7">
        <v>150000</v>
      </c>
      <c r="V229" s="7">
        <v>150000</v>
      </c>
      <c r="W229" s="7">
        <v>150000</v>
      </c>
      <c r="X229" s="7">
        <v>150000</v>
      </c>
      <c r="Y229" s="7">
        <v>150000</v>
      </c>
      <c r="Z229" s="7">
        <v>150000</v>
      </c>
      <c r="AA229" s="7">
        <v>150000</v>
      </c>
      <c r="AB229" s="9">
        <v>9.4945121719645993</v>
      </c>
      <c r="AC229" s="9">
        <v>9.4945121719645993</v>
      </c>
      <c r="AD229" s="9">
        <v>9.4945121719645993</v>
      </c>
      <c r="AE229" s="9">
        <v>9.4945121719645993</v>
      </c>
      <c r="AF229" s="9">
        <v>9.4945121719645993</v>
      </c>
      <c r="AG229" s="9">
        <v>9.4945121719645993</v>
      </c>
      <c r="AH229" s="9">
        <v>9.4945121719645993</v>
      </c>
      <c r="AI229" s="9">
        <v>9.4945121719645993</v>
      </c>
      <c r="AJ229" s="9">
        <v>9.4945121719645993</v>
      </c>
      <c r="AK229" s="9">
        <v>9.4945121719645993</v>
      </c>
      <c r="AL229" s="9">
        <v>9.4945121719645993</v>
      </c>
      <c r="AM229" s="9">
        <v>9.4945121719645993</v>
      </c>
      <c r="AN229" s="10">
        <v>4</v>
      </c>
      <c r="AO229" s="10">
        <v>0</v>
      </c>
      <c r="AP229" s="10">
        <v>0</v>
      </c>
      <c r="AQ229" s="10">
        <v>0</v>
      </c>
      <c r="AR229" s="10">
        <v>0</v>
      </c>
      <c r="AS229" s="10">
        <v>0</v>
      </c>
      <c r="AT229" s="10">
        <v>0</v>
      </c>
      <c r="AU229" s="10">
        <v>0</v>
      </c>
      <c r="AV229" s="10">
        <v>0</v>
      </c>
      <c r="AW229" s="10">
        <v>0</v>
      </c>
      <c r="AX229" s="10">
        <v>0</v>
      </c>
      <c r="AY229" s="10">
        <v>0</v>
      </c>
      <c r="AZ229" s="7">
        <f t="shared" si="12"/>
        <v>4</v>
      </c>
      <c r="BA229" s="11">
        <f t="shared" si="13"/>
        <v>0.33333333333333331</v>
      </c>
      <c r="BC229" s="12">
        <v>37.978048687857999</v>
      </c>
      <c r="BD229" s="12">
        <v>0</v>
      </c>
      <c r="BE229" s="12">
        <v>0</v>
      </c>
      <c r="BF229" s="12">
        <v>0</v>
      </c>
      <c r="BG229" s="12">
        <v>0</v>
      </c>
      <c r="BH229" s="12">
        <v>0</v>
      </c>
      <c r="BI229" s="12">
        <v>0</v>
      </c>
      <c r="BJ229" s="12">
        <v>0</v>
      </c>
      <c r="BK229" s="12">
        <v>0</v>
      </c>
      <c r="BL229" s="12">
        <v>0</v>
      </c>
      <c r="BM229" s="12">
        <v>0</v>
      </c>
      <c r="BN229" s="12">
        <v>0</v>
      </c>
      <c r="BO229" s="12">
        <f t="shared" si="14"/>
        <v>37.978048687857999</v>
      </c>
      <c r="BP229" s="12">
        <f t="shared" si="15"/>
        <v>3.1648373906548333</v>
      </c>
      <c r="BQ229" s="7"/>
      <c r="BR229" s="7"/>
      <c r="BS229" s="7" t="s">
        <v>52</v>
      </c>
      <c r="BT229" s="7" t="s">
        <v>53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/>
    </row>
    <row r="230" spans="1:78" x14ac:dyDescent="0.35">
      <c r="A230" s="7" t="s">
        <v>42</v>
      </c>
      <c r="B230" s="7"/>
      <c r="C230" s="7" t="s">
        <v>579</v>
      </c>
      <c r="D230" s="7" t="s">
        <v>580</v>
      </c>
      <c r="E230" s="7" t="s">
        <v>581</v>
      </c>
      <c r="F230" s="7" t="s">
        <v>561</v>
      </c>
      <c r="G230" s="7" t="s">
        <v>47</v>
      </c>
      <c r="H230" s="7"/>
      <c r="I230" s="7"/>
      <c r="J230" s="7" t="s">
        <v>498</v>
      </c>
      <c r="K230" s="7" t="s">
        <v>49</v>
      </c>
      <c r="L230" s="7" t="s">
        <v>49</v>
      </c>
      <c r="M230" s="7" t="s">
        <v>49</v>
      </c>
      <c r="N230" s="7" t="s">
        <v>261</v>
      </c>
      <c r="O230" s="7" t="s">
        <v>4</v>
      </c>
      <c r="P230" s="7">
        <v>1320000</v>
      </c>
      <c r="Q230" s="7">
        <v>1320000</v>
      </c>
      <c r="R230" s="7">
        <v>1320000</v>
      </c>
      <c r="S230" s="7">
        <v>1320000</v>
      </c>
      <c r="T230" s="7">
        <v>1320000</v>
      </c>
      <c r="U230" s="7">
        <v>1320000</v>
      </c>
      <c r="V230" s="7">
        <v>1320000</v>
      </c>
      <c r="W230" s="7">
        <v>1320000</v>
      </c>
      <c r="X230" s="7">
        <v>1320000</v>
      </c>
      <c r="Y230" s="7">
        <v>1320000</v>
      </c>
      <c r="Z230" s="7">
        <v>1320000</v>
      </c>
      <c r="AA230" s="7">
        <v>1320000</v>
      </c>
      <c r="AB230" s="9">
        <v>83.551707113288998</v>
      </c>
      <c r="AC230" s="9">
        <v>83.551707113288998</v>
      </c>
      <c r="AD230" s="9">
        <v>83.551707113288998</v>
      </c>
      <c r="AE230" s="9">
        <v>83.551707113288998</v>
      </c>
      <c r="AF230" s="9">
        <v>83.551707113288998</v>
      </c>
      <c r="AG230" s="9">
        <v>83.551707113288998</v>
      </c>
      <c r="AH230" s="9">
        <v>83.551707113288998</v>
      </c>
      <c r="AI230" s="9">
        <v>83.551707113288998</v>
      </c>
      <c r="AJ230" s="9">
        <v>83.551707113288998</v>
      </c>
      <c r="AK230" s="9">
        <v>83.551707113288998</v>
      </c>
      <c r="AL230" s="9">
        <v>83.551707113288998</v>
      </c>
      <c r="AM230" s="9">
        <v>83.551707113288998</v>
      </c>
      <c r="AN230" s="10">
        <v>5</v>
      </c>
      <c r="AO230" s="10">
        <v>0</v>
      </c>
      <c r="AP230" s="10">
        <v>0</v>
      </c>
      <c r="AQ230" s="10">
        <v>0</v>
      </c>
      <c r="AR230" s="10">
        <v>0</v>
      </c>
      <c r="AS230" s="10">
        <v>0</v>
      </c>
      <c r="AT230" s="10">
        <v>0</v>
      </c>
      <c r="AU230" s="10">
        <v>0</v>
      </c>
      <c r="AV230" s="10">
        <v>0</v>
      </c>
      <c r="AW230" s="10">
        <v>0</v>
      </c>
      <c r="AX230" s="10">
        <v>0</v>
      </c>
      <c r="AY230" s="10">
        <v>0</v>
      </c>
      <c r="AZ230" s="7">
        <f t="shared" si="12"/>
        <v>5</v>
      </c>
      <c r="BA230" s="11">
        <f t="shared" si="13"/>
        <v>0.41666666666666669</v>
      </c>
      <c r="BC230" s="12">
        <v>417.75853556644</v>
      </c>
      <c r="BD230" s="12">
        <v>0</v>
      </c>
      <c r="BE230" s="12">
        <v>0</v>
      </c>
      <c r="BF230" s="12">
        <v>0</v>
      </c>
      <c r="BG230" s="12">
        <v>0</v>
      </c>
      <c r="BH230" s="12">
        <v>0</v>
      </c>
      <c r="BI230" s="12">
        <v>0</v>
      </c>
      <c r="BJ230" s="12">
        <v>0</v>
      </c>
      <c r="BK230" s="12">
        <v>0</v>
      </c>
      <c r="BL230" s="12">
        <v>0</v>
      </c>
      <c r="BM230" s="12">
        <v>0</v>
      </c>
      <c r="BN230" s="12">
        <v>0</v>
      </c>
      <c r="BO230" s="12">
        <f t="shared" si="14"/>
        <v>417.75853556644</v>
      </c>
      <c r="BP230" s="12">
        <f t="shared" si="15"/>
        <v>34.813211297203331</v>
      </c>
      <c r="BQ230" s="7"/>
      <c r="BR230" s="7"/>
      <c r="BS230" s="7" t="s">
        <v>52</v>
      </c>
      <c r="BT230" s="7" t="s">
        <v>53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/>
    </row>
    <row r="231" spans="1:78" x14ac:dyDescent="0.35">
      <c r="A231" s="7" t="s">
        <v>42</v>
      </c>
      <c r="B231" s="7"/>
      <c r="C231" s="7" t="s">
        <v>582</v>
      </c>
      <c r="D231" s="7" t="s">
        <v>583</v>
      </c>
      <c r="E231" s="7" t="s">
        <v>584</v>
      </c>
      <c r="F231" s="7" t="s">
        <v>513</v>
      </c>
      <c r="G231" s="7" t="s">
        <v>47</v>
      </c>
      <c r="H231" s="7"/>
      <c r="I231" s="7"/>
      <c r="J231" s="7" t="s">
        <v>498</v>
      </c>
      <c r="K231" s="7" t="s">
        <v>49</v>
      </c>
      <c r="L231" s="7" t="s">
        <v>49</v>
      </c>
      <c r="M231" s="7" t="s">
        <v>49</v>
      </c>
      <c r="N231" s="7" t="s">
        <v>261</v>
      </c>
      <c r="O231" s="7" t="s">
        <v>4</v>
      </c>
      <c r="P231" s="7">
        <v>4400000</v>
      </c>
      <c r="Q231" s="7">
        <v>4400000</v>
      </c>
      <c r="R231" s="7">
        <v>4400000</v>
      </c>
      <c r="S231" s="7">
        <v>4400000</v>
      </c>
      <c r="T231" s="7">
        <v>4400000</v>
      </c>
      <c r="U231" s="7">
        <v>4400000</v>
      </c>
      <c r="V231" s="7">
        <v>4400000</v>
      </c>
      <c r="W231" s="7">
        <v>4400000</v>
      </c>
      <c r="X231" s="7">
        <v>4400000</v>
      </c>
      <c r="Y231" s="7">
        <v>4400000</v>
      </c>
      <c r="Z231" s="7">
        <v>4400000</v>
      </c>
      <c r="AA231" s="7">
        <v>4400000</v>
      </c>
      <c r="AB231" s="9">
        <v>278.50569037763</v>
      </c>
      <c r="AC231" s="9">
        <v>278.50569037763</v>
      </c>
      <c r="AD231" s="9">
        <v>278.50569037763</v>
      </c>
      <c r="AE231" s="9">
        <v>278.50569037763</v>
      </c>
      <c r="AF231" s="9">
        <v>278.50569037763</v>
      </c>
      <c r="AG231" s="9">
        <v>278.50569037763</v>
      </c>
      <c r="AH231" s="9">
        <v>278.50569037763</v>
      </c>
      <c r="AI231" s="9">
        <v>278.50569037763</v>
      </c>
      <c r="AJ231" s="9">
        <v>278.50569037763</v>
      </c>
      <c r="AK231" s="9">
        <v>278.50569037763</v>
      </c>
      <c r="AL231" s="9">
        <v>278.50569037763</v>
      </c>
      <c r="AM231" s="9">
        <v>278.50569037763</v>
      </c>
      <c r="AN231" s="10">
        <v>0</v>
      </c>
      <c r="AO231" s="10">
        <v>0</v>
      </c>
      <c r="AP231" s="10">
        <v>0</v>
      </c>
      <c r="AQ231" s="10">
        <v>1</v>
      </c>
      <c r="AR231" s="10">
        <v>0</v>
      </c>
      <c r="AS231" s="10">
        <v>0</v>
      </c>
      <c r="AT231" s="10">
        <v>0</v>
      </c>
      <c r="AU231" s="10">
        <v>0</v>
      </c>
      <c r="AV231" s="10">
        <v>0</v>
      </c>
      <c r="AW231" s="10">
        <v>0</v>
      </c>
      <c r="AX231" s="10">
        <v>0</v>
      </c>
      <c r="AY231" s="10">
        <v>0</v>
      </c>
      <c r="AZ231" s="7">
        <f t="shared" si="12"/>
        <v>1</v>
      </c>
      <c r="BA231" s="11">
        <f t="shared" si="13"/>
        <v>8.3333333333333329E-2</v>
      </c>
      <c r="BC231" s="12">
        <v>0</v>
      </c>
      <c r="BD231" s="12">
        <v>0</v>
      </c>
      <c r="BE231" s="12">
        <v>0</v>
      </c>
      <c r="BF231" s="12">
        <v>278.50569037763</v>
      </c>
      <c r="BG231" s="12">
        <v>0</v>
      </c>
      <c r="BH231" s="12">
        <v>0</v>
      </c>
      <c r="BI231" s="12">
        <v>0</v>
      </c>
      <c r="BJ231" s="12">
        <v>0</v>
      </c>
      <c r="BK231" s="12">
        <v>0</v>
      </c>
      <c r="BL231" s="12">
        <v>0</v>
      </c>
      <c r="BM231" s="12">
        <v>0</v>
      </c>
      <c r="BN231" s="12">
        <v>0</v>
      </c>
      <c r="BO231" s="12">
        <f t="shared" si="14"/>
        <v>278.50569037763</v>
      </c>
      <c r="BP231" s="12">
        <f t="shared" si="15"/>
        <v>23.208807531469166</v>
      </c>
      <c r="BQ231" s="7"/>
      <c r="BR231" s="7"/>
      <c r="BS231" s="7" t="s">
        <v>52</v>
      </c>
      <c r="BT231" s="7" t="s">
        <v>53</v>
      </c>
      <c r="BU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/>
    </row>
    <row r="232" spans="1:78" x14ac:dyDescent="0.35">
      <c r="A232" s="7" t="s">
        <v>42</v>
      </c>
      <c r="B232" s="7"/>
      <c r="C232" s="7" t="s">
        <v>585</v>
      </c>
      <c r="D232" s="7" t="s">
        <v>586</v>
      </c>
      <c r="E232" s="7" t="s">
        <v>587</v>
      </c>
      <c r="F232" s="7" t="s">
        <v>509</v>
      </c>
      <c r="G232" s="7" t="s">
        <v>47</v>
      </c>
      <c r="H232" s="7"/>
      <c r="I232" s="7"/>
      <c r="J232" s="7" t="s">
        <v>498</v>
      </c>
      <c r="K232" s="7" t="s">
        <v>49</v>
      </c>
      <c r="L232" s="7" t="s">
        <v>49</v>
      </c>
      <c r="M232" s="7" t="s">
        <v>49</v>
      </c>
      <c r="N232" s="7" t="s">
        <v>261</v>
      </c>
      <c r="O232" s="7" t="s">
        <v>4</v>
      </c>
      <c r="P232" s="7">
        <v>3300000</v>
      </c>
      <c r="Q232" s="7">
        <v>3300000</v>
      </c>
      <c r="R232" s="7">
        <v>3300000</v>
      </c>
      <c r="S232" s="7">
        <v>3300000</v>
      </c>
      <c r="T232" s="7">
        <v>3300000</v>
      </c>
      <c r="U232" s="7">
        <v>3300000</v>
      </c>
      <c r="V232" s="7">
        <v>3300000</v>
      </c>
      <c r="W232" s="7">
        <v>3300000</v>
      </c>
      <c r="X232" s="7">
        <v>3300000</v>
      </c>
      <c r="Y232" s="7">
        <v>3300000</v>
      </c>
      <c r="Z232" s="7">
        <v>3300000</v>
      </c>
      <c r="AA232" s="7">
        <v>3300000</v>
      </c>
      <c r="AB232" s="9">
        <v>208.87926778322</v>
      </c>
      <c r="AC232" s="9">
        <v>208.87926778322</v>
      </c>
      <c r="AD232" s="9">
        <v>208.87926778322</v>
      </c>
      <c r="AE232" s="9">
        <v>208.87926778322</v>
      </c>
      <c r="AF232" s="9">
        <v>208.87926778322</v>
      </c>
      <c r="AG232" s="9">
        <v>208.87926778322</v>
      </c>
      <c r="AH232" s="9">
        <v>208.87926778322</v>
      </c>
      <c r="AI232" s="9">
        <v>208.87926778322</v>
      </c>
      <c r="AJ232" s="9">
        <v>208.87926778322</v>
      </c>
      <c r="AK232" s="9">
        <v>208.87926778322</v>
      </c>
      <c r="AL232" s="9">
        <v>208.87926778322</v>
      </c>
      <c r="AM232" s="9">
        <v>208.87926778322</v>
      </c>
      <c r="AN232" s="10">
        <v>2</v>
      </c>
      <c r="AO232" s="10">
        <v>2</v>
      </c>
      <c r="AP232" s="10">
        <v>0</v>
      </c>
      <c r="AQ232" s="10">
        <v>0</v>
      </c>
      <c r="AR232" s="10">
        <v>0</v>
      </c>
      <c r="AS232" s="10">
        <v>0</v>
      </c>
      <c r="AT232" s="10">
        <v>0</v>
      </c>
      <c r="AU232" s="10">
        <v>0</v>
      </c>
      <c r="AV232" s="10">
        <v>0</v>
      </c>
      <c r="AW232" s="10">
        <v>0</v>
      </c>
      <c r="AX232" s="10">
        <v>0</v>
      </c>
      <c r="AY232" s="10">
        <v>0</v>
      </c>
      <c r="AZ232" s="7">
        <f t="shared" si="12"/>
        <v>4</v>
      </c>
      <c r="BA232" s="11">
        <f t="shared" si="13"/>
        <v>0.33333333333333331</v>
      </c>
      <c r="BC232" s="12">
        <v>417.75853556644</v>
      </c>
      <c r="BD232" s="12">
        <v>417.75853556644</v>
      </c>
      <c r="BE232" s="12">
        <v>0</v>
      </c>
      <c r="BF232" s="12">
        <v>0</v>
      </c>
      <c r="BG232" s="12">
        <v>0</v>
      </c>
      <c r="BH232" s="12">
        <v>0</v>
      </c>
      <c r="BI232" s="12">
        <v>0</v>
      </c>
      <c r="BJ232" s="12">
        <v>0</v>
      </c>
      <c r="BK232" s="12">
        <v>0</v>
      </c>
      <c r="BL232" s="12">
        <v>0</v>
      </c>
      <c r="BM232" s="12">
        <v>0</v>
      </c>
      <c r="BN232" s="12">
        <v>0</v>
      </c>
      <c r="BO232" s="12">
        <f t="shared" si="14"/>
        <v>835.51707113288001</v>
      </c>
      <c r="BP232" s="12">
        <f t="shared" si="15"/>
        <v>69.626422594406662</v>
      </c>
      <c r="BQ232" s="7"/>
      <c r="BR232" s="7"/>
      <c r="BS232" s="7" t="s">
        <v>52</v>
      </c>
      <c r="BT232" s="7" t="s">
        <v>53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/>
    </row>
    <row r="233" spans="1:78" x14ac:dyDescent="0.35">
      <c r="A233" s="7" t="s">
        <v>42</v>
      </c>
      <c r="B233" s="7"/>
      <c r="C233" s="7" t="s">
        <v>588</v>
      </c>
      <c r="D233" s="7" t="s">
        <v>589</v>
      </c>
      <c r="E233" s="7" t="s">
        <v>590</v>
      </c>
      <c r="F233" s="7" t="s">
        <v>513</v>
      </c>
      <c r="G233" s="7" t="s">
        <v>47</v>
      </c>
      <c r="H233" s="7"/>
      <c r="I233" s="7"/>
      <c r="J233" s="7" t="s">
        <v>498</v>
      </c>
      <c r="K233" s="7" t="s">
        <v>49</v>
      </c>
      <c r="L233" s="7" t="s">
        <v>49</v>
      </c>
      <c r="M233" s="7" t="s">
        <v>49</v>
      </c>
      <c r="N233" s="7" t="s">
        <v>261</v>
      </c>
      <c r="O233" s="7" t="s">
        <v>4</v>
      </c>
      <c r="P233" s="7">
        <v>3410000</v>
      </c>
      <c r="Q233" s="7">
        <v>3410000</v>
      </c>
      <c r="R233" s="7">
        <v>3410000</v>
      </c>
      <c r="S233" s="7">
        <v>3410000</v>
      </c>
      <c r="T233" s="7">
        <v>3410000</v>
      </c>
      <c r="U233" s="7">
        <v>3410000</v>
      </c>
      <c r="V233" s="7">
        <v>3410000</v>
      </c>
      <c r="W233" s="7">
        <v>3410000</v>
      </c>
      <c r="X233" s="7">
        <v>3410000</v>
      </c>
      <c r="Y233" s="7">
        <v>3410000</v>
      </c>
      <c r="Z233" s="7">
        <v>3410000</v>
      </c>
      <c r="AA233" s="7">
        <v>3410000</v>
      </c>
      <c r="AB233" s="9">
        <v>215.84191004266</v>
      </c>
      <c r="AC233" s="9">
        <v>215.84191004266</v>
      </c>
      <c r="AD233" s="9">
        <v>215.84191004266</v>
      </c>
      <c r="AE233" s="9">
        <v>215.84191004266</v>
      </c>
      <c r="AF233" s="9">
        <v>215.84191004266</v>
      </c>
      <c r="AG233" s="9">
        <v>215.84191004266</v>
      </c>
      <c r="AH233" s="9">
        <v>215.84191004266</v>
      </c>
      <c r="AI233" s="9">
        <v>215.84191004266</v>
      </c>
      <c r="AJ233" s="9">
        <v>215.84191004266</v>
      </c>
      <c r="AK233" s="9">
        <v>215.84191004266</v>
      </c>
      <c r="AL233" s="9">
        <v>215.84191004266</v>
      </c>
      <c r="AM233" s="9">
        <v>215.84191004266</v>
      </c>
      <c r="AN233" s="10">
        <v>0</v>
      </c>
      <c r="AO233" s="10">
        <v>1</v>
      </c>
      <c r="AP233" s="10">
        <v>0</v>
      </c>
      <c r="AQ233" s="10">
        <v>1</v>
      </c>
      <c r="AR233" s="10">
        <v>0</v>
      </c>
      <c r="AS233" s="10">
        <v>0</v>
      </c>
      <c r="AT233" s="10">
        <v>0</v>
      </c>
      <c r="AU233" s="10">
        <v>0</v>
      </c>
      <c r="AV233" s="10">
        <v>0</v>
      </c>
      <c r="AW233" s="10">
        <v>0</v>
      </c>
      <c r="AX233" s="10">
        <v>0</v>
      </c>
      <c r="AY233" s="10">
        <v>0</v>
      </c>
      <c r="AZ233" s="7">
        <f t="shared" si="12"/>
        <v>2</v>
      </c>
      <c r="BA233" s="11">
        <f t="shared" si="13"/>
        <v>0.16666666666666666</v>
      </c>
      <c r="BC233" s="12">
        <v>0</v>
      </c>
      <c r="BD233" s="12">
        <v>215.84191004266</v>
      </c>
      <c r="BE233" s="12">
        <v>0</v>
      </c>
      <c r="BF233" s="12">
        <v>215.84191004266</v>
      </c>
      <c r="BG233" s="12">
        <v>0</v>
      </c>
      <c r="BH233" s="12">
        <v>0</v>
      </c>
      <c r="BI233" s="12">
        <v>0</v>
      </c>
      <c r="BJ233" s="12">
        <v>0</v>
      </c>
      <c r="BK233" s="12">
        <v>0</v>
      </c>
      <c r="BL233" s="12">
        <v>0</v>
      </c>
      <c r="BM233" s="12">
        <v>0</v>
      </c>
      <c r="BN233" s="12">
        <v>0</v>
      </c>
      <c r="BO233" s="12">
        <f t="shared" si="14"/>
        <v>431.68382008532001</v>
      </c>
      <c r="BP233" s="12">
        <f t="shared" si="15"/>
        <v>35.973651673776665</v>
      </c>
      <c r="BQ233" s="7"/>
      <c r="BR233" s="7"/>
      <c r="BS233" s="7" t="s">
        <v>52</v>
      </c>
      <c r="BT233" s="7" t="s">
        <v>53</v>
      </c>
      <c r="BU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/>
    </row>
    <row r="234" spans="1:78" x14ac:dyDescent="0.35">
      <c r="A234" s="7" t="s">
        <v>42</v>
      </c>
      <c r="B234" s="7"/>
      <c r="C234" s="7" t="s">
        <v>591</v>
      </c>
      <c r="D234" s="7" t="s">
        <v>592</v>
      </c>
      <c r="E234" s="7" t="s">
        <v>593</v>
      </c>
      <c r="F234" s="7" t="s">
        <v>513</v>
      </c>
      <c r="G234" s="7" t="s">
        <v>47</v>
      </c>
      <c r="H234" s="7"/>
      <c r="I234" s="7"/>
      <c r="J234" s="7" t="s">
        <v>498</v>
      </c>
      <c r="K234" s="7" t="s">
        <v>49</v>
      </c>
      <c r="L234" s="7" t="s">
        <v>49</v>
      </c>
      <c r="M234" s="7" t="s">
        <v>49</v>
      </c>
      <c r="N234" s="7" t="s">
        <v>50</v>
      </c>
      <c r="O234" s="7" t="s">
        <v>4</v>
      </c>
      <c r="P234" s="7">
        <v>440000</v>
      </c>
      <c r="Q234" s="7">
        <v>440000</v>
      </c>
      <c r="R234" s="7">
        <v>440000</v>
      </c>
      <c r="S234" s="7">
        <v>440000</v>
      </c>
      <c r="T234" s="7">
        <v>440000</v>
      </c>
      <c r="U234" s="7">
        <v>440000</v>
      </c>
      <c r="V234" s="7">
        <v>440000</v>
      </c>
      <c r="W234" s="7">
        <v>440000</v>
      </c>
      <c r="X234" s="7">
        <v>440000</v>
      </c>
      <c r="Y234" s="7">
        <v>440000</v>
      </c>
      <c r="Z234" s="7">
        <v>440000</v>
      </c>
      <c r="AA234" s="7">
        <v>440000</v>
      </c>
      <c r="AB234" s="9">
        <v>27.850569037763002</v>
      </c>
      <c r="AC234" s="9">
        <v>27.850569037763002</v>
      </c>
      <c r="AD234" s="9">
        <v>27.850569037763002</v>
      </c>
      <c r="AE234" s="9">
        <v>27.850569037763002</v>
      </c>
      <c r="AF234" s="9">
        <v>27.850569037763002</v>
      </c>
      <c r="AG234" s="9">
        <v>27.850569037763002</v>
      </c>
      <c r="AH234" s="9">
        <v>27.850569037763002</v>
      </c>
      <c r="AI234" s="9">
        <v>27.850569037763002</v>
      </c>
      <c r="AJ234" s="9">
        <v>27.850569037763002</v>
      </c>
      <c r="AK234" s="9">
        <v>27.850569037763002</v>
      </c>
      <c r="AL234" s="9">
        <v>27.850569037763002</v>
      </c>
      <c r="AM234" s="9">
        <v>27.850569037763002</v>
      </c>
      <c r="AN234" s="10">
        <v>0</v>
      </c>
      <c r="AO234" s="10">
        <v>2</v>
      </c>
      <c r="AP234" s="10">
        <v>0</v>
      </c>
      <c r="AQ234" s="10">
        <v>0</v>
      </c>
      <c r="AR234" s="10">
        <v>2</v>
      </c>
      <c r="AS234" s="10">
        <v>0</v>
      </c>
      <c r="AT234" s="10">
        <v>0</v>
      </c>
      <c r="AU234" s="10">
        <v>0</v>
      </c>
      <c r="AV234" s="10">
        <v>0</v>
      </c>
      <c r="AW234" s="10">
        <v>0</v>
      </c>
      <c r="AX234" s="10">
        <v>0</v>
      </c>
      <c r="AY234" s="10">
        <v>0</v>
      </c>
      <c r="AZ234" s="7">
        <f t="shared" si="12"/>
        <v>4</v>
      </c>
      <c r="BA234" s="11">
        <f t="shared" si="13"/>
        <v>0.33333333333333331</v>
      </c>
      <c r="BC234" s="12">
        <v>0</v>
      </c>
      <c r="BD234" s="12">
        <v>55.701138075526003</v>
      </c>
      <c r="BE234" s="12">
        <v>0</v>
      </c>
      <c r="BF234" s="12">
        <v>0</v>
      </c>
      <c r="BG234" s="12">
        <v>55.701138075526003</v>
      </c>
      <c r="BH234" s="12">
        <v>0</v>
      </c>
      <c r="BI234" s="12">
        <v>0</v>
      </c>
      <c r="BJ234" s="12">
        <v>0</v>
      </c>
      <c r="BK234" s="12">
        <v>0</v>
      </c>
      <c r="BL234" s="12">
        <v>0</v>
      </c>
      <c r="BM234" s="12">
        <v>0</v>
      </c>
      <c r="BN234" s="12">
        <v>0</v>
      </c>
      <c r="BO234" s="12">
        <f t="shared" si="14"/>
        <v>111.40227615105201</v>
      </c>
      <c r="BP234" s="12">
        <f t="shared" si="15"/>
        <v>9.2835230125876667</v>
      </c>
      <c r="BQ234" s="7"/>
      <c r="BR234" s="7"/>
      <c r="BS234" s="7" t="s">
        <v>52</v>
      </c>
      <c r="BT234" s="7" t="s">
        <v>53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/>
    </row>
    <row r="235" spans="1:78" x14ac:dyDescent="0.35">
      <c r="A235" s="7" t="s">
        <v>42</v>
      </c>
      <c r="B235" s="7"/>
      <c r="C235" s="7" t="s">
        <v>594</v>
      </c>
      <c r="D235" s="7" t="s">
        <v>595</v>
      </c>
      <c r="E235" s="7" t="s">
        <v>596</v>
      </c>
      <c r="F235" s="7" t="s">
        <v>513</v>
      </c>
      <c r="G235" s="7" t="s">
        <v>47</v>
      </c>
      <c r="H235" s="7"/>
      <c r="I235" s="7"/>
      <c r="J235" s="7" t="s">
        <v>498</v>
      </c>
      <c r="K235" s="7" t="s">
        <v>49</v>
      </c>
      <c r="L235" s="7" t="s">
        <v>49</v>
      </c>
      <c r="M235" s="7" t="s">
        <v>49</v>
      </c>
      <c r="N235" s="7" t="s">
        <v>50</v>
      </c>
      <c r="O235" s="7" t="s">
        <v>4</v>
      </c>
      <c r="P235" s="7">
        <v>935000</v>
      </c>
      <c r="Q235" s="7">
        <v>935000</v>
      </c>
      <c r="R235" s="7">
        <v>935000</v>
      </c>
      <c r="S235" s="7">
        <v>935000</v>
      </c>
      <c r="T235" s="7">
        <v>935000</v>
      </c>
      <c r="U235" s="7">
        <v>935000</v>
      </c>
      <c r="V235" s="7">
        <v>935000</v>
      </c>
      <c r="W235" s="7">
        <v>935000</v>
      </c>
      <c r="X235" s="7">
        <v>935000</v>
      </c>
      <c r="Y235" s="7">
        <v>935000</v>
      </c>
      <c r="Z235" s="7">
        <v>935000</v>
      </c>
      <c r="AA235" s="7">
        <v>935000</v>
      </c>
      <c r="AB235" s="9">
        <v>59.182459205245998</v>
      </c>
      <c r="AC235" s="9">
        <v>59.182459205245998</v>
      </c>
      <c r="AD235" s="9">
        <v>59.182459205245998</v>
      </c>
      <c r="AE235" s="9">
        <v>59.182459205245998</v>
      </c>
      <c r="AF235" s="9">
        <v>59.182459205245998</v>
      </c>
      <c r="AG235" s="9">
        <v>59.182459205245998</v>
      </c>
      <c r="AH235" s="9">
        <v>59.182459205245998</v>
      </c>
      <c r="AI235" s="9">
        <v>59.182459205245998</v>
      </c>
      <c r="AJ235" s="9">
        <v>59.182459205245998</v>
      </c>
      <c r="AK235" s="9">
        <v>59.182459205245998</v>
      </c>
      <c r="AL235" s="9">
        <v>59.182459205245998</v>
      </c>
      <c r="AM235" s="9">
        <v>59.182459205245998</v>
      </c>
      <c r="AN235" s="10">
        <v>0</v>
      </c>
      <c r="AO235" s="10">
        <v>1</v>
      </c>
      <c r="AP235" s="10">
        <v>0</v>
      </c>
      <c r="AQ235" s="10">
        <v>0</v>
      </c>
      <c r="AR235" s="10">
        <v>0</v>
      </c>
      <c r="AS235" s="10">
        <v>0</v>
      </c>
      <c r="AT235" s="10">
        <v>0</v>
      </c>
      <c r="AU235" s="10">
        <v>0</v>
      </c>
      <c r="AV235" s="10">
        <v>0</v>
      </c>
      <c r="AW235" s="10">
        <v>0</v>
      </c>
      <c r="AX235" s="10">
        <v>0</v>
      </c>
      <c r="AY235" s="10">
        <v>0</v>
      </c>
      <c r="AZ235" s="7">
        <f t="shared" si="12"/>
        <v>1</v>
      </c>
      <c r="BA235" s="11">
        <f t="shared" si="13"/>
        <v>8.3333333333333329E-2</v>
      </c>
      <c r="BC235" s="12">
        <v>0</v>
      </c>
      <c r="BD235" s="12">
        <v>59.182459205245998</v>
      </c>
      <c r="BE235" s="12">
        <v>0</v>
      </c>
      <c r="BF235" s="12">
        <v>0</v>
      </c>
      <c r="BG235" s="12">
        <v>0</v>
      </c>
      <c r="BH235" s="12">
        <v>0</v>
      </c>
      <c r="BI235" s="12">
        <v>0</v>
      </c>
      <c r="BJ235" s="12">
        <v>0</v>
      </c>
      <c r="BK235" s="12">
        <v>0</v>
      </c>
      <c r="BL235" s="12">
        <v>0</v>
      </c>
      <c r="BM235" s="12">
        <v>0</v>
      </c>
      <c r="BN235" s="12">
        <v>0</v>
      </c>
      <c r="BO235" s="12">
        <f t="shared" si="14"/>
        <v>59.182459205245998</v>
      </c>
      <c r="BP235" s="12">
        <f t="shared" si="15"/>
        <v>4.9318716004371668</v>
      </c>
      <c r="BQ235" s="7"/>
      <c r="BR235" s="7"/>
      <c r="BS235" s="7" t="s">
        <v>52</v>
      </c>
      <c r="BT235" s="7" t="s">
        <v>53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/>
    </row>
    <row r="236" spans="1:78" x14ac:dyDescent="0.35">
      <c r="A236" s="7" t="s">
        <v>42</v>
      </c>
      <c r="B236" s="7"/>
      <c r="C236" s="7" t="s">
        <v>597</v>
      </c>
      <c r="D236" s="7" t="s">
        <v>592</v>
      </c>
      <c r="E236" s="7" t="s">
        <v>598</v>
      </c>
      <c r="F236" s="7" t="s">
        <v>513</v>
      </c>
      <c r="G236" s="7" t="s">
        <v>47</v>
      </c>
      <c r="H236" s="7"/>
      <c r="I236" s="7"/>
      <c r="J236" s="7" t="s">
        <v>498</v>
      </c>
      <c r="K236" s="7" t="s">
        <v>49</v>
      </c>
      <c r="L236" s="7" t="s">
        <v>49</v>
      </c>
      <c r="M236" s="7" t="s">
        <v>49</v>
      </c>
      <c r="N236" s="7" t="s">
        <v>261</v>
      </c>
      <c r="O236" s="7" t="s">
        <v>4</v>
      </c>
      <c r="P236" s="7">
        <v>9350000</v>
      </c>
      <c r="Q236" s="7">
        <v>9350000</v>
      </c>
      <c r="R236" s="7">
        <v>9350000</v>
      </c>
      <c r="S236" s="7">
        <v>9350000</v>
      </c>
      <c r="T236" s="7">
        <v>9350000</v>
      </c>
      <c r="U236" s="7">
        <v>9350000</v>
      </c>
      <c r="V236" s="7">
        <v>9350000</v>
      </c>
      <c r="W236" s="7">
        <v>9350000</v>
      </c>
      <c r="X236" s="7">
        <v>9350000</v>
      </c>
      <c r="Y236" s="7">
        <v>9350000</v>
      </c>
      <c r="Z236" s="7">
        <v>9350000</v>
      </c>
      <c r="AA236" s="7">
        <v>9350000</v>
      </c>
      <c r="AB236" s="9">
        <v>591.82459205246005</v>
      </c>
      <c r="AC236" s="9">
        <v>591.82459205246005</v>
      </c>
      <c r="AD236" s="9">
        <v>591.82459205246005</v>
      </c>
      <c r="AE236" s="9">
        <v>591.82459205246005</v>
      </c>
      <c r="AF236" s="9">
        <v>591.82459205246005</v>
      </c>
      <c r="AG236" s="9">
        <v>591.82459205246005</v>
      </c>
      <c r="AH236" s="9">
        <v>591.82459205246005</v>
      </c>
      <c r="AI236" s="9">
        <v>591.82459205246005</v>
      </c>
      <c r="AJ236" s="9">
        <v>591.82459205246005</v>
      </c>
      <c r="AK236" s="9">
        <v>591.82459205246005</v>
      </c>
      <c r="AL236" s="9">
        <v>591.82459205246005</v>
      </c>
      <c r="AM236" s="9">
        <v>591.82459205246005</v>
      </c>
      <c r="AN236" s="10">
        <v>0</v>
      </c>
      <c r="AO236" s="10">
        <v>1</v>
      </c>
      <c r="AP236" s="10">
        <v>0</v>
      </c>
      <c r="AQ236" s="10">
        <v>0</v>
      </c>
      <c r="AR236" s="10">
        <v>0</v>
      </c>
      <c r="AS236" s="10">
        <v>0</v>
      </c>
      <c r="AT236" s="10">
        <v>0</v>
      </c>
      <c r="AU236" s="10">
        <v>0</v>
      </c>
      <c r="AV236" s="10">
        <v>0</v>
      </c>
      <c r="AW236" s="10">
        <v>0</v>
      </c>
      <c r="AX236" s="10">
        <v>0</v>
      </c>
      <c r="AY236" s="10">
        <v>0</v>
      </c>
      <c r="AZ236" s="7">
        <f t="shared" si="12"/>
        <v>1</v>
      </c>
      <c r="BA236" s="11">
        <f t="shared" si="13"/>
        <v>8.3333333333333329E-2</v>
      </c>
      <c r="BC236" s="12">
        <v>0</v>
      </c>
      <c r="BD236" s="12">
        <v>591.82459205246005</v>
      </c>
      <c r="BE236" s="12">
        <v>0</v>
      </c>
      <c r="BF236" s="12">
        <v>0</v>
      </c>
      <c r="BG236" s="12">
        <v>0</v>
      </c>
      <c r="BH236" s="12">
        <v>0</v>
      </c>
      <c r="BI236" s="12">
        <v>0</v>
      </c>
      <c r="BJ236" s="12">
        <v>0</v>
      </c>
      <c r="BK236" s="12">
        <v>0</v>
      </c>
      <c r="BL236" s="12">
        <v>0</v>
      </c>
      <c r="BM236" s="12">
        <v>0</v>
      </c>
      <c r="BN236" s="12">
        <v>0</v>
      </c>
      <c r="BO236" s="12">
        <f t="shared" si="14"/>
        <v>591.82459205246005</v>
      </c>
      <c r="BP236" s="12">
        <f t="shared" si="15"/>
        <v>49.318716004371673</v>
      </c>
      <c r="BQ236" s="7"/>
      <c r="BR236" s="7"/>
      <c r="BS236" s="7" t="s">
        <v>52</v>
      </c>
      <c r="BT236" s="7" t="s">
        <v>53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/>
    </row>
    <row r="237" spans="1:78" x14ac:dyDescent="0.35">
      <c r="A237" s="7" t="s">
        <v>42</v>
      </c>
      <c r="B237" s="7"/>
      <c r="C237" s="7" t="s">
        <v>599</v>
      </c>
      <c r="D237" s="7" t="s">
        <v>600</v>
      </c>
      <c r="E237" s="7" t="s">
        <v>601</v>
      </c>
      <c r="F237" s="7" t="s">
        <v>513</v>
      </c>
      <c r="G237" s="7" t="s">
        <v>47</v>
      </c>
      <c r="H237" s="7"/>
      <c r="I237" s="7"/>
      <c r="J237" s="7" t="s">
        <v>498</v>
      </c>
      <c r="K237" s="7" t="s">
        <v>49</v>
      </c>
      <c r="L237" s="7" t="s">
        <v>49</v>
      </c>
      <c r="M237" s="7" t="s">
        <v>49</v>
      </c>
      <c r="N237" s="7" t="s">
        <v>50</v>
      </c>
      <c r="O237" s="7" t="s">
        <v>4</v>
      </c>
      <c r="P237" s="7">
        <v>2200000</v>
      </c>
      <c r="Q237" s="7">
        <v>2200000</v>
      </c>
      <c r="R237" s="7">
        <v>2200000</v>
      </c>
      <c r="S237" s="7">
        <v>2200000</v>
      </c>
      <c r="T237" s="7">
        <v>2200000</v>
      </c>
      <c r="U237" s="7">
        <v>2200000</v>
      </c>
      <c r="V237" s="7">
        <v>2200000</v>
      </c>
      <c r="W237" s="7">
        <v>2200000</v>
      </c>
      <c r="X237" s="7">
        <v>2200000</v>
      </c>
      <c r="Y237" s="7">
        <v>2200000</v>
      </c>
      <c r="Z237" s="7">
        <v>2200000</v>
      </c>
      <c r="AA237" s="7">
        <v>2200000</v>
      </c>
      <c r="AB237" s="9">
        <v>139.25284518881</v>
      </c>
      <c r="AC237" s="9">
        <v>139.25284518881</v>
      </c>
      <c r="AD237" s="9">
        <v>139.25284518881</v>
      </c>
      <c r="AE237" s="9">
        <v>139.25284518881</v>
      </c>
      <c r="AF237" s="9">
        <v>139.25284518881</v>
      </c>
      <c r="AG237" s="9">
        <v>139.25284518881</v>
      </c>
      <c r="AH237" s="9">
        <v>139.25284518881</v>
      </c>
      <c r="AI237" s="9">
        <v>139.25284518881</v>
      </c>
      <c r="AJ237" s="9">
        <v>139.25284518881</v>
      </c>
      <c r="AK237" s="9">
        <v>139.25284518881</v>
      </c>
      <c r="AL237" s="9">
        <v>139.25284518881</v>
      </c>
      <c r="AM237" s="9">
        <v>139.25284518881</v>
      </c>
      <c r="AN237" s="10">
        <v>0</v>
      </c>
      <c r="AO237" s="10">
        <v>0</v>
      </c>
      <c r="AP237" s="10">
        <v>2</v>
      </c>
      <c r="AQ237" s="10">
        <v>0</v>
      </c>
      <c r="AR237" s="10">
        <v>0</v>
      </c>
      <c r="AS237" s="10">
        <v>2</v>
      </c>
      <c r="AT237" s="10">
        <v>0</v>
      </c>
      <c r="AU237" s="10">
        <v>0</v>
      </c>
      <c r="AV237" s="10">
        <v>0</v>
      </c>
      <c r="AW237" s="10">
        <v>0</v>
      </c>
      <c r="AX237" s="10">
        <v>0</v>
      </c>
      <c r="AY237" s="10">
        <v>0</v>
      </c>
      <c r="AZ237" s="7">
        <f t="shared" si="12"/>
        <v>4</v>
      </c>
      <c r="BA237" s="11">
        <f t="shared" si="13"/>
        <v>0.33333333333333331</v>
      </c>
      <c r="BC237" s="12">
        <v>0</v>
      </c>
      <c r="BD237" s="12">
        <v>0</v>
      </c>
      <c r="BE237" s="12">
        <v>278.50569037763</v>
      </c>
      <c r="BF237" s="12">
        <v>0</v>
      </c>
      <c r="BG237" s="12">
        <v>0</v>
      </c>
      <c r="BH237" s="12">
        <v>278.50569037763</v>
      </c>
      <c r="BI237" s="12">
        <v>0</v>
      </c>
      <c r="BJ237" s="12">
        <v>0</v>
      </c>
      <c r="BK237" s="12">
        <v>0</v>
      </c>
      <c r="BL237" s="12">
        <v>0</v>
      </c>
      <c r="BM237" s="12">
        <v>0</v>
      </c>
      <c r="BN237" s="12">
        <v>0</v>
      </c>
      <c r="BO237" s="12">
        <f t="shared" si="14"/>
        <v>557.01138075526001</v>
      </c>
      <c r="BP237" s="12">
        <f t="shared" si="15"/>
        <v>46.417615062938332</v>
      </c>
      <c r="BQ237" s="7"/>
      <c r="BR237" s="7"/>
      <c r="BS237" s="7" t="s">
        <v>52</v>
      </c>
      <c r="BT237" s="7" t="s">
        <v>53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/>
    </row>
    <row r="238" spans="1:78" x14ac:dyDescent="0.35">
      <c r="A238" s="7" t="s">
        <v>42</v>
      </c>
      <c r="B238" s="7"/>
      <c r="C238" s="7" t="s">
        <v>602</v>
      </c>
      <c r="D238" s="7" t="s">
        <v>600</v>
      </c>
      <c r="E238" s="7" t="s">
        <v>603</v>
      </c>
      <c r="F238" s="7" t="s">
        <v>513</v>
      </c>
      <c r="G238" s="7" t="s">
        <v>47</v>
      </c>
      <c r="H238" s="7"/>
      <c r="I238" s="7"/>
      <c r="J238" s="7" t="s">
        <v>498</v>
      </c>
      <c r="K238" s="7" t="s">
        <v>49</v>
      </c>
      <c r="L238" s="7" t="s">
        <v>49</v>
      </c>
      <c r="M238" s="7" t="s">
        <v>49</v>
      </c>
      <c r="N238" s="7" t="s">
        <v>50</v>
      </c>
      <c r="O238" s="7" t="s">
        <v>4</v>
      </c>
      <c r="P238" s="7">
        <v>2200000</v>
      </c>
      <c r="Q238" s="7">
        <v>2200000</v>
      </c>
      <c r="R238" s="7">
        <v>2200000</v>
      </c>
      <c r="S238" s="7">
        <v>2200000</v>
      </c>
      <c r="T238" s="7">
        <v>2200000</v>
      </c>
      <c r="U238" s="7">
        <v>2200000</v>
      </c>
      <c r="V238" s="7">
        <v>2200000</v>
      </c>
      <c r="W238" s="7">
        <v>2200000</v>
      </c>
      <c r="X238" s="7">
        <v>2200000</v>
      </c>
      <c r="Y238" s="7">
        <v>2200000</v>
      </c>
      <c r="Z238" s="7">
        <v>2200000</v>
      </c>
      <c r="AA238" s="7">
        <v>2200000</v>
      </c>
      <c r="AB238" s="9">
        <v>139.25284518881</v>
      </c>
      <c r="AC238" s="9">
        <v>139.25284518881</v>
      </c>
      <c r="AD238" s="9">
        <v>139.25284518881</v>
      </c>
      <c r="AE238" s="9">
        <v>139.25284518881</v>
      </c>
      <c r="AF238" s="9">
        <v>139.25284518881</v>
      </c>
      <c r="AG238" s="9">
        <v>139.25284518881</v>
      </c>
      <c r="AH238" s="9">
        <v>139.25284518881</v>
      </c>
      <c r="AI238" s="9">
        <v>139.25284518881</v>
      </c>
      <c r="AJ238" s="9">
        <v>139.25284518881</v>
      </c>
      <c r="AK238" s="9">
        <v>139.25284518881</v>
      </c>
      <c r="AL238" s="9">
        <v>139.25284518881</v>
      </c>
      <c r="AM238" s="9">
        <v>139.25284518881</v>
      </c>
      <c r="AN238" s="10">
        <v>0</v>
      </c>
      <c r="AO238" s="10">
        <v>0</v>
      </c>
      <c r="AP238" s="10">
        <v>2</v>
      </c>
      <c r="AQ238" s="10">
        <v>0</v>
      </c>
      <c r="AR238" s="10">
        <v>0</v>
      </c>
      <c r="AS238" s="10">
        <v>0</v>
      </c>
      <c r="AT238" s="10">
        <v>0</v>
      </c>
      <c r="AU238" s="10">
        <v>0</v>
      </c>
      <c r="AV238" s="10">
        <v>0</v>
      </c>
      <c r="AW238" s="10">
        <v>0</v>
      </c>
      <c r="AX238" s="10">
        <v>0</v>
      </c>
      <c r="AY238" s="10">
        <v>0</v>
      </c>
      <c r="AZ238" s="7">
        <f t="shared" si="12"/>
        <v>2</v>
      </c>
      <c r="BA238" s="11">
        <f t="shared" si="13"/>
        <v>0.16666666666666666</v>
      </c>
      <c r="BC238" s="12">
        <v>0</v>
      </c>
      <c r="BD238" s="12">
        <v>0</v>
      </c>
      <c r="BE238" s="12">
        <v>278.50569037763</v>
      </c>
      <c r="BF238" s="12">
        <v>0</v>
      </c>
      <c r="BG238" s="12">
        <v>0</v>
      </c>
      <c r="BH238" s="12">
        <v>0</v>
      </c>
      <c r="BI238" s="12">
        <v>0</v>
      </c>
      <c r="BJ238" s="12">
        <v>0</v>
      </c>
      <c r="BK238" s="12">
        <v>0</v>
      </c>
      <c r="BL238" s="12">
        <v>0</v>
      </c>
      <c r="BM238" s="12">
        <v>0</v>
      </c>
      <c r="BN238" s="12">
        <v>0</v>
      </c>
      <c r="BO238" s="12">
        <f t="shared" si="14"/>
        <v>278.50569037763</v>
      </c>
      <c r="BP238" s="12">
        <f t="shared" si="15"/>
        <v>23.208807531469166</v>
      </c>
      <c r="BQ238" s="7"/>
      <c r="BR238" s="7"/>
      <c r="BS238" s="7" t="s">
        <v>52</v>
      </c>
      <c r="BT238" s="7" t="s">
        <v>53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/>
    </row>
    <row r="239" spans="1:78" x14ac:dyDescent="0.35">
      <c r="A239" s="7" t="s">
        <v>42</v>
      </c>
      <c r="B239" s="7"/>
      <c r="C239" s="7" t="s">
        <v>604</v>
      </c>
      <c r="D239" s="7" t="s">
        <v>600</v>
      </c>
      <c r="E239" s="7" t="s">
        <v>605</v>
      </c>
      <c r="F239" s="7" t="s">
        <v>513</v>
      </c>
      <c r="G239" s="7" t="s">
        <v>47</v>
      </c>
      <c r="H239" s="7"/>
      <c r="I239" s="7"/>
      <c r="J239" s="7" t="s">
        <v>498</v>
      </c>
      <c r="K239" s="7" t="s">
        <v>49</v>
      </c>
      <c r="L239" s="7" t="s">
        <v>49</v>
      </c>
      <c r="M239" s="7" t="s">
        <v>49</v>
      </c>
      <c r="N239" s="7" t="s">
        <v>50</v>
      </c>
      <c r="O239" s="7" t="s">
        <v>4</v>
      </c>
      <c r="P239" s="7">
        <v>1100000</v>
      </c>
      <c r="Q239" s="7">
        <v>1100000</v>
      </c>
      <c r="R239" s="7">
        <v>1100000</v>
      </c>
      <c r="S239" s="7">
        <v>1100000</v>
      </c>
      <c r="T239" s="7">
        <v>1100000</v>
      </c>
      <c r="U239" s="7">
        <v>1100000</v>
      </c>
      <c r="V239" s="7">
        <v>1100000</v>
      </c>
      <c r="W239" s="7">
        <v>1100000</v>
      </c>
      <c r="X239" s="7">
        <v>1100000</v>
      </c>
      <c r="Y239" s="7">
        <v>1100000</v>
      </c>
      <c r="Z239" s="7">
        <v>1100000</v>
      </c>
      <c r="AA239" s="7">
        <v>1100000</v>
      </c>
      <c r="AB239" s="9">
        <v>69.626422594407003</v>
      </c>
      <c r="AC239" s="9">
        <v>69.626422594407003</v>
      </c>
      <c r="AD239" s="9">
        <v>69.626422594407003</v>
      </c>
      <c r="AE239" s="9">
        <v>69.626422594407003</v>
      </c>
      <c r="AF239" s="9">
        <v>69.626422594407003</v>
      </c>
      <c r="AG239" s="9">
        <v>69.626422594407003</v>
      </c>
      <c r="AH239" s="9">
        <v>69.626422594407003</v>
      </c>
      <c r="AI239" s="9">
        <v>69.626422594407003</v>
      </c>
      <c r="AJ239" s="9">
        <v>69.626422594407003</v>
      </c>
      <c r="AK239" s="9">
        <v>69.626422594407003</v>
      </c>
      <c r="AL239" s="9">
        <v>69.626422594407003</v>
      </c>
      <c r="AM239" s="9">
        <v>69.626422594407003</v>
      </c>
      <c r="AN239" s="10">
        <v>0</v>
      </c>
      <c r="AO239" s="10">
        <v>0</v>
      </c>
      <c r="AP239" s="10">
        <v>1</v>
      </c>
      <c r="AQ239" s="10">
        <v>0</v>
      </c>
      <c r="AR239" s="10">
        <v>1</v>
      </c>
      <c r="AS239" s="10">
        <v>0</v>
      </c>
      <c r="AT239" s="10">
        <v>0</v>
      </c>
      <c r="AU239" s="10">
        <v>0</v>
      </c>
      <c r="AV239" s="10">
        <v>0</v>
      </c>
      <c r="AW239" s="10">
        <v>0</v>
      </c>
      <c r="AX239" s="10">
        <v>0</v>
      </c>
      <c r="AY239" s="10">
        <v>0</v>
      </c>
      <c r="AZ239" s="7">
        <f t="shared" si="12"/>
        <v>2</v>
      </c>
      <c r="BA239" s="11">
        <f t="shared" si="13"/>
        <v>0.16666666666666666</v>
      </c>
      <c r="BC239" s="12">
        <v>0</v>
      </c>
      <c r="BD239" s="12">
        <v>0</v>
      </c>
      <c r="BE239" s="12">
        <v>69.626422594407003</v>
      </c>
      <c r="BF239" s="12">
        <v>0</v>
      </c>
      <c r="BG239" s="12">
        <v>69.626422594407003</v>
      </c>
      <c r="BH239" s="12">
        <v>0</v>
      </c>
      <c r="BI239" s="12">
        <v>0</v>
      </c>
      <c r="BJ239" s="12">
        <v>0</v>
      </c>
      <c r="BK239" s="12">
        <v>0</v>
      </c>
      <c r="BL239" s="12">
        <v>0</v>
      </c>
      <c r="BM239" s="12">
        <v>0</v>
      </c>
      <c r="BN239" s="12">
        <v>0</v>
      </c>
      <c r="BO239" s="12">
        <f t="shared" si="14"/>
        <v>139.25284518881401</v>
      </c>
      <c r="BP239" s="12">
        <f t="shared" si="15"/>
        <v>11.604403765734501</v>
      </c>
      <c r="BQ239" s="7"/>
      <c r="BR239" s="7"/>
      <c r="BS239" s="7" t="s">
        <v>52</v>
      </c>
      <c r="BT239" s="7" t="s">
        <v>53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/>
    </row>
    <row r="240" spans="1:78" x14ac:dyDescent="0.35">
      <c r="A240" s="7" t="s">
        <v>42</v>
      </c>
      <c r="B240" s="7"/>
      <c r="C240" s="7" t="s">
        <v>606</v>
      </c>
      <c r="D240" s="7" t="s">
        <v>607</v>
      </c>
      <c r="E240" s="7" t="s">
        <v>608</v>
      </c>
      <c r="F240" s="7" t="s">
        <v>513</v>
      </c>
      <c r="G240" s="7" t="s">
        <v>47</v>
      </c>
      <c r="H240" s="7"/>
      <c r="I240" s="7"/>
      <c r="J240" s="7" t="s">
        <v>498</v>
      </c>
      <c r="K240" s="7" t="s">
        <v>49</v>
      </c>
      <c r="L240" s="7" t="s">
        <v>49</v>
      </c>
      <c r="M240" s="7" t="s">
        <v>49</v>
      </c>
      <c r="N240" s="7" t="s">
        <v>50</v>
      </c>
      <c r="O240" s="7" t="s">
        <v>4</v>
      </c>
      <c r="P240" s="7">
        <v>660000</v>
      </c>
      <c r="Q240" s="7">
        <v>660000</v>
      </c>
      <c r="R240" s="7">
        <v>660000</v>
      </c>
      <c r="S240" s="7">
        <v>660000</v>
      </c>
      <c r="T240" s="7">
        <v>660000</v>
      </c>
      <c r="U240" s="7">
        <v>660000</v>
      </c>
      <c r="V240" s="7">
        <v>660000</v>
      </c>
      <c r="W240" s="7">
        <v>660000</v>
      </c>
      <c r="X240" s="7">
        <v>660000</v>
      </c>
      <c r="Y240" s="7">
        <v>660000</v>
      </c>
      <c r="Z240" s="7">
        <v>660000</v>
      </c>
      <c r="AA240" s="7">
        <v>660000</v>
      </c>
      <c r="AB240" s="9">
        <v>41.775853556644002</v>
      </c>
      <c r="AC240" s="9">
        <v>41.775853556644002</v>
      </c>
      <c r="AD240" s="9">
        <v>41.775853556644002</v>
      </c>
      <c r="AE240" s="9">
        <v>41.775853556644002</v>
      </c>
      <c r="AF240" s="9">
        <v>41.775853556644002</v>
      </c>
      <c r="AG240" s="9">
        <v>41.775853556644002</v>
      </c>
      <c r="AH240" s="9">
        <v>41.775853556644002</v>
      </c>
      <c r="AI240" s="9">
        <v>41.775853556644002</v>
      </c>
      <c r="AJ240" s="9">
        <v>41.775853556644002</v>
      </c>
      <c r="AK240" s="9">
        <v>41.775853556644002</v>
      </c>
      <c r="AL240" s="9">
        <v>41.775853556644002</v>
      </c>
      <c r="AM240" s="9">
        <v>41.775853556644002</v>
      </c>
      <c r="AN240" s="10">
        <v>0</v>
      </c>
      <c r="AO240" s="10">
        <v>1</v>
      </c>
      <c r="AP240" s="10">
        <v>1</v>
      </c>
      <c r="AQ240" s="10">
        <v>1</v>
      </c>
      <c r="AR240" s="10">
        <v>0</v>
      </c>
      <c r="AS240" s="10">
        <v>0</v>
      </c>
      <c r="AT240" s="10">
        <v>0</v>
      </c>
      <c r="AU240" s="10">
        <v>0</v>
      </c>
      <c r="AV240" s="10">
        <v>0</v>
      </c>
      <c r="AW240" s="10">
        <v>0</v>
      </c>
      <c r="AX240" s="10">
        <v>0</v>
      </c>
      <c r="AY240" s="10">
        <v>0</v>
      </c>
      <c r="AZ240" s="7">
        <f t="shared" si="12"/>
        <v>3</v>
      </c>
      <c r="BA240" s="11">
        <f t="shared" si="13"/>
        <v>0.25</v>
      </c>
      <c r="BC240" s="12">
        <v>0</v>
      </c>
      <c r="BD240" s="12">
        <v>41.775853556644002</v>
      </c>
      <c r="BE240" s="12">
        <v>41.775853556644002</v>
      </c>
      <c r="BF240" s="12">
        <v>41.775853556644002</v>
      </c>
      <c r="BG240" s="12">
        <v>0</v>
      </c>
      <c r="BH240" s="12">
        <v>0</v>
      </c>
      <c r="BI240" s="12">
        <v>0</v>
      </c>
      <c r="BJ240" s="12">
        <v>0</v>
      </c>
      <c r="BK240" s="12">
        <v>0</v>
      </c>
      <c r="BL240" s="12">
        <v>0</v>
      </c>
      <c r="BM240" s="12">
        <v>0</v>
      </c>
      <c r="BN240" s="12">
        <v>0</v>
      </c>
      <c r="BO240" s="12">
        <f t="shared" si="14"/>
        <v>125.32756066993201</v>
      </c>
      <c r="BP240" s="12">
        <f t="shared" si="15"/>
        <v>10.443963389161</v>
      </c>
      <c r="BQ240" s="7"/>
      <c r="BR240" s="7"/>
      <c r="BS240" s="7" t="s">
        <v>52</v>
      </c>
      <c r="BT240" s="7" t="s">
        <v>53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/>
    </row>
    <row r="241" spans="1:78" x14ac:dyDescent="0.35">
      <c r="A241" s="7" t="s">
        <v>42</v>
      </c>
      <c r="B241" s="7"/>
      <c r="C241" s="7" t="s">
        <v>609</v>
      </c>
      <c r="D241" s="7" t="s">
        <v>610</v>
      </c>
      <c r="E241" s="7" t="s">
        <v>611</v>
      </c>
      <c r="F241" s="7" t="s">
        <v>561</v>
      </c>
      <c r="G241" s="7" t="s">
        <v>47</v>
      </c>
      <c r="H241" s="7"/>
      <c r="I241" s="7"/>
      <c r="J241" s="7" t="s">
        <v>498</v>
      </c>
      <c r="K241" s="7" t="s">
        <v>49</v>
      </c>
      <c r="L241" s="7" t="s">
        <v>49</v>
      </c>
      <c r="M241" s="7" t="s">
        <v>49</v>
      </c>
      <c r="N241" s="7" t="s">
        <v>261</v>
      </c>
      <c r="O241" s="7" t="s">
        <v>4</v>
      </c>
      <c r="P241" s="7">
        <v>1100000</v>
      </c>
      <c r="Q241" s="7">
        <v>1100000</v>
      </c>
      <c r="R241" s="7">
        <v>1100000</v>
      </c>
      <c r="S241" s="7">
        <v>1100000</v>
      </c>
      <c r="T241" s="7">
        <v>1100000</v>
      </c>
      <c r="U241" s="7">
        <v>1100000</v>
      </c>
      <c r="V241" s="7">
        <v>1100000</v>
      </c>
      <c r="W241" s="7">
        <v>1100000</v>
      </c>
      <c r="X241" s="7">
        <v>1100000</v>
      </c>
      <c r="Y241" s="7">
        <v>1100000</v>
      </c>
      <c r="Z241" s="7">
        <v>1100000</v>
      </c>
      <c r="AA241" s="7">
        <v>1100000</v>
      </c>
      <c r="AB241" s="9">
        <v>69.626422594407003</v>
      </c>
      <c r="AC241" s="9">
        <v>69.626422594407003</v>
      </c>
      <c r="AD241" s="9">
        <v>69.626422594407003</v>
      </c>
      <c r="AE241" s="9">
        <v>69.626422594407003</v>
      </c>
      <c r="AF241" s="9">
        <v>69.626422594407003</v>
      </c>
      <c r="AG241" s="9">
        <v>69.626422594407003</v>
      </c>
      <c r="AH241" s="9">
        <v>69.626422594407003</v>
      </c>
      <c r="AI241" s="9">
        <v>69.626422594407003</v>
      </c>
      <c r="AJ241" s="9">
        <v>69.626422594407003</v>
      </c>
      <c r="AK241" s="9">
        <v>69.626422594407003</v>
      </c>
      <c r="AL241" s="9">
        <v>69.626422594407003</v>
      </c>
      <c r="AM241" s="9">
        <v>69.626422594407003</v>
      </c>
      <c r="AN241" s="10">
        <v>0</v>
      </c>
      <c r="AO241" s="10">
        <v>3</v>
      </c>
      <c r="AP241" s="10">
        <v>0</v>
      </c>
      <c r="AQ241" s="10">
        <v>0</v>
      </c>
      <c r="AR241" s="10">
        <v>0</v>
      </c>
      <c r="AS241" s="10">
        <v>0</v>
      </c>
      <c r="AT241" s="10">
        <v>0</v>
      </c>
      <c r="AU241" s="10">
        <v>0</v>
      </c>
      <c r="AV241" s="10">
        <v>0</v>
      </c>
      <c r="AW241" s="10">
        <v>0</v>
      </c>
      <c r="AX241" s="10">
        <v>0</v>
      </c>
      <c r="AY241" s="10">
        <v>0</v>
      </c>
      <c r="AZ241" s="7">
        <f t="shared" si="12"/>
        <v>3</v>
      </c>
      <c r="BA241" s="11">
        <f t="shared" si="13"/>
        <v>0.25</v>
      </c>
      <c r="BC241" s="12">
        <v>0</v>
      </c>
      <c r="BD241" s="12">
        <v>208.87926778322</v>
      </c>
      <c r="BE241" s="12">
        <v>0</v>
      </c>
      <c r="BF241" s="12">
        <v>0</v>
      </c>
      <c r="BG241" s="12">
        <v>0</v>
      </c>
      <c r="BH241" s="12">
        <v>0</v>
      </c>
      <c r="BI241" s="12">
        <v>0</v>
      </c>
      <c r="BJ241" s="12">
        <v>0</v>
      </c>
      <c r="BK241" s="12">
        <v>0</v>
      </c>
      <c r="BL241" s="12">
        <v>0</v>
      </c>
      <c r="BM241" s="12">
        <v>0</v>
      </c>
      <c r="BN241" s="12">
        <v>0</v>
      </c>
      <c r="BO241" s="12">
        <f t="shared" si="14"/>
        <v>208.87926778322</v>
      </c>
      <c r="BP241" s="12">
        <f t="shared" si="15"/>
        <v>17.406605648601666</v>
      </c>
      <c r="BQ241" s="7"/>
      <c r="BR241" s="7"/>
      <c r="BS241" s="7" t="s">
        <v>52</v>
      </c>
      <c r="BT241" s="7" t="s">
        <v>53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/>
    </row>
    <row r="242" spans="1:78" x14ac:dyDescent="0.35">
      <c r="A242" s="7" t="s">
        <v>42</v>
      </c>
      <c r="B242" s="7"/>
      <c r="C242" s="7" t="s">
        <v>612</v>
      </c>
      <c r="D242" s="7" t="s">
        <v>600</v>
      </c>
      <c r="E242" s="7" t="s">
        <v>613</v>
      </c>
      <c r="F242" s="7" t="s">
        <v>513</v>
      </c>
      <c r="G242" s="7" t="s">
        <v>47</v>
      </c>
      <c r="H242" s="7"/>
      <c r="I242" s="7"/>
      <c r="J242" s="7" t="s">
        <v>498</v>
      </c>
      <c r="K242" s="7" t="s">
        <v>49</v>
      </c>
      <c r="L242" s="7" t="s">
        <v>49</v>
      </c>
      <c r="M242" s="7" t="s">
        <v>49</v>
      </c>
      <c r="N242" s="7" t="s">
        <v>50</v>
      </c>
      <c r="O242" s="7" t="s">
        <v>4</v>
      </c>
      <c r="P242" s="7">
        <v>1100000</v>
      </c>
      <c r="Q242" s="7">
        <v>1100000</v>
      </c>
      <c r="R242" s="7">
        <v>1100000</v>
      </c>
      <c r="S242" s="7">
        <v>1100000</v>
      </c>
      <c r="T242" s="7">
        <v>1100000</v>
      </c>
      <c r="U242" s="7">
        <v>1100000</v>
      </c>
      <c r="V242" s="7">
        <v>1100000</v>
      </c>
      <c r="W242" s="7">
        <v>1100000</v>
      </c>
      <c r="X242" s="7">
        <v>1100000</v>
      </c>
      <c r="Y242" s="7">
        <v>1100000</v>
      </c>
      <c r="Z242" s="7">
        <v>1100000</v>
      </c>
      <c r="AA242" s="7">
        <v>1100000</v>
      </c>
      <c r="AB242" s="9">
        <v>69.626422594407003</v>
      </c>
      <c r="AC242" s="9">
        <v>69.626422594407003</v>
      </c>
      <c r="AD242" s="9">
        <v>69.626422594407003</v>
      </c>
      <c r="AE242" s="9">
        <v>69.626422594407003</v>
      </c>
      <c r="AF242" s="9">
        <v>69.626422594407003</v>
      </c>
      <c r="AG242" s="9">
        <v>69.626422594407003</v>
      </c>
      <c r="AH242" s="9">
        <v>69.626422594407003</v>
      </c>
      <c r="AI242" s="9">
        <v>69.626422594407003</v>
      </c>
      <c r="AJ242" s="9">
        <v>69.626422594407003</v>
      </c>
      <c r="AK242" s="9">
        <v>69.626422594407003</v>
      </c>
      <c r="AL242" s="9">
        <v>69.626422594407003</v>
      </c>
      <c r="AM242" s="9">
        <v>69.626422594407003</v>
      </c>
      <c r="AN242" s="10">
        <v>0</v>
      </c>
      <c r="AO242" s="10">
        <v>0</v>
      </c>
      <c r="AP242" s="10">
        <v>4</v>
      </c>
      <c r="AQ242" s="10">
        <v>0</v>
      </c>
      <c r="AR242" s="10">
        <v>0</v>
      </c>
      <c r="AS242" s="10">
        <v>0</v>
      </c>
      <c r="AT242" s="10">
        <v>0</v>
      </c>
      <c r="AU242" s="10">
        <v>0</v>
      </c>
      <c r="AV242" s="10">
        <v>0</v>
      </c>
      <c r="AW242" s="10">
        <v>0</v>
      </c>
      <c r="AX242" s="10">
        <v>0</v>
      </c>
      <c r="AY242" s="10">
        <v>0</v>
      </c>
      <c r="AZ242" s="7">
        <f t="shared" si="12"/>
        <v>4</v>
      </c>
      <c r="BA242" s="11">
        <f t="shared" si="13"/>
        <v>0.33333333333333331</v>
      </c>
      <c r="BC242" s="12">
        <v>0</v>
      </c>
      <c r="BD242" s="12">
        <v>0</v>
      </c>
      <c r="BE242" s="12">
        <v>278.50569037763</v>
      </c>
      <c r="BF242" s="12">
        <v>0</v>
      </c>
      <c r="BG242" s="12">
        <v>0</v>
      </c>
      <c r="BH242" s="12">
        <v>0</v>
      </c>
      <c r="BI242" s="12">
        <v>0</v>
      </c>
      <c r="BJ242" s="12">
        <v>0</v>
      </c>
      <c r="BK242" s="12">
        <v>0</v>
      </c>
      <c r="BL242" s="12">
        <v>0</v>
      </c>
      <c r="BM242" s="12">
        <v>0</v>
      </c>
      <c r="BN242" s="12">
        <v>0</v>
      </c>
      <c r="BO242" s="12">
        <f t="shared" si="14"/>
        <v>278.50569037763</v>
      </c>
      <c r="BP242" s="12">
        <f t="shared" si="15"/>
        <v>23.208807531469166</v>
      </c>
      <c r="BQ242" s="7"/>
      <c r="BR242" s="7"/>
      <c r="BS242" s="7" t="s">
        <v>52</v>
      </c>
      <c r="BT242" s="7" t="s">
        <v>53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/>
    </row>
    <row r="243" spans="1:78" x14ac:dyDescent="0.35">
      <c r="A243" s="7" t="s">
        <v>42</v>
      </c>
      <c r="B243" s="7"/>
      <c r="C243" s="7" t="s">
        <v>614</v>
      </c>
      <c r="D243" s="7" t="s">
        <v>615</v>
      </c>
      <c r="E243" s="7" t="s">
        <v>616</v>
      </c>
      <c r="F243" s="7" t="s">
        <v>513</v>
      </c>
      <c r="G243" s="7" t="s">
        <v>47</v>
      </c>
      <c r="H243" s="7"/>
      <c r="I243" s="7"/>
      <c r="J243" s="7" t="s">
        <v>498</v>
      </c>
      <c r="K243" s="7" t="s">
        <v>49</v>
      </c>
      <c r="L243" s="7" t="s">
        <v>49</v>
      </c>
      <c r="M243" s="7" t="s">
        <v>49</v>
      </c>
      <c r="N243" s="7" t="s">
        <v>50</v>
      </c>
      <c r="O243" s="7" t="s">
        <v>4</v>
      </c>
      <c r="P243" s="7">
        <v>3850000</v>
      </c>
      <c r="Q243" s="7">
        <v>3850000</v>
      </c>
      <c r="R243" s="7">
        <v>3850000</v>
      </c>
      <c r="S243" s="7">
        <v>3850000</v>
      </c>
      <c r="T243" s="7">
        <v>3850000</v>
      </c>
      <c r="U243" s="7">
        <v>3850000</v>
      </c>
      <c r="V243" s="7">
        <v>3850000</v>
      </c>
      <c r="W243" s="7">
        <v>3850000</v>
      </c>
      <c r="X243" s="7">
        <v>3850000</v>
      </c>
      <c r="Y243" s="7">
        <v>3850000</v>
      </c>
      <c r="Z243" s="7">
        <v>3850000</v>
      </c>
      <c r="AA243" s="7">
        <v>3850000</v>
      </c>
      <c r="AB243" s="9">
        <v>243.69247908041999</v>
      </c>
      <c r="AC243" s="9">
        <v>243.69247908041999</v>
      </c>
      <c r="AD243" s="9">
        <v>243.69247908041999</v>
      </c>
      <c r="AE243" s="9">
        <v>243.69247908041999</v>
      </c>
      <c r="AF243" s="9">
        <v>243.69247908041999</v>
      </c>
      <c r="AG243" s="9">
        <v>243.69247908041999</v>
      </c>
      <c r="AH243" s="9">
        <v>243.69247908041999</v>
      </c>
      <c r="AI243" s="9">
        <v>243.69247908041999</v>
      </c>
      <c r="AJ243" s="9">
        <v>243.69247908041999</v>
      </c>
      <c r="AK243" s="9">
        <v>243.69247908041999</v>
      </c>
      <c r="AL243" s="9">
        <v>243.69247908041999</v>
      </c>
      <c r="AM243" s="9">
        <v>243.69247908041999</v>
      </c>
      <c r="AN243" s="10">
        <v>0</v>
      </c>
      <c r="AO243" s="10">
        <v>1</v>
      </c>
      <c r="AP243" s="10">
        <v>0</v>
      </c>
      <c r="AQ243" s="10">
        <v>0</v>
      </c>
      <c r="AR243" s="10">
        <v>0</v>
      </c>
      <c r="AS243" s="10">
        <v>0</v>
      </c>
      <c r="AT243" s="10">
        <v>0</v>
      </c>
      <c r="AU243" s="10">
        <v>0</v>
      </c>
      <c r="AV243" s="10">
        <v>0</v>
      </c>
      <c r="AW243" s="10">
        <v>0</v>
      </c>
      <c r="AX243" s="10">
        <v>0</v>
      </c>
      <c r="AY243" s="10">
        <v>0</v>
      </c>
      <c r="AZ243" s="7">
        <f t="shared" si="12"/>
        <v>1</v>
      </c>
      <c r="BA243" s="11">
        <f t="shared" si="13"/>
        <v>8.3333333333333329E-2</v>
      </c>
      <c r="BC243" s="12">
        <v>0</v>
      </c>
      <c r="BD243" s="12">
        <v>243.69247908041999</v>
      </c>
      <c r="BE243" s="12">
        <v>0</v>
      </c>
      <c r="BF243" s="12">
        <v>0</v>
      </c>
      <c r="BG243" s="12">
        <v>0</v>
      </c>
      <c r="BH243" s="12">
        <v>0</v>
      </c>
      <c r="BI243" s="12">
        <v>0</v>
      </c>
      <c r="BJ243" s="12">
        <v>0</v>
      </c>
      <c r="BK243" s="12">
        <v>0</v>
      </c>
      <c r="BL243" s="12">
        <v>0</v>
      </c>
      <c r="BM243" s="12">
        <v>0</v>
      </c>
      <c r="BN243" s="12">
        <v>0</v>
      </c>
      <c r="BO243" s="12">
        <f t="shared" si="14"/>
        <v>243.69247908041999</v>
      </c>
      <c r="BP243" s="12">
        <f t="shared" si="15"/>
        <v>20.307706590035</v>
      </c>
      <c r="BQ243" s="7"/>
      <c r="BR243" s="7"/>
      <c r="BS243" s="7" t="s">
        <v>52</v>
      </c>
      <c r="BT243" s="7" t="s">
        <v>53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/>
    </row>
    <row r="244" spans="1:78" x14ac:dyDescent="0.35">
      <c r="A244" s="7" t="s">
        <v>42</v>
      </c>
      <c r="B244" s="7"/>
      <c r="C244" s="7" t="s">
        <v>617</v>
      </c>
      <c r="D244" s="7" t="s">
        <v>618</v>
      </c>
      <c r="E244" s="7" t="s">
        <v>619</v>
      </c>
      <c r="F244" s="7" t="s">
        <v>561</v>
      </c>
      <c r="G244" s="7" t="s">
        <v>47</v>
      </c>
      <c r="H244" s="7"/>
      <c r="I244" s="7"/>
      <c r="J244" s="7" t="s">
        <v>498</v>
      </c>
      <c r="K244" s="7" t="s">
        <v>49</v>
      </c>
      <c r="L244" s="7" t="s">
        <v>49</v>
      </c>
      <c r="M244" s="7" t="s">
        <v>49</v>
      </c>
      <c r="N244" s="7" t="s">
        <v>261</v>
      </c>
      <c r="O244" s="7" t="s">
        <v>4</v>
      </c>
      <c r="P244" s="7">
        <v>6050000</v>
      </c>
      <c r="Q244" s="7">
        <v>6050000</v>
      </c>
      <c r="R244" s="7">
        <v>6050000</v>
      </c>
      <c r="S244" s="7">
        <v>6050000</v>
      </c>
      <c r="T244" s="7">
        <v>6050000</v>
      </c>
      <c r="U244" s="7">
        <v>6050000</v>
      </c>
      <c r="V244" s="7">
        <v>6050000</v>
      </c>
      <c r="W244" s="7">
        <v>6050000</v>
      </c>
      <c r="X244" s="7">
        <v>6050000</v>
      </c>
      <c r="Y244" s="7">
        <v>6050000</v>
      </c>
      <c r="Z244" s="7">
        <v>6050000</v>
      </c>
      <c r="AA244" s="7">
        <v>6050000</v>
      </c>
      <c r="AB244" s="9">
        <v>382.94532426924002</v>
      </c>
      <c r="AC244" s="9">
        <v>382.94532426924002</v>
      </c>
      <c r="AD244" s="9">
        <v>382.94532426924002</v>
      </c>
      <c r="AE244" s="9">
        <v>382.94532426924002</v>
      </c>
      <c r="AF244" s="9">
        <v>382.94532426924002</v>
      </c>
      <c r="AG244" s="9">
        <v>382.94532426924002</v>
      </c>
      <c r="AH244" s="9">
        <v>382.94532426924002</v>
      </c>
      <c r="AI244" s="9">
        <v>382.94532426924002</v>
      </c>
      <c r="AJ244" s="9">
        <v>382.94532426924002</v>
      </c>
      <c r="AK244" s="9">
        <v>382.94532426924002</v>
      </c>
      <c r="AL244" s="9">
        <v>382.94532426924002</v>
      </c>
      <c r="AM244" s="9">
        <v>382.94532426924002</v>
      </c>
      <c r="AN244" s="10">
        <v>0</v>
      </c>
      <c r="AO244" s="10">
        <v>0</v>
      </c>
      <c r="AP244" s="10">
        <v>2</v>
      </c>
      <c r="AQ244" s="10">
        <v>0</v>
      </c>
      <c r="AR244" s="10">
        <v>0</v>
      </c>
      <c r="AS244" s="10">
        <v>0</v>
      </c>
      <c r="AT244" s="10">
        <v>0</v>
      </c>
      <c r="AU244" s="10">
        <v>0</v>
      </c>
      <c r="AV244" s="10">
        <v>0</v>
      </c>
      <c r="AW244" s="10">
        <v>0</v>
      </c>
      <c r="AX244" s="10">
        <v>0</v>
      </c>
      <c r="AY244" s="10">
        <v>0</v>
      </c>
      <c r="AZ244" s="7">
        <f t="shared" si="12"/>
        <v>2</v>
      </c>
      <c r="BA244" s="11">
        <f t="shared" si="13"/>
        <v>0.16666666666666666</v>
      </c>
      <c r="BC244" s="12">
        <v>0</v>
      </c>
      <c r="BD244" s="12">
        <v>0</v>
      </c>
      <c r="BE244" s="12">
        <v>765.89064853848004</v>
      </c>
      <c r="BF244" s="12">
        <v>0</v>
      </c>
      <c r="BG244" s="12">
        <v>0</v>
      </c>
      <c r="BH244" s="12">
        <v>0</v>
      </c>
      <c r="BI244" s="12">
        <v>0</v>
      </c>
      <c r="BJ244" s="12">
        <v>0</v>
      </c>
      <c r="BK244" s="12">
        <v>0</v>
      </c>
      <c r="BL244" s="12">
        <v>0</v>
      </c>
      <c r="BM244" s="12">
        <v>0</v>
      </c>
      <c r="BN244" s="12">
        <v>0</v>
      </c>
      <c r="BO244" s="12">
        <f t="shared" si="14"/>
        <v>765.89064853848004</v>
      </c>
      <c r="BP244" s="12">
        <f t="shared" si="15"/>
        <v>63.824220711540001</v>
      </c>
      <c r="BQ244" s="7"/>
      <c r="BR244" s="7"/>
      <c r="BS244" s="7" t="s">
        <v>52</v>
      </c>
      <c r="BT244" s="7" t="s">
        <v>53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/>
    </row>
    <row r="245" spans="1:78" x14ac:dyDescent="0.35">
      <c r="A245" s="7" t="s">
        <v>42</v>
      </c>
      <c r="B245" s="7"/>
      <c r="C245" s="7" t="s">
        <v>620</v>
      </c>
      <c r="D245" s="7" t="s">
        <v>600</v>
      </c>
      <c r="E245" s="7" t="s">
        <v>621</v>
      </c>
      <c r="F245" s="7" t="s">
        <v>513</v>
      </c>
      <c r="G245" s="7" t="s">
        <v>47</v>
      </c>
      <c r="H245" s="7"/>
      <c r="I245" s="7"/>
      <c r="J245" s="7" t="s">
        <v>498</v>
      </c>
      <c r="K245" s="7" t="s">
        <v>49</v>
      </c>
      <c r="L245" s="7" t="s">
        <v>49</v>
      </c>
      <c r="M245" s="7" t="s">
        <v>49</v>
      </c>
      <c r="N245" s="7" t="s">
        <v>50</v>
      </c>
      <c r="O245" s="7" t="s">
        <v>4</v>
      </c>
      <c r="P245" s="7">
        <v>2200000</v>
      </c>
      <c r="Q245" s="7">
        <v>2200000</v>
      </c>
      <c r="R245" s="7">
        <v>2200000</v>
      </c>
      <c r="S245" s="7">
        <v>2200000</v>
      </c>
      <c r="T245" s="7">
        <v>2200000</v>
      </c>
      <c r="U245" s="7">
        <v>2200000</v>
      </c>
      <c r="V245" s="7">
        <v>2200000</v>
      </c>
      <c r="W245" s="7">
        <v>2200000</v>
      </c>
      <c r="X245" s="7">
        <v>2200000</v>
      </c>
      <c r="Y245" s="7">
        <v>2200000</v>
      </c>
      <c r="Z245" s="7">
        <v>2200000</v>
      </c>
      <c r="AA245" s="7">
        <v>2200000</v>
      </c>
      <c r="AB245" s="9">
        <v>139.25284518881</v>
      </c>
      <c r="AC245" s="9">
        <v>139.25284518881</v>
      </c>
      <c r="AD245" s="9">
        <v>139.25284518881</v>
      </c>
      <c r="AE245" s="9">
        <v>139.25284518881</v>
      </c>
      <c r="AF245" s="9">
        <v>139.25284518881</v>
      </c>
      <c r="AG245" s="9">
        <v>139.25284518881</v>
      </c>
      <c r="AH245" s="9">
        <v>139.25284518881</v>
      </c>
      <c r="AI245" s="9">
        <v>139.25284518881</v>
      </c>
      <c r="AJ245" s="9">
        <v>139.25284518881</v>
      </c>
      <c r="AK245" s="9">
        <v>139.25284518881</v>
      </c>
      <c r="AL245" s="9">
        <v>139.25284518881</v>
      </c>
      <c r="AM245" s="9">
        <v>139.25284518881</v>
      </c>
      <c r="AN245" s="10">
        <v>0</v>
      </c>
      <c r="AO245" s="10">
        <v>0</v>
      </c>
      <c r="AP245" s="10">
        <v>2</v>
      </c>
      <c r="AQ245" s="10">
        <v>0</v>
      </c>
      <c r="AR245" s="10">
        <v>0</v>
      </c>
      <c r="AS245" s="10">
        <v>0</v>
      </c>
      <c r="AT245" s="10">
        <v>0</v>
      </c>
      <c r="AU245" s="10">
        <v>0</v>
      </c>
      <c r="AV245" s="10">
        <v>0</v>
      </c>
      <c r="AW245" s="10">
        <v>0</v>
      </c>
      <c r="AX245" s="10">
        <v>0</v>
      </c>
      <c r="AY245" s="10">
        <v>0</v>
      </c>
      <c r="AZ245" s="7">
        <f t="shared" si="12"/>
        <v>2</v>
      </c>
      <c r="BA245" s="11">
        <f t="shared" si="13"/>
        <v>0.16666666666666666</v>
      </c>
      <c r="BC245" s="12">
        <v>0</v>
      </c>
      <c r="BD245" s="12">
        <v>0</v>
      </c>
      <c r="BE245" s="12">
        <v>278.50569037763</v>
      </c>
      <c r="BF245" s="12">
        <v>0</v>
      </c>
      <c r="BG245" s="12">
        <v>0</v>
      </c>
      <c r="BH245" s="12">
        <v>0</v>
      </c>
      <c r="BI245" s="12">
        <v>0</v>
      </c>
      <c r="BJ245" s="12">
        <v>0</v>
      </c>
      <c r="BK245" s="12">
        <v>0</v>
      </c>
      <c r="BL245" s="12">
        <v>0</v>
      </c>
      <c r="BM245" s="12">
        <v>0</v>
      </c>
      <c r="BN245" s="12">
        <v>0</v>
      </c>
      <c r="BO245" s="12">
        <f t="shared" si="14"/>
        <v>278.50569037763</v>
      </c>
      <c r="BP245" s="12">
        <f t="shared" si="15"/>
        <v>23.208807531469166</v>
      </c>
      <c r="BQ245" s="7"/>
      <c r="BR245" s="7"/>
      <c r="BS245" s="7" t="s">
        <v>52</v>
      </c>
      <c r="BT245" s="7" t="s">
        <v>53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/>
    </row>
    <row r="246" spans="1:78" x14ac:dyDescent="0.35">
      <c r="A246" s="7" t="s">
        <v>42</v>
      </c>
      <c r="B246" s="7"/>
      <c r="C246" s="7" t="s">
        <v>622</v>
      </c>
      <c r="D246" s="7" t="s">
        <v>600</v>
      </c>
      <c r="E246" s="7" t="s">
        <v>623</v>
      </c>
      <c r="F246" s="7" t="s">
        <v>513</v>
      </c>
      <c r="G246" s="7" t="s">
        <v>47</v>
      </c>
      <c r="H246" s="7"/>
      <c r="I246" s="7"/>
      <c r="J246" s="7" t="s">
        <v>498</v>
      </c>
      <c r="K246" s="7" t="s">
        <v>49</v>
      </c>
      <c r="L246" s="7" t="s">
        <v>49</v>
      </c>
      <c r="M246" s="7" t="s">
        <v>49</v>
      </c>
      <c r="N246" s="7" t="s">
        <v>261</v>
      </c>
      <c r="O246" s="7" t="s">
        <v>4</v>
      </c>
      <c r="P246" s="7">
        <v>440000</v>
      </c>
      <c r="Q246" s="7">
        <v>440000</v>
      </c>
      <c r="R246" s="7">
        <v>440000</v>
      </c>
      <c r="S246" s="7">
        <v>440000</v>
      </c>
      <c r="T246" s="7">
        <v>440000</v>
      </c>
      <c r="U246" s="7">
        <v>440000</v>
      </c>
      <c r="V246" s="7">
        <v>440000</v>
      </c>
      <c r="W246" s="7">
        <v>440000</v>
      </c>
      <c r="X246" s="7">
        <v>440000</v>
      </c>
      <c r="Y246" s="7">
        <v>440000</v>
      </c>
      <c r="Z246" s="7">
        <v>440000</v>
      </c>
      <c r="AA246" s="7">
        <v>440000</v>
      </c>
      <c r="AB246" s="9">
        <v>27.850569037763002</v>
      </c>
      <c r="AC246" s="9">
        <v>27.850569037763002</v>
      </c>
      <c r="AD246" s="9">
        <v>27.850569037763002</v>
      </c>
      <c r="AE246" s="9">
        <v>27.850569037763002</v>
      </c>
      <c r="AF246" s="9">
        <v>27.850569037763002</v>
      </c>
      <c r="AG246" s="9">
        <v>27.850569037763002</v>
      </c>
      <c r="AH246" s="9">
        <v>27.850569037763002</v>
      </c>
      <c r="AI246" s="9">
        <v>27.850569037763002</v>
      </c>
      <c r="AJ246" s="9">
        <v>27.850569037763002</v>
      </c>
      <c r="AK246" s="9">
        <v>27.850569037763002</v>
      </c>
      <c r="AL246" s="9">
        <v>27.850569037763002</v>
      </c>
      <c r="AM246" s="9">
        <v>27.850569037763002</v>
      </c>
      <c r="AN246" s="10">
        <v>0</v>
      </c>
      <c r="AO246" s="10">
        <v>0</v>
      </c>
      <c r="AP246" s="10">
        <v>2</v>
      </c>
      <c r="AQ246" s="10">
        <v>0</v>
      </c>
      <c r="AR246" s="10">
        <v>0</v>
      </c>
      <c r="AS246" s="10">
        <v>0</v>
      </c>
      <c r="AT246" s="10">
        <v>0</v>
      </c>
      <c r="AU246" s="10">
        <v>0</v>
      </c>
      <c r="AV246" s="10">
        <v>0</v>
      </c>
      <c r="AW246" s="10">
        <v>0</v>
      </c>
      <c r="AX246" s="10">
        <v>0</v>
      </c>
      <c r="AY246" s="10">
        <v>0</v>
      </c>
      <c r="AZ246" s="7">
        <f t="shared" si="12"/>
        <v>2</v>
      </c>
      <c r="BA246" s="11">
        <f t="shared" si="13"/>
        <v>0.16666666666666666</v>
      </c>
      <c r="BC246" s="12">
        <v>0</v>
      </c>
      <c r="BD246" s="12">
        <v>0</v>
      </c>
      <c r="BE246" s="12">
        <v>55.701138075526003</v>
      </c>
      <c r="BF246" s="12">
        <v>0</v>
      </c>
      <c r="BG246" s="12">
        <v>0</v>
      </c>
      <c r="BH246" s="12">
        <v>0</v>
      </c>
      <c r="BI246" s="12">
        <v>0</v>
      </c>
      <c r="BJ246" s="12">
        <v>0</v>
      </c>
      <c r="BK246" s="12">
        <v>0</v>
      </c>
      <c r="BL246" s="12">
        <v>0</v>
      </c>
      <c r="BM246" s="12">
        <v>0</v>
      </c>
      <c r="BN246" s="12">
        <v>0</v>
      </c>
      <c r="BO246" s="12">
        <f t="shared" si="14"/>
        <v>55.701138075526003</v>
      </c>
      <c r="BP246" s="12">
        <f t="shared" si="15"/>
        <v>4.6417615062938333</v>
      </c>
      <c r="BQ246" s="7"/>
      <c r="BR246" s="7"/>
      <c r="BS246" s="7" t="s">
        <v>52</v>
      </c>
      <c r="BT246" s="7" t="s">
        <v>53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/>
    </row>
    <row r="247" spans="1:78" x14ac:dyDescent="0.35">
      <c r="A247" s="7" t="s">
        <v>42</v>
      </c>
      <c r="B247" s="7"/>
      <c r="C247" s="7" t="s">
        <v>624</v>
      </c>
      <c r="D247" s="7" t="s">
        <v>592</v>
      </c>
      <c r="E247" s="7" t="s">
        <v>625</v>
      </c>
      <c r="F247" s="7" t="s">
        <v>513</v>
      </c>
      <c r="G247" s="7" t="s">
        <v>47</v>
      </c>
      <c r="H247" s="7"/>
      <c r="I247" s="7"/>
      <c r="J247" s="7" t="s">
        <v>498</v>
      </c>
      <c r="K247" s="7" t="s">
        <v>49</v>
      </c>
      <c r="L247" s="7" t="s">
        <v>49</v>
      </c>
      <c r="M247" s="7" t="s">
        <v>49</v>
      </c>
      <c r="N247" s="7" t="s">
        <v>261</v>
      </c>
      <c r="O247" s="7" t="s">
        <v>4</v>
      </c>
      <c r="P247" s="7">
        <v>4950000</v>
      </c>
      <c r="Q247" s="7">
        <v>4950000</v>
      </c>
      <c r="R247" s="7">
        <v>4950000</v>
      </c>
      <c r="S247" s="7">
        <v>4950000</v>
      </c>
      <c r="T247" s="7">
        <v>4950000</v>
      </c>
      <c r="U247" s="7">
        <v>4950000</v>
      </c>
      <c r="V247" s="7">
        <v>4950000</v>
      </c>
      <c r="W247" s="7">
        <v>4950000</v>
      </c>
      <c r="X247" s="7">
        <v>4950000</v>
      </c>
      <c r="Y247" s="7">
        <v>4950000</v>
      </c>
      <c r="Z247" s="7">
        <v>4950000</v>
      </c>
      <c r="AA247" s="7">
        <v>4950000</v>
      </c>
      <c r="AB247" s="9">
        <v>313.31890167482999</v>
      </c>
      <c r="AC247" s="9">
        <v>313.31890167482999</v>
      </c>
      <c r="AD247" s="9">
        <v>313.31890167482999</v>
      </c>
      <c r="AE247" s="9">
        <v>313.31890167482999</v>
      </c>
      <c r="AF247" s="9">
        <v>313.31890167482999</v>
      </c>
      <c r="AG247" s="9">
        <v>313.31890167482999</v>
      </c>
      <c r="AH247" s="9">
        <v>313.31890167482999</v>
      </c>
      <c r="AI247" s="9">
        <v>313.31890167482999</v>
      </c>
      <c r="AJ247" s="9">
        <v>313.31890167482999</v>
      </c>
      <c r="AK247" s="9">
        <v>313.31890167482999</v>
      </c>
      <c r="AL247" s="9">
        <v>313.31890167482999</v>
      </c>
      <c r="AM247" s="9">
        <v>313.31890167482999</v>
      </c>
      <c r="AN247" s="10">
        <v>0</v>
      </c>
      <c r="AO247" s="10">
        <v>2</v>
      </c>
      <c r="AP247" s="10">
        <v>0</v>
      </c>
      <c r="AQ247" s="10">
        <v>0</v>
      </c>
      <c r="AR247" s="10">
        <v>0</v>
      </c>
      <c r="AS247" s="10">
        <v>0</v>
      </c>
      <c r="AT247" s="10">
        <v>0</v>
      </c>
      <c r="AU247" s="10">
        <v>0</v>
      </c>
      <c r="AV247" s="10">
        <v>0</v>
      </c>
      <c r="AW247" s="10">
        <v>0</v>
      </c>
      <c r="AX247" s="10">
        <v>0</v>
      </c>
      <c r="AY247" s="10">
        <v>0</v>
      </c>
      <c r="AZ247" s="7">
        <f t="shared" si="12"/>
        <v>2</v>
      </c>
      <c r="BA247" s="11">
        <f t="shared" si="13"/>
        <v>0.16666666666666666</v>
      </c>
      <c r="BC247" s="12">
        <v>0</v>
      </c>
      <c r="BD247" s="12">
        <v>626.63780334965998</v>
      </c>
      <c r="BE247" s="12">
        <v>0</v>
      </c>
      <c r="BF247" s="12">
        <v>0</v>
      </c>
      <c r="BG247" s="12">
        <v>0</v>
      </c>
      <c r="BH247" s="12">
        <v>0</v>
      </c>
      <c r="BI247" s="12">
        <v>0</v>
      </c>
      <c r="BJ247" s="12">
        <v>0</v>
      </c>
      <c r="BK247" s="12">
        <v>0</v>
      </c>
      <c r="BL247" s="12">
        <v>0</v>
      </c>
      <c r="BM247" s="12">
        <v>0</v>
      </c>
      <c r="BN247" s="12">
        <v>0</v>
      </c>
      <c r="BO247" s="12">
        <f t="shared" si="14"/>
        <v>626.63780334965998</v>
      </c>
      <c r="BP247" s="12">
        <f t="shared" si="15"/>
        <v>52.219816945805</v>
      </c>
      <c r="BQ247" s="7"/>
      <c r="BR247" s="7"/>
      <c r="BS247" s="7" t="s">
        <v>52</v>
      </c>
      <c r="BT247" s="7" t="s">
        <v>53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/>
    </row>
    <row r="248" spans="1:78" x14ac:dyDescent="0.35">
      <c r="A248" s="7" t="s">
        <v>42</v>
      </c>
      <c r="B248" s="7"/>
      <c r="C248" s="7" t="s">
        <v>626</v>
      </c>
      <c r="D248" s="7" t="s">
        <v>627</v>
      </c>
      <c r="E248" s="7" t="s">
        <v>628</v>
      </c>
      <c r="F248" s="7" t="s">
        <v>509</v>
      </c>
      <c r="G248" s="7" t="s">
        <v>47</v>
      </c>
      <c r="H248" s="7"/>
      <c r="I248" s="7"/>
      <c r="J248" s="7" t="s">
        <v>498</v>
      </c>
      <c r="K248" s="7" t="s">
        <v>49</v>
      </c>
      <c r="L248" s="7" t="s">
        <v>49</v>
      </c>
      <c r="M248" s="7" t="s">
        <v>49</v>
      </c>
      <c r="N248" s="7" t="s">
        <v>261</v>
      </c>
      <c r="O248" s="7" t="s">
        <v>4</v>
      </c>
      <c r="P248" s="7">
        <v>385000</v>
      </c>
      <c r="Q248" s="7">
        <v>385000</v>
      </c>
      <c r="R248" s="7">
        <v>385000</v>
      </c>
      <c r="S248" s="7">
        <v>385000</v>
      </c>
      <c r="T248" s="7">
        <v>385000</v>
      </c>
      <c r="U248" s="7">
        <v>385000</v>
      </c>
      <c r="V248" s="7">
        <v>385000</v>
      </c>
      <c r="W248" s="7">
        <v>385000</v>
      </c>
      <c r="X248" s="7">
        <v>385000</v>
      </c>
      <c r="Y248" s="7">
        <v>385000</v>
      </c>
      <c r="Z248" s="7">
        <v>385000</v>
      </c>
      <c r="AA248" s="7">
        <v>385000</v>
      </c>
      <c r="AB248" s="9">
        <v>24.369247908041999</v>
      </c>
      <c r="AC248" s="9">
        <v>24.369247908041999</v>
      </c>
      <c r="AD248" s="9">
        <v>24.369247908041999</v>
      </c>
      <c r="AE248" s="9">
        <v>24.369247908041999</v>
      </c>
      <c r="AF248" s="9">
        <v>24.369247908041999</v>
      </c>
      <c r="AG248" s="9">
        <v>24.369247908041999</v>
      </c>
      <c r="AH248" s="9">
        <v>24.369247908041999</v>
      </c>
      <c r="AI248" s="9">
        <v>24.369247908041999</v>
      </c>
      <c r="AJ248" s="9">
        <v>24.369247908041999</v>
      </c>
      <c r="AK248" s="9">
        <v>24.369247908041999</v>
      </c>
      <c r="AL248" s="9">
        <v>24.369247908041999</v>
      </c>
      <c r="AM248" s="9">
        <v>24.369247908041999</v>
      </c>
      <c r="AN248" s="10">
        <v>0</v>
      </c>
      <c r="AO248" s="10">
        <v>0</v>
      </c>
      <c r="AP248" s="10">
        <v>2</v>
      </c>
      <c r="AQ248" s="10">
        <v>0</v>
      </c>
      <c r="AR248" s="10">
        <v>2</v>
      </c>
      <c r="AS248" s="10">
        <v>0</v>
      </c>
      <c r="AT248" s="10">
        <v>0</v>
      </c>
      <c r="AU248" s="10">
        <v>0</v>
      </c>
      <c r="AV248" s="10">
        <v>0</v>
      </c>
      <c r="AW248" s="10">
        <v>0</v>
      </c>
      <c r="AX248" s="10">
        <v>0</v>
      </c>
      <c r="AY248" s="10">
        <v>0</v>
      </c>
      <c r="AZ248" s="7">
        <f t="shared" si="12"/>
        <v>4</v>
      </c>
      <c r="BA248" s="11">
        <f t="shared" si="13"/>
        <v>0.33333333333333331</v>
      </c>
      <c r="BC248" s="12">
        <v>0</v>
      </c>
      <c r="BD248" s="12">
        <v>0</v>
      </c>
      <c r="BE248" s="12">
        <v>48.738495816084999</v>
      </c>
      <c r="BF248" s="12">
        <v>0</v>
      </c>
      <c r="BG248" s="12">
        <v>48.738495816084999</v>
      </c>
      <c r="BH248" s="12">
        <v>0</v>
      </c>
      <c r="BI248" s="12">
        <v>0</v>
      </c>
      <c r="BJ248" s="12">
        <v>0</v>
      </c>
      <c r="BK248" s="12">
        <v>0</v>
      </c>
      <c r="BL248" s="12">
        <v>0</v>
      </c>
      <c r="BM248" s="12">
        <v>0</v>
      </c>
      <c r="BN248" s="12">
        <v>0</v>
      </c>
      <c r="BO248" s="12">
        <f t="shared" si="14"/>
        <v>97.476991632169998</v>
      </c>
      <c r="BP248" s="12">
        <f t="shared" si="15"/>
        <v>8.1230826360141659</v>
      </c>
      <c r="BQ248" s="7"/>
      <c r="BR248" s="7"/>
      <c r="BS248" s="7" t="s">
        <v>52</v>
      </c>
      <c r="BT248" s="7" t="s">
        <v>53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/>
    </row>
    <row r="249" spans="1:78" x14ac:dyDescent="0.35">
      <c r="A249" s="7" t="s">
        <v>42</v>
      </c>
      <c r="B249" s="7"/>
      <c r="C249" s="7" t="s">
        <v>629</v>
      </c>
      <c r="D249" s="7" t="s">
        <v>630</v>
      </c>
      <c r="E249" s="7" t="s">
        <v>631</v>
      </c>
      <c r="F249" s="7" t="s">
        <v>561</v>
      </c>
      <c r="G249" s="7" t="s">
        <v>47</v>
      </c>
      <c r="H249" s="7"/>
      <c r="I249" s="7"/>
      <c r="J249" s="7" t="s">
        <v>498</v>
      </c>
      <c r="K249" s="7" t="s">
        <v>49</v>
      </c>
      <c r="L249" s="7" t="s">
        <v>49</v>
      </c>
      <c r="M249" s="7" t="s">
        <v>49</v>
      </c>
      <c r="N249" s="7" t="s">
        <v>50</v>
      </c>
      <c r="O249" s="7" t="s">
        <v>4</v>
      </c>
      <c r="P249" s="7">
        <v>550000</v>
      </c>
      <c r="Q249" s="7">
        <v>550000</v>
      </c>
      <c r="R249" s="7">
        <v>550000</v>
      </c>
      <c r="S249" s="7">
        <v>550000</v>
      </c>
      <c r="T249" s="7">
        <v>550000</v>
      </c>
      <c r="U249" s="7">
        <v>550000</v>
      </c>
      <c r="V249" s="7">
        <v>550000</v>
      </c>
      <c r="W249" s="7">
        <v>550000</v>
      </c>
      <c r="X249" s="7">
        <v>550000</v>
      </c>
      <c r="Y249" s="7">
        <v>550000</v>
      </c>
      <c r="Z249" s="7">
        <v>550000</v>
      </c>
      <c r="AA249" s="7">
        <v>550000</v>
      </c>
      <c r="AB249" s="9">
        <v>34.813211297203999</v>
      </c>
      <c r="AC249" s="9">
        <v>34.813211297203999</v>
      </c>
      <c r="AD249" s="9">
        <v>34.813211297203999</v>
      </c>
      <c r="AE249" s="9">
        <v>34.813211297203999</v>
      </c>
      <c r="AF249" s="9">
        <v>34.813211297203999</v>
      </c>
      <c r="AG249" s="9">
        <v>34.813211297203999</v>
      </c>
      <c r="AH249" s="9">
        <v>34.813211297203999</v>
      </c>
      <c r="AI249" s="9">
        <v>34.813211297203999</v>
      </c>
      <c r="AJ249" s="9">
        <v>34.813211297203999</v>
      </c>
      <c r="AK249" s="9">
        <v>34.813211297203999</v>
      </c>
      <c r="AL249" s="9">
        <v>34.813211297203999</v>
      </c>
      <c r="AM249" s="9">
        <v>34.813211297203999</v>
      </c>
      <c r="AN249" s="10">
        <v>0</v>
      </c>
      <c r="AO249" s="10">
        <v>0</v>
      </c>
      <c r="AP249" s="10">
        <v>5</v>
      </c>
      <c r="AQ249" s="10">
        <v>0</v>
      </c>
      <c r="AR249" s="10">
        <v>0</v>
      </c>
      <c r="AS249" s="10">
        <v>0</v>
      </c>
      <c r="AT249" s="10">
        <v>0</v>
      </c>
      <c r="AU249" s="10">
        <v>0</v>
      </c>
      <c r="AV249" s="10">
        <v>0</v>
      </c>
      <c r="AW249" s="10">
        <v>0</v>
      </c>
      <c r="AX249" s="10">
        <v>0</v>
      </c>
      <c r="AY249" s="10">
        <v>0</v>
      </c>
      <c r="AZ249" s="7">
        <f t="shared" si="12"/>
        <v>5</v>
      </c>
      <c r="BA249" s="11">
        <f t="shared" si="13"/>
        <v>0.41666666666666669</v>
      </c>
      <c r="BC249" s="12">
        <v>0</v>
      </c>
      <c r="BD249" s="12">
        <v>0</v>
      </c>
      <c r="BE249" s="12">
        <v>174.06605648601999</v>
      </c>
      <c r="BF249" s="12">
        <v>0</v>
      </c>
      <c r="BG249" s="12">
        <v>0</v>
      </c>
      <c r="BH249" s="12">
        <v>0</v>
      </c>
      <c r="BI249" s="12">
        <v>0</v>
      </c>
      <c r="BJ249" s="12">
        <v>0</v>
      </c>
      <c r="BK249" s="12">
        <v>0</v>
      </c>
      <c r="BL249" s="12">
        <v>0</v>
      </c>
      <c r="BM249" s="12">
        <v>0</v>
      </c>
      <c r="BN249" s="12">
        <v>0</v>
      </c>
      <c r="BO249" s="12">
        <f t="shared" si="14"/>
        <v>174.06605648601999</v>
      </c>
      <c r="BP249" s="12">
        <f t="shared" si="15"/>
        <v>14.505504707168333</v>
      </c>
      <c r="BQ249" s="7"/>
      <c r="BR249" s="7"/>
      <c r="BS249" s="7" t="s">
        <v>52</v>
      </c>
      <c r="BT249" s="7" t="s">
        <v>53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/>
    </row>
    <row r="250" spans="1:78" x14ac:dyDescent="0.35">
      <c r="A250" s="7" t="s">
        <v>42</v>
      </c>
      <c r="B250" s="7"/>
      <c r="C250" s="7" t="s">
        <v>632</v>
      </c>
      <c r="D250" s="7" t="s">
        <v>633</v>
      </c>
      <c r="E250" s="7" t="s">
        <v>634</v>
      </c>
      <c r="F250" s="7" t="s">
        <v>561</v>
      </c>
      <c r="G250" s="7" t="s">
        <v>47</v>
      </c>
      <c r="H250" s="7"/>
      <c r="I250" s="7"/>
      <c r="J250" s="7" t="s">
        <v>498</v>
      </c>
      <c r="K250" s="7" t="s">
        <v>49</v>
      </c>
      <c r="L250" s="7" t="s">
        <v>49</v>
      </c>
      <c r="M250" s="7" t="s">
        <v>49</v>
      </c>
      <c r="N250" s="7" t="s">
        <v>50</v>
      </c>
      <c r="O250" s="7" t="s">
        <v>4</v>
      </c>
      <c r="P250" s="7">
        <v>825000</v>
      </c>
      <c r="Q250" s="7">
        <v>825000</v>
      </c>
      <c r="R250" s="7">
        <v>825000</v>
      </c>
      <c r="S250" s="7">
        <v>825000</v>
      </c>
      <c r="T250" s="7">
        <v>825000</v>
      </c>
      <c r="U250" s="7">
        <v>825000</v>
      </c>
      <c r="V250" s="7">
        <v>825000</v>
      </c>
      <c r="W250" s="7">
        <v>825000</v>
      </c>
      <c r="X250" s="7">
        <v>825000</v>
      </c>
      <c r="Y250" s="7">
        <v>825000</v>
      </c>
      <c r="Z250" s="7">
        <v>825000</v>
      </c>
      <c r="AA250" s="7">
        <v>825000</v>
      </c>
      <c r="AB250" s="9">
        <v>52.219816945805</v>
      </c>
      <c r="AC250" s="9">
        <v>52.219816945805</v>
      </c>
      <c r="AD250" s="9">
        <v>52.219816945805</v>
      </c>
      <c r="AE250" s="9">
        <v>52.219816945805</v>
      </c>
      <c r="AF250" s="9">
        <v>52.219816945805</v>
      </c>
      <c r="AG250" s="9">
        <v>52.219816945805</v>
      </c>
      <c r="AH250" s="9">
        <v>52.219816945805</v>
      </c>
      <c r="AI250" s="9">
        <v>52.219816945805</v>
      </c>
      <c r="AJ250" s="9">
        <v>52.219816945805</v>
      </c>
      <c r="AK250" s="9">
        <v>52.219816945805</v>
      </c>
      <c r="AL250" s="9">
        <v>52.219816945805</v>
      </c>
      <c r="AM250" s="9">
        <v>52.219816945805</v>
      </c>
      <c r="AN250" s="10">
        <v>0</v>
      </c>
      <c r="AO250" s="10">
        <v>2</v>
      </c>
      <c r="AP250" s="10">
        <v>0</v>
      </c>
      <c r="AQ250" s="10">
        <v>0</v>
      </c>
      <c r="AR250" s="10">
        <v>0</v>
      </c>
      <c r="AS250" s="10">
        <v>0</v>
      </c>
      <c r="AT250" s="10">
        <v>0</v>
      </c>
      <c r="AU250" s="10">
        <v>0</v>
      </c>
      <c r="AV250" s="10">
        <v>0</v>
      </c>
      <c r="AW250" s="10">
        <v>0</v>
      </c>
      <c r="AX250" s="10">
        <v>0</v>
      </c>
      <c r="AY250" s="10">
        <v>0</v>
      </c>
      <c r="AZ250" s="7">
        <f t="shared" si="12"/>
        <v>2</v>
      </c>
      <c r="BA250" s="11">
        <f t="shared" si="13"/>
        <v>0.16666666666666666</v>
      </c>
      <c r="BC250" s="12">
        <v>0</v>
      </c>
      <c r="BD250" s="12">
        <v>104.43963389161</v>
      </c>
      <c r="BE250" s="12">
        <v>0</v>
      </c>
      <c r="BF250" s="12">
        <v>0</v>
      </c>
      <c r="BG250" s="12">
        <v>0</v>
      </c>
      <c r="BH250" s="12">
        <v>0</v>
      </c>
      <c r="BI250" s="12">
        <v>0</v>
      </c>
      <c r="BJ250" s="12">
        <v>0</v>
      </c>
      <c r="BK250" s="12">
        <v>0</v>
      </c>
      <c r="BL250" s="12">
        <v>0</v>
      </c>
      <c r="BM250" s="12">
        <v>0</v>
      </c>
      <c r="BN250" s="12">
        <v>0</v>
      </c>
      <c r="BO250" s="12">
        <f t="shared" si="14"/>
        <v>104.43963389161</v>
      </c>
      <c r="BP250" s="12">
        <f t="shared" si="15"/>
        <v>8.7033028243008328</v>
      </c>
      <c r="BQ250" s="7"/>
      <c r="BR250" s="7"/>
      <c r="BS250" s="7" t="s">
        <v>52</v>
      </c>
      <c r="BT250" s="7" t="s">
        <v>53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/>
    </row>
    <row r="251" spans="1:78" x14ac:dyDescent="0.35">
      <c r="A251" s="7" t="s">
        <v>42</v>
      </c>
      <c r="B251" s="7"/>
      <c r="C251" s="7" t="s">
        <v>635</v>
      </c>
      <c r="D251" s="7" t="s">
        <v>636</v>
      </c>
      <c r="E251" s="7" t="s">
        <v>637</v>
      </c>
      <c r="F251" s="7" t="s">
        <v>638</v>
      </c>
      <c r="G251" s="7" t="s">
        <v>47</v>
      </c>
      <c r="H251" s="7"/>
      <c r="I251" s="7"/>
      <c r="J251" s="7" t="s">
        <v>498</v>
      </c>
      <c r="K251" s="7" t="s">
        <v>49</v>
      </c>
      <c r="L251" s="7" t="s">
        <v>49</v>
      </c>
      <c r="M251" s="7" t="s">
        <v>49</v>
      </c>
      <c r="N251" s="7" t="s">
        <v>50</v>
      </c>
      <c r="O251" s="7" t="s">
        <v>4</v>
      </c>
      <c r="P251" s="7">
        <v>770000</v>
      </c>
      <c r="Q251" s="7">
        <v>770000</v>
      </c>
      <c r="R251" s="7">
        <v>770000</v>
      </c>
      <c r="S251" s="7">
        <v>770000</v>
      </c>
      <c r="T251" s="7">
        <v>770000</v>
      </c>
      <c r="U251" s="7">
        <v>770000</v>
      </c>
      <c r="V251" s="7">
        <v>770000</v>
      </c>
      <c r="W251" s="7">
        <v>770000</v>
      </c>
      <c r="X251" s="7">
        <v>770000</v>
      </c>
      <c r="Y251" s="7">
        <v>770000</v>
      </c>
      <c r="Z251" s="7">
        <v>770000</v>
      </c>
      <c r="AA251" s="7">
        <v>770000</v>
      </c>
      <c r="AB251" s="9">
        <v>48.738495816084999</v>
      </c>
      <c r="AC251" s="9">
        <v>48.738495816084999</v>
      </c>
      <c r="AD251" s="9">
        <v>48.738495816084999</v>
      </c>
      <c r="AE251" s="9">
        <v>48.738495816084999</v>
      </c>
      <c r="AF251" s="9">
        <v>48.738495816084999</v>
      </c>
      <c r="AG251" s="9">
        <v>48.738495816084999</v>
      </c>
      <c r="AH251" s="9">
        <v>48.738495816084999</v>
      </c>
      <c r="AI251" s="9">
        <v>48.738495816084999</v>
      </c>
      <c r="AJ251" s="9">
        <v>48.738495816084999</v>
      </c>
      <c r="AK251" s="9">
        <v>48.738495816084999</v>
      </c>
      <c r="AL251" s="9">
        <v>48.738495816084999</v>
      </c>
      <c r="AM251" s="9">
        <v>48.738495816084999</v>
      </c>
      <c r="AN251" s="10">
        <v>0</v>
      </c>
      <c r="AO251" s="10">
        <v>8</v>
      </c>
      <c r="AP251" s="10">
        <v>0</v>
      </c>
      <c r="AQ251" s="10">
        <v>0</v>
      </c>
      <c r="AR251" s="10">
        <v>0</v>
      </c>
      <c r="AS251" s="10">
        <v>0</v>
      </c>
      <c r="AT251" s="10">
        <v>0</v>
      </c>
      <c r="AU251" s="10">
        <v>0</v>
      </c>
      <c r="AV251" s="10">
        <v>0</v>
      </c>
      <c r="AW251" s="10">
        <v>0</v>
      </c>
      <c r="AX251" s="10">
        <v>0</v>
      </c>
      <c r="AY251" s="10">
        <v>0</v>
      </c>
      <c r="AZ251" s="7">
        <f t="shared" si="12"/>
        <v>8</v>
      </c>
      <c r="BA251" s="11">
        <f t="shared" si="13"/>
        <v>0.66666666666666663</v>
      </c>
      <c r="BC251" s="12">
        <v>0</v>
      </c>
      <c r="BD251" s="12">
        <v>389.90796652867999</v>
      </c>
      <c r="BE251" s="12">
        <v>0</v>
      </c>
      <c r="BF251" s="12">
        <v>0</v>
      </c>
      <c r="BG251" s="12">
        <v>0</v>
      </c>
      <c r="BH251" s="12">
        <v>0</v>
      </c>
      <c r="BI251" s="12">
        <v>0</v>
      </c>
      <c r="BJ251" s="12">
        <v>0</v>
      </c>
      <c r="BK251" s="12">
        <v>0</v>
      </c>
      <c r="BL251" s="12">
        <v>0</v>
      </c>
      <c r="BM251" s="12">
        <v>0</v>
      </c>
      <c r="BN251" s="12">
        <v>0</v>
      </c>
      <c r="BO251" s="12">
        <f t="shared" si="14"/>
        <v>389.90796652867999</v>
      </c>
      <c r="BP251" s="12">
        <f t="shared" si="15"/>
        <v>32.492330544056664</v>
      </c>
      <c r="BQ251" s="7"/>
      <c r="BR251" s="7"/>
      <c r="BS251" s="7" t="s">
        <v>52</v>
      </c>
      <c r="BT251" s="7" t="s">
        <v>53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/>
    </row>
    <row r="252" spans="1:78" x14ac:dyDescent="0.35">
      <c r="A252" s="7" t="s">
        <v>42</v>
      </c>
      <c r="B252" s="7"/>
      <c r="C252" s="7" t="s">
        <v>639</v>
      </c>
      <c r="D252" s="7" t="s">
        <v>640</v>
      </c>
      <c r="E252" s="7" t="s">
        <v>641</v>
      </c>
      <c r="F252" s="7" t="s">
        <v>642</v>
      </c>
      <c r="G252" s="7" t="s">
        <v>47</v>
      </c>
      <c r="H252" s="7"/>
      <c r="I252" s="7"/>
      <c r="J252" s="7" t="s">
        <v>498</v>
      </c>
      <c r="K252" s="7" t="s">
        <v>49</v>
      </c>
      <c r="L252" s="7" t="s">
        <v>49</v>
      </c>
      <c r="M252" s="7" t="s">
        <v>49</v>
      </c>
      <c r="N252" s="7" t="s">
        <v>94</v>
      </c>
      <c r="O252" s="7" t="s">
        <v>4</v>
      </c>
      <c r="P252" s="7">
        <v>2050000</v>
      </c>
      <c r="Q252" s="7">
        <v>2050000</v>
      </c>
      <c r="R252" s="7">
        <v>2050000</v>
      </c>
      <c r="S252" s="7">
        <v>2050000</v>
      </c>
      <c r="T252" s="7">
        <v>2050000</v>
      </c>
      <c r="U252" s="7">
        <v>2050000</v>
      </c>
      <c r="V252" s="7">
        <v>2050000</v>
      </c>
      <c r="W252" s="7">
        <v>2050000</v>
      </c>
      <c r="X252" s="7">
        <v>2050000</v>
      </c>
      <c r="Y252" s="7">
        <v>2050000</v>
      </c>
      <c r="Z252" s="7">
        <v>2050000</v>
      </c>
      <c r="AA252" s="7">
        <v>2050000</v>
      </c>
      <c r="AB252" s="9">
        <v>129.75833301685</v>
      </c>
      <c r="AC252" s="9">
        <v>129.75833301685</v>
      </c>
      <c r="AD252" s="9">
        <v>129.75833301685</v>
      </c>
      <c r="AE252" s="9">
        <v>129.75833301685</v>
      </c>
      <c r="AF252" s="9">
        <v>129.75833301685</v>
      </c>
      <c r="AG252" s="9">
        <v>129.75833301685</v>
      </c>
      <c r="AH252" s="9">
        <v>129.75833301685</v>
      </c>
      <c r="AI252" s="9">
        <v>129.75833301685</v>
      </c>
      <c r="AJ252" s="9">
        <v>129.75833301685</v>
      </c>
      <c r="AK252" s="9">
        <v>129.75833301685</v>
      </c>
      <c r="AL252" s="9">
        <v>129.75833301685</v>
      </c>
      <c r="AM252" s="9">
        <v>129.75833301685</v>
      </c>
      <c r="AN252" s="10">
        <v>0</v>
      </c>
      <c r="AO252" s="10">
        <v>0</v>
      </c>
      <c r="AP252" s="10">
        <v>6</v>
      </c>
      <c r="AQ252" s="10">
        <v>0</v>
      </c>
      <c r="AR252" s="10">
        <v>0</v>
      </c>
      <c r="AS252" s="10">
        <v>6</v>
      </c>
      <c r="AT252" s="10">
        <v>0</v>
      </c>
      <c r="AU252" s="10">
        <v>0</v>
      </c>
      <c r="AV252" s="10">
        <v>0</v>
      </c>
      <c r="AW252" s="10">
        <v>0</v>
      </c>
      <c r="AX252" s="10">
        <v>0</v>
      </c>
      <c r="AY252" s="10">
        <v>0</v>
      </c>
      <c r="AZ252" s="7">
        <f t="shared" si="12"/>
        <v>12</v>
      </c>
      <c r="BA252" s="11">
        <f t="shared" si="13"/>
        <v>1</v>
      </c>
      <c r="BC252" s="12">
        <v>0</v>
      </c>
      <c r="BD252" s="12">
        <v>0</v>
      </c>
      <c r="BE252" s="12">
        <v>778.54999810109996</v>
      </c>
      <c r="BF252" s="12">
        <v>0</v>
      </c>
      <c r="BG252" s="12">
        <v>0</v>
      </c>
      <c r="BH252" s="12">
        <v>778.54999810109996</v>
      </c>
      <c r="BI252" s="12">
        <v>0</v>
      </c>
      <c r="BJ252" s="12">
        <v>0</v>
      </c>
      <c r="BK252" s="12">
        <v>0</v>
      </c>
      <c r="BL252" s="12">
        <v>0</v>
      </c>
      <c r="BM252" s="12">
        <v>0</v>
      </c>
      <c r="BN252" s="12">
        <v>0</v>
      </c>
      <c r="BO252" s="12">
        <f t="shared" si="14"/>
        <v>1557.0999962021999</v>
      </c>
      <c r="BP252" s="12">
        <f t="shared" si="15"/>
        <v>129.75833301685</v>
      </c>
      <c r="BQ252" s="7"/>
      <c r="BR252" s="7"/>
      <c r="BS252" s="7" t="s">
        <v>95</v>
      </c>
      <c r="BT252" s="7" t="s">
        <v>53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/>
    </row>
    <row r="253" spans="1:78" x14ac:dyDescent="0.35">
      <c r="A253" s="7" t="s">
        <v>42</v>
      </c>
      <c r="B253" s="7"/>
      <c r="C253" s="7" t="s">
        <v>643</v>
      </c>
      <c r="D253" s="7" t="s">
        <v>644</v>
      </c>
      <c r="E253" s="7" t="s">
        <v>645</v>
      </c>
      <c r="F253" s="7" t="s">
        <v>646</v>
      </c>
      <c r="G253" s="7" t="s">
        <v>47</v>
      </c>
      <c r="H253" s="7"/>
      <c r="I253" s="7"/>
      <c r="J253" s="7" t="s">
        <v>498</v>
      </c>
      <c r="K253" s="7" t="s">
        <v>49</v>
      </c>
      <c r="L253" s="7" t="s">
        <v>49</v>
      </c>
      <c r="M253" s="7" t="s">
        <v>49</v>
      </c>
      <c r="N253" s="7" t="s">
        <v>50</v>
      </c>
      <c r="O253" s="7" t="s">
        <v>4</v>
      </c>
      <c r="P253" s="7">
        <v>3850000</v>
      </c>
      <c r="Q253" s="7">
        <v>3850000</v>
      </c>
      <c r="R253" s="7">
        <v>3850000</v>
      </c>
      <c r="S253" s="7">
        <v>3850000</v>
      </c>
      <c r="T253" s="7">
        <v>3850000</v>
      </c>
      <c r="U253" s="7">
        <v>3850000</v>
      </c>
      <c r="V253" s="7">
        <v>3850000</v>
      </c>
      <c r="W253" s="7">
        <v>3850000</v>
      </c>
      <c r="X253" s="7">
        <v>3850000</v>
      </c>
      <c r="Y253" s="7">
        <v>3850000</v>
      </c>
      <c r="Z253" s="7">
        <v>3850000</v>
      </c>
      <c r="AA253" s="7">
        <v>3850000</v>
      </c>
      <c r="AB253" s="9">
        <v>243.69247908041999</v>
      </c>
      <c r="AC253" s="9">
        <v>243.69247908041999</v>
      </c>
      <c r="AD253" s="9">
        <v>243.69247908041999</v>
      </c>
      <c r="AE253" s="9">
        <v>243.69247908041999</v>
      </c>
      <c r="AF253" s="9">
        <v>243.69247908041999</v>
      </c>
      <c r="AG253" s="9">
        <v>243.69247908041999</v>
      </c>
      <c r="AH253" s="9">
        <v>243.69247908041999</v>
      </c>
      <c r="AI253" s="9">
        <v>243.69247908041999</v>
      </c>
      <c r="AJ253" s="9">
        <v>243.69247908041999</v>
      </c>
      <c r="AK253" s="9">
        <v>243.69247908041999</v>
      </c>
      <c r="AL253" s="9">
        <v>243.69247908041999</v>
      </c>
      <c r="AM253" s="9">
        <v>243.69247908041999</v>
      </c>
      <c r="AN253" s="10">
        <v>1</v>
      </c>
      <c r="AO253" s="10">
        <v>0</v>
      </c>
      <c r="AP253" s="10">
        <v>0</v>
      </c>
      <c r="AQ253" s="10">
        <v>0</v>
      </c>
      <c r="AR253" s="10">
        <v>0</v>
      </c>
      <c r="AS253" s="10">
        <v>0</v>
      </c>
      <c r="AT253" s="10">
        <v>0</v>
      </c>
      <c r="AU253" s="10">
        <v>0</v>
      </c>
      <c r="AV253" s="10">
        <v>0</v>
      </c>
      <c r="AW253" s="10">
        <v>0</v>
      </c>
      <c r="AX253" s="10">
        <v>0</v>
      </c>
      <c r="AY253" s="10">
        <v>0</v>
      </c>
      <c r="AZ253" s="7">
        <f t="shared" si="12"/>
        <v>1</v>
      </c>
      <c r="BA253" s="11">
        <f t="shared" si="13"/>
        <v>8.3333333333333329E-2</v>
      </c>
      <c r="BC253" s="12">
        <v>243.69247908041999</v>
      </c>
      <c r="BD253" s="12">
        <v>0</v>
      </c>
      <c r="BE253" s="12">
        <v>0</v>
      </c>
      <c r="BF253" s="12">
        <v>0</v>
      </c>
      <c r="BG253" s="12">
        <v>0</v>
      </c>
      <c r="BH253" s="12">
        <v>0</v>
      </c>
      <c r="BI253" s="12">
        <v>0</v>
      </c>
      <c r="BJ253" s="12">
        <v>0</v>
      </c>
      <c r="BK253" s="12">
        <v>0</v>
      </c>
      <c r="BL253" s="12">
        <v>0</v>
      </c>
      <c r="BM253" s="12">
        <v>0</v>
      </c>
      <c r="BN253" s="12">
        <v>0</v>
      </c>
      <c r="BO253" s="12">
        <f t="shared" si="14"/>
        <v>243.69247908041999</v>
      </c>
      <c r="BP253" s="12">
        <f t="shared" si="15"/>
        <v>20.307706590035</v>
      </c>
      <c r="BQ253" s="7"/>
      <c r="BR253" s="7"/>
      <c r="BS253" s="7" t="s">
        <v>52</v>
      </c>
      <c r="BT253" s="7" t="s">
        <v>53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/>
    </row>
    <row r="254" spans="1:78" x14ac:dyDescent="0.35">
      <c r="A254" s="7" t="s">
        <v>42</v>
      </c>
      <c r="B254" s="7"/>
      <c r="C254" s="7" t="s">
        <v>647</v>
      </c>
      <c r="D254" s="7" t="s">
        <v>648</v>
      </c>
      <c r="E254" s="7" t="s">
        <v>649</v>
      </c>
      <c r="F254" s="7" t="s">
        <v>513</v>
      </c>
      <c r="G254" s="7" t="s">
        <v>47</v>
      </c>
      <c r="H254" s="7"/>
      <c r="I254" s="7"/>
      <c r="J254" s="7" t="s">
        <v>498</v>
      </c>
      <c r="K254" s="7" t="s">
        <v>49</v>
      </c>
      <c r="L254" s="7" t="s">
        <v>49</v>
      </c>
      <c r="M254" s="7" t="s">
        <v>49</v>
      </c>
      <c r="N254" s="7" t="s">
        <v>50</v>
      </c>
      <c r="O254" s="7" t="s">
        <v>4</v>
      </c>
      <c r="P254" s="7">
        <v>550000</v>
      </c>
      <c r="Q254" s="7">
        <v>550000</v>
      </c>
      <c r="R254" s="7">
        <v>550000</v>
      </c>
      <c r="S254" s="7">
        <v>550000</v>
      </c>
      <c r="T254" s="7">
        <v>550000</v>
      </c>
      <c r="U254" s="7">
        <v>550000</v>
      </c>
      <c r="V254" s="7">
        <v>550000</v>
      </c>
      <c r="W254" s="7">
        <v>550000</v>
      </c>
      <c r="X254" s="7">
        <v>550000</v>
      </c>
      <c r="Y254" s="7">
        <v>550000</v>
      </c>
      <c r="Z254" s="7">
        <v>550000</v>
      </c>
      <c r="AA254" s="7">
        <v>550000</v>
      </c>
      <c r="AB254" s="9">
        <v>34.813211297203999</v>
      </c>
      <c r="AC254" s="9">
        <v>34.813211297203999</v>
      </c>
      <c r="AD254" s="9">
        <v>34.813211297203999</v>
      </c>
      <c r="AE254" s="9">
        <v>34.813211297203999</v>
      </c>
      <c r="AF254" s="9">
        <v>34.813211297203999</v>
      </c>
      <c r="AG254" s="9">
        <v>34.813211297203999</v>
      </c>
      <c r="AH254" s="9">
        <v>34.813211297203999</v>
      </c>
      <c r="AI254" s="9">
        <v>34.813211297203999</v>
      </c>
      <c r="AJ254" s="9">
        <v>34.813211297203999</v>
      </c>
      <c r="AK254" s="9">
        <v>34.813211297203999</v>
      </c>
      <c r="AL254" s="9">
        <v>34.813211297203999</v>
      </c>
      <c r="AM254" s="9">
        <v>34.813211297203999</v>
      </c>
      <c r="AN254" s="10">
        <v>0</v>
      </c>
      <c r="AO254" s="10">
        <v>1</v>
      </c>
      <c r="AP254" s="10">
        <v>0</v>
      </c>
      <c r="AQ254" s="10">
        <v>0</v>
      </c>
      <c r="AR254" s="10">
        <v>0</v>
      </c>
      <c r="AS254" s="10">
        <v>1</v>
      </c>
      <c r="AT254" s="10">
        <v>0</v>
      </c>
      <c r="AU254" s="10">
        <v>1</v>
      </c>
      <c r="AV254" s="10">
        <v>0</v>
      </c>
      <c r="AW254" s="10">
        <v>0</v>
      </c>
      <c r="AX254" s="10">
        <v>0</v>
      </c>
      <c r="AY254" s="10">
        <v>0</v>
      </c>
      <c r="AZ254" s="7">
        <f t="shared" si="12"/>
        <v>3</v>
      </c>
      <c r="BA254" s="11">
        <f t="shared" si="13"/>
        <v>0.25</v>
      </c>
      <c r="BC254" s="12">
        <v>0</v>
      </c>
      <c r="BD254" s="12">
        <v>34.813211297203999</v>
      </c>
      <c r="BE254" s="12">
        <v>0</v>
      </c>
      <c r="BF254" s="12">
        <v>0</v>
      </c>
      <c r="BG254" s="12">
        <v>0</v>
      </c>
      <c r="BH254" s="12">
        <v>34.813211297203999</v>
      </c>
      <c r="BI254" s="12">
        <v>0</v>
      </c>
      <c r="BJ254" s="12">
        <v>34.813211297203999</v>
      </c>
      <c r="BK254" s="12">
        <v>0</v>
      </c>
      <c r="BL254" s="12">
        <v>0</v>
      </c>
      <c r="BM254" s="12">
        <v>0</v>
      </c>
      <c r="BN254" s="12">
        <v>0</v>
      </c>
      <c r="BO254" s="12">
        <f t="shared" si="14"/>
        <v>104.439633891612</v>
      </c>
      <c r="BP254" s="12">
        <f t="shared" si="15"/>
        <v>8.7033028243009998</v>
      </c>
      <c r="BQ254" s="7"/>
      <c r="BR254" s="7"/>
      <c r="BS254" s="7" t="s">
        <v>52</v>
      </c>
      <c r="BT254" s="7" t="s">
        <v>53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/>
    </row>
    <row r="255" spans="1:78" x14ac:dyDescent="0.35">
      <c r="A255" s="7" t="s">
        <v>42</v>
      </c>
      <c r="B255" s="7"/>
      <c r="C255" s="7" t="s">
        <v>650</v>
      </c>
      <c r="D255" s="7" t="s">
        <v>651</v>
      </c>
      <c r="E255" s="7" t="s">
        <v>652</v>
      </c>
      <c r="F255" s="7" t="s">
        <v>653</v>
      </c>
      <c r="G255" s="7" t="s">
        <v>47</v>
      </c>
      <c r="H255" s="7"/>
      <c r="I255" s="7"/>
      <c r="J255" s="7" t="s">
        <v>498</v>
      </c>
      <c r="K255" s="7" t="s">
        <v>49</v>
      </c>
      <c r="L255" s="7" t="s">
        <v>49</v>
      </c>
      <c r="M255" s="7" t="s">
        <v>49</v>
      </c>
      <c r="N255" s="7" t="s">
        <v>94</v>
      </c>
      <c r="O255" s="7" t="s">
        <v>4</v>
      </c>
      <c r="P255" s="7">
        <v>20500000</v>
      </c>
      <c r="Q255" s="7">
        <v>20500000</v>
      </c>
      <c r="R255" s="7">
        <v>20500000</v>
      </c>
      <c r="S255" s="7">
        <v>20500000</v>
      </c>
      <c r="T255" s="7">
        <v>20500000</v>
      </c>
      <c r="U255" s="7">
        <v>20500000</v>
      </c>
      <c r="V255" s="7">
        <v>20500000</v>
      </c>
      <c r="W255" s="7">
        <v>20500000</v>
      </c>
      <c r="X255" s="7">
        <v>20500000</v>
      </c>
      <c r="Y255" s="7">
        <v>20500000</v>
      </c>
      <c r="Z255" s="7">
        <v>20500000</v>
      </c>
      <c r="AA255" s="7">
        <v>20500000</v>
      </c>
      <c r="AB255" s="9">
        <v>1297.5833301685</v>
      </c>
      <c r="AC255" s="9">
        <v>1297.5833301685</v>
      </c>
      <c r="AD255" s="9">
        <v>1297.5833301685</v>
      </c>
      <c r="AE255" s="9">
        <v>1297.5833301685</v>
      </c>
      <c r="AF255" s="9">
        <v>1297.5833301685</v>
      </c>
      <c r="AG255" s="9">
        <v>1297.5833301685</v>
      </c>
      <c r="AH255" s="9">
        <v>1297.5833301685</v>
      </c>
      <c r="AI255" s="9">
        <v>1297.5833301685</v>
      </c>
      <c r="AJ255" s="9">
        <v>1297.5833301685</v>
      </c>
      <c r="AK255" s="9">
        <v>1297.5833301685</v>
      </c>
      <c r="AL255" s="9">
        <v>1297.5833301685</v>
      </c>
      <c r="AM255" s="9">
        <v>1297.5833301685</v>
      </c>
      <c r="AN255" s="10">
        <v>0</v>
      </c>
      <c r="AO255" s="10">
        <v>0</v>
      </c>
      <c r="AP255" s="10">
        <v>0</v>
      </c>
      <c r="AQ255" s="10">
        <v>0</v>
      </c>
      <c r="AR255" s="10">
        <v>1</v>
      </c>
      <c r="AS255" s="10">
        <v>0</v>
      </c>
      <c r="AT255" s="10">
        <v>0</v>
      </c>
      <c r="AU255" s="10">
        <v>0</v>
      </c>
      <c r="AV255" s="10">
        <v>0</v>
      </c>
      <c r="AW255" s="10">
        <v>0</v>
      </c>
      <c r="AX255" s="10">
        <v>0</v>
      </c>
      <c r="AY255" s="10">
        <v>0</v>
      </c>
      <c r="AZ255" s="7">
        <f t="shared" si="12"/>
        <v>1</v>
      </c>
      <c r="BA255" s="11">
        <f t="shared" si="13"/>
        <v>8.3333333333333329E-2</v>
      </c>
      <c r="BC255" s="12">
        <v>0</v>
      </c>
      <c r="BD255" s="12">
        <v>0</v>
      </c>
      <c r="BE255" s="12">
        <v>0</v>
      </c>
      <c r="BF255" s="12">
        <v>0</v>
      </c>
      <c r="BG255" s="12">
        <v>1297.5833301685</v>
      </c>
      <c r="BH255" s="12">
        <v>0</v>
      </c>
      <c r="BI255" s="12">
        <v>0</v>
      </c>
      <c r="BJ255" s="12">
        <v>0</v>
      </c>
      <c r="BK255" s="12">
        <v>0</v>
      </c>
      <c r="BL255" s="12">
        <v>0</v>
      </c>
      <c r="BM255" s="12">
        <v>0</v>
      </c>
      <c r="BN255" s="12">
        <v>0</v>
      </c>
      <c r="BO255" s="12">
        <f t="shared" si="14"/>
        <v>1297.5833301685</v>
      </c>
      <c r="BP255" s="12">
        <f t="shared" si="15"/>
        <v>108.13194418070833</v>
      </c>
      <c r="BQ255" s="7"/>
      <c r="BR255" s="7"/>
      <c r="BS255" s="7" t="s">
        <v>145</v>
      </c>
      <c r="BT255" s="7" t="s">
        <v>53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/>
    </row>
    <row r="256" spans="1:78" x14ac:dyDescent="0.35">
      <c r="A256" s="7" t="s">
        <v>42</v>
      </c>
      <c r="B256" s="7"/>
      <c r="C256" s="7" t="s">
        <v>654</v>
      </c>
      <c r="D256" s="7" t="s">
        <v>655</v>
      </c>
      <c r="E256" s="7" t="s">
        <v>656</v>
      </c>
      <c r="F256" s="7" t="s">
        <v>657</v>
      </c>
      <c r="G256" s="7" t="s">
        <v>47</v>
      </c>
      <c r="H256" s="7"/>
      <c r="I256" s="7"/>
      <c r="J256" s="7" t="s">
        <v>498</v>
      </c>
      <c r="K256" s="7" t="s">
        <v>49</v>
      </c>
      <c r="L256" s="7" t="s">
        <v>49</v>
      </c>
      <c r="M256" s="7" t="s">
        <v>49</v>
      </c>
      <c r="N256" s="7" t="s">
        <v>50</v>
      </c>
      <c r="O256" s="7" t="s">
        <v>4</v>
      </c>
      <c r="P256" s="7">
        <v>20000</v>
      </c>
      <c r="Q256" s="7">
        <v>20000</v>
      </c>
      <c r="R256" s="7">
        <v>20000</v>
      </c>
      <c r="S256" s="7">
        <v>20000</v>
      </c>
      <c r="T256" s="7">
        <v>20000</v>
      </c>
      <c r="U256" s="7">
        <v>20000</v>
      </c>
      <c r="V256" s="7">
        <v>20000</v>
      </c>
      <c r="W256" s="7">
        <v>20000</v>
      </c>
      <c r="X256" s="7">
        <v>20000</v>
      </c>
      <c r="Y256" s="7">
        <v>20000</v>
      </c>
      <c r="Z256" s="7">
        <v>20000</v>
      </c>
      <c r="AA256" s="7">
        <v>20000</v>
      </c>
      <c r="AB256" s="9">
        <v>1.2659349562619</v>
      </c>
      <c r="AC256" s="9">
        <v>1.2659349562619</v>
      </c>
      <c r="AD256" s="9">
        <v>1.2659349562619</v>
      </c>
      <c r="AE256" s="9">
        <v>1.2659349562619</v>
      </c>
      <c r="AF256" s="9">
        <v>1.2659349562619</v>
      </c>
      <c r="AG256" s="9">
        <v>1.2659349562619</v>
      </c>
      <c r="AH256" s="9">
        <v>1.2659349562619</v>
      </c>
      <c r="AI256" s="9">
        <v>1.2659349562619</v>
      </c>
      <c r="AJ256" s="9">
        <v>1.2659349562619</v>
      </c>
      <c r="AK256" s="9">
        <v>1.2659349562619</v>
      </c>
      <c r="AL256" s="9">
        <v>1.2659349562619</v>
      </c>
      <c r="AM256" s="9">
        <v>1.2659349562619</v>
      </c>
      <c r="AN256" s="10">
        <v>0</v>
      </c>
      <c r="AO256" s="10">
        <v>0</v>
      </c>
      <c r="AP256" s="10">
        <v>0</v>
      </c>
      <c r="AQ256" s="10">
        <v>0</v>
      </c>
      <c r="AR256" s="10">
        <v>1</v>
      </c>
      <c r="AS256" s="10">
        <v>0</v>
      </c>
      <c r="AT256" s="10">
        <v>0</v>
      </c>
      <c r="AU256" s="10">
        <v>0</v>
      </c>
      <c r="AV256" s="10">
        <v>0</v>
      </c>
      <c r="AW256" s="10">
        <v>0</v>
      </c>
      <c r="AX256" s="10">
        <v>0</v>
      </c>
      <c r="AY256" s="10">
        <v>0</v>
      </c>
      <c r="AZ256" s="7">
        <f t="shared" si="12"/>
        <v>1</v>
      </c>
      <c r="BA256" s="11">
        <f t="shared" si="13"/>
        <v>8.3333333333333329E-2</v>
      </c>
      <c r="BC256" s="12">
        <v>0</v>
      </c>
      <c r="BD256" s="12">
        <v>0</v>
      </c>
      <c r="BE256" s="12">
        <v>0</v>
      </c>
      <c r="BF256" s="12">
        <v>0</v>
      </c>
      <c r="BG256" s="12">
        <v>1.2659349562619</v>
      </c>
      <c r="BH256" s="12">
        <v>0</v>
      </c>
      <c r="BI256" s="12">
        <v>0</v>
      </c>
      <c r="BJ256" s="12">
        <v>0</v>
      </c>
      <c r="BK256" s="12">
        <v>0</v>
      </c>
      <c r="BL256" s="12">
        <v>0</v>
      </c>
      <c r="BM256" s="12">
        <v>0</v>
      </c>
      <c r="BN256" s="12">
        <v>0</v>
      </c>
      <c r="BO256" s="12">
        <f t="shared" si="14"/>
        <v>1.2659349562619</v>
      </c>
      <c r="BP256" s="12">
        <f t="shared" si="15"/>
        <v>0.10549457968849167</v>
      </c>
      <c r="BQ256" s="7"/>
      <c r="BR256" s="7"/>
      <c r="BS256" s="7" t="s">
        <v>52</v>
      </c>
      <c r="BT256" s="7" t="s">
        <v>53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/>
    </row>
    <row r="257" spans="1:78" x14ac:dyDescent="0.35">
      <c r="A257" s="7" t="s">
        <v>42</v>
      </c>
      <c r="B257" s="7"/>
      <c r="C257" s="7" t="s">
        <v>658</v>
      </c>
      <c r="D257" s="7" t="s">
        <v>659</v>
      </c>
      <c r="E257" s="7" t="s">
        <v>660</v>
      </c>
      <c r="F257" s="7" t="s">
        <v>513</v>
      </c>
      <c r="G257" s="7" t="s">
        <v>47</v>
      </c>
      <c r="H257" s="7"/>
      <c r="I257" s="7"/>
      <c r="J257" s="7" t="s">
        <v>498</v>
      </c>
      <c r="K257" s="7" t="s">
        <v>49</v>
      </c>
      <c r="L257" s="7" t="s">
        <v>49</v>
      </c>
      <c r="M257" s="7" t="s">
        <v>49</v>
      </c>
      <c r="N257" s="7" t="s">
        <v>50</v>
      </c>
      <c r="O257" s="7" t="s">
        <v>4</v>
      </c>
      <c r="P257" s="7">
        <v>770000</v>
      </c>
      <c r="Q257" s="7">
        <v>770000</v>
      </c>
      <c r="R257" s="7">
        <v>770000</v>
      </c>
      <c r="S257" s="7">
        <v>770000</v>
      </c>
      <c r="T257" s="7">
        <v>770000</v>
      </c>
      <c r="U257" s="7">
        <v>770000</v>
      </c>
      <c r="V257" s="7">
        <v>770000</v>
      </c>
      <c r="W257" s="7">
        <v>770000</v>
      </c>
      <c r="X257" s="7">
        <v>770000</v>
      </c>
      <c r="Y257" s="7">
        <v>770000</v>
      </c>
      <c r="Z257" s="7">
        <v>770000</v>
      </c>
      <c r="AA257" s="7">
        <v>770000</v>
      </c>
      <c r="AB257" s="9">
        <v>48.738495816084999</v>
      </c>
      <c r="AC257" s="9">
        <v>48.738495816084999</v>
      </c>
      <c r="AD257" s="9">
        <v>48.738495816084999</v>
      </c>
      <c r="AE257" s="9">
        <v>48.738495816084999</v>
      </c>
      <c r="AF257" s="9">
        <v>48.738495816084999</v>
      </c>
      <c r="AG257" s="9">
        <v>48.738495816084999</v>
      </c>
      <c r="AH257" s="9">
        <v>48.738495816084999</v>
      </c>
      <c r="AI257" s="9">
        <v>48.738495816084999</v>
      </c>
      <c r="AJ257" s="9">
        <v>48.738495816084999</v>
      </c>
      <c r="AK257" s="9">
        <v>48.738495816084999</v>
      </c>
      <c r="AL257" s="9">
        <v>48.738495816084999</v>
      </c>
      <c r="AM257" s="9">
        <v>48.738495816084999</v>
      </c>
      <c r="AN257" s="10">
        <v>0</v>
      </c>
      <c r="AO257" s="10">
        <v>1</v>
      </c>
      <c r="AP257" s="10">
        <v>0</v>
      </c>
      <c r="AQ257" s="10">
        <v>0</v>
      </c>
      <c r="AR257" s="10">
        <v>1</v>
      </c>
      <c r="AS257" s="10">
        <v>0</v>
      </c>
      <c r="AT257" s="10">
        <v>0</v>
      </c>
      <c r="AU257" s="10">
        <v>0</v>
      </c>
      <c r="AV257" s="10">
        <v>0</v>
      </c>
      <c r="AW257" s="10">
        <v>0</v>
      </c>
      <c r="AX257" s="10">
        <v>0</v>
      </c>
      <c r="AY257" s="10">
        <v>0</v>
      </c>
      <c r="AZ257" s="7">
        <f t="shared" si="12"/>
        <v>2</v>
      </c>
      <c r="BA257" s="11">
        <f t="shared" si="13"/>
        <v>0.16666666666666666</v>
      </c>
      <c r="BC257" s="12">
        <v>0</v>
      </c>
      <c r="BD257" s="12">
        <v>48.738495816084999</v>
      </c>
      <c r="BE257" s="12">
        <v>0</v>
      </c>
      <c r="BF257" s="12">
        <v>0</v>
      </c>
      <c r="BG257" s="12">
        <v>48.738495816084999</v>
      </c>
      <c r="BH257" s="12">
        <v>0</v>
      </c>
      <c r="BI257" s="12">
        <v>0</v>
      </c>
      <c r="BJ257" s="12">
        <v>0</v>
      </c>
      <c r="BK257" s="12">
        <v>0</v>
      </c>
      <c r="BL257" s="12">
        <v>0</v>
      </c>
      <c r="BM257" s="12">
        <v>0</v>
      </c>
      <c r="BN257" s="12">
        <v>0</v>
      </c>
      <c r="BO257" s="12">
        <f t="shared" si="14"/>
        <v>97.476991632169998</v>
      </c>
      <c r="BP257" s="12">
        <f t="shared" si="15"/>
        <v>8.1230826360141659</v>
      </c>
      <c r="BQ257" s="7"/>
      <c r="BR257" s="7"/>
      <c r="BS257" s="7" t="s">
        <v>52</v>
      </c>
      <c r="BT257" s="7" t="s">
        <v>53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/>
    </row>
    <row r="258" spans="1:78" x14ac:dyDescent="0.35">
      <c r="A258" s="7" t="s">
        <v>42</v>
      </c>
      <c r="B258" s="7"/>
      <c r="C258" s="7" t="s">
        <v>661</v>
      </c>
      <c r="D258" s="7" t="s">
        <v>662</v>
      </c>
      <c r="E258" s="7" t="s">
        <v>663</v>
      </c>
      <c r="F258" s="7" t="s">
        <v>513</v>
      </c>
      <c r="G258" s="7" t="s">
        <v>47</v>
      </c>
      <c r="H258" s="7"/>
      <c r="I258" s="7"/>
      <c r="J258" s="7" t="s">
        <v>498</v>
      </c>
      <c r="K258" s="7" t="s">
        <v>49</v>
      </c>
      <c r="L258" s="7" t="s">
        <v>49</v>
      </c>
      <c r="M258" s="7" t="s">
        <v>49</v>
      </c>
      <c r="N258" s="7" t="s">
        <v>50</v>
      </c>
      <c r="O258" s="7" t="s">
        <v>4</v>
      </c>
      <c r="P258" s="7">
        <v>13200000</v>
      </c>
      <c r="Q258" s="7">
        <v>13200000</v>
      </c>
      <c r="R258" s="7">
        <v>13200000</v>
      </c>
      <c r="S258" s="7">
        <v>13200000</v>
      </c>
      <c r="T258" s="7">
        <v>13200000</v>
      </c>
      <c r="U258" s="7">
        <v>13200000</v>
      </c>
      <c r="V258" s="7">
        <v>13200000</v>
      </c>
      <c r="W258" s="7">
        <v>13200000</v>
      </c>
      <c r="X258" s="7">
        <v>13200000</v>
      </c>
      <c r="Y258" s="7">
        <v>13200000</v>
      </c>
      <c r="Z258" s="7">
        <v>13200000</v>
      </c>
      <c r="AA258" s="7">
        <v>13200000</v>
      </c>
      <c r="AB258" s="9">
        <v>835.51707113289001</v>
      </c>
      <c r="AC258" s="9">
        <v>835.51707113289001</v>
      </c>
      <c r="AD258" s="9">
        <v>835.51707113289001</v>
      </c>
      <c r="AE258" s="9">
        <v>835.51707113289001</v>
      </c>
      <c r="AF258" s="9">
        <v>835.51707113289001</v>
      </c>
      <c r="AG258" s="9">
        <v>835.51707113289001</v>
      </c>
      <c r="AH258" s="9">
        <v>835.51707113289001</v>
      </c>
      <c r="AI258" s="9">
        <v>835.51707113289001</v>
      </c>
      <c r="AJ258" s="9">
        <v>835.51707113289001</v>
      </c>
      <c r="AK258" s="9">
        <v>835.51707113289001</v>
      </c>
      <c r="AL258" s="9">
        <v>835.51707113289001</v>
      </c>
      <c r="AM258" s="9">
        <v>835.51707113289001</v>
      </c>
      <c r="AN258" s="10">
        <v>1</v>
      </c>
      <c r="AO258" s="10">
        <v>0</v>
      </c>
      <c r="AP258" s="10">
        <v>0</v>
      </c>
      <c r="AQ258" s="10">
        <v>0</v>
      </c>
      <c r="AR258" s="10">
        <v>0</v>
      </c>
      <c r="AS258" s="10">
        <v>0</v>
      </c>
      <c r="AT258" s="10">
        <v>0</v>
      </c>
      <c r="AU258" s="10">
        <v>0</v>
      </c>
      <c r="AV258" s="10">
        <v>0</v>
      </c>
      <c r="AW258" s="10">
        <v>0</v>
      </c>
      <c r="AX258" s="10">
        <v>0</v>
      </c>
      <c r="AY258" s="10">
        <v>0</v>
      </c>
      <c r="AZ258" s="7">
        <f t="shared" si="12"/>
        <v>1</v>
      </c>
      <c r="BA258" s="11">
        <f t="shared" si="13"/>
        <v>8.3333333333333329E-2</v>
      </c>
      <c r="BC258" s="12">
        <v>835.51707113289001</v>
      </c>
      <c r="BD258" s="12">
        <v>0</v>
      </c>
      <c r="BE258" s="12">
        <v>0</v>
      </c>
      <c r="BF258" s="12">
        <v>0</v>
      </c>
      <c r="BG258" s="12">
        <v>0</v>
      </c>
      <c r="BH258" s="12">
        <v>0</v>
      </c>
      <c r="BI258" s="12">
        <v>0</v>
      </c>
      <c r="BJ258" s="12">
        <v>0</v>
      </c>
      <c r="BK258" s="12">
        <v>0</v>
      </c>
      <c r="BL258" s="12">
        <v>0</v>
      </c>
      <c r="BM258" s="12">
        <v>0</v>
      </c>
      <c r="BN258" s="12">
        <v>0</v>
      </c>
      <c r="BO258" s="12">
        <f t="shared" si="14"/>
        <v>835.51707113289001</v>
      </c>
      <c r="BP258" s="12">
        <f t="shared" si="15"/>
        <v>69.626422594407501</v>
      </c>
      <c r="BQ258" s="7"/>
      <c r="BR258" s="7"/>
      <c r="BS258" s="7" t="s">
        <v>52</v>
      </c>
      <c r="BT258" s="7" t="s">
        <v>53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/>
    </row>
    <row r="259" spans="1:78" x14ac:dyDescent="0.35">
      <c r="A259" s="7" t="s">
        <v>42</v>
      </c>
      <c r="B259" s="7"/>
      <c r="C259" s="7" t="s">
        <v>664</v>
      </c>
      <c r="D259" s="7" t="s">
        <v>665</v>
      </c>
      <c r="E259" s="7" t="s">
        <v>666</v>
      </c>
      <c r="F259" s="7" t="s">
        <v>667</v>
      </c>
      <c r="G259" s="7" t="s">
        <v>47</v>
      </c>
      <c r="H259" s="7"/>
      <c r="I259" s="7"/>
      <c r="J259" s="7" t="s">
        <v>498</v>
      </c>
      <c r="K259" s="7" t="s">
        <v>49</v>
      </c>
      <c r="L259" s="7" t="s">
        <v>49</v>
      </c>
      <c r="M259" s="7" t="s">
        <v>49</v>
      </c>
      <c r="N259" s="7" t="s">
        <v>304</v>
      </c>
      <c r="O259" s="7" t="s">
        <v>4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9">
        <v>0</v>
      </c>
      <c r="AC259" s="9">
        <v>0</v>
      </c>
      <c r="AD259" s="9">
        <v>0</v>
      </c>
      <c r="AE259" s="9">
        <v>0</v>
      </c>
      <c r="AF259" s="9">
        <v>0</v>
      </c>
      <c r="AG259" s="9">
        <v>0</v>
      </c>
      <c r="AH259" s="9">
        <v>0</v>
      </c>
      <c r="AI259" s="9">
        <v>0</v>
      </c>
      <c r="AJ259" s="9">
        <v>0</v>
      </c>
      <c r="AK259" s="9">
        <v>0</v>
      </c>
      <c r="AL259" s="9">
        <v>0</v>
      </c>
      <c r="AM259" s="9">
        <v>0</v>
      </c>
      <c r="AN259" s="10">
        <v>0</v>
      </c>
      <c r="AO259" s="10">
        <v>0</v>
      </c>
      <c r="AP259" s="10">
        <v>0</v>
      </c>
      <c r="AQ259" s="10">
        <v>0</v>
      </c>
      <c r="AR259" s="10">
        <v>1</v>
      </c>
      <c r="AS259" s="10">
        <v>0</v>
      </c>
      <c r="AT259" s="10">
        <v>0</v>
      </c>
      <c r="AU259" s="10">
        <v>0</v>
      </c>
      <c r="AV259" s="10">
        <v>0</v>
      </c>
      <c r="AW259" s="10">
        <v>0</v>
      </c>
      <c r="AX259" s="10">
        <v>0</v>
      </c>
      <c r="AY259" s="10">
        <v>0</v>
      </c>
      <c r="AZ259" s="7">
        <f t="shared" si="12"/>
        <v>1</v>
      </c>
      <c r="BA259" s="11">
        <f t="shared" si="13"/>
        <v>8.3333333333333329E-2</v>
      </c>
      <c r="BC259" s="12">
        <v>0</v>
      </c>
      <c r="BD259" s="12">
        <v>0</v>
      </c>
      <c r="BE259" s="12">
        <v>0</v>
      </c>
      <c r="BF259" s="12">
        <v>0</v>
      </c>
      <c r="BG259" s="12">
        <v>0</v>
      </c>
      <c r="BH259" s="12">
        <v>0</v>
      </c>
      <c r="BI259" s="12">
        <v>0</v>
      </c>
      <c r="BJ259" s="12">
        <v>0</v>
      </c>
      <c r="BK259" s="12">
        <v>0</v>
      </c>
      <c r="BL259" s="12">
        <v>0</v>
      </c>
      <c r="BM259" s="12">
        <v>0</v>
      </c>
      <c r="BN259" s="12">
        <v>0</v>
      </c>
      <c r="BO259" s="12">
        <f t="shared" si="14"/>
        <v>0</v>
      </c>
      <c r="BP259" s="12">
        <f t="shared" si="15"/>
        <v>0</v>
      </c>
      <c r="BQ259" s="7"/>
      <c r="BR259" s="7"/>
      <c r="BS259" s="7" t="s">
        <v>52</v>
      </c>
      <c r="BT259" s="7" t="s">
        <v>53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/>
    </row>
    <row r="260" spans="1:78" x14ac:dyDescent="0.35">
      <c r="A260" s="7" t="s">
        <v>42</v>
      </c>
      <c r="B260" s="7"/>
      <c r="C260" s="7" t="s">
        <v>668</v>
      </c>
      <c r="D260" s="7" t="s">
        <v>592</v>
      </c>
      <c r="E260" s="7" t="s">
        <v>669</v>
      </c>
      <c r="F260" s="7" t="s">
        <v>513</v>
      </c>
      <c r="G260" s="7" t="s">
        <v>47</v>
      </c>
      <c r="H260" s="7"/>
      <c r="I260" s="7"/>
      <c r="J260" s="7" t="s">
        <v>498</v>
      </c>
      <c r="K260" s="7" t="s">
        <v>49</v>
      </c>
      <c r="L260" s="7" t="s">
        <v>49</v>
      </c>
      <c r="M260" s="7" t="s">
        <v>49</v>
      </c>
      <c r="N260" s="7" t="s">
        <v>50</v>
      </c>
      <c r="O260" s="7" t="s">
        <v>4</v>
      </c>
      <c r="P260" s="7">
        <v>2860000</v>
      </c>
      <c r="Q260" s="7">
        <v>2860000</v>
      </c>
      <c r="R260" s="7">
        <v>2860000</v>
      </c>
      <c r="S260" s="7">
        <v>2860000</v>
      </c>
      <c r="T260" s="7">
        <v>2860000</v>
      </c>
      <c r="U260" s="7">
        <v>2860000</v>
      </c>
      <c r="V260" s="7">
        <v>2860000</v>
      </c>
      <c r="W260" s="7">
        <v>2860000</v>
      </c>
      <c r="X260" s="7">
        <v>2860000</v>
      </c>
      <c r="Y260" s="7">
        <v>2860000</v>
      </c>
      <c r="Z260" s="7">
        <v>2860000</v>
      </c>
      <c r="AA260" s="7">
        <v>2860000</v>
      </c>
      <c r="AB260" s="9">
        <v>181.02869874545999</v>
      </c>
      <c r="AC260" s="9">
        <v>181.02869874545999</v>
      </c>
      <c r="AD260" s="9">
        <v>181.02869874545999</v>
      </c>
      <c r="AE260" s="9">
        <v>181.02869874545999</v>
      </c>
      <c r="AF260" s="9">
        <v>181.02869874545999</v>
      </c>
      <c r="AG260" s="9">
        <v>181.02869874545999</v>
      </c>
      <c r="AH260" s="9">
        <v>181.02869874545999</v>
      </c>
      <c r="AI260" s="9">
        <v>181.02869874545999</v>
      </c>
      <c r="AJ260" s="9">
        <v>181.02869874545999</v>
      </c>
      <c r="AK260" s="9">
        <v>181.02869874545999</v>
      </c>
      <c r="AL260" s="9">
        <v>181.02869874545999</v>
      </c>
      <c r="AM260" s="9">
        <v>181.02869874545999</v>
      </c>
      <c r="AN260" s="10">
        <v>0</v>
      </c>
      <c r="AO260" s="10">
        <v>1</v>
      </c>
      <c r="AP260" s="10">
        <v>0</v>
      </c>
      <c r="AQ260" s="10">
        <v>0</v>
      </c>
      <c r="AR260" s="10">
        <v>0</v>
      </c>
      <c r="AS260" s="10">
        <v>0</v>
      </c>
      <c r="AT260" s="10">
        <v>0</v>
      </c>
      <c r="AU260" s="10">
        <v>0</v>
      </c>
      <c r="AV260" s="10">
        <v>0</v>
      </c>
      <c r="AW260" s="10">
        <v>0</v>
      </c>
      <c r="AX260" s="10">
        <v>0</v>
      </c>
      <c r="AY260" s="10">
        <v>0</v>
      </c>
      <c r="AZ260" s="7">
        <f t="shared" si="12"/>
        <v>1</v>
      </c>
      <c r="BA260" s="11">
        <f t="shared" si="13"/>
        <v>8.3333333333333329E-2</v>
      </c>
      <c r="BC260" s="12">
        <v>0</v>
      </c>
      <c r="BD260" s="12">
        <v>181.02869874545999</v>
      </c>
      <c r="BE260" s="12">
        <v>0</v>
      </c>
      <c r="BF260" s="12">
        <v>0</v>
      </c>
      <c r="BG260" s="12">
        <v>0</v>
      </c>
      <c r="BH260" s="12">
        <v>0</v>
      </c>
      <c r="BI260" s="12">
        <v>0</v>
      </c>
      <c r="BJ260" s="12">
        <v>0</v>
      </c>
      <c r="BK260" s="12">
        <v>0</v>
      </c>
      <c r="BL260" s="12">
        <v>0</v>
      </c>
      <c r="BM260" s="12">
        <v>0</v>
      </c>
      <c r="BN260" s="12">
        <v>0</v>
      </c>
      <c r="BO260" s="12">
        <f t="shared" si="14"/>
        <v>181.02869874545999</v>
      </c>
      <c r="BP260" s="12">
        <f t="shared" si="15"/>
        <v>15.085724895455</v>
      </c>
      <c r="BQ260" s="7"/>
      <c r="BR260" s="7"/>
      <c r="BS260" s="7" t="s">
        <v>52</v>
      </c>
      <c r="BT260" s="7" t="s">
        <v>53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/>
    </row>
    <row r="261" spans="1:78" x14ac:dyDescent="0.35">
      <c r="A261" s="7" t="s">
        <v>42</v>
      </c>
      <c r="B261" s="7"/>
      <c r="C261" s="7" t="s">
        <v>670</v>
      </c>
      <c r="D261" s="7" t="s">
        <v>655</v>
      </c>
      <c r="E261" s="7" t="s">
        <v>671</v>
      </c>
      <c r="F261" s="7" t="s">
        <v>657</v>
      </c>
      <c r="G261" s="7" t="s">
        <v>47</v>
      </c>
      <c r="H261" s="7"/>
      <c r="I261" s="7"/>
      <c r="J261" s="7" t="s">
        <v>498</v>
      </c>
      <c r="K261" s="7" t="s">
        <v>49</v>
      </c>
      <c r="L261" s="7" t="s">
        <v>49</v>
      </c>
      <c r="M261" s="7" t="s">
        <v>49</v>
      </c>
      <c r="N261" s="7" t="s">
        <v>50</v>
      </c>
      <c r="O261" s="7" t="s">
        <v>4</v>
      </c>
      <c r="P261" s="7">
        <v>20000</v>
      </c>
      <c r="Q261" s="7">
        <v>20000</v>
      </c>
      <c r="R261" s="7">
        <v>20000</v>
      </c>
      <c r="S261" s="7">
        <v>20000</v>
      </c>
      <c r="T261" s="7">
        <v>20000</v>
      </c>
      <c r="U261" s="7">
        <v>20000</v>
      </c>
      <c r="V261" s="7">
        <v>20000</v>
      </c>
      <c r="W261" s="7">
        <v>20000</v>
      </c>
      <c r="X261" s="7">
        <v>20000</v>
      </c>
      <c r="Y261" s="7">
        <v>20000</v>
      </c>
      <c r="Z261" s="7">
        <v>20000</v>
      </c>
      <c r="AA261" s="7">
        <v>20000</v>
      </c>
      <c r="AB261" s="9">
        <v>1.2659349562619</v>
      </c>
      <c r="AC261" s="9">
        <v>1.2659349562619</v>
      </c>
      <c r="AD261" s="9">
        <v>1.2659349562619</v>
      </c>
      <c r="AE261" s="9">
        <v>1.2659349562619</v>
      </c>
      <c r="AF261" s="9">
        <v>1.2659349562619</v>
      </c>
      <c r="AG261" s="9">
        <v>1.2659349562619</v>
      </c>
      <c r="AH261" s="9">
        <v>1.2659349562619</v>
      </c>
      <c r="AI261" s="9">
        <v>1.2659349562619</v>
      </c>
      <c r="AJ261" s="9">
        <v>1.2659349562619</v>
      </c>
      <c r="AK261" s="9">
        <v>1.2659349562619</v>
      </c>
      <c r="AL261" s="9">
        <v>1.2659349562619</v>
      </c>
      <c r="AM261" s="9">
        <v>1.2659349562619</v>
      </c>
      <c r="AN261" s="10">
        <v>0</v>
      </c>
      <c r="AO261" s="10">
        <v>0</v>
      </c>
      <c r="AP261" s="10">
        <v>0</v>
      </c>
      <c r="AQ261" s="10">
        <v>0</v>
      </c>
      <c r="AR261" s="10">
        <v>1</v>
      </c>
      <c r="AS261" s="10">
        <v>0</v>
      </c>
      <c r="AT261" s="10">
        <v>0</v>
      </c>
      <c r="AU261" s="10">
        <v>0</v>
      </c>
      <c r="AV261" s="10">
        <v>0</v>
      </c>
      <c r="AW261" s="10">
        <v>0</v>
      </c>
      <c r="AX261" s="10">
        <v>0</v>
      </c>
      <c r="AY261" s="10">
        <v>0</v>
      </c>
      <c r="AZ261" s="7">
        <f t="shared" si="12"/>
        <v>1</v>
      </c>
      <c r="BA261" s="11">
        <f t="shared" si="13"/>
        <v>8.3333333333333329E-2</v>
      </c>
      <c r="BC261" s="12">
        <v>0</v>
      </c>
      <c r="BD261" s="12">
        <v>0</v>
      </c>
      <c r="BE261" s="12">
        <v>0</v>
      </c>
      <c r="BF261" s="12">
        <v>0</v>
      </c>
      <c r="BG261" s="12">
        <v>1.2659349562619</v>
      </c>
      <c r="BH261" s="12">
        <v>0</v>
      </c>
      <c r="BI261" s="12">
        <v>0</v>
      </c>
      <c r="BJ261" s="12">
        <v>0</v>
      </c>
      <c r="BK261" s="12">
        <v>0</v>
      </c>
      <c r="BL261" s="12">
        <v>0</v>
      </c>
      <c r="BM261" s="12">
        <v>0</v>
      </c>
      <c r="BN261" s="12">
        <v>0</v>
      </c>
      <c r="BO261" s="12">
        <f t="shared" si="14"/>
        <v>1.2659349562619</v>
      </c>
      <c r="BP261" s="12">
        <f t="shared" si="15"/>
        <v>0.10549457968849167</v>
      </c>
      <c r="BQ261" s="7"/>
      <c r="BR261" s="7"/>
      <c r="BS261" s="7" t="s">
        <v>52</v>
      </c>
      <c r="BT261" s="7" t="s">
        <v>53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/>
    </row>
    <row r="262" spans="1:78" x14ac:dyDescent="0.35">
      <c r="A262" s="7" t="s">
        <v>42</v>
      </c>
      <c r="B262" s="7"/>
      <c r="C262" s="7" t="s">
        <v>672</v>
      </c>
      <c r="D262" s="7" t="s">
        <v>655</v>
      </c>
      <c r="E262" s="7" t="s">
        <v>673</v>
      </c>
      <c r="F262" s="7" t="s">
        <v>657</v>
      </c>
      <c r="G262" s="7" t="s">
        <v>47</v>
      </c>
      <c r="H262" s="7"/>
      <c r="I262" s="7"/>
      <c r="J262" s="7" t="s">
        <v>498</v>
      </c>
      <c r="K262" s="7" t="s">
        <v>49</v>
      </c>
      <c r="L262" s="7" t="s">
        <v>49</v>
      </c>
      <c r="M262" s="7" t="s">
        <v>49</v>
      </c>
      <c r="N262" s="7" t="s">
        <v>50</v>
      </c>
      <c r="O262" s="7" t="s">
        <v>4</v>
      </c>
      <c r="P262" s="7">
        <v>20000</v>
      </c>
      <c r="Q262" s="7">
        <v>20000</v>
      </c>
      <c r="R262" s="7">
        <v>20000</v>
      </c>
      <c r="S262" s="7">
        <v>20000</v>
      </c>
      <c r="T262" s="7">
        <v>20000</v>
      </c>
      <c r="U262" s="7">
        <v>20000</v>
      </c>
      <c r="V262" s="7">
        <v>20000</v>
      </c>
      <c r="W262" s="7">
        <v>20000</v>
      </c>
      <c r="X262" s="7">
        <v>20000</v>
      </c>
      <c r="Y262" s="7">
        <v>20000</v>
      </c>
      <c r="Z262" s="7">
        <v>20000</v>
      </c>
      <c r="AA262" s="7">
        <v>20000</v>
      </c>
      <c r="AB262" s="9">
        <v>1.2659349562619</v>
      </c>
      <c r="AC262" s="9">
        <v>1.2659349562619</v>
      </c>
      <c r="AD262" s="9">
        <v>1.2659349562619</v>
      </c>
      <c r="AE262" s="9">
        <v>1.2659349562619</v>
      </c>
      <c r="AF262" s="9">
        <v>1.2659349562619</v>
      </c>
      <c r="AG262" s="9">
        <v>1.2659349562619</v>
      </c>
      <c r="AH262" s="9">
        <v>1.2659349562619</v>
      </c>
      <c r="AI262" s="9">
        <v>1.2659349562619</v>
      </c>
      <c r="AJ262" s="9">
        <v>1.2659349562619</v>
      </c>
      <c r="AK262" s="9">
        <v>1.2659349562619</v>
      </c>
      <c r="AL262" s="9">
        <v>1.2659349562619</v>
      </c>
      <c r="AM262" s="9">
        <v>1.2659349562619</v>
      </c>
      <c r="AN262" s="10">
        <v>0</v>
      </c>
      <c r="AO262" s="10">
        <v>0</v>
      </c>
      <c r="AP262" s="10">
        <v>0</v>
      </c>
      <c r="AQ262" s="10">
        <v>0</v>
      </c>
      <c r="AR262" s="10">
        <v>1</v>
      </c>
      <c r="AS262" s="10">
        <v>0</v>
      </c>
      <c r="AT262" s="10">
        <v>0</v>
      </c>
      <c r="AU262" s="10">
        <v>0</v>
      </c>
      <c r="AV262" s="10">
        <v>0</v>
      </c>
      <c r="AW262" s="10">
        <v>0</v>
      </c>
      <c r="AX262" s="10">
        <v>0</v>
      </c>
      <c r="AY262" s="10">
        <v>0</v>
      </c>
      <c r="AZ262" s="7">
        <f t="shared" si="12"/>
        <v>1</v>
      </c>
      <c r="BA262" s="11">
        <f t="shared" si="13"/>
        <v>8.3333333333333329E-2</v>
      </c>
      <c r="BC262" s="12">
        <v>0</v>
      </c>
      <c r="BD262" s="12">
        <v>0</v>
      </c>
      <c r="BE262" s="12">
        <v>0</v>
      </c>
      <c r="BF262" s="12">
        <v>0</v>
      </c>
      <c r="BG262" s="12">
        <v>1.2659349562619</v>
      </c>
      <c r="BH262" s="12">
        <v>0</v>
      </c>
      <c r="BI262" s="12">
        <v>0</v>
      </c>
      <c r="BJ262" s="12">
        <v>0</v>
      </c>
      <c r="BK262" s="12">
        <v>0</v>
      </c>
      <c r="BL262" s="12">
        <v>0</v>
      </c>
      <c r="BM262" s="12">
        <v>0</v>
      </c>
      <c r="BN262" s="12">
        <v>0</v>
      </c>
      <c r="BO262" s="12">
        <f t="shared" si="14"/>
        <v>1.2659349562619</v>
      </c>
      <c r="BP262" s="12">
        <f t="shared" si="15"/>
        <v>0.10549457968849167</v>
      </c>
      <c r="BQ262" s="7"/>
      <c r="BR262" s="7"/>
      <c r="BS262" s="7" t="s">
        <v>52</v>
      </c>
      <c r="BT262" s="7" t="s">
        <v>53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/>
    </row>
    <row r="263" spans="1:78" x14ac:dyDescent="0.35">
      <c r="A263" s="7" t="s">
        <v>42</v>
      </c>
      <c r="B263" s="7"/>
      <c r="C263" s="7" t="s">
        <v>674</v>
      </c>
      <c r="D263" s="7" t="s">
        <v>675</v>
      </c>
      <c r="E263" s="7" t="s">
        <v>676</v>
      </c>
      <c r="F263" s="7" t="s">
        <v>657</v>
      </c>
      <c r="G263" s="7" t="s">
        <v>47</v>
      </c>
      <c r="H263" s="7"/>
      <c r="I263" s="7"/>
      <c r="J263" s="7" t="s">
        <v>498</v>
      </c>
      <c r="K263" s="7" t="s">
        <v>49</v>
      </c>
      <c r="L263" s="7" t="s">
        <v>49</v>
      </c>
      <c r="M263" s="7" t="s">
        <v>49</v>
      </c>
      <c r="N263" s="7" t="s">
        <v>50</v>
      </c>
      <c r="O263" s="7" t="s">
        <v>4</v>
      </c>
      <c r="P263" s="7">
        <v>250000</v>
      </c>
      <c r="Q263" s="7">
        <v>250000</v>
      </c>
      <c r="R263" s="7">
        <v>250000</v>
      </c>
      <c r="S263" s="7">
        <v>250000</v>
      </c>
      <c r="T263" s="7">
        <v>250000</v>
      </c>
      <c r="U263" s="7">
        <v>250000</v>
      </c>
      <c r="V263" s="7">
        <v>250000</v>
      </c>
      <c r="W263" s="7">
        <v>250000</v>
      </c>
      <c r="X263" s="7">
        <v>250000</v>
      </c>
      <c r="Y263" s="7">
        <v>250000</v>
      </c>
      <c r="Z263" s="7">
        <v>250000</v>
      </c>
      <c r="AA263" s="7">
        <v>250000</v>
      </c>
      <c r="AB263" s="9">
        <v>15.824186953273999</v>
      </c>
      <c r="AC263" s="9">
        <v>15.824186953273999</v>
      </c>
      <c r="AD263" s="9">
        <v>15.824186953273999</v>
      </c>
      <c r="AE263" s="9">
        <v>15.824186953273999</v>
      </c>
      <c r="AF263" s="9">
        <v>15.824186953273999</v>
      </c>
      <c r="AG263" s="9">
        <v>15.824186953273999</v>
      </c>
      <c r="AH263" s="9">
        <v>15.824186953273999</v>
      </c>
      <c r="AI263" s="9">
        <v>15.824186953273999</v>
      </c>
      <c r="AJ263" s="9">
        <v>15.824186953273999</v>
      </c>
      <c r="AK263" s="9">
        <v>15.824186953273999</v>
      </c>
      <c r="AL263" s="9">
        <v>15.824186953273999</v>
      </c>
      <c r="AM263" s="9">
        <v>15.824186953273999</v>
      </c>
      <c r="AN263" s="10">
        <v>0</v>
      </c>
      <c r="AO263" s="10">
        <v>0</v>
      </c>
      <c r="AP263" s="10">
        <v>0</v>
      </c>
      <c r="AQ263" s="10">
        <v>0</v>
      </c>
      <c r="AR263" s="10">
        <v>3</v>
      </c>
      <c r="AS263" s="10">
        <v>0</v>
      </c>
      <c r="AT263" s="10">
        <v>0</v>
      </c>
      <c r="AU263" s="10">
        <v>0</v>
      </c>
      <c r="AV263" s="10">
        <v>0</v>
      </c>
      <c r="AW263" s="10">
        <v>0</v>
      </c>
      <c r="AX263" s="10">
        <v>0</v>
      </c>
      <c r="AY263" s="10">
        <v>0</v>
      </c>
      <c r="AZ263" s="7">
        <f t="shared" si="12"/>
        <v>3</v>
      </c>
      <c r="BA263" s="11">
        <f t="shared" si="13"/>
        <v>0.25</v>
      </c>
      <c r="BC263" s="12">
        <v>0</v>
      </c>
      <c r="BD263" s="12">
        <v>0</v>
      </c>
      <c r="BE263" s="12">
        <v>0</v>
      </c>
      <c r="BF263" s="12">
        <v>0</v>
      </c>
      <c r="BG263" s="12">
        <v>47.472560859822998</v>
      </c>
      <c r="BH263" s="12">
        <v>0</v>
      </c>
      <c r="BI263" s="12">
        <v>0</v>
      </c>
      <c r="BJ263" s="12">
        <v>0</v>
      </c>
      <c r="BK263" s="12">
        <v>0</v>
      </c>
      <c r="BL263" s="12">
        <v>0</v>
      </c>
      <c r="BM263" s="12">
        <v>0</v>
      </c>
      <c r="BN263" s="12">
        <v>0</v>
      </c>
      <c r="BO263" s="12">
        <f t="shared" si="14"/>
        <v>47.472560859822998</v>
      </c>
      <c r="BP263" s="12">
        <f t="shared" si="15"/>
        <v>3.9560467383185833</v>
      </c>
      <c r="BQ263" s="7"/>
      <c r="BR263" s="7"/>
      <c r="BS263" s="7" t="s">
        <v>52</v>
      </c>
      <c r="BT263" s="7" t="s">
        <v>53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/>
    </row>
    <row r="264" spans="1:78" x14ac:dyDescent="0.35">
      <c r="A264" s="7" t="s">
        <v>42</v>
      </c>
      <c r="B264" s="7"/>
      <c r="C264" s="7" t="s">
        <v>213</v>
      </c>
      <c r="D264" s="7" t="s">
        <v>214</v>
      </c>
      <c r="E264" s="7" t="s">
        <v>215</v>
      </c>
      <c r="F264" s="7" t="s">
        <v>533</v>
      </c>
      <c r="G264" s="7" t="s">
        <v>47</v>
      </c>
      <c r="H264" s="7"/>
      <c r="I264" s="7"/>
      <c r="J264" s="7" t="s">
        <v>498</v>
      </c>
      <c r="K264" s="7" t="s">
        <v>49</v>
      </c>
      <c r="L264" s="7" t="s">
        <v>49</v>
      </c>
      <c r="M264" s="7" t="s">
        <v>49</v>
      </c>
      <c r="N264" s="7" t="s">
        <v>115</v>
      </c>
      <c r="O264" s="7" t="s">
        <v>4</v>
      </c>
      <c r="P264" s="7">
        <v>85495</v>
      </c>
      <c r="Q264" s="7">
        <v>85495</v>
      </c>
      <c r="R264" s="7">
        <v>85495</v>
      </c>
      <c r="S264" s="7">
        <v>85495</v>
      </c>
      <c r="T264" s="7">
        <v>85495</v>
      </c>
      <c r="U264" s="7">
        <v>85495</v>
      </c>
      <c r="V264" s="7">
        <v>85495</v>
      </c>
      <c r="W264" s="7">
        <v>85495</v>
      </c>
      <c r="X264" s="7">
        <v>85495</v>
      </c>
      <c r="Y264" s="7">
        <v>85495</v>
      </c>
      <c r="Z264" s="7">
        <v>85495</v>
      </c>
      <c r="AA264" s="7">
        <v>85495</v>
      </c>
      <c r="AB264" s="9">
        <v>5.4115554542808004</v>
      </c>
      <c r="AC264" s="9">
        <v>5.4115554542808004</v>
      </c>
      <c r="AD264" s="9">
        <v>5.4115554542808004</v>
      </c>
      <c r="AE264" s="9">
        <v>5.4115554542808004</v>
      </c>
      <c r="AF264" s="9">
        <v>5.4115554542808004</v>
      </c>
      <c r="AG264" s="9">
        <v>5.4115554542808004</v>
      </c>
      <c r="AH264" s="9">
        <v>5.4115554542808004</v>
      </c>
      <c r="AI264" s="9">
        <v>5.4115554542808004</v>
      </c>
      <c r="AJ264" s="9">
        <v>5.4115554542808004</v>
      </c>
      <c r="AK264" s="9">
        <v>5.4115554542808004</v>
      </c>
      <c r="AL264" s="9">
        <v>5.4115554542808004</v>
      </c>
      <c r="AM264" s="9">
        <v>5.4115554542808004</v>
      </c>
      <c r="AN264" s="10">
        <v>0</v>
      </c>
      <c r="AO264" s="10">
        <v>1</v>
      </c>
      <c r="AP264" s="10">
        <v>0</v>
      </c>
      <c r="AQ264" s="10">
        <v>0</v>
      </c>
      <c r="AR264" s="10">
        <v>0</v>
      </c>
      <c r="AS264" s="10">
        <v>0</v>
      </c>
      <c r="AT264" s="10">
        <v>0</v>
      </c>
      <c r="AU264" s="10">
        <v>0</v>
      </c>
      <c r="AV264" s="10">
        <v>0</v>
      </c>
      <c r="AW264" s="10">
        <v>0</v>
      </c>
      <c r="AX264" s="10">
        <v>0</v>
      </c>
      <c r="AY264" s="10">
        <v>0</v>
      </c>
      <c r="AZ264" s="7">
        <f t="shared" si="12"/>
        <v>1</v>
      </c>
      <c r="BA264" s="11">
        <f t="shared" si="13"/>
        <v>8.3333333333333329E-2</v>
      </c>
      <c r="BC264" s="12">
        <v>0</v>
      </c>
      <c r="BD264" s="12">
        <v>5.4115554542808004</v>
      </c>
      <c r="BE264" s="12">
        <v>0</v>
      </c>
      <c r="BF264" s="12">
        <v>0</v>
      </c>
      <c r="BG264" s="12">
        <v>0</v>
      </c>
      <c r="BH264" s="12">
        <v>0</v>
      </c>
      <c r="BI264" s="12">
        <v>0</v>
      </c>
      <c r="BJ264" s="12">
        <v>0</v>
      </c>
      <c r="BK264" s="12">
        <v>0</v>
      </c>
      <c r="BL264" s="12">
        <v>0</v>
      </c>
      <c r="BM264" s="12">
        <v>0</v>
      </c>
      <c r="BN264" s="12">
        <v>0</v>
      </c>
      <c r="BO264" s="12">
        <f t="shared" si="14"/>
        <v>5.4115554542808004</v>
      </c>
      <c r="BP264" s="12">
        <f t="shared" si="15"/>
        <v>0.45096295452340002</v>
      </c>
      <c r="BQ264" s="7"/>
      <c r="BR264" s="7"/>
      <c r="BS264" s="7" t="s">
        <v>52</v>
      </c>
      <c r="BT264" s="7" t="s">
        <v>53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/>
    </row>
    <row r="265" spans="1:78" x14ac:dyDescent="0.35">
      <c r="A265" s="7" t="s">
        <v>42</v>
      </c>
      <c r="B265" s="7"/>
      <c r="C265" s="7" t="s">
        <v>366</v>
      </c>
      <c r="D265" s="7" t="s">
        <v>190</v>
      </c>
      <c r="E265" s="7" t="s">
        <v>367</v>
      </c>
      <c r="F265" s="7" t="s">
        <v>677</v>
      </c>
      <c r="G265" s="7" t="s">
        <v>47</v>
      </c>
      <c r="H265" s="7"/>
      <c r="I265" s="7"/>
      <c r="J265" s="7" t="s">
        <v>498</v>
      </c>
      <c r="K265" s="7" t="s">
        <v>49</v>
      </c>
      <c r="L265" s="7" t="s">
        <v>49</v>
      </c>
      <c r="M265" s="7" t="s">
        <v>49</v>
      </c>
      <c r="N265" s="7" t="s">
        <v>100</v>
      </c>
      <c r="O265" s="7" t="s">
        <v>4</v>
      </c>
      <c r="P265" s="7">
        <v>1600000</v>
      </c>
      <c r="Q265" s="7">
        <v>1600000</v>
      </c>
      <c r="R265" s="7">
        <v>1600000</v>
      </c>
      <c r="S265" s="7">
        <v>1600000</v>
      </c>
      <c r="T265" s="7">
        <v>1600000</v>
      </c>
      <c r="U265" s="7">
        <v>1600000</v>
      </c>
      <c r="V265" s="7">
        <v>1600000</v>
      </c>
      <c r="W265" s="7">
        <v>1600000</v>
      </c>
      <c r="X265" s="7">
        <v>1600000</v>
      </c>
      <c r="Y265" s="7">
        <v>1600000</v>
      </c>
      <c r="Z265" s="7">
        <v>1600000</v>
      </c>
      <c r="AA265" s="7">
        <v>1600000</v>
      </c>
      <c r="AB265" s="9">
        <v>101.27479650095999</v>
      </c>
      <c r="AC265" s="9">
        <v>101.27479650095999</v>
      </c>
      <c r="AD265" s="9">
        <v>101.27479650095999</v>
      </c>
      <c r="AE265" s="9">
        <v>101.27479650095999</v>
      </c>
      <c r="AF265" s="9">
        <v>101.27479650095999</v>
      </c>
      <c r="AG265" s="9">
        <v>101.27479650095999</v>
      </c>
      <c r="AH265" s="9">
        <v>101.27479650095999</v>
      </c>
      <c r="AI265" s="9">
        <v>101.27479650095999</v>
      </c>
      <c r="AJ265" s="9">
        <v>101.27479650095999</v>
      </c>
      <c r="AK265" s="9">
        <v>101.27479650095999</v>
      </c>
      <c r="AL265" s="9">
        <v>101.27479650095999</v>
      </c>
      <c r="AM265" s="9">
        <v>101.27479650095999</v>
      </c>
      <c r="AN265" s="10">
        <v>0</v>
      </c>
      <c r="AO265" s="10">
        <v>0</v>
      </c>
      <c r="AP265" s="10">
        <v>0</v>
      </c>
      <c r="AQ265" s="10">
        <v>0</v>
      </c>
      <c r="AR265" s="10">
        <v>2</v>
      </c>
      <c r="AS265" s="10">
        <v>0</v>
      </c>
      <c r="AT265" s="10">
        <v>0</v>
      </c>
      <c r="AU265" s="10">
        <v>0</v>
      </c>
      <c r="AV265" s="10">
        <v>0</v>
      </c>
      <c r="AW265" s="10">
        <v>0</v>
      </c>
      <c r="AX265" s="10">
        <v>0</v>
      </c>
      <c r="AY265" s="10">
        <v>0</v>
      </c>
      <c r="AZ265" s="7">
        <f t="shared" si="12"/>
        <v>2</v>
      </c>
      <c r="BA265" s="11">
        <f t="shared" si="13"/>
        <v>0.16666666666666666</v>
      </c>
      <c r="BC265" s="12">
        <v>0</v>
      </c>
      <c r="BD265" s="12">
        <v>0</v>
      </c>
      <c r="BE265" s="12">
        <v>0</v>
      </c>
      <c r="BF265" s="12">
        <v>0</v>
      </c>
      <c r="BG265" s="12">
        <v>202.54959300191001</v>
      </c>
      <c r="BH265" s="12">
        <v>0</v>
      </c>
      <c r="BI265" s="12">
        <v>0</v>
      </c>
      <c r="BJ265" s="12">
        <v>0</v>
      </c>
      <c r="BK265" s="12">
        <v>0</v>
      </c>
      <c r="BL265" s="12">
        <v>0</v>
      </c>
      <c r="BM265" s="12">
        <v>0</v>
      </c>
      <c r="BN265" s="12">
        <v>0</v>
      </c>
      <c r="BO265" s="12">
        <f t="shared" si="14"/>
        <v>202.54959300191001</v>
      </c>
      <c r="BP265" s="12">
        <f t="shared" si="15"/>
        <v>16.879132750159169</v>
      </c>
      <c r="BQ265" s="7"/>
      <c r="BR265" s="7"/>
      <c r="BS265" s="7" t="s">
        <v>95</v>
      </c>
      <c r="BT265" s="7" t="s">
        <v>53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/>
    </row>
    <row r="266" spans="1:78" x14ac:dyDescent="0.35">
      <c r="A266" s="7" t="s">
        <v>42</v>
      </c>
      <c r="B266" s="7"/>
      <c r="C266" s="7" t="s">
        <v>271</v>
      </c>
      <c r="D266" s="7" t="s">
        <v>190</v>
      </c>
      <c r="E266" s="7" t="s">
        <v>272</v>
      </c>
      <c r="F266" s="7" t="s">
        <v>677</v>
      </c>
      <c r="G266" s="7" t="s">
        <v>47</v>
      </c>
      <c r="H266" s="7"/>
      <c r="I266" s="7"/>
      <c r="J266" s="7" t="s">
        <v>498</v>
      </c>
      <c r="K266" s="7" t="s">
        <v>49</v>
      </c>
      <c r="L266" s="7" t="s">
        <v>49</v>
      </c>
      <c r="M266" s="7" t="s">
        <v>49</v>
      </c>
      <c r="N266" s="7" t="s">
        <v>100</v>
      </c>
      <c r="O266" s="7" t="s">
        <v>4</v>
      </c>
      <c r="P266" s="7">
        <v>1600000</v>
      </c>
      <c r="Q266" s="7">
        <v>1600000</v>
      </c>
      <c r="R266" s="7">
        <v>1600000</v>
      </c>
      <c r="S266" s="7">
        <v>1600000</v>
      </c>
      <c r="T266" s="7">
        <v>1600000</v>
      </c>
      <c r="U266" s="7">
        <v>1600000</v>
      </c>
      <c r="V266" s="7">
        <v>1600000</v>
      </c>
      <c r="W266" s="7">
        <v>1600000</v>
      </c>
      <c r="X266" s="7">
        <v>1600000</v>
      </c>
      <c r="Y266" s="7">
        <v>1600000</v>
      </c>
      <c r="Z266" s="7">
        <v>1600000</v>
      </c>
      <c r="AA266" s="7">
        <v>1600000</v>
      </c>
      <c r="AB266" s="9">
        <v>101.27479650095999</v>
      </c>
      <c r="AC266" s="9">
        <v>101.27479650095999</v>
      </c>
      <c r="AD266" s="9">
        <v>101.27479650095999</v>
      </c>
      <c r="AE266" s="9">
        <v>101.27479650095999</v>
      </c>
      <c r="AF266" s="9">
        <v>101.27479650095999</v>
      </c>
      <c r="AG266" s="9">
        <v>101.27479650095999</v>
      </c>
      <c r="AH266" s="9">
        <v>101.27479650095999</v>
      </c>
      <c r="AI266" s="9">
        <v>101.27479650095999</v>
      </c>
      <c r="AJ266" s="9">
        <v>101.27479650095999</v>
      </c>
      <c r="AK266" s="9">
        <v>101.27479650095999</v>
      </c>
      <c r="AL266" s="9">
        <v>101.27479650095999</v>
      </c>
      <c r="AM266" s="9">
        <v>101.27479650095999</v>
      </c>
      <c r="AN266" s="10">
        <v>0</v>
      </c>
      <c r="AO266" s="10">
        <v>0</v>
      </c>
      <c r="AP266" s="10">
        <v>0</v>
      </c>
      <c r="AQ266" s="10">
        <v>0</v>
      </c>
      <c r="AR266" s="10">
        <v>2</v>
      </c>
      <c r="AS266" s="10">
        <v>0</v>
      </c>
      <c r="AT266" s="10">
        <v>0</v>
      </c>
      <c r="AU266" s="10">
        <v>0</v>
      </c>
      <c r="AV266" s="10">
        <v>0</v>
      </c>
      <c r="AW266" s="10">
        <v>0</v>
      </c>
      <c r="AX266" s="10">
        <v>0</v>
      </c>
      <c r="AY266" s="10">
        <v>0</v>
      </c>
      <c r="AZ266" s="7">
        <f t="shared" si="12"/>
        <v>2</v>
      </c>
      <c r="BA266" s="11">
        <f t="shared" si="13"/>
        <v>0.16666666666666666</v>
      </c>
      <c r="BC266" s="12">
        <v>0</v>
      </c>
      <c r="BD266" s="12">
        <v>0</v>
      </c>
      <c r="BE266" s="12">
        <v>0</v>
      </c>
      <c r="BF266" s="12">
        <v>0</v>
      </c>
      <c r="BG266" s="12">
        <v>202.54959300191001</v>
      </c>
      <c r="BH266" s="12">
        <v>0</v>
      </c>
      <c r="BI266" s="12">
        <v>0</v>
      </c>
      <c r="BJ266" s="12">
        <v>0</v>
      </c>
      <c r="BK266" s="12">
        <v>0</v>
      </c>
      <c r="BL266" s="12">
        <v>0</v>
      </c>
      <c r="BM266" s="12">
        <v>0</v>
      </c>
      <c r="BN266" s="12">
        <v>0</v>
      </c>
      <c r="BO266" s="12">
        <f t="shared" si="14"/>
        <v>202.54959300191001</v>
      </c>
      <c r="BP266" s="12">
        <f t="shared" si="15"/>
        <v>16.879132750159169</v>
      </c>
      <c r="BQ266" s="7"/>
      <c r="BR266" s="7"/>
      <c r="BS266" s="7" t="s">
        <v>95</v>
      </c>
      <c r="BT266" s="7" t="s">
        <v>53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/>
    </row>
    <row r="267" spans="1:78" x14ac:dyDescent="0.35">
      <c r="A267" s="7" t="s">
        <v>42</v>
      </c>
      <c r="B267" s="7"/>
      <c r="C267" s="7" t="s">
        <v>465</v>
      </c>
      <c r="D267" s="7" t="s">
        <v>147</v>
      </c>
      <c r="E267" s="7" t="s">
        <v>466</v>
      </c>
      <c r="F267" s="7" t="s">
        <v>677</v>
      </c>
      <c r="G267" s="7" t="s">
        <v>47</v>
      </c>
      <c r="H267" s="7"/>
      <c r="I267" s="7"/>
      <c r="J267" s="7" t="s">
        <v>498</v>
      </c>
      <c r="K267" s="7" t="s">
        <v>49</v>
      </c>
      <c r="L267" s="7" t="s">
        <v>49</v>
      </c>
      <c r="M267" s="7" t="s">
        <v>49</v>
      </c>
      <c r="N267" s="7" t="s">
        <v>100</v>
      </c>
      <c r="O267" s="7" t="s">
        <v>4</v>
      </c>
      <c r="P267" s="7">
        <v>30000</v>
      </c>
      <c r="Q267" s="7">
        <v>30000</v>
      </c>
      <c r="R267" s="7">
        <v>30000</v>
      </c>
      <c r="S267" s="7">
        <v>30000</v>
      </c>
      <c r="T267" s="7">
        <v>30000</v>
      </c>
      <c r="U267" s="7">
        <v>30000</v>
      </c>
      <c r="V267" s="7">
        <v>30000</v>
      </c>
      <c r="W267" s="7">
        <v>30000</v>
      </c>
      <c r="X267" s="7">
        <v>30000</v>
      </c>
      <c r="Y267" s="7">
        <v>30000</v>
      </c>
      <c r="Z267" s="7">
        <v>30000</v>
      </c>
      <c r="AA267" s="7">
        <v>30000</v>
      </c>
      <c r="AB267" s="9">
        <v>1.8989024343929</v>
      </c>
      <c r="AC267" s="9">
        <v>1.8989024343929</v>
      </c>
      <c r="AD267" s="9">
        <v>1.8989024343929</v>
      </c>
      <c r="AE267" s="9">
        <v>1.8989024343929</v>
      </c>
      <c r="AF267" s="9">
        <v>1.8989024343929</v>
      </c>
      <c r="AG267" s="9">
        <v>1.8989024343929</v>
      </c>
      <c r="AH267" s="9">
        <v>1.8989024343929</v>
      </c>
      <c r="AI267" s="9">
        <v>1.8989024343929</v>
      </c>
      <c r="AJ267" s="9">
        <v>1.8989024343929</v>
      </c>
      <c r="AK267" s="9">
        <v>1.8989024343929</v>
      </c>
      <c r="AL267" s="9">
        <v>1.8989024343929</v>
      </c>
      <c r="AM267" s="9">
        <v>1.8989024343929</v>
      </c>
      <c r="AN267" s="10">
        <v>0</v>
      </c>
      <c r="AO267" s="10">
        <v>0</v>
      </c>
      <c r="AP267" s="10">
        <v>0</v>
      </c>
      <c r="AQ267" s="10">
        <v>0</v>
      </c>
      <c r="AR267" s="10">
        <v>4</v>
      </c>
      <c r="AS267" s="10">
        <v>0</v>
      </c>
      <c r="AT267" s="10">
        <v>0</v>
      </c>
      <c r="AU267" s="10">
        <v>0</v>
      </c>
      <c r="AV267" s="10">
        <v>0</v>
      </c>
      <c r="AW267" s="10">
        <v>0</v>
      </c>
      <c r="AX267" s="10">
        <v>0</v>
      </c>
      <c r="AY267" s="10">
        <v>0</v>
      </c>
      <c r="AZ267" s="7">
        <f t="shared" si="12"/>
        <v>4</v>
      </c>
      <c r="BA267" s="11">
        <f t="shared" si="13"/>
        <v>0.33333333333333331</v>
      </c>
      <c r="BC267" s="12">
        <v>0</v>
      </c>
      <c r="BD267" s="12">
        <v>0</v>
      </c>
      <c r="BE267" s="12">
        <v>0</v>
      </c>
      <c r="BF267" s="12">
        <v>0</v>
      </c>
      <c r="BG267" s="12">
        <v>7.5956097375717002</v>
      </c>
      <c r="BH267" s="12">
        <v>0</v>
      </c>
      <c r="BI267" s="12">
        <v>0</v>
      </c>
      <c r="BJ267" s="12">
        <v>0</v>
      </c>
      <c r="BK267" s="12">
        <v>0</v>
      </c>
      <c r="BL267" s="12">
        <v>0</v>
      </c>
      <c r="BM267" s="12">
        <v>0</v>
      </c>
      <c r="BN267" s="12">
        <v>0</v>
      </c>
      <c r="BO267" s="12">
        <f t="shared" si="14"/>
        <v>7.5956097375717002</v>
      </c>
      <c r="BP267" s="12">
        <f t="shared" si="15"/>
        <v>0.63296747813097498</v>
      </c>
      <c r="BQ267" s="7"/>
      <c r="BR267" s="7"/>
      <c r="BS267" s="7" t="s">
        <v>95</v>
      </c>
      <c r="BT267" s="7" t="s">
        <v>53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/>
    </row>
    <row r="268" spans="1:78" x14ac:dyDescent="0.35">
      <c r="A268" s="7" t="s">
        <v>42</v>
      </c>
      <c r="B268" s="7"/>
      <c r="C268" s="7" t="s">
        <v>678</v>
      </c>
      <c r="D268" s="7" t="s">
        <v>679</v>
      </c>
      <c r="E268" s="7" t="s">
        <v>680</v>
      </c>
      <c r="F268" s="7" t="s">
        <v>681</v>
      </c>
      <c r="G268" s="7" t="s">
        <v>47</v>
      </c>
      <c r="H268" s="7"/>
      <c r="I268" s="7"/>
      <c r="J268" s="7" t="s">
        <v>498</v>
      </c>
      <c r="K268" s="7" t="s">
        <v>49</v>
      </c>
      <c r="L268" s="7" t="s">
        <v>49</v>
      </c>
      <c r="M268" s="7" t="s">
        <v>49</v>
      </c>
      <c r="N268" s="7" t="s">
        <v>50</v>
      </c>
      <c r="O268" s="7" t="s">
        <v>4</v>
      </c>
      <c r="P268" s="7">
        <v>1700000</v>
      </c>
      <c r="Q268" s="7">
        <v>1700000</v>
      </c>
      <c r="R268" s="7">
        <v>1700000</v>
      </c>
      <c r="S268" s="7">
        <v>1700000</v>
      </c>
      <c r="T268" s="7">
        <v>1700000</v>
      </c>
      <c r="U268" s="7">
        <v>1700000</v>
      </c>
      <c r="V268" s="7">
        <v>1700000</v>
      </c>
      <c r="W268" s="7">
        <v>1700000</v>
      </c>
      <c r="X268" s="7">
        <v>1700000</v>
      </c>
      <c r="Y268" s="7">
        <v>1700000</v>
      </c>
      <c r="Z268" s="7">
        <v>1700000</v>
      </c>
      <c r="AA268" s="7">
        <v>1700000</v>
      </c>
      <c r="AB268" s="9">
        <v>107.60447128227</v>
      </c>
      <c r="AC268" s="9">
        <v>107.60447128227</v>
      </c>
      <c r="AD268" s="9">
        <v>107.60447128227</v>
      </c>
      <c r="AE268" s="9">
        <v>107.60447128227</v>
      </c>
      <c r="AF268" s="9">
        <v>107.60447128227</v>
      </c>
      <c r="AG268" s="9">
        <v>107.60447128227</v>
      </c>
      <c r="AH268" s="9">
        <v>107.60447128227</v>
      </c>
      <c r="AI268" s="9">
        <v>107.60447128227</v>
      </c>
      <c r="AJ268" s="9">
        <v>107.60447128227</v>
      </c>
      <c r="AK268" s="9">
        <v>107.60447128227</v>
      </c>
      <c r="AL268" s="9">
        <v>107.60447128227</v>
      </c>
      <c r="AM268" s="9">
        <v>107.60447128227</v>
      </c>
      <c r="AN268" s="10">
        <v>1</v>
      </c>
      <c r="AO268" s="10">
        <v>0</v>
      </c>
      <c r="AP268" s="10">
        <v>0</v>
      </c>
      <c r="AQ268" s="10">
        <v>0</v>
      </c>
      <c r="AR268" s="10">
        <v>0</v>
      </c>
      <c r="AS268" s="10">
        <v>0</v>
      </c>
      <c r="AT268" s="10">
        <v>0</v>
      </c>
      <c r="AU268" s="10">
        <v>0</v>
      </c>
      <c r="AV268" s="10">
        <v>0</v>
      </c>
      <c r="AW268" s="10">
        <v>0</v>
      </c>
      <c r="AX268" s="10">
        <v>0</v>
      </c>
      <c r="AY268" s="10">
        <v>0</v>
      </c>
      <c r="AZ268" s="7">
        <f t="shared" ref="AZ268:AZ331" si="16">SUM(AN268:AY268)</f>
        <v>1</v>
      </c>
      <c r="BA268" s="11">
        <f t="shared" ref="BA268:BA331" si="17">AZ268/12</f>
        <v>8.3333333333333329E-2</v>
      </c>
      <c r="BC268" s="12">
        <v>107.60447128227</v>
      </c>
      <c r="BD268" s="12">
        <v>0</v>
      </c>
      <c r="BE268" s="12">
        <v>0</v>
      </c>
      <c r="BF268" s="12">
        <v>0</v>
      </c>
      <c r="BG268" s="12">
        <v>0</v>
      </c>
      <c r="BH268" s="12">
        <v>0</v>
      </c>
      <c r="BI268" s="12">
        <v>0</v>
      </c>
      <c r="BJ268" s="12">
        <v>0</v>
      </c>
      <c r="BK268" s="12">
        <v>0</v>
      </c>
      <c r="BL268" s="12">
        <v>0</v>
      </c>
      <c r="BM268" s="12">
        <v>0</v>
      </c>
      <c r="BN268" s="12">
        <v>0</v>
      </c>
      <c r="BO268" s="12">
        <f t="shared" ref="BO268:BO331" si="18">SUM(BC268:BN268)</f>
        <v>107.60447128227</v>
      </c>
      <c r="BP268" s="12">
        <f t="shared" ref="BP268:BP331" si="19">BO268/12</f>
        <v>8.9670392735225004</v>
      </c>
      <c r="BQ268" s="7"/>
      <c r="BR268" s="7"/>
      <c r="BS268" s="7" t="s">
        <v>52</v>
      </c>
      <c r="BT268" s="7" t="s">
        <v>53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/>
    </row>
    <row r="269" spans="1:78" x14ac:dyDescent="0.35">
      <c r="A269" s="7" t="s">
        <v>42</v>
      </c>
      <c r="B269" s="7"/>
      <c r="C269" s="7" t="s">
        <v>682</v>
      </c>
      <c r="D269" s="7" t="s">
        <v>541</v>
      </c>
      <c r="E269" s="7" t="s">
        <v>683</v>
      </c>
      <c r="F269" s="7" t="s">
        <v>513</v>
      </c>
      <c r="G269" s="7" t="s">
        <v>47</v>
      </c>
      <c r="H269" s="7"/>
      <c r="I269" s="7"/>
      <c r="J269" s="7" t="s">
        <v>498</v>
      </c>
      <c r="K269" s="7" t="s">
        <v>49</v>
      </c>
      <c r="L269" s="7" t="s">
        <v>49</v>
      </c>
      <c r="M269" s="7" t="s">
        <v>49</v>
      </c>
      <c r="N269" s="7" t="s">
        <v>261</v>
      </c>
      <c r="O269" s="7" t="s">
        <v>4</v>
      </c>
      <c r="P269" s="7">
        <v>9900000</v>
      </c>
      <c r="Q269" s="7">
        <v>9900000</v>
      </c>
      <c r="R269" s="7">
        <v>9900000</v>
      </c>
      <c r="S269" s="7">
        <v>9900000</v>
      </c>
      <c r="T269" s="7">
        <v>9900000</v>
      </c>
      <c r="U269" s="7">
        <v>9900000</v>
      </c>
      <c r="V269" s="7">
        <v>9900000</v>
      </c>
      <c r="W269" s="7">
        <v>9900000</v>
      </c>
      <c r="X269" s="7">
        <v>9900000</v>
      </c>
      <c r="Y269" s="7">
        <v>9900000</v>
      </c>
      <c r="Z269" s="7">
        <v>9900000</v>
      </c>
      <c r="AA269" s="7">
        <v>9900000</v>
      </c>
      <c r="AB269" s="9">
        <v>626.63780334965998</v>
      </c>
      <c r="AC269" s="9">
        <v>626.63780334965998</v>
      </c>
      <c r="AD269" s="9">
        <v>626.63780334965998</v>
      </c>
      <c r="AE269" s="9">
        <v>626.63780334965998</v>
      </c>
      <c r="AF269" s="9">
        <v>626.63780334965998</v>
      </c>
      <c r="AG269" s="9">
        <v>626.63780334965998</v>
      </c>
      <c r="AH269" s="9">
        <v>626.63780334965998</v>
      </c>
      <c r="AI269" s="9">
        <v>626.63780334965998</v>
      </c>
      <c r="AJ269" s="9">
        <v>626.63780334965998</v>
      </c>
      <c r="AK269" s="9">
        <v>626.63780334965998</v>
      </c>
      <c r="AL269" s="9">
        <v>626.63780334965998</v>
      </c>
      <c r="AM269" s="9">
        <v>626.63780334965998</v>
      </c>
      <c r="AN269" s="10">
        <v>0</v>
      </c>
      <c r="AO269" s="10">
        <v>1</v>
      </c>
      <c r="AP269" s="10">
        <v>1</v>
      </c>
      <c r="AQ269" s="10">
        <v>0</v>
      </c>
      <c r="AR269" s="10">
        <v>0</v>
      </c>
      <c r="AS269" s="10">
        <v>0</v>
      </c>
      <c r="AT269" s="10">
        <v>0</v>
      </c>
      <c r="AU269" s="10">
        <v>0</v>
      </c>
      <c r="AV269" s="10">
        <v>0</v>
      </c>
      <c r="AW269" s="10">
        <v>0</v>
      </c>
      <c r="AX269" s="10">
        <v>0</v>
      </c>
      <c r="AY269" s="10">
        <v>0</v>
      </c>
      <c r="AZ269" s="7">
        <f t="shared" si="16"/>
        <v>2</v>
      </c>
      <c r="BA269" s="11">
        <f t="shared" si="17"/>
        <v>0.16666666666666666</v>
      </c>
      <c r="BC269" s="12">
        <v>0</v>
      </c>
      <c r="BD269" s="12">
        <v>626.63780334965998</v>
      </c>
      <c r="BE269" s="12">
        <v>626.63780334965998</v>
      </c>
      <c r="BF269" s="12">
        <v>0</v>
      </c>
      <c r="BG269" s="12">
        <v>0</v>
      </c>
      <c r="BH269" s="12">
        <v>0</v>
      </c>
      <c r="BI269" s="12">
        <v>0</v>
      </c>
      <c r="BJ269" s="12">
        <v>0</v>
      </c>
      <c r="BK269" s="12">
        <v>0</v>
      </c>
      <c r="BL269" s="12">
        <v>0</v>
      </c>
      <c r="BM269" s="12">
        <v>0</v>
      </c>
      <c r="BN269" s="12">
        <v>0</v>
      </c>
      <c r="BO269" s="12">
        <f t="shared" si="18"/>
        <v>1253.27560669932</v>
      </c>
      <c r="BP269" s="12">
        <f t="shared" si="19"/>
        <v>104.43963389161</v>
      </c>
      <c r="BQ269" s="7"/>
      <c r="BR269" s="7"/>
      <c r="BS269" s="7" t="s">
        <v>52</v>
      </c>
      <c r="BT269" s="7" t="s">
        <v>53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/>
    </row>
    <row r="270" spans="1:78" x14ac:dyDescent="0.35">
      <c r="A270" s="7" t="s">
        <v>42</v>
      </c>
      <c r="B270" s="7"/>
      <c r="C270" s="7" t="s">
        <v>684</v>
      </c>
      <c r="D270" s="7" t="s">
        <v>685</v>
      </c>
      <c r="E270" s="7" t="s">
        <v>686</v>
      </c>
      <c r="F270" s="7" t="s">
        <v>509</v>
      </c>
      <c r="G270" s="7" t="s">
        <v>47</v>
      </c>
      <c r="H270" s="7"/>
      <c r="I270" s="7"/>
      <c r="J270" s="7" t="s">
        <v>498</v>
      </c>
      <c r="K270" s="7" t="s">
        <v>49</v>
      </c>
      <c r="L270" s="7" t="s">
        <v>49</v>
      </c>
      <c r="M270" s="7" t="s">
        <v>49</v>
      </c>
      <c r="N270" s="7" t="s">
        <v>261</v>
      </c>
      <c r="O270" s="7" t="s">
        <v>4</v>
      </c>
      <c r="P270" s="7">
        <v>9790000</v>
      </c>
      <c r="Q270" s="7">
        <v>9790000</v>
      </c>
      <c r="R270" s="7">
        <v>9790000</v>
      </c>
      <c r="S270" s="7">
        <v>9790000</v>
      </c>
      <c r="T270" s="7">
        <v>9790000</v>
      </c>
      <c r="U270" s="7">
        <v>9790000</v>
      </c>
      <c r="V270" s="7">
        <v>9790000</v>
      </c>
      <c r="W270" s="7">
        <v>9790000</v>
      </c>
      <c r="X270" s="7">
        <v>9790000</v>
      </c>
      <c r="Y270" s="7">
        <v>9790000</v>
      </c>
      <c r="Z270" s="7">
        <v>9790000</v>
      </c>
      <c r="AA270" s="7">
        <v>9790000</v>
      </c>
      <c r="AB270" s="9">
        <v>619.67516109021994</v>
      </c>
      <c r="AC270" s="9">
        <v>619.67516109021994</v>
      </c>
      <c r="AD270" s="9">
        <v>619.67516109021994</v>
      </c>
      <c r="AE270" s="9">
        <v>619.67516109021994</v>
      </c>
      <c r="AF270" s="9">
        <v>619.67516109021994</v>
      </c>
      <c r="AG270" s="9">
        <v>619.67516109021994</v>
      </c>
      <c r="AH270" s="9">
        <v>619.67516109021994</v>
      </c>
      <c r="AI270" s="9">
        <v>619.67516109021994</v>
      </c>
      <c r="AJ270" s="9">
        <v>619.67516109021994</v>
      </c>
      <c r="AK270" s="9">
        <v>619.67516109021994</v>
      </c>
      <c r="AL270" s="9">
        <v>619.67516109021994</v>
      </c>
      <c r="AM270" s="9">
        <v>619.67516109021994</v>
      </c>
      <c r="AN270" s="10">
        <v>3</v>
      </c>
      <c r="AO270" s="10">
        <v>0</v>
      </c>
      <c r="AP270" s="10">
        <v>0</v>
      </c>
      <c r="AQ270" s="10">
        <v>0</v>
      </c>
      <c r="AR270" s="10">
        <v>0</v>
      </c>
      <c r="AS270" s="10">
        <v>0</v>
      </c>
      <c r="AT270" s="10">
        <v>0</v>
      </c>
      <c r="AU270" s="10">
        <v>0</v>
      </c>
      <c r="AV270" s="10">
        <v>0</v>
      </c>
      <c r="AW270" s="10">
        <v>0</v>
      </c>
      <c r="AX270" s="10">
        <v>0</v>
      </c>
      <c r="AY270" s="10">
        <v>0</v>
      </c>
      <c r="AZ270" s="7">
        <f t="shared" si="16"/>
        <v>3</v>
      </c>
      <c r="BA270" s="11">
        <f t="shared" si="17"/>
        <v>0.25</v>
      </c>
      <c r="BC270" s="12">
        <v>1859.0254832707001</v>
      </c>
      <c r="BD270" s="12">
        <v>0</v>
      </c>
      <c r="BE270" s="12">
        <v>0</v>
      </c>
      <c r="BF270" s="12">
        <v>0</v>
      </c>
      <c r="BG270" s="12">
        <v>0</v>
      </c>
      <c r="BH270" s="12">
        <v>0</v>
      </c>
      <c r="BI270" s="12">
        <v>0</v>
      </c>
      <c r="BJ270" s="12">
        <v>0</v>
      </c>
      <c r="BK270" s="12">
        <v>0</v>
      </c>
      <c r="BL270" s="12">
        <v>0</v>
      </c>
      <c r="BM270" s="12">
        <v>0</v>
      </c>
      <c r="BN270" s="12">
        <v>0</v>
      </c>
      <c r="BO270" s="12">
        <f t="shared" si="18"/>
        <v>1859.0254832707001</v>
      </c>
      <c r="BP270" s="12">
        <f t="shared" si="19"/>
        <v>154.91879027255834</v>
      </c>
      <c r="BQ270" s="7"/>
      <c r="BR270" s="7"/>
      <c r="BS270" s="7" t="s">
        <v>52</v>
      </c>
      <c r="BT270" s="7" t="s">
        <v>53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/>
    </row>
    <row r="271" spans="1:78" x14ac:dyDescent="0.35">
      <c r="A271" s="7" t="s">
        <v>42</v>
      </c>
      <c r="B271" s="7"/>
      <c r="C271" s="7" t="s">
        <v>687</v>
      </c>
      <c r="D271" s="7" t="s">
        <v>688</v>
      </c>
      <c r="E271" s="7" t="s">
        <v>689</v>
      </c>
      <c r="F271" s="7" t="s">
        <v>513</v>
      </c>
      <c r="G271" s="7" t="s">
        <v>47</v>
      </c>
      <c r="H271" s="7"/>
      <c r="I271" s="7"/>
      <c r="J271" s="7" t="s">
        <v>498</v>
      </c>
      <c r="K271" s="7" t="s">
        <v>49</v>
      </c>
      <c r="L271" s="7" t="s">
        <v>49</v>
      </c>
      <c r="M271" s="7" t="s">
        <v>49</v>
      </c>
      <c r="N271" s="7" t="s">
        <v>50</v>
      </c>
      <c r="O271" s="7" t="s">
        <v>4</v>
      </c>
      <c r="P271" s="7">
        <v>440000</v>
      </c>
      <c r="Q271" s="7">
        <v>440000</v>
      </c>
      <c r="R271" s="7">
        <v>440000</v>
      </c>
      <c r="S271" s="7">
        <v>440000</v>
      </c>
      <c r="T271" s="7">
        <v>440000</v>
      </c>
      <c r="U271" s="7">
        <v>440000</v>
      </c>
      <c r="V271" s="7">
        <v>440000</v>
      </c>
      <c r="W271" s="7">
        <v>440000</v>
      </c>
      <c r="X271" s="7">
        <v>440000</v>
      </c>
      <c r="Y271" s="7">
        <v>440000</v>
      </c>
      <c r="Z271" s="7">
        <v>440000</v>
      </c>
      <c r="AA271" s="7">
        <v>440000</v>
      </c>
      <c r="AB271" s="9">
        <v>27.850569037763002</v>
      </c>
      <c r="AC271" s="9">
        <v>27.850569037763002</v>
      </c>
      <c r="AD271" s="9">
        <v>27.850569037763002</v>
      </c>
      <c r="AE271" s="9">
        <v>27.850569037763002</v>
      </c>
      <c r="AF271" s="9">
        <v>27.850569037763002</v>
      </c>
      <c r="AG271" s="9">
        <v>27.850569037763002</v>
      </c>
      <c r="AH271" s="9">
        <v>27.850569037763002</v>
      </c>
      <c r="AI271" s="9">
        <v>27.850569037763002</v>
      </c>
      <c r="AJ271" s="9">
        <v>27.850569037763002</v>
      </c>
      <c r="AK271" s="9">
        <v>27.850569037763002</v>
      </c>
      <c r="AL271" s="9">
        <v>27.850569037763002</v>
      </c>
      <c r="AM271" s="9">
        <v>27.850569037763002</v>
      </c>
      <c r="AN271" s="10">
        <v>0</v>
      </c>
      <c r="AO271" s="10">
        <v>0</v>
      </c>
      <c r="AP271" s="10">
        <v>4</v>
      </c>
      <c r="AQ271" s="10">
        <v>0</v>
      </c>
      <c r="AR271" s="10">
        <v>0</v>
      </c>
      <c r="AS271" s="10">
        <v>0</v>
      </c>
      <c r="AT271" s="10">
        <v>0</v>
      </c>
      <c r="AU271" s="10">
        <v>0</v>
      </c>
      <c r="AV271" s="10">
        <v>0</v>
      </c>
      <c r="AW271" s="10">
        <v>0</v>
      </c>
      <c r="AX271" s="10">
        <v>0</v>
      </c>
      <c r="AY271" s="10">
        <v>0</v>
      </c>
      <c r="AZ271" s="7">
        <f t="shared" si="16"/>
        <v>4</v>
      </c>
      <c r="BA271" s="11">
        <f t="shared" si="17"/>
        <v>0.33333333333333331</v>
      </c>
      <c r="BC271" s="12">
        <v>0</v>
      </c>
      <c r="BD271" s="12">
        <v>0</v>
      </c>
      <c r="BE271" s="12">
        <v>111.40227615105</v>
      </c>
      <c r="BF271" s="12">
        <v>0</v>
      </c>
      <c r="BG271" s="12">
        <v>0</v>
      </c>
      <c r="BH271" s="12">
        <v>0</v>
      </c>
      <c r="BI271" s="12">
        <v>0</v>
      </c>
      <c r="BJ271" s="12">
        <v>0</v>
      </c>
      <c r="BK271" s="12">
        <v>0</v>
      </c>
      <c r="BL271" s="12">
        <v>0</v>
      </c>
      <c r="BM271" s="12">
        <v>0</v>
      </c>
      <c r="BN271" s="12">
        <v>0</v>
      </c>
      <c r="BO271" s="12">
        <f t="shared" si="18"/>
        <v>111.40227615105</v>
      </c>
      <c r="BP271" s="12">
        <f t="shared" si="19"/>
        <v>9.2835230125874997</v>
      </c>
      <c r="BQ271" s="7"/>
      <c r="BR271" s="7"/>
      <c r="BS271" s="7" t="s">
        <v>52</v>
      </c>
      <c r="BT271" s="7" t="s">
        <v>53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/>
    </row>
    <row r="272" spans="1:78" x14ac:dyDescent="0.35">
      <c r="A272" s="7" t="s">
        <v>42</v>
      </c>
      <c r="B272" s="7"/>
      <c r="C272" s="7" t="s">
        <v>690</v>
      </c>
      <c r="D272" s="7" t="s">
        <v>691</v>
      </c>
      <c r="E272" s="7" t="s">
        <v>692</v>
      </c>
      <c r="F272" s="7" t="s">
        <v>509</v>
      </c>
      <c r="G272" s="7" t="s">
        <v>47</v>
      </c>
      <c r="H272" s="7"/>
      <c r="I272" s="7"/>
      <c r="J272" s="7" t="s">
        <v>498</v>
      </c>
      <c r="K272" s="7" t="s">
        <v>49</v>
      </c>
      <c r="L272" s="7" t="s">
        <v>49</v>
      </c>
      <c r="M272" s="7" t="s">
        <v>49</v>
      </c>
      <c r="N272" s="7" t="s">
        <v>261</v>
      </c>
      <c r="O272" s="7" t="s">
        <v>4</v>
      </c>
      <c r="P272" s="7">
        <v>2200000</v>
      </c>
      <c r="Q272" s="7">
        <v>2200000</v>
      </c>
      <c r="R272" s="7">
        <v>2200000</v>
      </c>
      <c r="S272" s="7">
        <v>2200000</v>
      </c>
      <c r="T272" s="7">
        <v>2200000</v>
      </c>
      <c r="U272" s="7">
        <v>2200000</v>
      </c>
      <c r="V272" s="7">
        <v>2200000</v>
      </c>
      <c r="W272" s="7">
        <v>2200000</v>
      </c>
      <c r="X272" s="7">
        <v>2200000</v>
      </c>
      <c r="Y272" s="7">
        <v>2200000</v>
      </c>
      <c r="Z272" s="7">
        <v>2200000</v>
      </c>
      <c r="AA272" s="7">
        <v>2200000</v>
      </c>
      <c r="AB272" s="9">
        <v>139.25284518881</v>
      </c>
      <c r="AC272" s="9">
        <v>139.25284518881</v>
      </c>
      <c r="AD272" s="9">
        <v>139.25284518881</v>
      </c>
      <c r="AE272" s="9">
        <v>139.25284518881</v>
      </c>
      <c r="AF272" s="9">
        <v>139.25284518881</v>
      </c>
      <c r="AG272" s="9">
        <v>139.25284518881</v>
      </c>
      <c r="AH272" s="9">
        <v>139.25284518881</v>
      </c>
      <c r="AI272" s="9">
        <v>139.25284518881</v>
      </c>
      <c r="AJ272" s="9">
        <v>139.25284518881</v>
      </c>
      <c r="AK272" s="9">
        <v>139.25284518881</v>
      </c>
      <c r="AL272" s="9">
        <v>139.25284518881</v>
      </c>
      <c r="AM272" s="9">
        <v>139.25284518881</v>
      </c>
      <c r="AN272" s="10">
        <v>0</v>
      </c>
      <c r="AO272" s="10">
        <v>0</v>
      </c>
      <c r="AP272" s="10">
        <v>0</v>
      </c>
      <c r="AQ272" s="10">
        <v>3</v>
      </c>
      <c r="AR272" s="10">
        <v>0</v>
      </c>
      <c r="AS272" s="10">
        <v>0</v>
      </c>
      <c r="AT272" s="10">
        <v>0</v>
      </c>
      <c r="AU272" s="10">
        <v>0</v>
      </c>
      <c r="AV272" s="10">
        <v>0</v>
      </c>
      <c r="AW272" s="10">
        <v>0</v>
      </c>
      <c r="AX272" s="10">
        <v>0</v>
      </c>
      <c r="AY272" s="10">
        <v>0</v>
      </c>
      <c r="AZ272" s="7">
        <f t="shared" si="16"/>
        <v>3</v>
      </c>
      <c r="BA272" s="11">
        <f t="shared" si="17"/>
        <v>0.25</v>
      </c>
      <c r="BC272" s="12">
        <v>0</v>
      </c>
      <c r="BD272" s="12">
        <v>0</v>
      </c>
      <c r="BE272" s="12">
        <v>0</v>
      </c>
      <c r="BF272" s="12">
        <v>417.75853556644</v>
      </c>
      <c r="BG272" s="12">
        <v>0</v>
      </c>
      <c r="BH272" s="12">
        <v>0</v>
      </c>
      <c r="BI272" s="12">
        <v>0</v>
      </c>
      <c r="BJ272" s="12">
        <v>0</v>
      </c>
      <c r="BK272" s="12">
        <v>0</v>
      </c>
      <c r="BL272" s="12">
        <v>0</v>
      </c>
      <c r="BM272" s="12">
        <v>0</v>
      </c>
      <c r="BN272" s="12">
        <v>0</v>
      </c>
      <c r="BO272" s="12">
        <f t="shared" si="18"/>
        <v>417.75853556644</v>
      </c>
      <c r="BP272" s="12">
        <f t="shared" si="19"/>
        <v>34.813211297203331</v>
      </c>
      <c r="BQ272" s="7"/>
      <c r="BR272" s="7"/>
      <c r="BS272" s="7" t="s">
        <v>52</v>
      </c>
      <c r="BT272" s="7" t="s">
        <v>53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/>
    </row>
    <row r="273" spans="1:78" x14ac:dyDescent="0.35">
      <c r="A273" s="7" t="s">
        <v>42</v>
      </c>
      <c r="B273" s="7"/>
      <c r="C273" s="7" t="s">
        <v>693</v>
      </c>
      <c r="D273" s="7" t="s">
        <v>694</v>
      </c>
      <c r="E273" s="7" t="s">
        <v>695</v>
      </c>
      <c r="F273" s="7" t="s">
        <v>696</v>
      </c>
      <c r="G273" s="7" t="s">
        <v>47</v>
      </c>
      <c r="H273" s="7"/>
      <c r="I273" s="7"/>
      <c r="J273" s="7" t="s">
        <v>498</v>
      </c>
      <c r="K273" s="7" t="s">
        <v>49</v>
      </c>
      <c r="L273" s="7" t="s">
        <v>49</v>
      </c>
      <c r="M273" s="7" t="s">
        <v>49</v>
      </c>
      <c r="N273" s="7" t="s">
        <v>697</v>
      </c>
      <c r="O273" s="7" t="s">
        <v>4</v>
      </c>
      <c r="P273" s="7">
        <v>29725</v>
      </c>
      <c r="Q273" s="7">
        <v>29725</v>
      </c>
      <c r="R273" s="7">
        <v>29725</v>
      </c>
      <c r="S273" s="7">
        <v>29725</v>
      </c>
      <c r="T273" s="7">
        <v>29725</v>
      </c>
      <c r="U273" s="7">
        <v>29725</v>
      </c>
      <c r="V273" s="7">
        <v>30765.375</v>
      </c>
      <c r="W273" s="7">
        <v>30765.375</v>
      </c>
      <c r="X273" s="7">
        <v>30765.375</v>
      </c>
      <c r="Y273" s="7">
        <v>30765.375</v>
      </c>
      <c r="Z273" s="7">
        <v>30765.375</v>
      </c>
      <c r="AA273" s="7">
        <v>30765.375</v>
      </c>
      <c r="AB273" s="9">
        <v>1.8814958287443</v>
      </c>
      <c r="AC273" s="9">
        <v>1.8814958287443</v>
      </c>
      <c r="AD273" s="9">
        <v>1.8814958287443</v>
      </c>
      <c r="AE273" s="9">
        <v>1.8814958287443</v>
      </c>
      <c r="AF273" s="9">
        <v>1.8814958287443</v>
      </c>
      <c r="AG273" s="9">
        <v>1.8814958287443</v>
      </c>
      <c r="AH273" s="9">
        <v>1.9473481827504</v>
      </c>
      <c r="AI273" s="9">
        <v>1.9473481827504</v>
      </c>
      <c r="AJ273" s="9">
        <v>1.9473481827504</v>
      </c>
      <c r="AK273" s="9">
        <v>1.9473481827504</v>
      </c>
      <c r="AL273" s="9">
        <v>1.9473481827504</v>
      </c>
      <c r="AM273" s="9">
        <v>1.9473481827504</v>
      </c>
      <c r="AN273" s="10">
        <v>0</v>
      </c>
      <c r="AO273" s="10">
        <v>0</v>
      </c>
      <c r="AP273" s="10">
        <v>2</v>
      </c>
      <c r="AQ273" s="10">
        <v>0</v>
      </c>
      <c r="AR273" s="10">
        <v>0</v>
      </c>
      <c r="AS273" s="10">
        <v>0</v>
      </c>
      <c r="AT273" s="10">
        <v>0</v>
      </c>
      <c r="AU273" s="10">
        <v>0</v>
      </c>
      <c r="AV273" s="10">
        <v>0</v>
      </c>
      <c r="AW273" s="10">
        <v>0</v>
      </c>
      <c r="AX273" s="10">
        <v>0</v>
      </c>
      <c r="AY273" s="10">
        <v>0</v>
      </c>
      <c r="AZ273" s="7">
        <f t="shared" si="16"/>
        <v>2</v>
      </c>
      <c r="BA273" s="11">
        <f t="shared" si="17"/>
        <v>0.16666666666666666</v>
      </c>
      <c r="BC273" s="12">
        <v>0</v>
      </c>
      <c r="BD273" s="12">
        <v>0</v>
      </c>
      <c r="BE273" s="12">
        <v>3.7629916574886</v>
      </c>
      <c r="BF273" s="12">
        <v>0</v>
      </c>
      <c r="BG273" s="12">
        <v>0</v>
      </c>
      <c r="BH273" s="12">
        <v>0</v>
      </c>
      <c r="BI273" s="12">
        <v>0</v>
      </c>
      <c r="BJ273" s="12">
        <v>0</v>
      </c>
      <c r="BK273" s="12">
        <v>0</v>
      </c>
      <c r="BL273" s="12">
        <v>0</v>
      </c>
      <c r="BM273" s="12">
        <v>0</v>
      </c>
      <c r="BN273" s="12">
        <v>0</v>
      </c>
      <c r="BO273" s="12">
        <f t="shared" si="18"/>
        <v>3.7629916574886</v>
      </c>
      <c r="BP273" s="12">
        <f t="shared" si="19"/>
        <v>0.31358263812405002</v>
      </c>
      <c r="BQ273" s="7"/>
      <c r="BR273" s="7"/>
      <c r="BS273" s="7" t="s">
        <v>52</v>
      </c>
      <c r="BT273" s="7" t="s">
        <v>262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/>
    </row>
    <row r="274" spans="1:78" x14ac:dyDescent="0.35">
      <c r="A274" s="7" t="s">
        <v>42</v>
      </c>
      <c r="B274" s="7"/>
      <c r="C274" s="7" t="s">
        <v>698</v>
      </c>
      <c r="D274" s="7" t="s">
        <v>699</v>
      </c>
      <c r="E274" s="7" t="s">
        <v>700</v>
      </c>
      <c r="F274" s="7" t="s">
        <v>533</v>
      </c>
      <c r="G274" s="7" t="s">
        <v>47</v>
      </c>
      <c r="H274" s="7"/>
      <c r="I274" s="7"/>
      <c r="J274" s="7" t="s">
        <v>498</v>
      </c>
      <c r="K274" s="7" t="s">
        <v>49</v>
      </c>
      <c r="L274" s="7" t="s">
        <v>49</v>
      </c>
      <c r="M274" s="7" t="s">
        <v>49</v>
      </c>
      <c r="N274" s="7" t="s">
        <v>50</v>
      </c>
      <c r="O274" s="7" t="s">
        <v>4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9">
        <v>0</v>
      </c>
      <c r="AC274" s="9">
        <v>0</v>
      </c>
      <c r="AD274" s="9">
        <v>0</v>
      </c>
      <c r="AE274" s="9">
        <v>0</v>
      </c>
      <c r="AF274" s="9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v>0</v>
      </c>
      <c r="AN274" s="10">
        <v>1</v>
      </c>
      <c r="AO274" s="10">
        <v>0</v>
      </c>
      <c r="AP274" s="10">
        <v>0</v>
      </c>
      <c r="AQ274" s="10">
        <v>0</v>
      </c>
      <c r="AR274" s="10">
        <v>0</v>
      </c>
      <c r="AS274" s="10">
        <v>0</v>
      </c>
      <c r="AT274" s="10">
        <v>0</v>
      </c>
      <c r="AU274" s="10">
        <v>0</v>
      </c>
      <c r="AV274" s="10">
        <v>0</v>
      </c>
      <c r="AW274" s="10">
        <v>0</v>
      </c>
      <c r="AX274" s="10">
        <v>0</v>
      </c>
      <c r="AY274" s="10">
        <v>0</v>
      </c>
      <c r="AZ274" s="7">
        <f t="shared" si="16"/>
        <v>1</v>
      </c>
      <c r="BA274" s="11">
        <f t="shared" si="17"/>
        <v>8.3333333333333329E-2</v>
      </c>
      <c r="BC274" s="12">
        <v>0</v>
      </c>
      <c r="BD274" s="12">
        <v>0</v>
      </c>
      <c r="BE274" s="12">
        <v>0</v>
      </c>
      <c r="BF274" s="12">
        <v>0</v>
      </c>
      <c r="BG274" s="12">
        <v>0</v>
      </c>
      <c r="BH274" s="12">
        <v>0</v>
      </c>
      <c r="BI274" s="12">
        <v>0</v>
      </c>
      <c r="BJ274" s="12">
        <v>0</v>
      </c>
      <c r="BK274" s="12">
        <v>0</v>
      </c>
      <c r="BL274" s="12">
        <v>0</v>
      </c>
      <c r="BM274" s="12">
        <v>0</v>
      </c>
      <c r="BN274" s="12">
        <v>0</v>
      </c>
      <c r="BO274" s="12">
        <f t="shared" si="18"/>
        <v>0</v>
      </c>
      <c r="BP274" s="12">
        <f t="shared" si="19"/>
        <v>0</v>
      </c>
      <c r="BQ274" s="7"/>
      <c r="BR274" s="7"/>
      <c r="BS274" s="7" t="s">
        <v>52</v>
      </c>
      <c r="BT274" s="7" t="s">
        <v>53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/>
    </row>
    <row r="275" spans="1:78" x14ac:dyDescent="0.35">
      <c r="A275" s="7" t="s">
        <v>42</v>
      </c>
      <c r="B275" s="7"/>
      <c r="C275" s="7" t="s">
        <v>701</v>
      </c>
      <c r="D275" s="7" t="s">
        <v>136</v>
      </c>
      <c r="E275" s="7" t="s">
        <v>702</v>
      </c>
      <c r="F275" s="7" t="s">
        <v>677</v>
      </c>
      <c r="G275" s="7" t="s">
        <v>47</v>
      </c>
      <c r="H275" s="7"/>
      <c r="I275" s="7"/>
      <c r="J275" s="7" t="s">
        <v>498</v>
      </c>
      <c r="K275" s="7" t="s">
        <v>49</v>
      </c>
      <c r="L275" s="7" t="s">
        <v>49</v>
      </c>
      <c r="M275" s="7" t="s">
        <v>49</v>
      </c>
      <c r="N275" s="7" t="s">
        <v>139</v>
      </c>
      <c r="O275" s="7" t="s">
        <v>4</v>
      </c>
      <c r="P275" s="7">
        <v>800000</v>
      </c>
      <c r="Q275" s="7">
        <v>800000</v>
      </c>
      <c r="R275" s="7">
        <v>800000</v>
      </c>
      <c r="S275" s="7">
        <v>800000</v>
      </c>
      <c r="T275" s="7">
        <v>800000</v>
      </c>
      <c r="U275" s="7">
        <v>800000</v>
      </c>
      <c r="V275" s="7">
        <v>800000</v>
      </c>
      <c r="W275" s="7">
        <v>800000</v>
      </c>
      <c r="X275" s="7">
        <v>800000</v>
      </c>
      <c r="Y275" s="7">
        <v>800000</v>
      </c>
      <c r="Z275" s="7">
        <v>800000</v>
      </c>
      <c r="AA275" s="7">
        <v>800000</v>
      </c>
      <c r="AB275" s="9">
        <v>50.637398250478</v>
      </c>
      <c r="AC275" s="9">
        <v>50.637398250478</v>
      </c>
      <c r="AD275" s="9">
        <v>50.637398250478</v>
      </c>
      <c r="AE275" s="9">
        <v>50.637398250478</v>
      </c>
      <c r="AF275" s="9">
        <v>50.637398250478</v>
      </c>
      <c r="AG275" s="9">
        <v>50.637398250478</v>
      </c>
      <c r="AH275" s="9">
        <v>50.637398250478</v>
      </c>
      <c r="AI275" s="9">
        <v>50.637398250478</v>
      </c>
      <c r="AJ275" s="9">
        <v>50.637398250478</v>
      </c>
      <c r="AK275" s="9">
        <v>50.637398250478</v>
      </c>
      <c r="AL275" s="9">
        <v>50.637398250478</v>
      </c>
      <c r="AM275" s="9">
        <v>50.637398250478</v>
      </c>
      <c r="AN275" s="10">
        <v>0</v>
      </c>
      <c r="AO275" s="10">
        <v>0</v>
      </c>
      <c r="AP275" s="10">
        <v>0</v>
      </c>
      <c r="AQ275" s="10">
        <v>0</v>
      </c>
      <c r="AR275" s="10">
        <v>2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0</v>
      </c>
      <c r="AY275" s="10">
        <v>0</v>
      </c>
      <c r="AZ275" s="7">
        <f t="shared" si="16"/>
        <v>2</v>
      </c>
      <c r="BA275" s="11">
        <f t="shared" si="17"/>
        <v>0.16666666666666666</v>
      </c>
      <c r="BC275" s="12">
        <v>0</v>
      </c>
      <c r="BD275" s="12">
        <v>0</v>
      </c>
      <c r="BE275" s="12">
        <v>0</v>
      </c>
      <c r="BF275" s="12">
        <v>0</v>
      </c>
      <c r="BG275" s="12">
        <v>101.27479650095999</v>
      </c>
      <c r="BH275" s="12">
        <v>0</v>
      </c>
      <c r="BI275" s="12">
        <v>0</v>
      </c>
      <c r="BJ275" s="12">
        <v>0</v>
      </c>
      <c r="BK275" s="12">
        <v>0</v>
      </c>
      <c r="BL275" s="12">
        <v>0</v>
      </c>
      <c r="BM275" s="12">
        <v>0</v>
      </c>
      <c r="BN275" s="12">
        <v>0</v>
      </c>
      <c r="BO275" s="12">
        <f t="shared" si="18"/>
        <v>101.27479650095999</v>
      </c>
      <c r="BP275" s="12">
        <f t="shared" si="19"/>
        <v>8.4395663750800001</v>
      </c>
      <c r="BQ275" s="7"/>
      <c r="BR275" s="7"/>
      <c r="BS275" s="7" t="s">
        <v>95</v>
      </c>
      <c r="BT275" s="7" t="s">
        <v>53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/>
    </row>
    <row r="276" spans="1:78" x14ac:dyDescent="0.35">
      <c r="A276" s="7" t="s">
        <v>42</v>
      </c>
      <c r="B276" s="7"/>
      <c r="C276" s="7" t="s">
        <v>703</v>
      </c>
      <c r="D276" s="7" t="s">
        <v>190</v>
      </c>
      <c r="E276" s="7" t="s">
        <v>704</v>
      </c>
      <c r="F276" s="7" t="s">
        <v>677</v>
      </c>
      <c r="G276" s="7" t="s">
        <v>47</v>
      </c>
      <c r="H276" s="7"/>
      <c r="I276" s="7"/>
      <c r="J276" s="7" t="s">
        <v>498</v>
      </c>
      <c r="K276" s="7" t="s">
        <v>49</v>
      </c>
      <c r="L276" s="7" t="s">
        <v>49</v>
      </c>
      <c r="M276" s="7" t="s">
        <v>49</v>
      </c>
      <c r="N276" s="7" t="s">
        <v>100</v>
      </c>
      <c r="O276" s="7" t="s">
        <v>4</v>
      </c>
      <c r="P276" s="7">
        <v>150000</v>
      </c>
      <c r="Q276" s="7">
        <v>150000</v>
      </c>
      <c r="R276" s="7">
        <v>150000</v>
      </c>
      <c r="S276" s="7">
        <v>150000</v>
      </c>
      <c r="T276" s="7">
        <v>150000</v>
      </c>
      <c r="U276" s="7">
        <v>150000</v>
      </c>
      <c r="V276" s="7">
        <v>150000</v>
      </c>
      <c r="W276" s="7">
        <v>150000</v>
      </c>
      <c r="X276" s="7">
        <v>150000</v>
      </c>
      <c r="Y276" s="7">
        <v>150000</v>
      </c>
      <c r="Z276" s="7">
        <v>150000</v>
      </c>
      <c r="AA276" s="7">
        <v>150000</v>
      </c>
      <c r="AB276" s="9">
        <v>9.4945121719645993</v>
      </c>
      <c r="AC276" s="9">
        <v>9.4945121719645993</v>
      </c>
      <c r="AD276" s="9">
        <v>9.4945121719645993</v>
      </c>
      <c r="AE276" s="9">
        <v>9.4945121719645993</v>
      </c>
      <c r="AF276" s="9">
        <v>9.4945121719645993</v>
      </c>
      <c r="AG276" s="9">
        <v>9.4945121719645993</v>
      </c>
      <c r="AH276" s="9">
        <v>9.4945121719645993</v>
      </c>
      <c r="AI276" s="9">
        <v>9.4945121719645993</v>
      </c>
      <c r="AJ276" s="9">
        <v>9.4945121719645993</v>
      </c>
      <c r="AK276" s="9">
        <v>9.4945121719645993</v>
      </c>
      <c r="AL276" s="9">
        <v>9.4945121719645993</v>
      </c>
      <c r="AM276" s="9">
        <v>9.4945121719645993</v>
      </c>
      <c r="AN276" s="10">
        <v>0</v>
      </c>
      <c r="AO276" s="10">
        <v>0</v>
      </c>
      <c r="AP276" s="10">
        <v>0</v>
      </c>
      <c r="AQ276" s="10">
        <v>0</v>
      </c>
      <c r="AR276" s="10">
        <v>2</v>
      </c>
      <c r="AS276" s="10">
        <v>0</v>
      </c>
      <c r="AT276" s="10">
        <v>0</v>
      </c>
      <c r="AU276" s="10">
        <v>0</v>
      </c>
      <c r="AV276" s="10">
        <v>0</v>
      </c>
      <c r="AW276" s="10">
        <v>0</v>
      </c>
      <c r="AX276" s="10">
        <v>0</v>
      </c>
      <c r="AY276" s="10">
        <v>0</v>
      </c>
      <c r="AZ276" s="7">
        <f t="shared" si="16"/>
        <v>2</v>
      </c>
      <c r="BA276" s="11">
        <f t="shared" si="17"/>
        <v>0.16666666666666666</v>
      </c>
      <c r="BC276" s="12">
        <v>0</v>
      </c>
      <c r="BD276" s="12">
        <v>0</v>
      </c>
      <c r="BE276" s="12">
        <v>0</v>
      </c>
      <c r="BF276" s="12">
        <v>0</v>
      </c>
      <c r="BG276" s="12">
        <v>18.989024343929</v>
      </c>
      <c r="BH276" s="12">
        <v>0</v>
      </c>
      <c r="BI276" s="12">
        <v>0</v>
      </c>
      <c r="BJ276" s="12">
        <v>0</v>
      </c>
      <c r="BK276" s="12">
        <v>0</v>
      </c>
      <c r="BL276" s="12">
        <v>0</v>
      </c>
      <c r="BM276" s="12">
        <v>0</v>
      </c>
      <c r="BN276" s="12">
        <v>0</v>
      </c>
      <c r="BO276" s="12">
        <f t="shared" si="18"/>
        <v>18.989024343929</v>
      </c>
      <c r="BP276" s="12">
        <f t="shared" si="19"/>
        <v>1.5824186953274166</v>
      </c>
      <c r="BQ276" s="7"/>
      <c r="BR276" s="7"/>
      <c r="BS276" s="7" t="s">
        <v>95</v>
      </c>
      <c r="BT276" s="7" t="s">
        <v>53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/>
    </row>
    <row r="277" spans="1:78" x14ac:dyDescent="0.35">
      <c r="A277" s="7" t="s">
        <v>42</v>
      </c>
      <c r="B277" s="7"/>
      <c r="C277" s="7" t="s">
        <v>146</v>
      </c>
      <c r="D277" s="7" t="s">
        <v>147</v>
      </c>
      <c r="E277" s="7" t="s">
        <v>148</v>
      </c>
      <c r="F277" s="7" t="s">
        <v>677</v>
      </c>
      <c r="G277" s="7" t="s">
        <v>47</v>
      </c>
      <c r="H277" s="7"/>
      <c r="I277" s="7"/>
      <c r="J277" s="7" t="s">
        <v>498</v>
      </c>
      <c r="K277" s="7" t="s">
        <v>49</v>
      </c>
      <c r="L277" s="7" t="s">
        <v>49</v>
      </c>
      <c r="M277" s="7" t="s">
        <v>49</v>
      </c>
      <c r="N277" s="7" t="s">
        <v>100</v>
      </c>
      <c r="O277" s="7" t="s">
        <v>4</v>
      </c>
      <c r="P277" s="7">
        <v>35000</v>
      </c>
      <c r="Q277" s="7">
        <v>35000</v>
      </c>
      <c r="R277" s="7">
        <v>35000</v>
      </c>
      <c r="S277" s="7">
        <v>35000</v>
      </c>
      <c r="T277" s="7">
        <v>35000</v>
      </c>
      <c r="U277" s="7">
        <v>35000</v>
      </c>
      <c r="V277" s="7">
        <v>35000</v>
      </c>
      <c r="W277" s="7">
        <v>35000</v>
      </c>
      <c r="X277" s="7">
        <v>35000</v>
      </c>
      <c r="Y277" s="7">
        <v>35000</v>
      </c>
      <c r="Z277" s="7">
        <v>35000</v>
      </c>
      <c r="AA277" s="7">
        <v>35000</v>
      </c>
      <c r="AB277" s="9">
        <v>2.2153861734584002</v>
      </c>
      <c r="AC277" s="9">
        <v>2.2153861734584002</v>
      </c>
      <c r="AD277" s="9">
        <v>2.2153861734584002</v>
      </c>
      <c r="AE277" s="9">
        <v>2.2153861734584002</v>
      </c>
      <c r="AF277" s="9">
        <v>2.2153861734584002</v>
      </c>
      <c r="AG277" s="9">
        <v>2.2153861734584002</v>
      </c>
      <c r="AH277" s="9">
        <v>2.2153861734584002</v>
      </c>
      <c r="AI277" s="9">
        <v>2.2153861734584002</v>
      </c>
      <c r="AJ277" s="9">
        <v>2.2153861734584002</v>
      </c>
      <c r="AK277" s="9">
        <v>2.2153861734584002</v>
      </c>
      <c r="AL277" s="9">
        <v>2.2153861734584002</v>
      </c>
      <c r="AM277" s="9">
        <v>2.2153861734584002</v>
      </c>
      <c r="AN277" s="10">
        <v>0</v>
      </c>
      <c r="AO277" s="10">
        <v>0</v>
      </c>
      <c r="AP277" s="10">
        <v>0</v>
      </c>
      <c r="AQ277" s="10">
        <v>0</v>
      </c>
      <c r="AR277" s="10">
        <v>4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7">
        <f t="shared" si="16"/>
        <v>4</v>
      </c>
      <c r="BA277" s="11">
        <f t="shared" si="17"/>
        <v>0.33333333333333331</v>
      </c>
      <c r="BC277" s="12">
        <v>0</v>
      </c>
      <c r="BD277" s="12">
        <v>0</v>
      </c>
      <c r="BE277" s="12">
        <v>0</v>
      </c>
      <c r="BF277" s="12">
        <v>0</v>
      </c>
      <c r="BG277" s="12">
        <v>8.8615446938336007</v>
      </c>
      <c r="BH277" s="12">
        <v>0</v>
      </c>
      <c r="BI277" s="12">
        <v>0</v>
      </c>
      <c r="BJ277" s="12">
        <v>0</v>
      </c>
      <c r="BK277" s="12">
        <v>0</v>
      </c>
      <c r="BL277" s="12">
        <v>0</v>
      </c>
      <c r="BM277" s="12">
        <v>0</v>
      </c>
      <c r="BN277" s="12">
        <v>0</v>
      </c>
      <c r="BO277" s="12">
        <f t="shared" si="18"/>
        <v>8.8615446938336007</v>
      </c>
      <c r="BP277" s="12">
        <f t="shared" si="19"/>
        <v>0.73846205781946672</v>
      </c>
      <c r="BQ277" s="7"/>
      <c r="BR277" s="7"/>
      <c r="BS277" s="7" t="s">
        <v>95</v>
      </c>
      <c r="BT277" s="7" t="s">
        <v>53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/>
    </row>
    <row r="278" spans="1:78" x14ac:dyDescent="0.35">
      <c r="A278" s="7" t="s">
        <v>42</v>
      </c>
      <c r="B278" s="7"/>
      <c r="C278" s="7" t="s">
        <v>705</v>
      </c>
      <c r="D278" s="7" t="s">
        <v>706</v>
      </c>
      <c r="E278" s="7" t="s">
        <v>707</v>
      </c>
      <c r="F278" s="7" t="s">
        <v>708</v>
      </c>
      <c r="G278" s="7" t="s">
        <v>47</v>
      </c>
      <c r="H278" s="7"/>
      <c r="I278" s="7"/>
      <c r="J278" s="7" t="s">
        <v>709</v>
      </c>
      <c r="K278" s="7" t="s">
        <v>49</v>
      </c>
      <c r="L278" s="7" t="s">
        <v>49</v>
      </c>
      <c r="M278" s="7" t="s">
        <v>49</v>
      </c>
      <c r="N278" s="7" t="s">
        <v>304</v>
      </c>
      <c r="O278" s="7" t="s">
        <v>4</v>
      </c>
      <c r="P278" s="7">
        <v>10937500</v>
      </c>
      <c r="Q278" s="7">
        <v>10937500</v>
      </c>
      <c r="R278" s="7">
        <v>10937500</v>
      </c>
      <c r="S278" s="7">
        <v>10937500</v>
      </c>
      <c r="T278" s="7">
        <v>10937500</v>
      </c>
      <c r="U278" s="7">
        <v>10937500</v>
      </c>
      <c r="V278" s="7">
        <v>10937500</v>
      </c>
      <c r="W278" s="7">
        <v>10937500</v>
      </c>
      <c r="X278" s="7">
        <v>10937500</v>
      </c>
      <c r="Y278" s="7">
        <v>10937500</v>
      </c>
      <c r="Z278" s="7">
        <v>10937500</v>
      </c>
      <c r="AA278" s="7">
        <v>10937500</v>
      </c>
      <c r="AB278" s="9">
        <v>692.30817920574998</v>
      </c>
      <c r="AC278" s="9">
        <v>692.30817920574998</v>
      </c>
      <c r="AD278" s="9">
        <v>692.30817920574998</v>
      </c>
      <c r="AE278" s="9">
        <v>692.30817920574998</v>
      </c>
      <c r="AF278" s="9">
        <v>692.30817920574998</v>
      </c>
      <c r="AG278" s="9">
        <v>692.30817920574998</v>
      </c>
      <c r="AH278" s="9">
        <v>692.30817920574998</v>
      </c>
      <c r="AI278" s="9">
        <v>692.30817920574998</v>
      </c>
      <c r="AJ278" s="9">
        <v>692.30817920574998</v>
      </c>
      <c r="AK278" s="9">
        <v>692.30817920574998</v>
      </c>
      <c r="AL278" s="9">
        <v>692.30817920574998</v>
      </c>
      <c r="AM278" s="9">
        <v>692.30817920574998</v>
      </c>
      <c r="AN278" s="10">
        <v>0</v>
      </c>
      <c r="AO278" s="10">
        <v>0</v>
      </c>
      <c r="AP278" s="10">
        <v>1</v>
      </c>
      <c r="AQ278" s="10">
        <v>0</v>
      </c>
      <c r="AR278" s="10">
        <v>0</v>
      </c>
      <c r="AS278" s="10">
        <v>0</v>
      </c>
      <c r="AT278" s="10">
        <v>0</v>
      </c>
      <c r="AU278" s="10">
        <v>0</v>
      </c>
      <c r="AV278" s="10">
        <v>0</v>
      </c>
      <c r="AW278" s="10">
        <v>0</v>
      </c>
      <c r="AX278" s="10">
        <v>0</v>
      </c>
      <c r="AY278" s="10">
        <v>0</v>
      </c>
      <c r="AZ278" s="7">
        <f t="shared" si="16"/>
        <v>1</v>
      </c>
      <c r="BA278" s="11">
        <f t="shared" si="17"/>
        <v>8.3333333333333329E-2</v>
      </c>
      <c r="BC278" s="12">
        <v>0</v>
      </c>
      <c r="BD278" s="12">
        <v>0</v>
      </c>
      <c r="BE278" s="12">
        <v>692.30817920574998</v>
      </c>
      <c r="BF278" s="12">
        <v>0</v>
      </c>
      <c r="BG278" s="12">
        <v>0</v>
      </c>
      <c r="BH278" s="12">
        <v>0</v>
      </c>
      <c r="BI278" s="12">
        <v>0</v>
      </c>
      <c r="BJ278" s="12">
        <v>0</v>
      </c>
      <c r="BK278" s="12">
        <v>0</v>
      </c>
      <c r="BL278" s="12">
        <v>0</v>
      </c>
      <c r="BM278" s="12">
        <v>0</v>
      </c>
      <c r="BN278" s="12">
        <v>0</v>
      </c>
      <c r="BO278" s="12">
        <f t="shared" si="18"/>
        <v>692.30817920574998</v>
      </c>
      <c r="BP278" s="12">
        <f t="shared" si="19"/>
        <v>57.692348267145832</v>
      </c>
      <c r="BQ278" s="7"/>
      <c r="BR278" s="7"/>
      <c r="BS278" s="7" t="s">
        <v>52</v>
      </c>
      <c r="BT278" s="7" t="s">
        <v>53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/>
    </row>
    <row r="279" spans="1:78" x14ac:dyDescent="0.35">
      <c r="A279" s="7" t="s">
        <v>42</v>
      </c>
      <c r="B279" s="7"/>
      <c r="C279" s="7" t="s">
        <v>710</v>
      </c>
      <c r="D279" s="7" t="s">
        <v>711</v>
      </c>
      <c r="E279" s="7" t="s">
        <v>712</v>
      </c>
      <c r="F279" s="7" t="s">
        <v>713</v>
      </c>
      <c r="G279" s="7" t="s">
        <v>47</v>
      </c>
      <c r="H279" s="7"/>
      <c r="I279" s="7"/>
      <c r="J279" s="7" t="s">
        <v>709</v>
      </c>
      <c r="K279" s="7" t="s">
        <v>49</v>
      </c>
      <c r="L279" s="7" t="s">
        <v>49</v>
      </c>
      <c r="M279" s="7" t="s">
        <v>49</v>
      </c>
      <c r="N279" s="7" t="s">
        <v>304</v>
      </c>
      <c r="O279" s="7" t="s">
        <v>4</v>
      </c>
      <c r="P279" s="7">
        <v>205000</v>
      </c>
      <c r="Q279" s="7">
        <v>205000</v>
      </c>
      <c r="R279" s="7">
        <v>205000</v>
      </c>
      <c r="S279" s="7">
        <v>205000</v>
      </c>
      <c r="T279" s="7">
        <v>205000</v>
      </c>
      <c r="U279" s="7">
        <v>205000</v>
      </c>
      <c r="V279" s="7">
        <v>205000</v>
      </c>
      <c r="W279" s="7">
        <v>205000</v>
      </c>
      <c r="X279" s="7">
        <v>205000</v>
      </c>
      <c r="Y279" s="7">
        <v>205000</v>
      </c>
      <c r="Z279" s="7">
        <v>205000</v>
      </c>
      <c r="AA279" s="7">
        <v>205000</v>
      </c>
      <c r="AB279" s="9">
        <v>12.975833301685</v>
      </c>
      <c r="AC279" s="9">
        <v>12.975833301685</v>
      </c>
      <c r="AD279" s="9">
        <v>12.975833301685</v>
      </c>
      <c r="AE279" s="9">
        <v>12.975833301685</v>
      </c>
      <c r="AF279" s="9">
        <v>12.975833301685</v>
      </c>
      <c r="AG279" s="9">
        <v>12.975833301685</v>
      </c>
      <c r="AH279" s="9">
        <v>12.975833301685</v>
      </c>
      <c r="AI279" s="9">
        <v>12.975833301685</v>
      </c>
      <c r="AJ279" s="9">
        <v>12.975833301685</v>
      </c>
      <c r="AK279" s="9">
        <v>12.975833301685</v>
      </c>
      <c r="AL279" s="9">
        <v>12.975833301685</v>
      </c>
      <c r="AM279" s="9">
        <v>12.975833301685</v>
      </c>
      <c r="AN279" s="10">
        <v>0</v>
      </c>
      <c r="AO279" s="10">
        <v>0</v>
      </c>
      <c r="AP279" s="10">
        <v>0</v>
      </c>
      <c r="AQ279" s="10">
        <v>0</v>
      </c>
      <c r="AR279" s="10">
        <v>0</v>
      </c>
      <c r="AS279" s="10">
        <v>0</v>
      </c>
      <c r="AT279" s="10">
        <v>0</v>
      </c>
      <c r="AU279" s="10">
        <v>0</v>
      </c>
      <c r="AV279" s="10">
        <v>0</v>
      </c>
      <c r="AW279" s="10">
        <v>0</v>
      </c>
      <c r="AX279" s="10">
        <v>0</v>
      </c>
      <c r="AY279" s="10">
        <v>3</v>
      </c>
      <c r="AZ279" s="7">
        <f t="shared" si="16"/>
        <v>3</v>
      </c>
      <c r="BA279" s="11">
        <f t="shared" si="17"/>
        <v>0.25</v>
      </c>
      <c r="BC279" s="12">
        <v>0</v>
      </c>
      <c r="BD279" s="12">
        <v>0</v>
      </c>
      <c r="BE279" s="12">
        <v>0</v>
      </c>
      <c r="BF279" s="12">
        <v>0</v>
      </c>
      <c r="BG279" s="12">
        <v>0</v>
      </c>
      <c r="BH279" s="12">
        <v>0</v>
      </c>
      <c r="BI279" s="12">
        <v>0</v>
      </c>
      <c r="BJ279" s="12">
        <v>0</v>
      </c>
      <c r="BK279" s="12">
        <v>0</v>
      </c>
      <c r="BL279" s="12">
        <v>0</v>
      </c>
      <c r="BM279" s="12">
        <v>0</v>
      </c>
      <c r="BN279" s="12">
        <v>38.927499905055001</v>
      </c>
      <c r="BO279" s="12">
        <f t="shared" si="18"/>
        <v>38.927499905055001</v>
      </c>
      <c r="BP279" s="12">
        <f t="shared" si="19"/>
        <v>3.2439583254212501</v>
      </c>
      <c r="BQ279" s="7"/>
      <c r="BR279" s="7"/>
      <c r="BS279" s="7" t="s">
        <v>52</v>
      </c>
      <c r="BT279" s="7" t="s">
        <v>53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/>
    </row>
    <row r="280" spans="1:78" x14ac:dyDescent="0.35">
      <c r="A280" s="7" t="s">
        <v>42</v>
      </c>
      <c r="B280" s="7"/>
      <c r="C280" s="7" t="s">
        <v>714</v>
      </c>
      <c r="D280" s="7" t="s">
        <v>715</v>
      </c>
      <c r="E280" s="7" t="s">
        <v>716</v>
      </c>
      <c r="F280" s="7" t="s">
        <v>717</v>
      </c>
      <c r="G280" s="7" t="s">
        <v>47</v>
      </c>
      <c r="H280" s="7"/>
      <c r="I280" s="7"/>
      <c r="J280" s="7" t="s">
        <v>709</v>
      </c>
      <c r="K280" s="7" t="s">
        <v>49</v>
      </c>
      <c r="L280" s="7" t="s">
        <v>49</v>
      </c>
      <c r="M280" s="7" t="s">
        <v>49</v>
      </c>
      <c r="N280" s="7" t="s">
        <v>50</v>
      </c>
      <c r="O280" s="7" t="s">
        <v>4</v>
      </c>
      <c r="P280" s="7">
        <v>275000</v>
      </c>
      <c r="Q280" s="7">
        <v>275000</v>
      </c>
      <c r="R280" s="7">
        <v>275000</v>
      </c>
      <c r="S280" s="7">
        <v>275000</v>
      </c>
      <c r="T280" s="7">
        <v>275000</v>
      </c>
      <c r="U280" s="7">
        <v>275000</v>
      </c>
      <c r="V280" s="7">
        <v>275000</v>
      </c>
      <c r="W280" s="7">
        <v>275000</v>
      </c>
      <c r="X280" s="7">
        <v>275000</v>
      </c>
      <c r="Y280" s="7">
        <v>275000</v>
      </c>
      <c r="Z280" s="7">
        <v>275000</v>
      </c>
      <c r="AA280" s="7">
        <v>275000</v>
      </c>
      <c r="AB280" s="9">
        <v>17.406605648602</v>
      </c>
      <c r="AC280" s="9">
        <v>17.406605648602</v>
      </c>
      <c r="AD280" s="9">
        <v>17.406605648602</v>
      </c>
      <c r="AE280" s="9">
        <v>17.406605648602</v>
      </c>
      <c r="AF280" s="9">
        <v>17.406605648602</v>
      </c>
      <c r="AG280" s="9">
        <v>17.406605648602</v>
      </c>
      <c r="AH280" s="9">
        <v>17.406605648602</v>
      </c>
      <c r="AI280" s="9">
        <v>17.406605648602</v>
      </c>
      <c r="AJ280" s="9">
        <v>17.406605648602</v>
      </c>
      <c r="AK280" s="9">
        <v>17.406605648602</v>
      </c>
      <c r="AL280" s="9">
        <v>17.406605648602</v>
      </c>
      <c r="AM280" s="9">
        <v>17.406605648602</v>
      </c>
      <c r="AN280" s="10">
        <v>0</v>
      </c>
      <c r="AO280" s="10">
        <v>0</v>
      </c>
      <c r="AP280" s="10">
        <v>3</v>
      </c>
      <c r="AQ280" s="10">
        <v>0</v>
      </c>
      <c r="AR280" s="10">
        <v>0</v>
      </c>
      <c r="AS280" s="10">
        <v>0</v>
      </c>
      <c r="AT280" s="10">
        <v>0</v>
      </c>
      <c r="AU280" s="10">
        <v>0</v>
      </c>
      <c r="AV280" s="10">
        <v>0</v>
      </c>
      <c r="AW280" s="10">
        <v>0</v>
      </c>
      <c r="AX280" s="10">
        <v>0</v>
      </c>
      <c r="AY280" s="10">
        <v>0</v>
      </c>
      <c r="AZ280" s="7">
        <f t="shared" si="16"/>
        <v>3</v>
      </c>
      <c r="BA280" s="11">
        <f t="shared" si="17"/>
        <v>0.25</v>
      </c>
      <c r="BC280" s="12">
        <v>0</v>
      </c>
      <c r="BD280" s="12">
        <v>0</v>
      </c>
      <c r="BE280" s="12">
        <v>52.219816945805</v>
      </c>
      <c r="BF280" s="12">
        <v>0</v>
      </c>
      <c r="BG280" s="12">
        <v>0</v>
      </c>
      <c r="BH280" s="12">
        <v>0</v>
      </c>
      <c r="BI280" s="12">
        <v>0</v>
      </c>
      <c r="BJ280" s="12">
        <v>0</v>
      </c>
      <c r="BK280" s="12">
        <v>0</v>
      </c>
      <c r="BL280" s="12">
        <v>0</v>
      </c>
      <c r="BM280" s="12">
        <v>0</v>
      </c>
      <c r="BN280" s="12">
        <v>0</v>
      </c>
      <c r="BO280" s="12">
        <f t="shared" si="18"/>
        <v>52.219816945805</v>
      </c>
      <c r="BP280" s="12">
        <f t="shared" si="19"/>
        <v>4.3516514121504164</v>
      </c>
      <c r="BQ280" s="7"/>
      <c r="BR280" s="7"/>
      <c r="BS280" s="7" t="s">
        <v>52</v>
      </c>
      <c r="BT280" s="7" t="s">
        <v>53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/>
    </row>
  </sheetData>
  <sheetProtection formatCells="0" formatColumns="0" formatRows="0" insertColumns="0" insertRows="0" insertHyperlinks="0" deleteColumns="0" deleteRows="0" sort="0" autoFilter="0" pivotTables="0"/>
  <autoFilter ref="A11:BZ280" xr:uid="{00000000-0001-0000-0000-000000000000}"/>
  <mergeCells count="25">
    <mergeCell ref="BP10:BP11"/>
    <mergeCell ref="BR10:BR11"/>
    <mergeCell ref="BS10:BS11"/>
    <mergeCell ref="BT10:BT11"/>
    <mergeCell ref="BU10:BZ10"/>
    <mergeCell ref="P10:AA10"/>
    <mergeCell ref="AB10:AM10"/>
    <mergeCell ref="AZ10:AZ11"/>
    <mergeCell ref="BA10:BA11"/>
    <mergeCell ref="BO10:BO11"/>
    <mergeCell ref="K10:K11"/>
    <mergeCell ref="L10:L11"/>
    <mergeCell ref="M10:M11"/>
    <mergeCell ref="N10:N11"/>
    <mergeCell ref="O10:O11"/>
    <mergeCell ref="F10:F11"/>
    <mergeCell ref="G10:G11"/>
    <mergeCell ref="H10:H11"/>
    <mergeCell ref="I10:I11"/>
    <mergeCell ref="J10:J11"/>
    <mergeCell ref="A10:A11"/>
    <mergeCell ref="B10:B11"/>
    <mergeCell ref="C10:C11"/>
    <mergeCell ref="D10:D11"/>
    <mergeCell ref="E10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AJ184"/>
  <sheetViews>
    <sheetView tabSelected="1" zoomScale="60" zoomScaleNormal="60" workbookViewId="0">
      <pane xSplit="4" ySplit="8" topLeftCell="Z9" activePane="bottomRight" state="frozen"/>
      <selection pane="topRight" activeCell="E1" sqref="E1"/>
      <selection pane="bottomLeft" activeCell="A9" sqref="A9"/>
      <selection pane="bottomRight" activeCell="AJ27" sqref="AJ27"/>
    </sheetView>
  </sheetViews>
  <sheetFormatPr defaultRowHeight="14.5" x14ac:dyDescent="0.35"/>
  <cols>
    <col min="1" max="1" width="14.453125" customWidth="1"/>
    <col min="2" max="2" width="10.453125" hidden="1" customWidth="1"/>
    <col min="3" max="3" width="30.26953125" hidden="1" customWidth="1"/>
    <col min="4" max="4" width="40" customWidth="1"/>
    <col min="5" max="33" width="12" customWidth="1"/>
    <col min="34" max="35" width="17" customWidth="1"/>
    <col min="36" max="36" width="99.6328125" bestFit="1" customWidth="1"/>
  </cols>
  <sheetData>
    <row r="7" spans="1:36" x14ac:dyDescent="0.35">
      <c r="A7" s="1"/>
      <c r="B7" s="1"/>
      <c r="C7" s="1"/>
      <c r="D7" s="1"/>
      <c r="E7" s="14" t="s">
        <v>718</v>
      </c>
      <c r="F7" s="14" t="s">
        <v>718</v>
      </c>
      <c r="G7" s="14" t="s">
        <v>718</v>
      </c>
      <c r="H7" s="14" t="s">
        <v>718</v>
      </c>
      <c r="I7" s="14" t="s">
        <v>718</v>
      </c>
      <c r="J7" s="14" t="s">
        <v>718</v>
      </c>
      <c r="K7" s="14" t="s">
        <v>718</v>
      </c>
      <c r="L7" s="14" t="s">
        <v>718</v>
      </c>
      <c r="M7" s="14" t="s">
        <v>718</v>
      </c>
      <c r="N7" s="14" t="s">
        <v>718</v>
      </c>
      <c r="O7" s="14" t="s">
        <v>718</v>
      </c>
      <c r="P7" s="14" t="s">
        <v>718</v>
      </c>
      <c r="Q7" s="15" t="s">
        <v>719</v>
      </c>
      <c r="R7" s="15" t="s">
        <v>719</v>
      </c>
      <c r="S7" s="15" t="s">
        <v>719</v>
      </c>
      <c r="T7" s="15" t="s">
        <v>719</v>
      </c>
      <c r="U7" s="15" t="s">
        <v>719</v>
      </c>
      <c r="V7" s="15" t="s">
        <v>719</v>
      </c>
      <c r="W7" s="15" t="s">
        <v>719</v>
      </c>
      <c r="X7" s="15" t="s">
        <v>719</v>
      </c>
      <c r="Y7" s="15" t="s">
        <v>719</v>
      </c>
      <c r="Z7" s="15" t="s">
        <v>719</v>
      </c>
      <c r="AA7" s="15" t="s">
        <v>719</v>
      </c>
      <c r="AB7" s="15" t="s">
        <v>719</v>
      </c>
      <c r="AC7" s="54" t="s">
        <v>720</v>
      </c>
      <c r="AD7" s="54"/>
      <c r="AE7" s="1"/>
      <c r="AF7" s="54" t="s">
        <v>721</v>
      </c>
      <c r="AG7" s="54"/>
      <c r="AH7" s="54"/>
      <c r="AI7" s="54"/>
      <c r="AJ7" s="54"/>
    </row>
    <row r="8" spans="1:36" x14ac:dyDescent="0.35">
      <c r="A8" s="17" t="s">
        <v>21</v>
      </c>
      <c r="B8" s="17" t="s">
        <v>722</v>
      </c>
      <c r="C8" s="17" t="s">
        <v>723</v>
      </c>
      <c r="D8" s="17" t="s">
        <v>724</v>
      </c>
      <c r="E8" s="18" t="s">
        <v>725</v>
      </c>
      <c r="F8" s="18" t="s">
        <v>726</v>
      </c>
      <c r="G8" s="18" t="s">
        <v>727</v>
      </c>
      <c r="H8" s="18" t="s">
        <v>728</v>
      </c>
      <c r="I8" s="18" t="s">
        <v>729</v>
      </c>
      <c r="J8" s="18" t="s">
        <v>730</v>
      </c>
      <c r="K8" s="18" t="s">
        <v>731</v>
      </c>
      <c r="L8" s="18" t="s">
        <v>732</v>
      </c>
      <c r="M8" s="18" t="s">
        <v>733</v>
      </c>
      <c r="N8" s="18" t="s">
        <v>734</v>
      </c>
      <c r="O8" s="18" t="s">
        <v>735</v>
      </c>
      <c r="P8" s="18" t="s">
        <v>736</v>
      </c>
      <c r="Q8" s="19" t="s">
        <v>725</v>
      </c>
      <c r="R8" s="19" t="s">
        <v>726</v>
      </c>
      <c r="S8" s="19" t="s">
        <v>727</v>
      </c>
      <c r="T8" s="19" t="s">
        <v>728</v>
      </c>
      <c r="U8" s="19" t="s">
        <v>729</v>
      </c>
      <c r="V8" s="19" t="s">
        <v>730</v>
      </c>
      <c r="W8" s="19" t="s">
        <v>731</v>
      </c>
      <c r="X8" s="19" t="s">
        <v>732</v>
      </c>
      <c r="Y8" s="19" t="s">
        <v>733</v>
      </c>
      <c r="Z8" s="19" t="s">
        <v>734</v>
      </c>
      <c r="AA8" s="19" t="s">
        <v>735</v>
      </c>
      <c r="AB8" s="19" t="s">
        <v>736</v>
      </c>
      <c r="AC8" s="17" t="s">
        <v>737</v>
      </c>
      <c r="AD8" s="17" t="s">
        <v>738</v>
      </c>
      <c r="AE8" s="4"/>
      <c r="AF8" s="17" t="s">
        <v>737</v>
      </c>
      <c r="AG8" s="17" t="s">
        <v>738</v>
      </c>
      <c r="AH8" s="17" t="s">
        <v>739</v>
      </c>
      <c r="AI8" s="17" t="s">
        <v>740</v>
      </c>
      <c r="AJ8" s="17" t="s">
        <v>741</v>
      </c>
    </row>
    <row r="9" spans="1:36" x14ac:dyDescent="0.35">
      <c r="A9" s="7" t="s">
        <v>48</v>
      </c>
      <c r="B9" s="7"/>
      <c r="C9" s="7"/>
      <c r="D9" s="7" t="s">
        <v>291</v>
      </c>
      <c r="E9" s="10">
        <f>SUMIFS('PLAN BUDGET SAMI-TF'!AN12:AN99999,'PLAN BUDGET SAMI-TF'!D12:D99999,SUMMARY!D9,'PLAN BUDGET SAMI-TF'!J12:J99999,SUMMARY!A9&amp;"*")</f>
        <v>0</v>
      </c>
      <c r="F9" s="10">
        <f>SUMIFS('PLAN BUDGET SAMI-TF'!AO12:AO99999,'PLAN BUDGET SAMI-TF'!D12:D99999,SUMMARY!D9,'PLAN BUDGET SAMI-TF'!J12:J99999,SUMMARY!A9&amp;"*")</f>
        <v>0</v>
      </c>
      <c r="G9" s="10">
        <f>SUMIFS('PLAN BUDGET SAMI-TF'!AP12:AP99999,'PLAN BUDGET SAMI-TF'!D12:D99999,SUMMARY!D9,'PLAN BUDGET SAMI-TF'!J12:J99999,SUMMARY!A9&amp;"*")</f>
        <v>0</v>
      </c>
      <c r="H9" s="10">
        <f>SUMIFS('PLAN BUDGET SAMI-TF'!AQ12:AQ99999,'PLAN BUDGET SAMI-TF'!D12:D99999,SUMMARY!D9,'PLAN BUDGET SAMI-TF'!J12:J99999,SUMMARY!A9&amp;"*")</f>
        <v>0</v>
      </c>
      <c r="I9" s="10">
        <f>SUMIFS('PLAN BUDGET SAMI-TF'!AR12:AR99999,'PLAN BUDGET SAMI-TF'!D12:D99999,SUMMARY!D9,'PLAN BUDGET SAMI-TF'!J12:J99999,SUMMARY!A9&amp;"*")</f>
        <v>0</v>
      </c>
      <c r="J9" s="10">
        <f>SUMIFS('PLAN BUDGET SAMI-TF'!AS12:AS99999,'PLAN BUDGET SAMI-TF'!D12:D99999,SUMMARY!D9,'PLAN BUDGET SAMI-TF'!J12:J99999,SUMMARY!A9&amp;"*")</f>
        <v>0</v>
      </c>
      <c r="K9" s="10">
        <f>SUMIFS('PLAN BUDGET SAMI-TF'!AT12:AT99999,'PLAN BUDGET SAMI-TF'!D12:D99999,SUMMARY!D9,'PLAN BUDGET SAMI-TF'!J12:J99999,SUMMARY!A9&amp;"*")</f>
        <v>4</v>
      </c>
      <c r="L9" s="10">
        <f>SUMIFS('PLAN BUDGET SAMI-TF'!AU12:AU99999,'PLAN BUDGET SAMI-TF'!D12:D99999,SUMMARY!D9,'PLAN BUDGET SAMI-TF'!J12:J99999,SUMMARY!A9&amp;"*")</f>
        <v>0</v>
      </c>
      <c r="M9" s="10">
        <f>SUMIFS('PLAN BUDGET SAMI-TF'!AV12:AV99999,'PLAN BUDGET SAMI-TF'!D12:D99999,SUMMARY!D9,'PLAN BUDGET SAMI-TF'!J12:J99999,SUMMARY!A9&amp;"*")</f>
        <v>0</v>
      </c>
      <c r="N9" s="10">
        <f>SUMIFS('PLAN BUDGET SAMI-TF'!AW12:AW99999,'PLAN BUDGET SAMI-TF'!D12:D99999,SUMMARY!D9,'PLAN BUDGET SAMI-TF'!J12:J99999,SUMMARY!A9&amp;"*")</f>
        <v>0</v>
      </c>
      <c r="O9" s="10">
        <f>SUMIFS('PLAN BUDGET SAMI-TF'!AX12:AX99999,'PLAN BUDGET SAMI-TF'!D12:D99999,SUMMARY!D9,'PLAN BUDGET SAMI-TF'!J12:J99999,SUMMARY!A9&amp;"*")</f>
        <v>0</v>
      </c>
      <c r="P9" s="10">
        <f>SUMIFS('PLAN BUDGET SAMI-TF'!AY12:AY99999,'PLAN BUDGET SAMI-TF'!D12:D99999,SUMMARY!D9,'PLAN BUDGET SAMI-TF'!J12:J99999,SUMMARY!A9&amp;"*")</f>
        <v>0</v>
      </c>
      <c r="Q9" s="10">
        <f>SUMIFS('PLAN BUDGET SAMI-TF'!BC12:BC99999,'PLAN BUDGET SAMI-TF'!D12:D99999,SUMMARY!D9,'PLAN BUDGET SAMI-TF'!J12:J99999,SUMMARY!A9&amp;"*")</f>
        <v>0</v>
      </c>
      <c r="R9" s="10">
        <f>SUMIFS('PLAN BUDGET SAMI-TF'!BD12:BD99999,'PLAN BUDGET SAMI-TF'!D12:D99999,SUMMARY!D9,'PLAN BUDGET SAMI-TF'!J12:J99999,SUMMARY!A9&amp;"*")</f>
        <v>0</v>
      </c>
      <c r="S9" s="10">
        <f>SUMIFS('PLAN BUDGET SAMI-TF'!BE12:BE99999,'PLAN BUDGET SAMI-TF'!D12:D99999,SUMMARY!D9,'PLAN BUDGET SAMI-TF'!J12:J99999,SUMMARY!A9&amp;"*")</f>
        <v>0</v>
      </c>
      <c r="T9" s="10">
        <f>SUMIFS('PLAN BUDGET SAMI-TF'!BF12:BF99999,'PLAN BUDGET SAMI-TF'!D12:D99999,SUMMARY!D9,'PLAN BUDGET SAMI-TF'!J12:J99999,SUMMARY!A9&amp;"*")</f>
        <v>0</v>
      </c>
      <c r="U9" s="10">
        <f>SUMIFS('PLAN BUDGET SAMI-TF'!BG12:BG99999,'PLAN BUDGET SAMI-TF'!D12:D99999,SUMMARY!D9,'PLAN BUDGET SAMI-TF'!J12:J99999,SUMMARY!A9&amp;"*")</f>
        <v>0</v>
      </c>
      <c r="V9" s="10">
        <f>SUMIFS('PLAN BUDGET SAMI-TF'!BH12:BH99999,'PLAN BUDGET SAMI-TF'!D12:D99999,SUMMARY!D9,'PLAN BUDGET SAMI-TF'!J12:J99999,SUMMARY!A9&amp;"*")</f>
        <v>0</v>
      </c>
      <c r="W9" s="10">
        <f>SUMIFS('PLAN BUDGET SAMI-TF'!BI12:BI99999,'PLAN BUDGET SAMI-TF'!D12:D99999,SUMMARY!D9,'PLAN BUDGET SAMI-TF'!J12:J99999,SUMMARY!A9&amp;"*")</f>
        <v>0</v>
      </c>
      <c r="X9" s="10">
        <f>SUMIFS('PLAN BUDGET SAMI-TF'!BJ12:BJ99999,'PLAN BUDGET SAMI-TF'!D12:D99999,SUMMARY!D9,'PLAN BUDGET SAMI-TF'!J12:J99999,SUMMARY!A9&amp;"*")</f>
        <v>0</v>
      </c>
      <c r="Y9" s="10">
        <f>SUMIFS('PLAN BUDGET SAMI-TF'!BK12:BK99999,'PLAN BUDGET SAMI-TF'!D12:D99999,SUMMARY!D9,'PLAN BUDGET SAMI-TF'!J12:J99999,SUMMARY!A9&amp;"*")</f>
        <v>0</v>
      </c>
      <c r="Z9" s="10">
        <f>SUMIFS('PLAN BUDGET SAMI-TF'!BL12:BL99999,'PLAN BUDGET SAMI-TF'!D12:D99999,SUMMARY!D9,'PLAN BUDGET SAMI-TF'!J12:J99999,SUMMARY!A9&amp;"*")</f>
        <v>0</v>
      </c>
      <c r="AA9" s="10">
        <f>SUMIFS('PLAN BUDGET SAMI-TF'!BM12:BM99999,'PLAN BUDGET SAMI-TF'!D12:D99999,SUMMARY!D9,'PLAN BUDGET SAMI-TF'!J12:J99999,SUMMARY!A9&amp;"*")</f>
        <v>0</v>
      </c>
      <c r="AB9" s="10">
        <f>SUMIFS('PLAN BUDGET SAMI-TF'!BN12:BN99999,'PLAN BUDGET SAMI-TF'!D12:D99999,SUMMARY!D9,'PLAN BUDGET SAMI-TF'!J12:J99999,SUMMARY!A9&amp;"*")</f>
        <v>0</v>
      </c>
      <c r="AC9" s="10">
        <f t="shared" ref="AC9:AC40" si="0">SUM(E9:P9)</f>
        <v>4</v>
      </c>
      <c r="AD9" s="10">
        <f t="shared" ref="AD9:AD40" si="1">SUM(Q9:AB9)</f>
        <v>0</v>
      </c>
      <c r="AE9" s="16"/>
      <c r="AF9" s="10">
        <v>25</v>
      </c>
      <c r="AG9" s="10">
        <v>11996.78807947</v>
      </c>
      <c r="AH9" s="20">
        <f t="shared" ref="AH9:AH40" si="2">IFERROR((AC9-AF9)/AF9,1)</f>
        <v>-0.84</v>
      </c>
      <c r="AI9" s="20">
        <f t="shared" ref="AI9:AI40" si="3">IFERROR((AD9-AG9)/AG9,1)</f>
        <v>-1</v>
      </c>
      <c r="AJ9" s="7" t="s">
        <v>846</v>
      </c>
    </row>
    <row r="10" spans="1:36" x14ac:dyDescent="0.35">
      <c r="A10" s="7" t="s">
        <v>48</v>
      </c>
      <c r="B10" s="7"/>
      <c r="C10" s="7"/>
      <c r="D10" s="7" t="s">
        <v>44</v>
      </c>
      <c r="E10" s="10">
        <f>SUMIFS('PLAN BUDGET SAMI-TF'!AN12:AN99999,'PLAN BUDGET SAMI-TF'!D12:D99999,SUMMARY!D10,'PLAN BUDGET SAMI-TF'!J12:J99999,SUMMARY!A10&amp;"*")</f>
        <v>1</v>
      </c>
      <c r="F10" s="10">
        <f>SUMIFS('PLAN BUDGET SAMI-TF'!AO12:AO99999,'PLAN BUDGET SAMI-TF'!D12:D99999,SUMMARY!D10,'PLAN BUDGET SAMI-TF'!J12:J99999,SUMMARY!A10&amp;"*")</f>
        <v>12</v>
      </c>
      <c r="G10" s="10">
        <f>SUMIFS('PLAN BUDGET SAMI-TF'!AP12:AP99999,'PLAN BUDGET SAMI-TF'!D12:D99999,SUMMARY!D10,'PLAN BUDGET SAMI-TF'!J12:J99999,SUMMARY!A10&amp;"*")</f>
        <v>0</v>
      </c>
      <c r="H10" s="10">
        <f>SUMIFS('PLAN BUDGET SAMI-TF'!AQ12:AQ99999,'PLAN BUDGET SAMI-TF'!D12:D99999,SUMMARY!D10,'PLAN BUDGET SAMI-TF'!J12:J99999,SUMMARY!A10&amp;"*")</f>
        <v>1</v>
      </c>
      <c r="I10" s="10">
        <f>SUMIFS('PLAN BUDGET SAMI-TF'!AR12:AR99999,'PLAN BUDGET SAMI-TF'!D12:D99999,SUMMARY!D10,'PLAN BUDGET SAMI-TF'!J12:J99999,SUMMARY!A10&amp;"*")</f>
        <v>0</v>
      </c>
      <c r="J10" s="10">
        <f>SUMIFS('PLAN BUDGET SAMI-TF'!AS12:AS99999,'PLAN BUDGET SAMI-TF'!D12:D99999,SUMMARY!D10,'PLAN BUDGET SAMI-TF'!J12:J99999,SUMMARY!A10&amp;"*")</f>
        <v>0</v>
      </c>
      <c r="K10" s="10">
        <f>SUMIFS('PLAN BUDGET SAMI-TF'!AT12:AT99999,'PLAN BUDGET SAMI-TF'!D12:D99999,SUMMARY!D10,'PLAN BUDGET SAMI-TF'!J12:J99999,SUMMARY!A10&amp;"*")</f>
        <v>1</v>
      </c>
      <c r="L10" s="10">
        <f>SUMIFS('PLAN BUDGET SAMI-TF'!AU12:AU99999,'PLAN BUDGET SAMI-TF'!D12:D99999,SUMMARY!D10,'PLAN BUDGET SAMI-TF'!J12:J99999,SUMMARY!A10&amp;"*")</f>
        <v>0</v>
      </c>
      <c r="M10" s="10">
        <f>SUMIFS('PLAN BUDGET SAMI-TF'!AV12:AV99999,'PLAN BUDGET SAMI-TF'!D12:D99999,SUMMARY!D10,'PLAN BUDGET SAMI-TF'!J12:J99999,SUMMARY!A10&amp;"*")</f>
        <v>0</v>
      </c>
      <c r="N10" s="10">
        <f>SUMIFS('PLAN BUDGET SAMI-TF'!AW12:AW99999,'PLAN BUDGET SAMI-TF'!D12:D99999,SUMMARY!D10,'PLAN BUDGET SAMI-TF'!J12:J99999,SUMMARY!A10&amp;"*")</f>
        <v>1</v>
      </c>
      <c r="O10" s="10">
        <f>SUMIFS('PLAN BUDGET SAMI-TF'!AX12:AX99999,'PLAN BUDGET SAMI-TF'!D12:D99999,SUMMARY!D10,'PLAN BUDGET SAMI-TF'!J12:J99999,SUMMARY!A10&amp;"*")</f>
        <v>0</v>
      </c>
      <c r="P10" s="10">
        <f>SUMIFS('PLAN BUDGET SAMI-TF'!AY12:AY99999,'PLAN BUDGET SAMI-TF'!D12:D99999,SUMMARY!D10,'PLAN BUDGET SAMI-TF'!J12:J99999,SUMMARY!A10&amp;"*")</f>
        <v>0</v>
      </c>
      <c r="Q10" s="10">
        <f>SUMIFS('PLAN BUDGET SAMI-TF'!BC12:BC99999,'PLAN BUDGET SAMI-TF'!D12:D99999,SUMMARY!D10,'PLAN BUDGET SAMI-TF'!J12:J99999,SUMMARY!A10&amp;"*")</f>
        <v>0</v>
      </c>
      <c r="R10" s="10">
        <f>SUMIFS('PLAN BUDGET SAMI-TF'!BD12:BD99999,'PLAN BUDGET SAMI-TF'!D12:D99999,SUMMARY!D10,'PLAN BUDGET SAMI-TF'!J12:J99999,SUMMARY!A10&amp;"*")</f>
        <v>1.3687288747104001</v>
      </c>
      <c r="S10" s="10">
        <f>SUMIFS('PLAN BUDGET SAMI-TF'!BE12:BE99999,'PLAN BUDGET SAMI-TF'!D12:D99999,SUMMARY!D10,'PLAN BUDGET SAMI-TF'!J12:J99999,SUMMARY!A10&amp;"*")</f>
        <v>0</v>
      </c>
      <c r="T10" s="10">
        <f>SUMIFS('PLAN BUDGET SAMI-TF'!BF12:BF99999,'PLAN BUDGET SAMI-TF'!D12:D99999,SUMMARY!D10,'PLAN BUDGET SAMI-TF'!J12:J99999,SUMMARY!A10&amp;"*")</f>
        <v>0</v>
      </c>
      <c r="U10" s="10">
        <f>SUMIFS('PLAN BUDGET SAMI-TF'!BG12:BG99999,'PLAN BUDGET SAMI-TF'!D12:D99999,SUMMARY!D10,'PLAN BUDGET SAMI-TF'!J12:J99999,SUMMARY!A10&amp;"*")</f>
        <v>0</v>
      </c>
      <c r="V10" s="10">
        <f>SUMIFS('PLAN BUDGET SAMI-TF'!BH12:BH99999,'PLAN BUDGET SAMI-TF'!D12:D99999,SUMMARY!D10,'PLAN BUDGET SAMI-TF'!J12:J99999,SUMMARY!A10&amp;"*")</f>
        <v>0</v>
      </c>
      <c r="W10" s="10">
        <f>SUMIFS('PLAN BUDGET SAMI-TF'!BI12:BI99999,'PLAN BUDGET SAMI-TF'!D12:D99999,SUMMARY!D10,'PLAN BUDGET SAMI-TF'!J12:J99999,SUMMARY!A10&amp;"*")</f>
        <v>0</v>
      </c>
      <c r="X10" s="10">
        <f>SUMIFS('PLAN BUDGET SAMI-TF'!BJ12:BJ99999,'PLAN BUDGET SAMI-TF'!D12:D99999,SUMMARY!D10,'PLAN BUDGET SAMI-TF'!J12:J99999,SUMMARY!A10&amp;"*")</f>
        <v>0</v>
      </c>
      <c r="Y10" s="10">
        <f>SUMIFS('PLAN BUDGET SAMI-TF'!BK12:BK99999,'PLAN BUDGET SAMI-TF'!D12:D99999,SUMMARY!D10,'PLAN BUDGET SAMI-TF'!J12:J99999,SUMMARY!A10&amp;"*")</f>
        <v>0</v>
      </c>
      <c r="Z10" s="10">
        <f>SUMIFS('PLAN BUDGET SAMI-TF'!BL12:BL99999,'PLAN BUDGET SAMI-TF'!D12:D99999,SUMMARY!D10,'PLAN BUDGET SAMI-TF'!J12:J99999,SUMMARY!A10&amp;"*")</f>
        <v>0</v>
      </c>
      <c r="AA10" s="10">
        <f>SUMIFS('PLAN BUDGET SAMI-TF'!BM12:BM99999,'PLAN BUDGET SAMI-TF'!D12:D99999,SUMMARY!D10,'PLAN BUDGET SAMI-TF'!J12:J99999,SUMMARY!A10&amp;"*")</f>
        <v>0</v>
      </c>
      <c r="AB10" s="10">
        <f>SUMIFS('PLAN BUDGET SAMI-TF'!BN12:BN99999,'PLAN BUDGET SAMI-TF'!D12:D99999,SUMMARY!D10,'PLAN BUDGET SAMI-TF'!J12:J99999,SUMMARY!A10&amp;"*")</f>
        <v>0</v>
      </c>
      <c r="AC10" s="10">
        <f t="shared" si="0"/>
        <v>16</v>
      </c>
      <c r="AD10" s="10">
        <f t="shared" si="1"/>
        <v>1.3687288747104001</v>
      </c>
      <c r="AE10" s="16"/>
      <c r="AF10" s="10">
        <v>4</v>
      </c>
      <c r="AG10" s="10">
        <v>0.35091716987581001</v>
      </c>
      <c r="AH10" s="20">
        <f t="shared" si="2"/>
        <v>3</v>
      </c>
      <c r="AI10" s="20">
        <f t="shared" si="3"/>
        <v>2.9004329004328708</v>
      </c>
      <c r="AJ10" s="7" t="s">
        <v>847</v>
      </c>
    </row>
    <row r="11" spans="1:36" x14ac:dyDescent="0.35">
      <c r="A11" s="7" t="s">
        <v>48</v>
      </c>
      <c r="B11" s="7"/>
      <c r="C11" s="7"/>
      <c r="D11" s="7" t="s">
        <v>288</v>
      </c>
      <c r="E11" s="10">
        <f>SUMIFS('PLAN BUDGET SAMI-TF'!AN12:AN99999,'PLAN BUDGET SAMI-TF'!D12:D99999,SUMMARY!D11,'PLAN BUDGET SAMI-TF'!J12:J99999,SUMMARY!A11&amp;"*")</f>
        <v>0</v>
      </c>
      <c r="F11" s="10">
        <f>SUMIFS('PLAN BUDGET SAMI-TF'!AO12:AO99999,'PLAN BUDGET SAMI-TF'!D12:D99999,SUMMARY!D11,'PLAN BUDGET SAMI-TF'!J12:J99999,SUMMARY!A11&amp;"*")</f>
        <v>0</v>
      </c>
      <c r="G11" s="10">
        <f>SUMIFS('PLAN BUDGET SAMI-TF'!AP12:AP99999,'PLAN BUDGET SAMI-TF'!D12:D99999,SUMMARY!D11,'PLAN BUDGET SAMI-TF'!J12:J99999,SUMMARY!A11&amp;"*")</f>
        <v>0</v>
      </c>
      <c r="H11" s="10">
        <f>SUMIFS('PLAN BUDGET SAMI-TF'!AQ12:AQ99999,'PLAN BUDGET SAMI-TF'!D12:D99999,SUMMARY!D11,'PLAN BUDGET SAMI-TF'!J12:J99999,SUMMARY!A11&amp;"*")</f>
        <v>0</v>
      </c>
      <c r="I11" s="10">
        <f>SUMIFS('PLAN BUDGET SAMI-TF'!AR12:AR99999,'PLAN BUDGET SAMI-TF'!D12:D99999,SUMMARY!D11,'PLAN BUDGET SAMI-TF'!J12:J99999,SUMMARY!A11&amp;"*")</f>
        <v>4</v>
      </c>
      <c r="J11" s="10">
        <f>SUMIFS('PLAN BUDGET SAMI-TF'!AS12:AS99999,'PLAN BUDGET SAMI-TF'!D12:D99999,SUMMARY!D11,'PLAN BUDGET SAMI-TF'!J12:J99999,SUMMARY!A11&amp;"*")</f>
        <v>0</v>
      </c>
      <c r="K11" s="10">
        <f>SUMIFS('PLAN BUDGET SAMI-TF'!AT12:AT99999,'PLAN BUDGET SAMI-TF'!D12:D99999,SUMMARY!D11,'PLAN BUDGET SAMI-TF'!J12:J99999,SUMMARY!A11&amp;"*")</f>
        <v>0</v>
      </c>
      <c r="L11" s="10">
        <f>SUMIFS('PLAN BUDGET SAMI-TF'!AU12:AU99999,'PLAN BUDGET SAMI-TF'!D12:D99999,SUMMARY!D11,'PLAN BUDGET SAMI-TF'!J12:J99999,SUMMARY!A11&amp;"*")</f>
        <v>0</v>
      </c>
      <c r="M11" s="10">
        <f>SUMIFS('PLAN BUDGET SAMI-TF'!AV12:AV99999,'PLAN BUDGET SAMI-TF'!D12:D99999,SUMMARY!D11,'PLAN BUDGET SAMI-TF'!J12:J99999,SUMMARY!A11&amp;"*")</f>
        <v>0</v>
      </c>
      <c r="N11" s="10">
        <f>SUMIFS('PLAN BUDGET SAMI-TF'!AW12:AW99999,'PLAN BUDGET SAMI-TF'!D12:D99999,SUMMARY!D11,'PLAN BUDGET SAMI-TF'!J12:J99999,SUMMARY!A11&amp;"*")</f>
        <v>0</v>
      </c>
      <c r="O11" s="10">
        <f>SUMIFS('PLAN BUDGET SAMI-TF'!AX12:AX99999,'PLAN BUDGET SAMI-TF'!D12:D99999,SUMMARY!D11,'PLAN BUDGET SAMI-TF'!J12:J99999,SUMMARY!A11&amp;"*")</f>
        <v>0</v>
      </c>
      <c r="P11" s="10">
        <f>SUMIFS('PLAN BUDGET SAMI-TF'!AY12:AY99999,'PLAN BUDGET SAMI-TF'!D12:D99999,SUMMARY!D11,'PLAN BUDGET SAMI-TF'!J12:J99999,SUMMARY!A11&amp;"*")</f>
        <v>0</v>
      </c>
      <c r="Q11" s="10">
        <f>SUMIFS('PLAN BUDGET SAMI-TF'!BC12:BC99999,'PLAN BUDGET SAMI-TF'!D12:D99999,SUMMARY!D11,'PLAN BUDGET SAMI-TF'!J12:J99999,SUMMARY!A11&amp;"*")</f>
        <v>0</v>
      </c>
      <c r="R11" s="10">
        <f>SUMIFS('PLAN BUDGET SAMI-TF'!BD12:BD99999,'PLAN BUDGET SAMI-TF'!D12:D99999,SUMMARY!D11,'PLAN BUDGET SAMI-TF'!J12:J99999,SUMMARY!A11&amp;"*")</f>
        <v>0</v>
      </c>
      <c r="S11" s="10">
        <f>SUMIFS('PLAN BUDGET SAMI-TF'!BE12:BE99999,'PLAN BUDGET SAMI-TF'!D12:D99999,SUMMARY!D11,'PLAN BUDGET SAMI-TF'!J12:J99999,SUMMARY!A11&amp;"*")</f>
        <v>0</v>
      </c>
      <c r="T11" s="10">
        <f>SUMIFS('PLAN BUDGET SAMI-TF'!BF12:BF99999,'PLAN BUDGET SAMI-TF'!D12:D99999,SUMMARY!D11,'PLAN BUDGET SAMI-TF'!J12:J99999,SUMMARY!A11&amp;"*")</f>
        <v>0</v>
      </c>
      <c r="U11" s="10">
        <f>SUMIFS('PLAN BUDGET SAMI-TF'!BG12:BG99999,'PLAN BUDGET SAMI-TF'!D12:D99999,SUMMARY!D11,'PLAN BUDGET SAMI-TF'!J12:J99999,SUMMARY!A11&amp;"*")</f>
        <v>126.59349562619001</v>
      </c>
      <c r="V11" s="10">
        <f>SUMIFS('PLAN BUDGET SAMI-TF'!BH12:BH99999,'PLAN BUDGET SAMI-TF'!D12:D99999,SUMMARY!D11,'PLAN BUDGET SAMI-TF'!J12:J99999,SUMMARY!A11&amp;"*")</f>
        <v>0</v>
      </c>
      <c r="W11" s="10">
        <f>SUMIFS('PLAN BUDGET SAMI-TF'!BI12:BI99999,'PLAN BUDGET SAMI-TF'!D12:D99999,SUMMARY!D11,'PLAN BUDGET SAMI-TF'!J12:J99999,SUMMARY!A11&amp;"*")</f>
        <v>0</v>
      </c>
      <c r="X11" s="10">
        <f>SUMIFS('PLAN BUDGET SAMI-TF'!BJ12:BJ99999,'PLAN BUDGET SAMI-TF'!D12:D99999,SUMMARY!D11,'PLAN BUDGET SAMI-TF'!J12:J99999,SUMMARY!A11&amp;"*")</f>
        <v>0</v>
      </c>
      <c r="Y11" s="10">
        <f>SUMIFS('PLAN BUDGET SAMI-TF'!BK12:BK99999,'PLAN BUDGET SAMI-TF'!D12:D99999,SUMMARY!D11,'PLAN BUDGET SAMI-TF'!J12:J99999,SUMMARY!A11&amp;"*")</f>
        <v>0</v>
      </c>
      <c r="Z11" s="10">
        <f>SUMIFS('PLAN BUDGET SAMI-TF'!BL12:BL99999,'PLAN BUDGET SAMI-TF'!D12:D99999,SUMMARY!D11,'PLAN BUDGET SAMI-TF'!J12:J99999,SUMMARY!A11&amp;"*")</f>
        <v>0</v>
      </c>
      <c r="AA11" s="10">
        <f>SUMIFS('PLAN BUDGET SAMI-TF'!BM12:BM99999,'PLAN BUDGET SAMI-TF'!D12:D99999,SUMMARY!D11,'PLAN BUDGET SAMI-TF'!J12:J99999,SUMMARY!A11&amp;"*")</f>
        <v>0</v>
      </c>
      <c r="AB11" s="10">
        <f>SUMIFS('PLAN BUDGET SAMI-TF'!BN12:BN99999,'PLAN BUDGET SAMI-TF'!D12:D99999,SUMMARY!D11,'PLAN BUDGET SAMI-TF'!J12:J99999,SUMMARY!A11&amp;"*")</f>
        <v>0</v>
      </c>
      <c r="AC11" s="10">
        <f t="shared" si="0"/>
        <v>4</v>
      </c>
      <c r="AD11" s="10">
        <f t="shared" si="1"/>
        <v>126.59349562619001</v>
      </c>
      <c r="AE11" s="16"/>
      <c r="AF11" s="10">
        <v>0</v>
      </c>
      <c r="AG11" s="10">
        <v>0</v>
      </c>
      <c r="AH11" s="20">
        <f t="shared" si="2"/>
        <v>1</v>
      </c>
      <c r="AI11" s="20">
        <f t="shared" si="3"/>
        <v>1</v>
      </c>
      <c r="AJ11" s="7" t="s">
        <v>848</v>
      </c>
    </row>
    <row r="12" spans="1:36" x14ac:dyDescent="0.35">
      <c r="A12" s="7" t="s">
        <v>48</v>
      </c>
      <c r="B12" s="7"/>
      <c r="C12" s="7"/>
      <c r="D12" s="7" t="s">
        <v>258</v>
      </c>
      <c r="E12" s="10">
        <f>SUMIFS('PLAN BUDGET SAMI-TF'!AN12:AN99999,'PLAN BUDGET SAMI-TF'!D12:D99999,SUMMARY!D12,'PLAN BUDGET SAMI-TF'!J12:J99999,SUMMARY!A12&amp;"*")</f>
        <v>0</v>
      </c>
      <c r="F12" s="10">
        <f>SUMIFS('PLAN BUDGET SAMI-TF'!AO12:AO99999,'PLAN BUDGET SAMI-TF'!D12:D99999,SUMMARY!D12,'PLAN BUDGET SAMI-TF'!J12:J99999,SUMMARY!A12&amp;"*")</f>
        <v>0</v>
      </c>
      <c r="G12" s="10">
        <f>SUMIFS('PLAN BUDGET SAMI-TF'!AP12:AP99999,'PLAN BUDGET SAMI-TF'!D12:D99999,SUMMARY!D12,'PLAN BUDGET SAMI-TF'!J12:J99999,SUMMARY!A12&amp;"*")</f>
        <v>0</v>
      </c>
      <c r="H12" s="10">
        <f>SUMIFS('PLAN BUDGET SAMI-TF'!AQ12:AQ99999,'PLAN BUDGET SAMI-TF'!D12:D99999,SUMMARY!D12,'PLAN BUDGET SAMI-TF'!J12:J99999,SUMMARY!A12&amp;"*")</f>
        <v>1</v>
      </c>
      <c r="I12" s="10">
        <f>SUMIFS('PLAN BUDGET SAMI-TF'!AR12:AR99999,'PLAN BUDGET SAMI-TF'!D12:D99999,SUMMARY!D12,'PLAN BUDGET SAMI-TF'!J12:J99999,SUMMARY!A12&amp;"*")</f>
        <v>0</v>
      </c>
      <c r="J12" s="10">
        <f>SUMIFS('PLAN BUDGET SAMI-TF'!AS12:AS99999,'PLAN BUDGET SAMI-TF'!D12:D99999,SUMMARY!D12,'PLAN BUDGET SAMI-TF'!J12:J99999,SUMMARY!A12&amp;"*")</f>
        <v>0</v>
      </c>
      <c r="K12" s="10">
        <f>SUMIFS('PLAN BUDGET SAMI-TF'!AT12:AT99999,'PLAN BUDGET SAMI-TF'!D12:D99999,SUMMARY!D12,'PLAN BUDGET SAMI-TF'!J12:J99999,SUMMARY!A12&amp;"*")</f>
        <v>0</v>
      </c>
      <c r="L12" s="10">
        <f>SUMIFS('PLAN BUDGET SAMI-TF'!AU12:AU99999,'PLAN BUDGET SAMI-TF'!D12:D99999,SUMMARY!D12,'PLAN BUDGET SAMI-TF'!J12:J99999,SUMMARY!A12&amp;"*")</f>
        <v>0</v>
      </c>
      <c r="M12" s="10">
        <f>SUMIFS('PLAN BUDGET SAMI-TF'!AV12:AV99999,'PLAN BUDGET SAMI-TF'!D12:D99999,SUMMARY!D12,'PLAN BUDGET SAMI-TF'!J12:J99999,SUMMARY!A12&amp;"*")</f>
        <v>1</v>
      </c>
      <c r="N12" s="10">
        <f>SUMIFS('PLAN BUDGET SAMI-TF'!AW12:AW99999,'PLAN BUDGET SAMI-TF'!D12:D99999,SUMMARY!D12,'PLAN BUDGET SAMI-TF'!J12:J99999,SUMMARY!A12&amp;"*")</f>
        <v>0</v>
      </c>
      <c r="O12" s="10">
        <f>SUMIFS('PLAN BUDGET SAMI-TF'!AX12:AX99999,'PLAN BUDGET SAMI-TF'!D12:D99999,SUMMARY!D12,'PLAN BUDGET SAMI-TF'!J12:J99999,SUMMARY!A12&amp;"*")</f>
        <v>0</v>
      </c>
      <c r="P12" s="10">
        <f>SUMIFS('PLAN BUDGET SAMI-TF'!AY12:AY99999,'PLAN BUDGET SAMI-TF'!D12:D99999,SUMMARY!D12,'PLAN BUDGET SAMI-TF'!J12:J99999,SUMMARY!A12&amp;"*")</f>
        <v>0</v>
      </c>
      <c r="Q12" s="10">
        <f>SUMIFS('PLAN BUDGET SAMI-TF'!BC12:BC99999,'PLAN BUDGET SAMI-TF'!D12:D99999,SUMMARY!D12,'PLAN BUDGET SAMI-TF'!J12:J99999,SUMMARY!A12&amp;"*")</f>
        <v>0</v>
      </c>
      <c r="R12" s="10">
        <f>SUMIFS('PLAN BUDGET SAMI-TF'!BD12:BD99999,'PLAN BUDGET SAMI-TF'!D12:D99999,SUMMARY!D12,'PLAN BUDGET SAMI-TF'!J12:J99999,SUMMARY!A12&amp;"*")</f>
        <v>0</v>
      </c>
      <c r="S12" s="10">
        <f>SUMIFS('PLAN BUDGET SAMI-TF'!BE12:BE99999,'PLAN BUDGET SAMI-TF'!D12:D99999,SUMMARY!D12,'PLAN BUDGET SAMI-TF'!J12:J99999,SUMMARY!A12&amp;"*")</f>
        <v>0</v>
      </c>
      <c r="T12" s="10">
        <f>SUMIFS('PLAN BUDGET SAMI-TF'!BF12:BF99999,'PLAN BUDGET SAMI-TF'!D12:D99999,SUMMARY!D12,'PLAN BUDGET SAMI-TF'!J12:J99999,SUMMARY!A12&amp;"*")</f>
        <v>71.367083159266997</v>
      </c>
      <c r="U12" s="10">
        <f>SUMIFS('PLAN BUDGET SAMI-TF'!BG12:BG99999,'PLAN BUDGET SAMI-TF'!D12:D99999,SUMMARY!D12,'PLAN BUDGET SAMI-TF'!J12:J99999,SUMMARY!A12&amp;"*")</f>
        <v>0</v>
      </c>
      <c r="V12" s="10">
        <f>SUMIFS('PLAN BUDGET SAMI-TF'!BH12:BH99999,'PLAN BUDGET SAMI-TF'!D12:D99999,SUMMARY!D12,'PLAN BUDGET SAMI-TF'!J12:J99999,SUMMARY!A12&amp;"*")</f>
        <v>0</v>
      </c>
      <c r="W12" s="10">
        <f>SUMIFS('PLAN BUDGET SAMI-TF'!BI12:BI99999,'PLAN BUDGET SAMI-TF'!D12:D99999,SUMMARY!D12,'PLAN BUDGET SAMI-TF'!J12:J99999,SUMMARY!A12&amp;"*")</f>
        <v>0</v>
      </c>
      <c r="X12" s="10">
        <f>SUMIFS('PLAN BUDGET SAMI-TF'!BJ12:BJ99999,'PLAN BUDGET SAMI-TF'!D12:D99999,SUMMARY!D12,'PLAN BUDGET SAMI-TF'!J12:J99999,SUMMARY!A12&amp;"*")</f>
        <v>0</v>
      </c>
      <c r="Y12" s="10">
        <f>SUMIFS('PLAN BUDGET SAMI-TF'!BK12:BK99999,'PLAN BUDGET SAMI-TF'!D12:D99999,SUMMARY!D12,'PLAN BUDGET SAMI-TF'!J12:J99999,SUMMARY!A12&amp;"*")</f>
        <v>73.864931069842001</v>
      </c>
      <c r="Z12" s="10">
        <f>SUMIFS('PLAN BUDGET SAMI-TF'!BL12:BL99999,'PLAN BUDGET SAMI-TF'!D12:D99999,SUMMARY!D12,'PLAN BUDGET SAMI-TF'!J12:J99999,SUMMARY!A12&amp;"*")</f>
        <v>0</v>
      </c>
      <c r="AA12" s="10">
        <f>SUMIFS('PLAN BUDGET SAMI-TF'!BM12:BM99999,'PLAN BUDGET SAMI-TF'!D12:D99999,SUMMARY!D12,'PLAN BUDGET SAMI-TF'!J12:J99999,SUMMARY!A12&amp;"*")</f>
        <v>0</v>
      </c>
      <c r="AB12" s="10">
        <f>SUMIFS('PLAN BUDGET SAMI-TF'!BN12:BN99999,'PLAN BUDGET SAMI-TF'!D12:D99999,SUMMARY!D12,'PLAN BUDGET SAMI-TF'!J12:J99999,SUMMARY!A12&amp;"*")</f>
        <v>0</v>
      </c>
      <c r="AC12" s="10">
        <f t="shared" si="0"/>
        <v>2</v>
      </c>
      <c r="AD12" s="10">
        <f t="shared" si="1"/>
        <v>145.23201422910898</v>
      </c>
      <c r="AE12" s="16"/>
      <c r="AF12" s="10">
        <v>2</v>
      </c>
      <c r="AG12" s="10">
        <v>141.48089071184</v>
      </c>
      <c r="AH12" s="20">
        <f t="shared" si="2"/>
        <v>0</v>
      </c>
      <c r="AI12" s="20">
        <f t="shared" si="3"/>
        <v>2.6513287401540665E-2</v>
      </c>
      <c r="AJ12" s="7" t="s">
        <v>849</v>
      </c>
    </row>
    <row r="13" spans="1:36" x14ac:dyDescent="0.35">
      <c r="A13" s="7" t="s">
        <v>48</v>
      </c>
      <c r="B13" s="7"/>
      <c r="C13" s="7"/>
      <c r="D13" s="7" t="s">
        <v>230</v>
      </c>
      <c r="E13" s="10">
        <f>SUMIFS('PLAN BUDGET SAMI-TF'!AN12:AN99999,'PLAN BUDGET SAMI-TF'!D12:D99999,SUMMARY!D13,'PLAN BUDGET SAMI-TF'!J12:J99999,SUMMARY!A13&amp;"*")</f>
        <v>60</v>
      </c>
      <c r="F13" s="10">
        <f>SUMIFS('PLAN BUDGET SAMI-TF'!AO12:AO99999,'PLAN BUDGET SAMI-TF'!D12:D99999,SUMMARY!D13,'PLAN BUDGET SAMI-TF'!J12:J99999,SUMMARY!A13&amp;"*")</f>
        <v>158</v>
      </c>
      <c r="G13" s="10">
        <f>SUMIFS('PLAN BUDGET SAMI-TF'!AP12:AP99999,'PLAN BUDGET SAMI-TF'!D12:D99999,SUMMARY!D13,'PLAN BUDGET SAMI-TF'!J12:J99999,SUMMARY!A13&amp;"*")</f>
        <v>167</v>
      </c>
      <c r="H13" s="10">
        <f>SUMIFS('PLAN BUDGET SAMI-TF'!AQ12:AQ99999,'PLAN BUDGET SAMI-TF'!D12:D99999,SUMMARY!D13,'PLAN BUDGET SAMI-TF'!J12:J99999,SUMMARY!A13&amp;"*")</f>
        <v>190</v>
      </c>
      <c r="I13" s="10">
        <f>SUMIFS('PLAN BUDGET SAMI-TF'!AR12:AR99999,'PLAN BUDGET SAMI-TF'!D12:D99999,SUMMARY!D13,'PLAN BUDGET SAMI-TF'!J12:J99999,SUMMARY!A13&amp;"*")</f>
        <v>163</v>
      </c>
      <c r="J13" s="10">
        <f>SUMIFS('PLAN BUDGET SAMI-TF'!AS12:AS99999,'PLAN BUDGET SAMI-TF'!D12:D99999,SUMMARY!D13,'PLAN BUDGET SAMI-TF'!J12:J99999,SUMMARY!A13&amp;"*")</f>
        <v>126</v>
      </c>
      <c r="K13" s="10">
        <f>SUMIFS('PLAN BUDGET SAMI-TF'!AT12:AT99999,'PLAN BUDGET SAMI-TF'!D12:D99999,SUMMARY!D13,'PLAN BUDGET SAMI-TF'!J12:J99999,SUMMARY!A13&amp;"*")</f>
        <v>47</v>
      </c>
      <c r="L13" s="10">
        <f>SUMIFS('PLAN BUDGET SAMI-TF'!AU12:AU99999,'PLAN BUDGET SAMI-TF'!D12:D99999,SUMMARY!D13,'PLAN BUDGET SAMI-TF'!J12:J99999,SUMMARY!A13&amp;"*")</f>
        <v>28</v>
      </c>
      <c r="M13" s="10">
        <f>SUMIFS('PLAN BUDGET SAMI-TF'!AV12:AV99999,'PLAN BUDGET SAMI-TF'!D12:D99999,SUMMARY!D13,'PLAN BUDGET SAMI-TF'!J12:J99999,SUMMARY!A13&amp;"*")</f>
        <v>39</v>
      </c>
      <c r="N13" s="10">
        <f>SUMIFS('PLAN BUDGET SAMI-TF'!AW12:AW99999,'PLAN BUDGET SAMI-TF'!D12:D99999,SUMMARY!D13,'PLAN BUDGET SAMI-TF'!J12:J99999,SUMMARY!A13&amp;"*")</f>
        <v>141</v>
      </c>
      <c r="O13" s="10">
        <f>SUMIFS('PLAN BUDGET SAMI-TF'!AX12:AX99999,'PLAN BUDGET SAMI-TF'!D12:D99999,SUMMARY!D13,'PLAN BUDGET SAMI-TF'!J12:J99999,SUMMARY!A13&amp;"*")</f>
        <v>129</v>
      </c>
      <c r="P13" s="10">
        <f>SUMIFS('PLAN BUDGET SAMI-TF'!AY12:AY99999,'PLAN BUDGET SAMI-TF'!D12:D99999,SUMMARY!D13,'PLAN BUDGET SAMI-TF'!J12:J99999,SUMMARY!A13&amp;"*")</f>
        <v>25</v>
      </c>
      <c r="Q13" s="10">
        <f>SUMIFS('PLAN BUDGET SAMI-TF'!BC12:BC99999,'PLAN BUDGET SAMI-TF'!D12:D99999,SUMMARY!D13,'PLAN BUDGET SAMI-TF'!J12:J99999,SUMMARY!A13&amp;"*")</f>
        <v>6.8360487638145004</v>
      </c>
      <c r="R13" s="10">
        <f>SUMIFS('PLAN BUDGET SAMI-TF'!BD12:BD99999,'PLAN BUDGET SAMI-TF'!D12:D99999,SUMMARY!D13,'PLAN BUDGET SAMI-TF'!J12:J99999,SUMMARY!A13&amp;"*")</f>
        <v>18.839960502829051</v>
      </c>
      <c r="S13" s="10">
        <f>SUMIFS('PLAN BUDGET SAMI-TF'!BE12:BE99999,'PLAN BUDGET SAMI-TF'!D12:D99999,SUMMARY!D13,'PLAN BUDGET SAMI-TF'!J12:J99999,SUMMARY!A13&amp;"*")</f>
        <v>19.027002392617</v>
      </c>
      <c r="T13" s="10">
        <f>SUMIFS('PLAN BUDGET SAMI-TF'!BF12:BF99999,'PLAN BUDGET SAMI-TF'!D12:D99999,SUMMARY!D13,'PLAN BUDGET SAMI-TF'!J12:J99999,SUMMARY!A13&amp;"*")</f>
        <v>21.647487752079002</v>
      </c>
      <c r="U13" s="10">
        <f>SUMIFS('PLAN BUDGET SAMI-TF'!BG12:BG99999,'PLAN BUDGET SAMI-TF'!D12:D99999,SUMMARY!D13,'PLAN BUDGET SAMI-TF'!J12:J99999,SUMMARY!A13&amp;"*")</f>
        <v>18.99048016912872</v>
      </c>
      <c r="V13" s="10">
        <f>SUMIFS('PLAN BUDGET SAMI-TF'!BH12:BH99999,'PLAN BUDGET SAMI-TF'!D12:D99999,SUMMARY!D13,'PLAN BUDGET SAMI-TF'!J12:J99999,SUMMARY!A13&amp;"*")</f>
        <v>14.35570240401</v>
      </c>
      <c r="W13" s="10">
        <f>SUMIFS('PLAN BUDGET SAMI-TF'!BI12:BI99999,'PLAN BUDGET SAMI-TF'!D12:D99999,SUMMARY!D13,'PLAN BUDGET SAMI-TF'!J12:J99999,SUMMARY!A13&amp;"*")</f>
        <v>5.3549048649879998</v>
      </c>
      <c r="X13" s="10">
        <f>SUMIFS('PLAN BUDGET SAMI-TF'!BJ12:BJ99999,'PLAN BUDGET SAMI-TF'!D12:D99999,SUMMARY!D13,'PLAN BUDGET SAMI-TF'!J12:J99999,SUMMARY!A13&amp;"*")</f>
        <v>4.0285215145645497</v>
      </c>
      <c r="Y13" s="10">
        <f>SUMIFS('PLAN BUDGET SAMI-TF'!BK12:BK99999,'PLAN BUDGET SAMI-TF'!D12:D99999,SUMMARY!D13,'PLAN BUDGET SAMI-TF'!J12:J99999,SUMMARY!A13&amp;"*")</f>
        <v>4.4434316964793998</v>
      </c>
      <c r="Z13" s="10">
        <f>SUMIFS('PLAN BUDGET SAMI-TF'!BL12:BL99999,'PLAN BUDGET SAMI-TF'!D12:D99999,SUMMARY!D13,'PLAN BUDGET SAMI-TF'!J12:J99999,SUMMARY!A13&amp;"*")</f>
        <v>16.483928955730718</v>
      </c>
      <c r="AA13" s="10">
        <f>SUMIFS('PLAN BUDGET SAMI-TF'!BM12:BM99999,'PLAN BUDGET SAMI-TF'!D12:D99999,SUMMARY!D13,'PLAN BUDGET SAMI-TF'!J12:J99999,SUMMARY!A13&amp;"*")</f>
        <v>14.697504842201001</v>
      </c>
      <c r="AB13" s="10">
        <f>SUMIFS('PLAN BUDGET SAMI-TF'!BN12:BN99999,'PLAN BUDGET SAMI-TF'!D12:D99999,SUMMARY!D13,'PLAN BUDGET SAMI-TF'!J12:J99999,SUMMARY!A13&amp;"*")</f>
        <v>2.8483536515894001</v>
      </c>
      <c r="AC13" s="10">
        <f t="shared" si="0"/>
        <v>1273</v>
      </c>
      <c r="AD13" s="10">
        <f t="shared" si="1"/>
        <v>147.55332751003132</v>
      </c>
      <c r="AE13" s="16"/>
      <c r="AF13" s="10">
        <v>1066</v>
      </c>
      <c r="AG13" s="10">
        <v>204.47267479396999</v>
      </c>
      <c r="AH13" s="20">
        <f t="shared" si="2"/>
        <v>0.19418386491557224</v>
      </c>
      <c r="AI13" s="20">
        <f t="shared" si="3"/>
        <v>-0.27837141242120261</v>
      </c>
      <c r="AJ13" s="7" t="s">
        <v>850</v>
      </c>
    </row>
    <row r="14" spans="1:36" x14ac:dyDescent="0.35">
      <c r="A14" s="7" t="s">
        <v>48</v>
      </c>
      <c r="B14" s="7"/>
      <c r="C14" s="7"/>
      <c r="D14" s="7" t="s">
        <v>55</v>
      </c>
      <c r="E14" s="10">
        <f>SUMIFS('PLAN BUDGET SAMI-TF'!AN12:AN99999,'PLAN BUDGET SAMI-TF'!D12:D99999,SUMMARY!D14,'PLAN BUDGET SAMI-TF'!J12:J99999,SUMMARY!A14&amp;"*")</f>
        <v>3</v>
      </c>
      <c r="F14" s="10">
        <f>SUMIFS('PLAN BUDGET SAMI-TF'!AO12:AO99999,'PLAN BUDGET SAMI-TF'!D12:D99999,SUMMARY!D14,'PLAN BUDGET SAMI-TF'!J12:J99999,SUMMARY!A14&amp;"*")</f>
        <v>0</v>
      </c>
      <c r="G14" s="10">
        <f>SUMIFS('PLAN BUDGET SAMI-TF'!AP12:AP99999,'PLAN BUDGET SAMI-TF'!D12:D99999,SUMMARY!D14,'PLAN BUDGET SAMI-TF'!J12:J99999,SUMMARY!A14&amp;"*")</f>
        <v>4</v>
      </c>
      <c r="H14" s="10">
        <f>SUMIFS('PLAN BUDGET SAMI-TF'!AQ12:AQ99999,'PLAN BUDGET SAMI-TF'!D12:D99999,SUMMARY!D14,'PLAN BUDGET SAMI-TF'!J12:J99999,SUMMARY!A14&amp;"*")</f>
        <v>0</v>
      </c>
      <c r="I14" s="10">
        <f>SUMIFS('PLAN BUDGET SAMI-TF'!AR12:AR99999,'PLAN BUDGET SAMI-TF'!D12:D99999,SUMMARY!D14,'PLAN BUDGET SAMI-TF'!J12:J99999,SUMMARY!A14&amp;"*")</f>
        <v>3</v>
      </c>
      <c r="J14" s="10">
        <f>SUMIFS('PLAN BUDGET SAMI-TF'!AS12:AS99999,'PLAN BUDGET SAMI-TF'!D12:D99999,SUMMARY!D14,'PLAN BUDGET SAMI-TF'!J12:J99999,SUMMARY!A14&amp;"*")</f>
        <v>0</v>
      </c>
      <c r="K14" s="10">
        <f>SUMIFS('PLAN BUDGET SAMI-TF'!AT12:AT99999,'PLAN BUDGET SAMI-TF'!D12:D99999,SUMMARY!D14,'PLAN BUDGET SAMI-TF'!J12:J99999,SUMMARY!A14&amp;"*")</f>
        <v>4</v>
      </c>
      <c r="L14" s="10">
        <f>SUMIFS('PLAN BUDGET SAMI-TF'!AU12:AU99999,'PLAN BUDGET SAMI-TF'!D12:D99999,SUMMARY!D14,'PLAN BUDGET SAMI-TF'!J12:J99999,SUMMARY!A14&amp;"*")</f>
        <v>1</v>
      </c>
      <c r="M14" s="10">
        <f>SUMIFS('PLAN BUDGET SAMI-TF'!AV12:AV99999,'PLAN BUDGET SAMI-TF'!D12:D99999,SUMMARY!D14,'PLAN BUDGET SAMI-TF'!J12:J99999,SUMMARY!A14&amp;"*")</f>
        <v>3</v>
      </c>
      <c r="N14" s="10">
        <f>SUMIFS('PLAN BUDGET SAMI-TF'!AW12:AW99999,'PLAN BUDGET SAMI-TF'!D12:D99999,SUMMARY!D14,'PLAN BUDGET SAMI-TF'!J12:J99999,SUMMARY!A14&amp;"*")</f>
        <v>0</v>
      </c>
      <c r="O14" s="10">
        <f>SUMIFS('PLAN BUDGET SAMI-TF'!AX12:AX99999,'PLAN BUDGET SAMI-TF'!D12:D99999,SUMMARY!D14,'PLAN BUDGET SAMI-TF'!J12:J99999,SUMMARY!A14&amp;"*")</f>
        <v>4</v>
      </c>
      <c r="P14" s="10">
        <f>SUMIFS('PLAN BUDGET SAMI-TF'!AY12:AY99999,'PLAN BUDGET SAMI-TF'!D12:D99999,SUMMARY!D14,'PLAN BUDGET SAMI-TF'!J12:J99999,SUMMARY!A14&amp;"*")</f>
        <v>0</v>
      </c>
      <c r="Q14" s="10">
        <f>SUMIFS('PLAN BUDGET SAMI-TF'!BC12:BC99999,'PLAN BUDGET SAMI-TF'!D12:D99999,SUMMARY!D14,'PLAN BUDGET SAMI-TF'!J12:J99999,SUMMARY!A14&amp;"*")</f>
        <v>0.46181307204436001</v>
      </c>
      <c r="R14" s="10">
        <f>SUMIFS('PLAN BUDGET SAMI-TF'!BD12:BD99999,'PLAN BUDGET SAMI-TF'!D12:D99999,SUMMARY!D14,'PLAN BUDGET SAMI-TF'!J12:J99999,SUMMARY!A14&amp;"*")</f>
        <v>0</v>
      </c>
      <c r="S14" s="10">
        <f>SUMIFS('PLAN BUDGET SAMI-TF'!BE12:BE99999,'PLAN BUDGET SAMI-TF'!D12:D99999,SUMMARY!D14,'PLAN BUDGET SAMI-TF'!J12:J99999,SUMMARY!A14&amp;"*")</f>
        <v>0.61575076272580997</v>
      </c>
      <c r="T14" s="10">
        <f>SUMIFS('PLAN BUDGET SAMI-TF'!BF12:BF99999,'PLAN BUDGET SAMI-TF'!D12:D99999,SUMMARY!D14,'PLAN BUDGET SAMI-TF'!J12:J99999,SUMMARY!A14&amp;"*")</f>
        <v>0</v>
      </c>
      <c r="U14" s="10">
        <f>SUMIFS('PLAN BUDGET SAMI-TF'!BG12:BG99999,'PLAN BUDGET SAMI-TF'!D12:D99999,SUMMARY!D14,'PLAN BUDGET SAMI-TF'!J12:J99999,SUMMARY!A14&amp;"*")</f>
        <v>0.46181307204436001</v>
      </c>
      <c r="V14" s="10">
        <f>SUMIFS('PLAN BUDGET SAMI-TF'!BH12:BH99999,'PLAN BUDGET SAMI-TF'!D12:D99999,SUMMARY!D14,'PLAN BUDGET SAMI-TF'!J12:J99999,SUMMARY!A14&amp;"*")</f>
        <v>0</v>
      </c>
      <c r="W14" s="10">
        <f>SUMIFS('PLAN BUDGET SAMI-TF'!BI12:BI99999,'PLAN BUDGET SAMI-TF'!D12:D99999,SUMMARY!D14,'PLAN BUDGET SAMI-TF'!J12:J99999,SUMMARY!A14&amp;"*")</f>
        <v>0.61575076272580997</v>
      </c>
      <c r="X14" s="10">
        <f>SUMIFS('PLAN BUDGET SAMI-TF'!BJ12:BJ99999,'PLAN BUDGET SAMI-TF'!D12:D99999,SUMMARY!D14,'PLAN BUDGET SAMI-TF'!J12:J99999,SUMMARY!A14&amp;"*")</f>
        <v>1.3315103869963001</v>
      </c>
      <c r="Y14" s="10">
        <f>SUMIFS('PLAN BUDGET SAMI-TF'!BK12:BK99999,'PLAN BUDGET SAMI-TF'!D12:D99999,SUMMARY!D14,'PLAN BUDGET SAMI-TF'!J12:J99999,SUMMARY!A14&amp;"*")</f>
        <v>0.46181307204436001</v>
      </c>
      <c r="Z14" s="10">
        <f>SUMIFS('PLAN BUDGET SAMI-TF'!BL12:BL99999,'PLAN BUDGET SAMI-TF'!D12:D99999,SUMMARY!D14,'PLAN BUDGET SAMI-TF'!J12:J99999,SUMMARY!A14&amp;"*")</f>
        <v>0</v>
      </c>
      <c r="AA14" s="10">
        <f>SUMIFS('PLAN BUDGET SAMI-TF'!BM12:BM99999,'PLAN BUDGET SAMI-TF'!D12:D99999,SUMMARY!D14,'PLAN BUDGET SAMI-TF'!J12:J99999,SUMMARY!A14&amp;"*")</f>
        <v>0.61575076272580997</v>
      </c>
      <c r="AB14" s="10">
        <f>SUMIFS('PLAN BUDGET SAMI-TF'!BN12:BN99999,'PLAN BUDGET SAMI-TF'!D12:D99999,SUMMARY!D14,'PLAN BUDGET SAMI-TF'!J12:J99999,SUMMARY!A14&amp;"*")</f>
        <v>0</v>
      </c>
      <c r="AC14" s="10">
        <f t="shared" si="0"/>
        <v>22</v>
      </c>
      <c r="AD14" s="10">
        <f t="shared" si="1"/>
        <v>4.5642018913068103</v>
      </c>
      <c r="AE14" s="16"/>
      <c r="AF14" s="10">
        <v>22</v>
      </c>
      <c r="AG14" s="10">
        <v>4.3262061195296004</v>
      </c>
      <c r="AH14" s="20">
        <f t="shared" si="2"/>
        <v>0</v>
      </c>
      <c r="AI14" s="20">
        <f t="shared" si="3"/>
        <v>5.5012582665175412E-2</v>
      </c>
      <c r="AJ14" s="7" t="s">
        <v>849</v>
      </c>
    </row>
    <row r="15" spans="1:36" x14ac:dyDescent="0.35">
      <c r="A15" s="7" t="s">
        <v>48</v>
      </c>
      <c r="B15" s="7"/>
      <c r="C15" s="7"/>
      <c r="D15" s="7" t="s">
        <v>97</v>
      </c>
      <c r="E15" s="10">
        <f>SUMIFS('PLAN BUDGET SAMI-TF'!AN12:AN99999,'PLAN BUDGET SAMI-TF'!D12:D99999,SUMMARY!D15,'PLAN BUDGET SAMI-TF'!J12:J99999,SUMMARY!A15&amp;"*")</f>
        <v>0</v>
      </c>
      <c r="F15" s="10">
        <f>SUMIFS('PLAN BUDGET SAMI-TF'!AO12:AO99999,'PLAN BUDGET SAMI-TF'!D12:D99999,SUMMARY!D15,'PLAN BUDGET SAMI-TF'!J12:J99999,SUMMARY!A15&amp;"*")</f>
        <v>1</v>
      </c>
      <c r="G15" s="10">
        <f>SUMIFS('PLAN BUDGET SAMI-TF'!AP12:AP99999,'PLAN BUDGET SAMI-TF'!D12:D99999,SUMMARY!D15,'PLAN BUDGET SAMI-TF'!J12:J99999,SUMMARY!A15&amp;"*")</f>
        <v>0</v>
      </c>
      <c r="H15" s="10">
        <f>SUMIFS('PLAN BUDGET SAMI-TF'!AQ12:AQ99999,'PLAN BUDGET SAMI-TF'!D12:D99999,SUMMARY!D15,'PLAN BUDGET SAMI-TF'!J12:J99999,SUMMARY!A15&amp;"*")</f>
        <v>0</v>
      </c>
      <c r="I15" s="10">
        <f>SUMIFS('PLAN BUDGET SAMI-TF'!AR12:AR99999,'PLAN BUDGET SAMI-TF'!D12:D99999,SUMMARY!D15,'PLAN BUDGET SAMI-TF'!J12:J99999,SUMMARY!A15&amp;"*")</f>
        <v>0</v>
      </c>
      <c r="J15" s="10">
        <f>SUMIFS('PLAN BUDGET SAMI-TF'!AS12:AS99999,'PLAN BUDGET SAMI-TF'!D12:D99999,SUMMARY!D15,'PLAN BUDGET SAMI-TF'!J12:J99999,SUMMARY!A15&amp;"*")</f>
        <v>6</v>
      </c>
      <c r="K15" s="10">
        <f>SUMIFS('PLAN BUDGET SAMI-TF'!AT12:AT99999,'PLAN BUDGET SAMI-TF'!D12:D99999,SUMMARY!D15,'PLAN BUDGET SAMI-TF'!J12:J99999,SUMMARY!A15&amp;"*")</f>
        <v>0</v>
      </c>
      <c r="L15" s="10">
        <f>SUMIFS('PLAN BUDGET SAMI-TF'!AU12:AU99999,'PLAN BUDGET SAMI-TF'!D12:D99999,SUMMARY!D15,'PLAN BUDGET SAMI-TF'!J12:J99999,SUMMARY!A15&amp;"*")</f>
        <v>0</v>
      </c>
      <c r="M15" s="10">
        <f>SUMIFS('PLAN BUDGET SAMI-TF'!AV12:AV99999,'PLAN BUDGET SAMI-TF'!D12:D99999,SUMMARY!D15,'PLAN BUDGET SAMI-TF'!J12:J99999,SUMMARY!A15&amp;"*")</f>
        <v>0</v>
      </c>
      <c r="N15" s="10">
        <f>SUMIFS('PLAN BUDGET SAMI-TF'!AW12:AW99999,'PLAN BUDGET SAMI-TF'!D12:D99999,SUMMARY!D15,'PLAN BUDGET SAMI-TF'!J12:J99999,SUMMARY!A15&amp;"*")</f>
        <v>0</v>
      </c>
      <c r="O15" s="10">
        <f>SUMIFS('PLAN BUDGET SAMI-TF'!AX12:AX99999,'PLAN BUDGET SAMI-TF'!D12:D99999,SUMMARY!D15,'PLAN BUDGET SAMI-TF'!J12:J99999,SUMMARY!A15&amp;"*")</f>
        <v>0</v>
      </c>
      <c r="P15" s="10">
        <f>SUMIFS('PLAN BUDGET SAMI-TF'!AY12:AY99999,'PLAN BUDGET SAMI-TF'!D12:D99999,SUMMARY!D15,'PLAN BUDGET SAMI-TF'!J12:J99999,SUMMARY!A15&amp;"*")</f>
        <v>0</v>
      </c>
      <c r="Q15" s="10">
        <f>SUMIFS('PLAN BUDGET SAMI-TF'!BC12:BC99999,'PLAN BUDGET SAMI-TF'!D12:D99999,SUMMARY!D15,'PLAN BUDGET SAMI-TF'!J12:J99999,SUMMARY!A15&amp;"*")</f>
        <v>0</v>
      </c>
      <c r="R15" s="10">
        <f>SUMIFS('PLAN BUDGET SAMI-TF'!BD12:BD99999,'PLAN BUDGET SAMI-TF'!D12:D99999,SUMMARY!D15,'PLAN BUDGET SAMI-TF'!J12:J99999,SUMMARY!A15&amp;"*")</f>
        <v>0</v>
      </c>
      <c r="S15" s="10">
        <f>SUMIFS('PLAN BUDGET SAMI-TF'!BE12:BE99999,'PLAN BUDGET SAMI-TF'!D12:D99999,SUMMARY!D15,'PLAN BUDGET SAMI-TF'!J12:J99999,SUMMARY!A15&amp;"*")</f>
        <v>0</v>
      </c>
      <c r="T15" s="10">
        <f>SUMIFS('PLAN BUDGET SAMI-TF'!BF12:BF99999,'PLAN BUDGET SAMI-TF'!D12:D99999,SUMMARY!D15,'PLAN BUDGET SAMI-TF'!J12:J99999,SUMMARY!A15&amp;"*")</f>
        <v>0</v>
      </c>
      <c r="U15" s="10">
        <f>SUMIFS('PLAN BUDGET SAMI-TF'!BG12:BG99999,'PLAN BUDGET SAMI-TF'!D12:D99999,SUMMARY!D15,'PLAN BUDGET SAMI-TF'!J12:J99999,SUMMARY!A15&amp;"*")</f>
        <v>0</v>
      </c>
      <c r="V15" s="10">
        <f>SUMIFS('PLAN BUDGET SAMI-TF'!BH12:BH99999,'PLAN BUDGET SAMI-TF'!D12:D99999,SUMMARY!D15,'PLAN BUDGET SAMI-TF'!J12:J99999,SUMMARY!A15&amp;"*")</f>
        <v>0</v>
      </c>
      <c r="W15" s="10">
        <f>SUMIFS('PLAN BUDGET SAMI-TF'!BI12:BI99999,'PLAN BUDGET SAMI-TF'!D12:D99999,SUMMARY!D15,'PLAN BUDGET SAMI-TF'!J12:J99999,SUMMARY!A15&amp;"*")</f>
        <v>0</v>
      </c>
      <c r="X15" s="10">
        <f>SUMIFS('PLAN BUDGET SAMI-TF'!BJ12:BJ99999,'PLAN BUDGET SAMI-TF'!D12:D99999,SUMMARY!D15,'PLAN BUDGET SAMI-TF'!J12:J99999,SUMMARY!A15&amp;"*")</f>
        <v>0</v>
      </c>
      <c r="Y15" s="10">
        <f>SUMIFS('PLAN BUDGET SAMI-TF'!BK12:BK99999,'PLAN BUDGET SAMI-TF'!D12:D99999,SUMMARY!D15,'PLAN BUDGET SAMI-TF'!J12:J99999,SUMMARY!A15&amp;"*")</f>
        <v>0</v>
      </c>
      <c r="Z15" s="10">
        <f>SUMIFS('PLAN BUDGET SAMI-TF'!BL12:BL99999,'PLAN BUDGET SAMI-TF'!D12:D99999,SUMMARY!D15,'PLAN BUDGET SAMI-TF'!J12:J99999,SUMMARY!A15&amp;"*")</f>
        <v>0</v>
      </c>
      <c r="AA15" s="10">
        <f>SUMIFS('PLAN BUDGET SAMI-TF'!BM12:BM99999,'PLAN BUDGET SAMI-TF'!D12:D99999,SUMMARY!D15,'PLAN BUDGET SAMI-TF'!J12:J99999,SUMMARY!A15&amp;"*")</f>
        <v>0</v>
      </c>
      <c r="AB15" s="10">
        <f>SUMIFS('PLAN BUDGET SAMI-TF'!BN12:BN99999,'PLAN BUDGET SAMI-TF'!D12:D99999,SUMMARY!D15,'PLAN BUDGET SAMI-TF'!J12:J99999,SUMMARY!A15&amp;"*")</f>
        <v>0</v>
      </c>
      <c r="AC15" s="10">
        <f t="shared" si="0"/>
        <v>7</v>
      </c>
      <c r="AD15" s="10">
        <f t="shared" si="1"/>
        <v>0</v>
      </c>
      <c r="AE15" s="16"/>
      <c r="AF15" s="10">
        <v>2</v>
      </c>
      <c r="AG15" s="10">
        <v>265.84634081501002</v>
      </c>
      <c r="AH15" s="20">
        <f t="shared" si="2"/>
        <v>2.5</v>
      </c>
      <c r="AI15" s="20">
        <f t="shared" si="3"/>
        <v>-1</v>
      </c>
      <c r="AJ15" s="7" t="s">
        <v>851</v>
      </c>
    </row>
    <row r="16" spans="1:36" x14ac:dyDescent="0.35">
      <c r="A16" s="7" t="s">
        <v>48</v>
      </c>
      <c r="B16" s="7"/>
      <c r="C16" s="7"/>
      <c r="D16" s="7" t="s">
        <v>62</v>
      </c>
      <c r="E16" s="10">
        <f>SUMIFS('PLAN BUDGET SAMI-TF'!AN12:AN99999,'PLAN BUDGET SAMI-TF'!D12:D99999,SUMMARY!D16,'PLAN BUDGET SAMI-TF'!J12:J99999,SUMMARY!A16&amp;"*")</f>
        <v>1</v>
      </c>
      <c r="F16" s="10">
        <f>SUMIFS('PLAN BUDGET SAMI-TF'!AO12:AO99999,'PLAN BUDGET SAMI-TF'!D12:D99999,SUMMARY!D16,'PLAN BUDGET SAMI-TF'!J12:J99999,SUMMARY!A16&amp;"*")</f>
        <v>0</v>
      </c>
      <c r="G16" s="10">
        <f>SUMIFS('PLAN BUDGET SAMI-TF'!AP12:AP99999,'PLAN BUDGET SAMI-TF'!D12:D99999,SUMMARY!D16,'PLAN BUDGET SAMI-TF'!J12:J99999,SUMMARY!A16&amp;"*")</f>
        <v>0</v>
      </c>
      <c r="H16" s="10">
        <f>SUMIFS('PLAN BUDGET SAMI-TF'!AQ12:AQ99999,'PLAN BUDGET SAMI-TF'!D12:D99999,SUMMARY!D16,'PLAN BUDGET SAMI-TF'!J12:J99999,SUMMARY!A16&amp;"*")</f>
        <v>0</v>
      </c>
      <c r="I16" s="10">
        <f>SUMIFS('PLAN BUDGET SAMI-TF'!AR12:AR99999,'PLAN BUDGET SAMI-TF'!D12:D99999,SUMMARY!D16,'PLAN BUDGET SAMI-TF'!J12:J99999,SUMMARY!A16&amp;"*")</f>
        <v>0</v>
      </c>
      <c r="J16" s="10">
        <f>SUMIFS('PLAN BUDGET SAMI-TF'!AS12:AS99999,'PLAN BUDGET SAMI-TF'!D12:D99999,SUMMARY!D16,'PLAN BUDGET SAMI-TF'!J12:J99999,SUMMARY!A16&amp;"*")</f>
        <v>0</v>
      </c>
      <c r="K16" s="10">
        <f>SUMIFS('PLAN BUDGET SAMI-TF'!AT12:AT99999,'PLAN BUDGET SAMI-TF'!D12:D99999,SUMMARY!D16,'PLAN BUDGET SAMI-TF'!J12:J99999,SUMMARY!A16&amp;"*")</f>
        <v>1</v>
      </c>
      <c r="L16" s="10">
        <f>SUMIFS('PLAN BUDGET SAMI-TF'!AU12:AU99999,'PLAN BUDGET SAMI-TF'!D12:D99999,SUMMARY!D16,'PLAN BUDGET SAMI-TF'!J12:J99999,SUMMARY!A16&amp;"*")</f>
        <v>0</v>
      </c>
      <c r="M16" s="10">
        <f>SUMIFS('PLAN BUDGET SAMI-TF'!AV12:AV99999,'PLAN BUDGET SAMI-TF'!D12:D99999,SUMMARY!D16,'PLAN BUDGET SAMI-TF'!J12:J99999,SUMMARY!A16&amp;"*")</f>
        <v>0</v>
      </c>
      <c r="N16" s="10">
        <f>SUMIFS('PLAN BUDGET SAMI-TF'!AW12:AW99999,'PLAN BUDGET SAMI-TF'!D12:D99999,SUMMARY!D16,'PLAN BUDGET SAMI-TF'!J12:J99999,SUMMARY!A16&amp;"*")</f>
        <v>0</v>
      </c>
      <c r="O16" s="10">
        <f>SUMIFS('PLAN BUDGET SAMI-TF'!AX12:AX99999,'PLAN BUDGET SAMI-TF'!D12:D99999,SUMMARY!D16,'PLAN BUDGET SAMI-TF'!J12:J99999,SUMMARY!A16&amp;"*")</f>
        <v>0</v>
      </c>
      <c r="P16" s="10">
        <f>SUMIFS('PLAN BUDGET SAMI-TF'!AY12:AY99999,'PLAN BUDGET SAMI-TF'!D12:D99999,SUMMARY!D16,'PLAN BUDGET SAMI-TF'!J12:J99999,SUMMARY!A16&amp;"*")</f>
        <v>0</v>
      </c>
      <c r="Q16" s="10">
        <f>SUMIFS('PLAN BUDGET SAMI-TF'!BC12:BC99999,'PLAN BUDGET SAMI-TF'!D12:D99999,SUMMARY!D16,'PLAN BUDGET SAMI-TF'!J12:J99999,SUMMARY!A16&amp;"*")</f>
        <v>14.575342118922</v>
      </c>
      <c r="R16" s="10">
        <f>SUMIFS('PLAN BUDGET SAMI-TF'!BD12:BD99999,'PLAN BUDGET SAMI-TF'!D12:D99999,SUMMARY!D16,'PLAN BUDGET SAMI-TF'!J12:J99999,SUMMARY!A16&amp;"*")</f>
        <v>0</v>
      </c>
      <c r="S16" s="10">
        <f>SUMIFS('PLAN BUDGET SAMI-TF'!BE12:BE99999,'PLAN BUDGET SAMI-TF'!D12:D99999,SUMMARY!D16,'PLAN BUDGET SAMI-TF'!J12:J99999,SUMMARY!A16&amp;"*")</f>
        <v>0</v>
      </c>
      <c r="T16" s="10">
        <f>SUMIFS('PLAN BUDGET SAMI-TF'!BF12:BF99999,'PLAN BUDGET SAMI-TF'!D12:D99999,SUMMARY!D16,'PLAN BUDGET SAMI-TF'!J12:J99999,SUMMARY!A16&amp;"*")</f>
        <v>0</v>
      </c>
      <c r="U16" s="10">
        <f>SUMIFS('PLAN BUDGET SAMI-TF'!BG12:BG99999,'PLAN BUDGET SAMI-TF'!D12:D99999,SUMMARY!D16,'PLAN BUDGET SAMI-TF'!J12:J99999,SUMMARY!A16&amp;"*")</f>
        <v>0</v>
      </c>
      <c r="V16" s="10">
        <f>SUMIFS('PLAN BUDGET SAMI-TF'!BH12:BH99999,'PLAN BUDGET SAMI-TF'!D12:D99999,SUMMARY!D16,'PLAN BUDGET SAMI-TF'!J12:J99999,SUMMARY!A16&amp;"*")</f>
        <v>0</v>
      </c>
      <c r="W16" s="10">
        <f>SUMIFS('PLAN BUDGET SAMI-TF'!BI12:BI99999,'PLAN BUDGET SAMI-TF'!D12:D99999,SUMMARY!D16,'PLAN BUDGET SAMI-TF'!J12:J99999,SUMMARY!A16&amp;"*")</f>
        <v>14.575342118922</v>
      </c>
      <c r="X16" s="10">
        <f>SUMIFS('PLAN BUDGET SAMI-TF'!BJ12:BJ99999,'PLAN BUDGET SAMI-TF'!D12:D99999,SUMMARY!D16,'PLAN BUDGET SAMI-TF'!J12:J99999,SUMMARY!A16&amp;"*")</f>
        <v>0</v>
      </c>
      <c r="Y16" s="10">
        <f>SUMIFS('PLAN BUDGET SAMI-TF'!BK12:BK99999,'PLAN BUDGET SAMI-TF'!D12:D99999,SUMMARY!D16,'PLAN BUDGET SAMI-TF'!J12:J99999,SUMMARY!A16&amp;"*")</f>
        <v>0</v>
      </c>
      <c r="Z16" s="10">
        <f>SUMIFS('PLAN BUDGET SAMI-TF'!BL12:BL99999,'PLAN BUDGET SAMI-TF'!D12:D99999,SUMMARY!D16,'PLAN BUDGET SAMI-TF'!J12:J99999,SUMMARY!A16&amp;"*")</f>
        <v>0</v>
      </c>
      <c r="AA16" s="10">
        <f>SUMIFS('PLAN BUDGET SAMI-TF'!BM12:BM99999,'PLAN BUDGET SAMI-TF'!D12:D99999,SUMMARY!D16,'PLAN BUDGET SAMI-TF'!J12:J99999,SUMMARY!A16&amp;"*")</f>
        <v>0</v>
      </c>
      <c r="AB16" s="10">
        <f>SUMIFS('PLAN BUDGET SAMI-TF'!BN12:BN99999,'PLAN BUDGET SAMI-TF'!D12:D99999,SUMMARY!D16,'PLAN BUDGET SAMI-TF'!J12:J99999,SUMMARY!A16&amp;"*")</f>
        <v>0</v>
      </c>
      <c r="AC16" s="10">
        <f t="shared" si="0"/>
        <v>2</v>
      </c>
      <c r="AD16" s="10">
        <f t="shared" si="1"/>
        <v>29.150684237844001</v>
      </c>
      <c r="AE16" s="16"/>
      <c r="AF16" s="10">
        <v>2</v>
      </c>
      <c r="AG16" s="10">
        <v>27.611687111516002</v>
      </c>
      <c r="AH16" s="20">
        <f t="shared" si="2"/>
        <v>0</v>
      </c>
      <c r="AI16" s="20">
        <f t="shared" si="3"/>
        <v>5.5737163763750229E-2</v>
      </c>
      <c r="AJ16" s="7" t="s">
        <v>849</v>
      </c>
    </row>
    <row r="17" spans="1:36" x14ac:dyDescent="0.35">
      <c r="A17" s="7" t="s">
        <v>48</v>
      </c>
      <c r="B17" s="7"/>
      <c r="C17" s="7"/>
      <c r="D17" s="7" t="s">
        <v>87</v>
      </c>
      <c r="E17" s="10">
        <f>SUMIFS('PLAN BUDGET SAMI-TF'!AN12:AN99999,'PLAN BUDGET SAMI-TF'!D12:D99999,SUMMARY!D17,'PLAN BUDGET SAMI-TF'!J12:J99999,SUMMARY!A17&amp;"*")</f>
        <v>40</v>
      </c>
      <c r="F17" s="10">
        <f>SUMIFS('PLAN BUDGET SAMI-TF'!AO12:AO99999,'PLAN BUDGET SAMI-TF'!D12:D99999,SUMMARY!D17,'PLAN BUDGET SAMI-TF'!J12:J99999,SUMMARY!A17&amp;"*")</f>
        <v>40</v>
      </c>
      <c r="G17" s="10">
        <f>SUMIFS('PLAN BUDGET SAMI-TF'!AP12:AP99999,'PLAN BUDGET SAMI-TF'!D12:D99999,SUMMARY!D17,'PLAN BUDGET SAMI-TF'!J12:J99999,SUMMARY!A17&amp;"*")</f>
        <v>40</v>
      </c>
      <c r="H17" s="10">
        <f>SUMIFS('PLAN BUDGET SAMI-TF'!AQ12:AQ99999,'PLAN BUDGET SAMI-TF'!D12:D99999,SUMMARY!D17,'PLAN BUDGET SAMI-TF'!J12:J99999,SUMMARY!A17&amp;"*")</f>
        <v>40</v>
      </c>
      <c r="I17" s="10">
        <f>SUMIFS('PLAN BUDGET SAMI-TF'!AR12:AR99999,'PLAN BUDGET SAMI-TF'!D12:D99999,SUMMARY!D17,'PLAN BUDGET SAMI-TF'!J12:J99999,SUMMARY!A17&amp;"*")</f>
        <v>40</v>
      </c>
      <c r="J17" s="10">
        <f>SUMIFS('PLAN BUDGET SAMI-TF'!AS12:AS99999,'PLAN BUDGET SAMI-TF'!D12:D99999,SUMMARY!D17,'PLAN BUDGET SAMI-TF'!J12:J99999,SUMMARY!A17&amp;"*")</f>
        <v>40</v>
      </c>
      <c r="K17" s="10">
        <f>SUMIFS('PLAN BUDGET SAMI-TF'!AT12:AT99999,'PLAN BUDGET SAMI-TF'!D12:D99999,SUMMARY!D17,'PLAN BUDGET SAMI-TF'!J12:J99999,SUMMARY!A17&amp;"*")</f>
        <v>40</v>
      </c>
      <c r="L17" s="10">
        <f>SUMIFS('PLAN BUDGET SAMI-TF'!AU12:AU99999,'PLAN BUDGET SAMI-TF'!D12:D99999,SUMMARY!D17,'PLAN BUDGET SAMI-TF'!J12:J99999,SUMMARY!A17&amp;"*")</f>
        <v>40</v>
      </c>
      <c r="M17" s="10">
        <f>SUMIFS('PLAN BUDGET SAMI-TF'!AV12:AV99999,'PLAN BUDGET SAMI-TF'!D12:D99999,SUMMARY!D17,'PLAN BUDGET SAMI-TF'!J12:J99999,SUMMARY!A17&amp;"*")</f>
        <v>40</v>
      </c>
      <c r="N17" s="10">
        <f>SUMIFS('PLAN BUDGET SAMI-TF'!AW12:AW99999,'PLAN BUDGET SAMI-TF'!D12:D99999,SUMMARY!D17,'PLAN BUDGET SAMI-TF'!J12:J99999,SUMMARY!A17&amp;"*")</f>
        <v>40</v>
      </c>
      <c r="O17" s="10">
        <f>SUMIFS('PLAN BUDGET SAMI-TF'!AX12:AX99999,'PLAN BUDGET SAMI-TF'!D12:D99999,SUMMARY!D17,'PLAN BUDGET SAMI-TF'!J12:J99999,SUMMARY!A17&amp;"*")</f>
        <v>40</v>
      </c>
      <c r="P17" s="10">
        <f>SUMIFS('PLAN BUDGET SAMI-TF'!AY12:AY99999,'PLAN BUDGET SAMI-TF'!D12:D99999,SUMMARY!D17,'PLAN BUDGET SAMI-TF'!J12:J99999,SUMMARY!A17&amp;"*")</f>
        <v>40</v>
      </c>
      <c r="Q17" s="10">
        <f>SUMIFS('PLAN BUDGET SAMI-TF'!BC12:BC99999,'PLAN BUDGET SAMI-TF'!D12:D99999,SUMMARY!D17,'PLAN BUDGET SAMI-TF'!J12:J99999,SUMMARY!A17&amp;"*")</f>
        <v>149.22334890433001</v>
      </c>
      <c r="R17" s="10">
        <f>SUMIFS('PLAN BUDGET SAMI-TF'!BD12:BD99999,'PLAN BUDGET SAMI-TF'!D12:D99999,SUMMARY!D17,'PLAN BUDGET SAMI-TF'!J12:J99999,SUMMARY!A17&amp;"*")</f>
        <v>149.22334890433001</v>
      </c>
      <c r="S17" s="10">
        <f>SUMIFS('PLAN BUDGET SAMI-TF'!BE12:BE99999,'PLAN BUDGET SAMI-TF'!D12:D99999,SUMMARY!D17,'PLAN BUDGET SAMI-TF'!J12:J99999,SUMMARY!A17&amp;"*")</f>
        <v>149.22334890433001</v>
      </c>
      <c r="T17" s="10">
        <f>SUMIFS('PLAN BUDGET SAMI-TF'!BF12:BF99999,'PLAN BUDGET SAMI-TF'!D12:D99999,SUMMARY!D17,'PLAN BUDGET SAMI-TF'!J12:J99999,SUMMARY!A17&amp;"*")</f>
        <v>149.22334890433001</v>
      </c>
      <c r="U17" s="10">
        <f>SUMIFS('PLAN BUDGET SAMI-TF'!BG12:BG99999,'PLAN BUDGET SAMI-TF'!D12:D99999,SUMMARY!D17,'PLAN BUDGET SAMI-TF'!J12:J99999,SUMMARY!A17&amp;"*")</f>
        <v>149.22334890433001</v>
      </c>
      <c r="V17" s="10">
        <f>SUMIFS('PLAN BUDGET SAMI-TF'!BH12:BH99999,'PLAN BUDGET SAMI-TF'!D12:D99999,SUMMARY!D17,'PLAN BUDGET SAMI-TF'!J12:J99999,SUMMARY!A17&amp;"*")</f>
        <v>149.22334890433001</v>
      </c>
      <c r="W17" s="10">
        <f>SUMIFS('PLAN BUDGET SAMI-TF'!BI12:BI99999,'PLAN BUDGET SAMI-TF'!D12:D99999,SUMMARY!D17,'PLAN BUDGET SAMI-TF'!J12:J99999,SUMMARY!A17&amp;"*")</f>
        <v>149.22334890433001</v>
      </c>
      <c r="X17" s="10">
        <f>SUMIFS('PLAN BUDGET SAMI-TF'!BJ12:BJ99999,'PLAN BUDGET SAMI-TF'!D12:D99999,SUMMARY!D17,'PLAN BUDGET SAMI-TF'!J12:J99999,SUMMARY!A17&amp;"*")</f>
        <v>149.22334890433001</v>
      </c>
      <c r="Y17" s="10">
        <f>SUMIFS('PLAN BUDGET SAMI-TF'!BK12:BK99999,'PLAN BUDGET SAMI-TF'!D12:D99999,SUMMARY!D17,'PLAN BUDGET SAMI-TF'!J12:J99999,SUMMARY!A17&amp;"*")</f>
        <v>149.22334890433001</v>
      </c>
      <c r="Z17" s="10">
        <f>SUMIFS('PLAN BUDGET SAMI-TF'!BL12:BL99999,'PLAN BUDGET SAMI-TF'!D12:D99999,SUMMARY!D17,'PLAN BUDGET SAMI-TF'!J12:J99999,SUMMARY!A17&amp;"*")</f>
        <v>149.22334890433001</v>
      </c>
      <c r="AA17" s="10">
        <f>SUMIFS('PLAN BUDGET SAMI-TF'!BM12:BM99999,'PLAN BUDGET SAMI-TF'!D12:D99999,SUMMARY!D17,'PLAN BUDGET SAMI-TF'!J12:J99999,SUMMARY!A17&amp;"*")</f>
        <v>149.22334890433001</v>
      </c>
      <c r="AB17" s="10">
        <f>SUMIFS('PLAN BUDGET SAMI-TF'!BN12:BN99999,'PLAN BUDGET SAMI-TF'!D12:D99999,SUMMARY!D17,'PLAN BUDGET SAMI-TF'!J12:J99999,SUMMARY!A17&amp;"*")</f>
        <v>149.22334890433001</v>
      </c>
      <c r="AC17" s="10">
        <f t="shared" si="0"/>
        <v>480</v>
      </c>
      <c r="AD17" s="10">
        <f t="shared" si="1"/>
        <v>1790.6801868519606</v>
      </c>
      <c r="AE17" s="16"/>
      <c r="AF17" s="10">
        <v>438</v>
      </c>
      <c r="AG17" s="10">
        <v>1499.1834719532001</v>
      </c>
      <c r="AH17" s="20">
        <f t="shared" si="2"/>
        <v>9.5890410958904104E-2</v>
      </c>
      <c r="AI17" s="20">
        <f t="shared" si="3"/>
        <v>0.19443698543380161</v>
      </c>
      <c r="AJ17" s="7" t="s">
        <v>852</v>
      </c>
    </row>
    <row r="18" spans="1:36" x14ac:dyDescent="0.35">
      <c r="A18" s="7" t="s">
        <v>48</v>
      </c>
      <c r="B18" s="7"/>
      <c r="C18" s="7"/>
      <c r="D18" s="7" t="s">
        <v>387</v>
      </c>
      <c r="E18" s="10">
        <f>SUMIFS('PLAN BUDGET SAMI-TF'!AN12:AN99999,'PLAN BUDGET SAMI-TF'!D12:D99999,SUMMARY!D18,'PLAN BUDGET SAMI-TF'!J12:J99999,SUMMARY!A18&amp;"*")</f>
        <v>0</v>
      </c>
      <c r="F18" s="10">
        <f>SUMIFS('PLAN BUDGET SAMI-TF'!AO12:AO99999,'PLAN BUDGET SAMI-TF'!D12:D99999,SUMMARY!D18,'PLAN BUDGET SAMI-TF'!J12:J99999,SUMMARY!A18&amp;"*")</f>
        <v>0</v>
      </c>
      <c r="G18" s="10">
        <f>SUMIFS('PLAN BUDGET SAMI-TF'!AP12:AP99999,'PLAN BUDGET SAMI-TF'!D12:D99999,SUMMARY!D18,'PLAN BUDGET SAMI-TF'!J12:J99999,SUMMARY!A18&amp;"*")</f>
        <v>0</v>
      </c>
      <c r="H18" s="10">
        <f>SUMIFS('PLAN BUDGET SAMI-TF'!AQ12:AQ99999,'PLAN BUDGET SAMI-TF'!D12:D99999,SUMMARY!D18,'PLAN BUDGET SAMI-TF'!J12:J99999,SUMMARY!A18&amp;"*")</f>
        <v>0</v>
      </c>
      <c r="I18" s="10">
        <f>SUMIFS('PLAN BUDGET SAMI-TF'!AR12:AR99999,'PLAN BUDGET SAMI-TF'!D12:D99999,SUMMARY!D18,'PLAN BUDGET SAMI-TF'!J12:J99999,SUMMARY!A18&amp;"*")</f>
        <v>0</v>
      </c>
      <c r="J18" s="10">
        <f>SUMIFS('PLAN BUDGET SAMI-TF'!AS12:AS99999,'PLAN BUDGET SAMI-TF'!D12:D99999,SUMMARY!D18,'PLAN BUDGET SAMI-TF'!J12:J99999,SUMMARY!A18&amp;"*")</f>
        <v>0</v>
      </c>
      <c r="K18" s="10">
        <f>SUMIFS('PLAN BUDGET SAMI-TF'!AT12:AT99999,'PLAN BUDGET SAMI-TF'!D12:D99999,SUMMARY!D18,'PLAN BUDGET SAMI-TF'!J12:J99999,SUMMARY!A18&amp;"*")</f>
        <v>0</v>
      </c>
      <c r="L18" s="10">
        <f>SUMIFS('PLAN BUDGET SAMI-TF'!AU12:AU99999,'PLAN BUDGET SAMI-TF'!D12:D99999,SUMMARY!D18,'PLAN BUDGET SAMI-TF'!J12:J99999,SUMMARY!A18&amp;"*")</f>
        <v>0</v>
      </c>
      <c r="M18" s="10">
        <f>SUMIFS('PLAN BUDGET SAMI-TF'!AV12:AV99999,'PLAN BUDGET SAMI-TF'!D12:D99999,SUMMARY!D18,'PLAN BUDGET SAMI-TF'!J12:J99999,SUMMARY!A18&amp;"*")</f>
        <v>10</v>
      </c>
      <c r="N18" s="10">
        <f>SUMIFS('PLAN BUDGET SAMI-TF'!AW12:AW99999,'PLAN BUDGET SAMI-TF'!D12:D99999,SUMMARY!D18,'PLAN BUDGET SAMI-TF'!J12:J99999,SUMMARY!A18&amp;"*")</f>
        <v>0</v>
      </c>
      <c r="O18" s="10">
        <f>SUMIFS('PLAN BUDGET SAMI-TF'!AX12:AX99999,'PLAN BUDGET SAMI-TF'!D12:D99999,SUMMARY!D18,'PLAN BUDGET SAMI-TF'!J12:J99999,SUMMARY!A18&amp;"*")</f>
        <v>0</v>
      </c>
      <c r="P18" s="10">
        <f>SUMIFS('PLAN BUDGET SAMI-TF'!AY12:AY99999,'PLAN BUDGET SAMI-TF'!D12:D99999,SUMMARY!D18,'PLAN BUDGET SAMI-TF'!J12:J99999,SUMMARY!A18&amp;"*")</f>
        <v>0</v>
      </c>
      <c r="Q18" s="10">
        <f>SUMIFS('PLAN BUDGET SAMI-TF'!BC12:BC99999,'PLAN BUDGET SAMI-TF'!D12:D99999,SUMMARY!D18,'PLAN BUDGET SAMI-TF'!J12:J99999,SUMMARY!A18&amp;"*")</f>
        <v>0</v>
      </c>
      <c r="R18" s="10">
        <f>SUMIFS('PLAN BUDGET SAMI-TF'!BD12:BD99999,'PLAN BUDGET SAMI-TF'!D12:D99999,SUMMARY!D18,'PLAN BUDGET SAMI-TF'!J12:J99999,SUMMARY!A18&amp;"*")</f>
        <v>0</v>
      </c>
      <c r="S18" s="10">
        <f>SUMIFS('PLAN BUDGET SAMI-TF'!BE12:BE99999,'PLAN BUDGET SAMI-TF'!D12:D99999,SUMMARY!D18,'PLAN BUDGET SAMI-TF'!J12:J99999,SUMMARY!A18&amp;"*")</f>
        <v>0</v>
      </c>
      <c r="T18" s="10">
        <f>SUMIFS('PLAN BUDGET SAMI-TF'!BF12:BF99999,'PLAN BUDGET SAMI-TF'!D12:D99999,SUMMARY!D18,'PLAN BUDGET SAMI-TF'!J12:J99999,SUMMARY!A18&amp;"*")</f>
        <v>0</v>
      </c>
      <c r="U18" s="10">
        <f>SUMIFS('PLAN BUDGET SAMI-TF'!BG12:BG99999,'PLAN BUDGET SAMI-TF'!D12:D99999,SUMMARY!D18,'PLAN BUDGET SAMI-TF'!J12:J99999,SUMMARY!A18&amp;"*")</f>
        <v>0</v>
      </c>
      <c r="V18" s="10">
        <f>SUMIFS('PLAN BUDGET SAMI-TF'!BH12:BH99999,'PLAN BUDGET SAMI-TF'!D12:D99999,SUMMARY!D18,'PLAN BUDGET SAMI-TF'!J12:J99999,SUMMARY!A18&amp;"*")</f>
        <v>0</v>
      </c>
      <c r="W18" s="10">
        <f>SUMIFS('PLAN BUDGET SAMI-TF'!BI12:BI99999,'PLAN BUDGET SAMI-TF'!D12:D99999,SUMMARY!D18,'PLAN BUDGET SAMI-TF'!J12:J99999,SUMMARY!A18&amp;"*")</f>
        <v>0</v>
      </c>
      <c r="X18" s="10">
        <f>SUMIFS('PLAN BUDGET SAMI-TF'!BJ12:BJ99999,'PLAN BUDGET SAMI-TF'!D12:D99999,SUMMARY!D18,'PLAN BUDGET SAMI-TF'!J12:J99999,SUMMARY!A18&amp;"*")</f>
        <v>0</v>
      </c>
      <c r="Y18" s="10">
        <f>SUMIFS('PLAN BUDGET SAMI-TF'!BK12:BK99999,'PLAN BUDGET SAMI-TF'!D12:D99999,SUMMARY!D18,'PLAN BUDGET SAMI-TF'!J12:J99999,SUMMARY!A18&amp;"*")</f>
        <v>97.318749762636998</v>
      </c>
      <c r="Z18" s="10">
        <f>SUMIFS('PLAN BUDGET SAMI-TF'!BL12:BL99999,'PLAN BUDGET SAMI-TF'!D12:D99999,SUMMARY!D18,'PLAN BUDGET SAMI-TF'!J12:J99999,SUMMARY!A18&amp;"*")</f>
        <v>0</v>
      </c>
      <c r="AA18" s="10">
        <f>SUMIFS('PLAN BUDGET SAMI-TF'!BM12:BM99999,'PLAN BUDGET SAMI-TF'!D12:D99999,SUMMARY!D18,'PLAN BUDGET SAMI-TF'!J12:J99999,SUMMARY!A18&amp;"*")</f>
        <v>0</v>
      </c>
      <c r="AB18" s="10">
        <f>SUMIFS('PLAN BUDGET SAMI-TF'!BN12:BN99999,'PLAN BUDGET SAMI-TF'!D12:D99999,SUMMARY!D18,'PLAN BUDGET SAMI-TF'!J12:J99999,SUMMARY!A18&amp;"*")</f>
        <v>0</v>
      </c>
      <c r="AC18" s="10">
        <f t="shared" si="0"/>
        <v>10</v>
      </c>
      <c r="AD18" s="10">
        <f t="shared" si="1"/>
        <v>97.318749762636998</v>
      </c>
      <c r="AE18" s="16"/>
      <c r="AF18" s="10">
        <v>31</v>
      </c>
      <c r="AG18" s="10">
        <v>288.03754763080002</v>
      </c>
      <c r="AH18" s="20">
        <f t="shared" si="2"/>
        <v>-0.67741935483870963</v>
      </c>
      <c r="AI18" s="20">
        <f t="shared" si="3"/>
        <v>-0.66213172357869832</v>
      </c>
      <c r="AJ18" s="7" t="s">
        <v>853</v>
      </c>
    </row>
    <row r="19" spans="1:36" x14ac:dyDescent="0.35">
      <c r="A19" s="7" t="s">
        <v>48</v>
      </c>
      <c r="B19" s="7"/>
      <c r="C19" s="7"/>
      <c r="D19" s="7" t="s">
        <v>141</v>
      </c>
      <c r="E19" s="10">
        <f>SUMIFS('PLAN BUDGET SAMI-TF'!AN12:AN99999,'PLAN BUDGET SAMI-TF'!D12:D99999,SUMMARY!D19,'PLAN BUDGET SAMI-TF'!J12:J99999,SUMMARY!A19&amp;"*")</f>
        <v>0</v>
      </c>
      <c r="F19" s="10">
        <f>SUMIFS('PLAN BUDGET SAMI-TF'!AO12:AO99999,'PLAN BUDGET SAMI-TF'!D12:D99999,SUMMARY!D19,'PLAN BUDGET SAMI-TF'!J12:J99999,SUMMARY!A19&amp;"*")</f>
        <v>1</v>
      </c>
      <c r="G19" s="10">
        <f>SUMIFS('PLAN BUDGET SAMI-TF'!AP12:AP99999,'PLAN BUDGET SAMI-TF'!D12:D99999,SUMMARY!D19,'PLAN BUDGET SAMI-TF'!J12:J99999,SUMMARY!A19&amp;"*")</f>
        <v>0</v>
      </c>
      <c r="H19" s="10">
        <f>SUMIFS('PLAN BUDGET SAMI-TF'!AQ12:AQ99999,'PLAN BUDGET SAMI-TF'!D12:D99999,SUMMARY!D19,'PLAN BUDGET SAMI-TF'!J12:J99999,SUMMARY!A19&amp;"*")</f>
        <v>1</v>
      </c>
      <c r="I19" s="10">
        <f>SUMIFS('PLAN BUDGET SAMI-TF'!AR12:AR99999,'PLAN BUDGET SAMI-TF'!D12:D99999,SUMMARY!D19,'PLAN BUDGET SAMI-TF'!J12:J99999,SUMMARY!A19&amp;"*")</f>
        <v>0</v>
      </c>
      <c r="J19" s="10">
        <f>SUMIFS('PLAN BUDGET SAMI-TF'!AS12:AS99999,'PLAN BUDGET SAMI-TF'!D12:D99999,SUMMARY!D19,'PLAN BUDGET SAMI-TF'!J12:J99999,SUMMARY!A19&amp;"*")</f>
        <v>1</v>
      </c>
      <c r="K19" s="10">
        <f>SUMIFS('PLAN BUDGET SAMI-TF'!AT12:AT99999,'PLAN BUDGET SAMI-TF'!D12:D99999,SUMMARY!D19,'PLAN BUDGET SAMI-TF'!J12:J99999,SUMMARY!A19&amp;"*")</f>
        <v>1</v>
      </c>
      <c r="L19" s="10">
        <f>SUMIFS('PLAN BUDGET SAMI-TF'!AU12:AU99999,'PLAN BUDGET SAMI-TF'!D12:D99999,SUMMARY!D19,'PLAN BUDGET SAMI-TF'!J12:J99999,SUMMARY!A19&amp;"*")</f>
        <v>0</v>
      </c>
      <c r="M19" s="10">
        <f>SUMIFS('PLAN BUDGET SAMI-TF'!AV12:AV99999,'PLAN BUDGET SAMI-TF'!D12:D99999,SUMMARY!D19,'PLAN BUDGET SAMI-TF'!J12:J99999,SUMMARY!A19&amp;"*")</f>
        <v>0</v>
      </c>
      <c r="N19" s="10">
        <f>SUMIFS('PLAN BUDGET SAMI-TF'!AW12:AW99999,'PLAN BUDGET SAMI-TF'!D12:D99999,SUMMARY!D19,'PLAN BUDGET SAMI-TF'!J12:J99999,SUMMARY!A19&amp;"*")</f>
        <v>0</v>
      </c>
      <c r="O19" s="10">
        <f>SUMIFS('PLAN BUDGET SAMI-TF'!AX12:AX99999,'PLAN BUDGET SAMI-TF'!D12:D99999,SUMMARY!D19,'PLAN BUDGET SAMI-TF'!J12:J99999,SUMMARY!A19&amp;"*")</f>
        <v>0</v>
      </c>
      <c r="P19" s="10">
        <f>SUMIFS('PLAN BUDGET SAMI-TF'!AY12:AY99999,'PLAN BUDGET SAMI-TF'!D12:D99999,SUMMARY!D19,'PLAN BUDGET SAMI-TF'!J12:J99999,SUMMARY!A19&amp;"*")</f>
        <v>0</v>
      </c>
      <c r="Q19" s="10">
        <f>SUMIFS('PLAN BUDGET SAMI-TF'!BC12:BC99999,'PLAN BUDGET SAMI-TF'!D12:D99999,SUMMARY!D19,'PLAN BUDGET SAMI-TF'!J12:J99999,SUMMARY!A19&amp;"*")</f>
        <v>0</v>
      </c>
      <c r="R19" s="10">
        <f>SUMIFS('PLAN BUDGET SAMI-TF'!BD12:BD99999,'PLAN BUDGET SAMI-TF'!D12:D99999,SUMMARY!D19,'PLAN BUDGET SAMI-TF'!J12:J99999,SUMMARY!A19&amp;"*")</f>
        <v>1226.3491701795999</v>
      </c>
      <c r="S19" s="10">
        <f>SUMIFS('PLAN BUDGET SAMI-TF'!BE12:BE99999,'PLAN BUDGET SAMI-TF'!D12:D99999,SUMMARY!D19,'PLAN BUDGET SAMI-TF'!J12:J99999,SUMMARY!A19&amp;"*")</f>
        <v>0</v>
      </c>
      <c r="T19" s="10">
        <f>SUMIFS('PLAN BUDGET SAMI-TF'!BF12:BF99999,'PLAN BUDGET SAMI-TF'!D12:D99999,SUMMARY!D19,'PLAN BUDGET SAMI-TF'!J12:J99999,SUMMARY!A19&amp;"*")</f>
        <v>1466.5856468295001</v>
      </c>
      <c r="U19" s="10">
        <f>SUMIFS('PLAN BUDGET SAMI-TF'!BG12:BG99999,'PLAN BUDGET SAMI-TF'!D12:D99999,SUMMARY!D19,'PLAN BUDGET SAMI-TF'!J12:J99999,SUMMARY!A19&amp;"*")</f>
        <v>0</v>
      </c>
      <c r="V19" s="10">
        <f>SUMIFS('PLAN BUDGET SAMI-TF'!BH12:BH99999,'PLAN BUDGET SAMI-TF'!D12:D99999,SUMMARY!D19,'PLAN BUDGET SAMI-TF'!J12:J99999,SUMMARY!A19&amp;"*")</f>
        <v>1226.3491701795999</v>
      </c>
      <c r="W19" s="10">
        <f>SUMIFS('PLAN BUDGET SAMI-TF'!BI12:BI99999,'PLAN BUDGET SAMI-TF'!D12:D99999,SUMMARY!D19,'PLAN BUDGET SAMI-TF'!J12:J99999,SUMMARY!A19&amp;"*")</f>
        <v>1466.5856468295001</v>
      </c>
      <c r="X19" s="10">
        <f>SUMIFS('PLAN BUDGET SAMI-TF'!BJ12:BJ99999,'PLAN BUDGET SAMI-TF'!D12:D99999,SUMMARY!D19,'PLAN BUDGET SAMI-TF'!J12:J99999,SUMMARY!A19&amp;"*")</f>
        <v>0</v>
      </c>
      <c r="Y19" s="10">
        <f>SUMIFS('PLAN BUDGET SAMI-TF'!BK12:BK99999,'PLAN BUDGET SAMI-TF'!D12:D99999,SUMMARY!D19,'PLAN BUDGET SAMI-TF'!J12:J99999,SUMMARY!A19&amp;"*")</f>
        <v>0</v>
      </c>
      <c r="Z19" s="10">
        <f>SUMIFS('PLAN BUDGET SAMI-TF'!BL12:BL99999,'PLAN BUDGET SAMI-TF'!D12:D99999,SUMMARY!D19,'PLAN BUDGET SAMI-TF'!J12:J99999,SUMMARY!A19&amp;"*")</f>
        <v>0</v>
      </c>
      <c r="AA19" s="10">
        <f>SUMIFS('PLAN BUDGET SAMI-TF'!BM12:BM99999,'PLAN BUDGET SAMI-TF'!D12:D99999,SUMMARY!D19,'PLAN BUDGET SAMI-TF'!J12:J99999,SUMMARY!A19&amp;"*")</f>
        <v>0</v>
      </c>
      <c r="AB19" s="10">
        <f>SUMIFS('PLAN BUDGET SAMI-TF'!BN12:BN99999,'PLAN BUDGET SAMI-TF'!D12:D99999,SUMMARY!D19,'PLAN BUDGET SAMI-TF'!J12:J99999,SUMMARY!A19&amp;"*")</f>
        <v>0</v>
      </c>
      <c r="AC19" s="10">
        <f t="shared" si="0"/>
        <v>4</v>
      </c>
      <c r="AD19" s="10">
        <f t="shared" si="1"/>
        <v>5385.8696340181996</v>
      </c>
      <c r="AE19" s="16"/>
      <c r="AF19" s="10">
        <v>7</v>
      </c>
      <c r="AG19" s="10">
        <v>3416.1254794729002</v>
      </c>
      <c r="AH19" s="20">
        <f t="shared" si="2"/>
        <v>-0.42857142857142855</v>
      </c>
      <c r="AI19" s="20">
        <f t="shared" si="3"/>
        <v>0.57660181582358794</v>
      </c>
      <c r="AJ19" s="7" t="s">
        <v>854</v>
      </c>
    </row>
    <row r="20" spans="1:36" x14ac:dyDescent="0.35">
      <c r="A20" s="7" t="s">
        <v>48</v>
      </c>
      <c r="B20" s="7"/>
      <c r="C20" s="7"/>
      <c r="D20" s="7" t="s">
        <v>435</v>
      </c>
      <c r="E20" s="10">
        <f>SUMIFS('PLAN BUDGET SAMI-TF'!AN12:AN99999,'PLAN BUDGET SAMI-TF'!D12:D99999,SUMMARY!D20,'PLAN BUDGET SAMI-TF'!J12:J99999,SUMMARY!A20&amp;"*")</f>
        <v>0</v>
      </c>
      <c r="F20" s="10">
        <f>SUMIFS('PLAN BUDGET SAMI-TF'!AO12:AO99999,'PLAN BUDGET SAMI-TF'!D12:D99999,SUMMARY!D20,'PLAN BUDGET SAMI-TF'!J12:J99999,SUMMARY!A20&amp;"*")</f>
        <v>0</v>
      </c>
      <c r="G20" s="10">
        <f>SUMIFS('PLAN BUDGET SAMI-TF'!AP12:AP99999,'PLAN BUDGET SAMI-TF'!D12:D99999,SUMMARY!D20,'PLAN BUDGET SAMI-TF'!J12:J99999,SUMMARY!A20&amp;"*")</f>
        <v>0</v>
      </c>
      <c r="H20" s="10">
        <f>SUMIFS('PLAN BUDGET SAMI-TF'!AQ12:AQ99999,'PLAN BUDGET SAMI-TF'!D12:D99999,SUMMARY!D20,'PLAN BUDGET SAMI-TF'!J12:J99999,SUMMARY!A20&amp;"*")</f>
        <v>0</v>
      </c>
      <c r="I20" s="10">
        <f>SUMIFS('PLAN BUDGET SAMI-TF'!AR12:AR99999,'PLAN BUDGET SAMI-TF'!D12:D99999,SUMMARY!D20,'PLAN BUDGET SAMI-TF'!J12:J99999,SUMMARY!A20&amp;"*")</f>
        <v>1</v>
      </c>
      <c r="J20" s="10">
        <f>SUMIFS('PLAN BUDGET SAMI-TF'!AS12:AS99999,'PLAN BUDGET SAMI-TF'!D12:D99999,SUMMARY!D20,'PLAN BUDGET SAMI-TF'!J12:J99999,SUMMARY!A20&amp;"*")</f>
        <v>0</v>
      </c>
      <c r="K20" s="10">
        <f>SUMIFS('PLAN BUDGET SAMI-TF'!AT12:AT99999,'PLAN BUDGET SAMI-TF'!D12:D99999,SUMMARY!D20,'PLAN BUDGET SAMI-TF'!J12:J99999,SUMMARY!A20&amp;"*")</f>
        <v>0</v>
      </c>
      <c r="L20" s="10">
        <f>SUMIFS('PLAN BUDGET SAMI-TF'!AU12:AU99999,'PLAN BUDGET SAMI-TF'!D12:D99999,SUMMARY!D20,'PLAN BUDGET SAMI-TF'!J12:J99999,SUMMARY!A20&amp;"*")</f>
        <v>0</v>
      </c>
      <c r="M20" s="10">
        <f>SUMIFS('PLAN BUDGET SAMI-TF'!AV12:AV99999,'PLAN BUDGET SAMI-TF'!D12:D99999,SUMMARY!D20,'PLAN BUDGET SAMI-TF'!J12:J99999,SUMMARY!A20&amp;"*")</f>
        <v>1</v>
      </c>
      <c r="N20" s="10">
        <f>SUMIFS('PLAN BUDGET SAMI-TF'!AW12:AW99999,'PLAN BUDGET SAMI-TF'!D12:D99999,SUMMARY!D20,'PLAN BUDGET SAMI-TF'!J12:J99999,SUMMARY!A20&amp;"*")</f>
        <v>0</v>
      </c>
      <c r="O20" s="10">
        <f>SUMIFS('PLAN BUDGET SAMI-TF'!AX12:AX99999,'PLAN BUDGET SAMI-TF'!D12:D99999,SUMMARY!D20,'PLAN BUDGET SAMI-TF'!J12:J99999,SUMMARY!A20&amp;"*")</f>
        <v>0</v>
      </c>
      <c r="P20" s="10">
        <f>SUMIFS('PLAN BUDGET SAMI-TF'!AY12:AY99999,'PLAN BUDGET SAMI-TF'!D12:D99999,SUMMARY!D20,'PLAN BUDGET SAMI-TF'!J12:J99999,SUMMARY!A20&amp;"*")</f>
        <v>1</v>
      </c>
      <c r="Q20" s="10">
        <f>SUMIFS('PLAN BUDGET SAMI-TF'!BC12:BC99999,'PLAN BUDGET SAMI-TF'!D12:D99999,SUMMARY!D20,'PLAN BUDGET SAMI-TF'!J12:J99999,SUMMARY!A20&amp;"*")</f>
        <v>0</v>
      </c>
      <c r="R20" s="10">
        <f>SUMIFS('PLAN BUDGET SAMI-TF'!BD12:BD99999,'PLAN BUDGET SAMI-TF'!D12:D99999,SUMMARY!D20,'PLAN BUDGET SAMI-TF'!J12:J99999,SUMMARY!A20&amp;"*")</f>
        <v>0</v>
      </c>
      <c r="S20" s="10">
        <f>SUMIFS('PLAN BUDGET SAMI-TF'!BE12:BE99999,'PLAN BUDGET SAMI-TF'!D12:D99999,SUMMARY!D20,'PLAN BUDGET SAMI-TF'!J12:J99999,SUMMARY!A20&amp;"*")</f>
        <v>0</v>
      </c>
      <c r="T20" s="10">
        <f>SUMIFS('PLAN BUDGET SAMI-TF'!BF12:BF99999,'PLAN BUDGET SAMI-TF'!D12:D99999,SUMMARY!D20,'PLAN BUDGET SAMI-TF'!J12:J99999,SUMMARY!A20&amp;"*")</f>
        <v>0</v>
      </c>
      <c r="U20" s="10">
        <f>SUMIFS('PLAN BUDGET SAMI-TF'!BG12:BG99999,'PLAN BUDGET SAMI-TF'!D12:D99999,SUMMARY!D20,'PLAN BUDGET SAMI-TF'!J12:J99999,SUMMARY!A20&amp;"*")</f>
        <v>71.367083159266997</v>
      </c>
      <c r="V20" s="10">
        <f>SUMIFS('PLAN BUDGET SAMI-TF'!BH12:BH99999,'PLAN BUDGET SAMI-TF'!D12:D99999,SUMMARY!D20,'PLAN BUDGET SAMI-TF'!J12:J99999,SUMMARY!A20&amp;"*")</f>
        <v>0</v>
      </c>
      <c r="W20" s="10">
        <f>SUMIFS('PLAN BUDGET SAMI-TF'!BI12:BI99999,'PLAN BUDGET SAMI-TF'!D12:D99999,SUMMARY!D20,'PLAN BUDGET SAMI-TF'!J12:J99999,SUMMARY!A20&amp;"*")</f>
        <v>0</v>
      </c>
      <c r="X20" s="10">
        <f>SUMIFS('PLAN BUDGET SAMI-TF'!BJ12:BJ99999,'PLAN BUDGET SAMI-TF'!D12:D99999,SUMMARY!D20,'PLAN BUDGET SAMI-TF'!J12:J99999,SUMMARY!A20&amp;"*")</f>
        <v>0</v>
      </c>
      <c r="Y20" s="10">
        <f>SUMIFS('PLAN BUDGET SAMI-TF'!BK12:BK99999,'PLAN BUDGET SAMI-TF'!D12:D99999,SUMMARY!D20,'PLAN BUDGET SAMI-TF'!J12:J99999,SUMMARY!A20&amp;"*")</f>
        <v>71.367083159266997</v>
      </c>
      <c r="Z20" s="10">
        <f>SUMIFS('PLAN BUDGET SAMI-TF'!BL12:BL99999,'PLAN BUDGET SAMI-TF'!D12:D99999,SUMMARY!D20,'PLAN BUDGET SAMI-TF'!J12:J99999,SUMMARY!A20&amp;"*")</f>
        <v>0</v>
      </c>
      <c r="AA20" s="10">
        <f>SUMIFS('PLAN BUDGET SAMI-TF'!BM12:BM99999,'PLAN BUDGET SAMI-TF'!D12:D99999,SUMMARY!D20,'PLAN BUDGET SAMI-TF'!J12:J99999,SUMMARY!A20&amp;"*")</f>
        <v>0</v>
      </c>
      <c r="AB20" s="10">
        <f>SUMIFS('PLAN BUDGET SAMI-TF'!BN12:BN99999,'PLAN BUDGET SAMI-TF'!D12:D99999,SUMMARY!D20,'PLAN BUDGET SAMI-TF'!J12:J99999,SUMMARY!A20&amp;"*")</f>
        <v>71.367083159266997</v>
      </c>
      <c r="AC20" s="10">
        <f t="shared" si="0"/>
        <v>3</v>
      </c>
      <c r="AD20" s="10">
        <f t="shared" si="1"/>
        <v>214.10124947780099</v>
      </c>
      <c r="AE20" s="16"/>
      <c r="AF20" s="10">
        <v>3</v>
      </c>
      <c r="AG20" s="10">
        <v>227.86829212715</v>
      </c>
      <c r="AH20" s="20">
        <f t="shared" si="2"/>
        <v>0</v>
      </c>
      <c r="AI20" s="20">
        <f t="shared" si="3"/>
        <v>-6.0416666666668256E-2</v>
      </c>
      <c r="AJ20" s="7" t="s">
        <v>855</v>
      </c>
    </row>
    <row r="21" spans="1:36" x14ac:dyDescent="0.35">
      <c r="A21" s="7" t="s">
        <v>48</v>
      </c>
      <c r="B21" s="7"/>
      <c r="C21" s="7"/>
      <c r="D21" s="7" t="s">
        <v>151</v>
      </c>
      <c r="E21" s="10">
        <f>SUMIFS('PLAN BUDGET SAMI-TF'!AN12:AN99999,'PLAN BUDGET SAMI-TF'!D12:D99999,SUMMARY!D21,'PLAN BUDGET SAMI-TF'!J12:J99999,SUMMARY!A21&amp;"*")</f>
        <v>0</v>
      </c>
      <c r="F21" s="10">
        <f>SUMIFS('PLAN BUDGET SAMI-TF'!AO12:AO99999,'PLAN BUDGET SAMI-TF'!D12:D99999,SUMMARY!D21,'PLAN BUDGET SAMI-TF'!J12:J99999,SUMMARY!A21&amp;"*")</f>
        <v>0</v>
      </c>
      <c r="G21" s="10">
        <f>SUMIFS('PLAN BUDGET SAMI-TF'!AP12:AP99999,'PLAN BUDGET SAMI-TF'!D12:D99999,SUMMARY!D21,'PLAN BUDGET SAMI-TF'!J12:J99999,SUMMARY!A21&amp;"*")</f>
        <v>0</v>
      </c>
      <c r="H21" s="10">
        <f>SUMIFS('PLAN BUDGET SAMI-TF'!AQ12:AQ99999,'PLAN BUDGET SAMI-TF'!D12:D99999,SUMMARY!D21,'PLAN BUDGET SAMI-TF'!J12:J99999,SUMMARY!A21&amp;"*")</f>
        <v>0</v>
      </c>
      <c r="I21" s="10">
        <f>SUMIFS('PLAN BUDGET SAMI-TF'!AR12:AR99999,'PLAN BUDGET SAMI-TF'!D12:D99999,SUMMARY!D21,'PLAN BUDGET SAMI-TF'!J12:J99999,SUMMARY!A21&amp;"*")</f>
        <v>0</v>
      </c>
      <c r="J21" s="10">
        <f>SUMIFS('PLAN BUDGET SAMI-TF'!AS12:AS99999,'PLAN BUDGET SAMI-TF'!D12:D99999,SUMMARY!D21,'PLAN BUDGET SAMI-TF'!J12:J99999,SUMMARY!A21&amp;"*")</f>
        <v>1</v>
      </c>
      <c r="K21" s="10">
        <f>SUMIFS('PLAN BUDGET SAMI-TF'!AT12:AT99999,'PLAN BUDGET SAMI-TF'!D12:D99999,SUMMARY!D21,'PLAN BUDGET SAMI-TF'!J12:J99999,SUMMARY!A21&amp;"*")</f>
        <v>0</v>
      </c>
      <c r="L21" s="10">
        <f>SUMIFS('PLAN BUDGET SAMI-TF'!AU12:AU99999,'PLAN BUDGET SAMI-TF'!D12:D99999,SUMMARY!D21,'PLAN BUDGET SAMI-TF'!J12:J99999,SUMMARY!A21&amp;"*")</f>
        <v>0</v>
      </c>
      <c r="M21" s="10">
        <f>SUMIFS('PLAN BUDGET SAMI-TF'!AV12:AV99999,'PLAN BUDGET SAMI-TF'!D12:D99999,SUMMARY!D21,'PLAN BUDGET SAMI-TF'!J12:J99999,SUMMARY!A21&amp;"*")</f>
        <v>0</v>
      </c>
      <c r="N21" s="10">
        <f>SUMIFS('PLAN BUDGET SAMI-TF'!AW12:AW99999,'PLAN BUDGET SAMI-TF'!D12:D99999,SUMMARY!D21,'PLAN BUDGET SAMI-TF'!J12:J99999,SUMMARY!A21&amp;"*")</f>
        <v>0</v>
      </c>
      <c r="O21" s="10">
        <f>SUMIFS('PLAN BUDGET SAMI-TF'!AX12:AX99999,'PLAN BUDGET SAMI-TF'!D12:D99999,SUMMARY!D21,'PLAN BUDGET SAMI-TF'!J12:J99999,SUMMARY!A21&amp;"*")</f>
        <v>0</v>
      </c>
      <c r="P21" s="10">
        <f>SUMIFS('PLAN BUDGET SAMI-TF'!AY12:AY99999,'PLAN BUDGET SAMI-TF'!D12:D99999,SUMMARY!D21,'PLAN BUDGET SAMI-TF'!J12:J99999,SUMMARY!A21&amp;"*")</f>
        <v>0</v>
      </c>
      <c r="Q21" s="10">
        <f>SUMIFS('PLAN BUDGET SAMI-TF'!BC12:BC99999,'PLAN BUDGET SAMI-TF'!D12:D99999,SUMMARY!D21,'PLAN BUDGET SAMI-TF'!J12:J99999,SUMMARY!A21&amp;"*")</f>
        <v>0</v>
      </c>
      <c r="R21" s="10">
        <f>SUMIFS('PLAN BUDGET SAMI-TF'!BD12:BD99999,'PLAN BUDGET SAMI-TF'!D12:D99999,SUMMARY!D21,'PLAN BUDGET SAMI-TF'!J12:J99999,SUMMARY!A21&amp;"*")</f>
        <v>0</v>
      </c>
      <c r="S21" s="10">
        <f>SUMIFS('PLAN BUDGET SAMI-TF'!BE12:BE99999,'PLAN BUDGET SAMI-TF'!D12:D99999,SUMMARY!D21,'PLAN BUDGET SAMI-TF'!J12:J99999,SUMMARY!A21&amp;"*")</f>
        <v>0</v>
      </c>
      <c r="T21" s="10">
        <f>SUMIFS('PLAN BUDGET SAMI-TF'!BF12:BF99999,'PLAN BUDGET SAMI-TF'!D12:D99999,SUMMARY!D21,'PLAN BUDGET SAMI-TF'!J12:J99999,SUMMARY!A21&amp;"*")</f>
        <v>0</v>
      </c>
      <c r="U21" s="10">
        <f>SUMIFS('PLAN BUDGET SAMI-TF'!BG12:BG99999,'PLAN BUDGET SAMI-TF'!D12:D99999,SUMMARY!D21,'PLAN BUDGET SAMI-TF'!J12:J99999,SUMMARY!A21&amp;"*")</f>
        <v>0</v>
      </c>
      <c r="V21" s="10">
        <f>SUMIFS('PLAN BUDGET SAMI-TF'!BH12:BH99999,'PLAN BUDGET SAMI-TF'!D12:D99999,SUMMARY!D21,'PLAN BUDGET SAMI-TF'!J12:J99999,SUMMARY!A21&amp;"*")</f>
        <v>1.5824186953274</v>
      </c>
      <c r="W21" s="10">
        <f>SUMIFS('PLAN BUDGET SAMI-TF'!BI12:BI99999,'PLAN BUDGET SAMI-TF'!D12:D99999,SUMMARY!D21,'PLAN BUDGET SAMI-TF'!J12:J99999,SUMMARY!A21&amp;"*")</f>
        <v>0</v>
      </c>
      <c r="X21" s="10">
        <f>SUMIFS('PLAN BUDGET SAMI-TF'!BJ12:BJ99999,'PLAN BUDGET SAMI-TF'!D12:D99999,SUMMARY!D21,'PLAN BUDGET SAMI-TF'!J12:J99999,SUMMARY!A21&amp;"*")</f>
        <v>0</v>
      </c>
      <c r="Y21" s="10">
        <f>SUMIFS('PLAN BUDGET SAMI-TF'!BK12:BK99999,'PLAN BUDGET SAMI-TF'!D12:D99999,SUMMARY!D21,'PLAN BUDGET SAMI-TF'!J12:J99999,SUMMARY!A21&amp;"*")</f>
        <v>0</v>
      </c>
      <c r="Z21" s="10">
        <f>SUMIFS('PLAN BUDGET SAMI-TF'!BL12:BL99999,'PLAN BUDGET SAMI-TF'!D12:D99999,SUMMARY!D21,'PLAN BUDGET SAMI-TF'!J12:J99999,SUMMARY!A21&amp;"*")</f>
        <v>0</v>
      </c>
      <c r="AA21" s="10">
        <f>SUMIFS('PLAN BUDGET SAMI-TF'!BM12:BM99999,'PLAN BUDGET SAMI-TF'!D12:D99999,SUMMARY!D21,'PLAN BUDGET SAMI-TF'!J12:J99999,SUMMARY!A21&amp;"*")</f>
        <v>0</v>
      </c>
      <c r="AB21" s="10">
        <f>SUMIFS('PLAN BUDGET SAMI-TF'!BN12:BN99999,'PLAN BUDGET SAMI-TF'!D12:D99999,SUMMARY!D21,'PLAN BUDGET SAMI-TF'!J12:J99999,SUMMARY!A21&amp;"*")</f>
        <v>0</v>
      </c>
      <c r="AC21" s="10">
        <f t="shared" si="0"/>
        <v>1</v>
      </c>
      <c r="AD21" s="10">
        <f t="shared" si="1"/>
        <v>1.5824186953274</v>
      </c>
      <c r="AE21" s="16"/>
      <c r="AF21" s="10">
        <v>1</v>
      </c>
      <c r="AG21" s="10">
        <v>1.1764966516019999</v>
      </c>
      <c r="AH21" s="20">
        <f t="shared" si="2"/>
        <v>0</v>
      </c>
      <c r="AI21" s="20">
        <f t="shared" si="3"/>
        <v>0.34502609350623165</v>
      </c>
      <c r="AJ21" s="7" t="s">
        <v>849</v>
      </c>
    </row>
    <row r="22" spans="1:36" x14ac:dyDescent="0.35">
      <c r="A22" s="7" t="s">
        <v>48</v>
      </c>
      <c r="B22" s="7"/>
      <c r="C22" s="7"/>
      <c r="D22" s="7" t="s">
        <v>221</v>
      </c>
      <c r="E22" s="10">
        <f>SUMIFS('PLAN BUDGET SAMI-TF'!AN12:AN99999,'PLAN BUDGET SAMI-TF'!D12:D99999,SUMMARY!D22,'PLAN BUDGET SAMI-TF'!J12:J99999,SUMMARY!A22&amp;"*")</f>
        <v>0</v>
      </c>
      <c r="F22" s="10">
        <f>SUMIFS('PLAN BUDGET SAMI-TF'!AO12:AO99999,'PLAN BUDGET SAMI-TF'!D12:D99999,SUMMARY!D22,'PLAN BUDGET SAMI-TF'!J12:J99999,SUMMARY!A22&amp;"*")</f>
        <v>0</v>
      </c>
      <c r="G22" s="10">
        <f>SUMIFS('PLAN BUDGET SAMI-TF'!AP12:AP99999,'PLAN BUDGET SAMI-TF'!D12:D99999,SUMMARY!D22,'PLAN BUDGET SAMI-TF'!J12:J99999,SUMMARY!A22&amp;"*")</f>
        <v>0</v>
      </c>
      <c r="H22" s="10">
        <f>SUMIFS('PLAN BUDGET SAMI-TF'!AQ12:AQ99999,'PLAN BUDGET SAMI-TF'!D12:D99999,SUMMARY!D22,'PLAN BUDGET SAMI-TF'!J12:J99999,SUMMARY!A22&amp;"*")</f>
        <v>0</v>
      </c>
      <c r="I22" s="10">
        <f>SUMIFS('PLAN BUDGET SAMI-TF'!AR12:AR99999,'PLAN BUDGET SAMI-TF'!D12:D99999,SUMMARY!D22,'PLAN BUDGET SAMI-TF'!J12:J99999,SUMMARY!A22&amp;"*")</f>
        <v>0</v>
      </c>
      <c r="J22" s="10">
        <f>SUMIFS('PLAN BUDGET SAMI-TF'!AS12:AS99999,'PLAN BUDGET SAMI-TF'!D12:D99999,SUMMARY!D22,'PLAN BUDGET SAMI-TF'!J12:J99999,SUMMARY!A22&amp;"*")</f>
        <v>1</v>
      </c>
      <c r="K22" s="10">
        <f>SUMIFS('PLAN BUDGET SAMI-TF'!AT12:AT99999,'PLAN BUDGET SAMI-TF'!D12:D99999,SUMMARY!D22,'PLAN BUDGET SAMI-TF'!J12:J99999,SUMMARY!A22&amp;"*")</f>
        <v>0</v>
      </c>
      <c r="L22" s="10">
        <f>SUMIFS('PLAN BUDGET SAMI-TF'!AU12:AU99999,'PLAN BUDGET SAMI-TF'!D12:D99999,SUMMARY!D22,'PLAN BUDGET SAMI-TF'!J12:J99999,SUMMARY!A22&amp;"*")</f>
        <v>0</v>
      </c>
      <c r="M22" s="10">
        <f>SUMIFS('PLAN BUDGET SAMI-TF'!AV12:AV99999,'PLAN BUDGET SAMI-TF'!D12:D99999,SUMMARY!D22,'PLAN BUDGET SAMI-TF'!J12:J99999,SUMMARY!A22&amp;"*")</f>
        <v>0</v>
      </c>
      <c r="N22" s="10">
        <f>SUMIFS('PLAN BUDGET SAMI-TF'!AW12:AW99999,'PLAN BUDGET SAMI-TF'!D12:D99999,SUMMARY!D22,'PLAN BUDGET SAMI-TF'!J12:J99999,SUMMARY!A22&amp;"*")</f>
        <v>0</v>
      </c>
      <c r="O22" s="10">
        <f>SUMIFS('PLAN BUDGET SAMI-TF'!AX12:AX99999,'PLAN BUDGET SAMI-TF'!D12:D99999,SUMMARY!D22,'PLAN BUDGET SAMI-TF'!J12:J99999,SUMMARY!A22&amp;"*")</f>
        <v>0</v>
      </c>
      <c r="P22" s="10">
        <f>SUMIFS('PLAN BUDGET SAMI-TF'!AY12:AY99999,'PLAN BUDGET SAMI-TF'!D12:D99999,SUMMARY!D22,'PLAN BUDGET SAMI-TF'!J12:J99999,SUMMARY!A22&amp;"*")</f>
        <v>0</v>
      </c>
      <c r="Q22" s="10">
        <f>SUMIFS('PLAN BUDGET SAMI-TF'!BC12:BC99999,'PLAN BUDGET SAMI-TF'!D12:D99999,SUMMARY!D22,'PLAN BUDGET SAMI-TF'!J12:J99999,SUMMARY!A22&amp;"*")</f>
        <v>0</v>
      </c>
      <c r="R22" s="10">
        <f>SUMIFS('PLAN BUDGET SAMI-TF'!BD12:BD99999,'PLAN BUDGET SAMI-TF'!D12:D99999,SUMMARY!D22,'PLAN BUDGET SAMI-TF'!J12:J99999,SUMMARY!A22&amp;"*")</f>
        <v>0</v>
      </c>
      <c r="S22" s="10">
        <f>SUMIFS('PLAN BUDGET SAMI-TF'!BE12:BE99999,'PLAN BUDGET SAMI-TF'!D12:D99999,SUMMARY!D22,'PLAN BUDGET SAMI-TF'!J12:J99999,SUMMARY!A22&amp;"*")</f>
        <v>0</v>
      </c>
      <c r="T22" s="10">
        <f>SUMIFS('PLAN BUDGET SAMI-TF'!BF12:BF99999,'PLAN BUDGET SAMI-TF'!D12:D99999,SUMMARY!D22,'PLAN BUDGET SAMI-TF'!J12:J99999,SUMMARY!A22&amp;"*")</f>
        <v>0</v>
      </c>
      <c r="U22" s="10">
        <f>SUMIFS('PLAN BUDGET SAMI-TF'!BG12:BG99999,'PLAN BUDGET SAMI-TF'!D12:D99999,SUMMARY!D22,'PLAN BUDGET SAMI-TF'!J12:J99999,SUMMARY!A22&amp;"*")</f>
        <v>0</v>
      </c>
      <c r="V22" s="10">
        <f>SUMIFS('PLAN BUDGET SAMI-TF'!BH12:BH99999,'PLAN BUDGET SAMI-TF'!D12:D99999,SUMMARY!D22,'PLAN BUDGET SAMI-TF'!J12:J99999,SUMMARY!A22&amp;"*")</f>
        <v>0.34211892192978999</v>
      </c>
      <c r="W22" s="10">
        <f>SUMIFS('PLAN BUDGET SAMI-TF'!BI12:BI99999,'PLAN BUDGET SAMI-TF'!D12:D99999,SUMMARY!D22,'PLAN BUDGET SAMI-TF'!J12:J99999,SUMMARY!A22&amp;"*")</f>
        <v>0</v>
      </c>
      <c r="X22" s="10">
        <f>SUMIFS('PLAN BUDGET SAMI-TF'!BJ12:BJ99999,'PLAN BUDGET SAMI-TF'!D12:D99999,SUMMARY!D22,'PLAN BUDGET SAMI-TF'!J12:J99999,SUMMARY!A22&amp;"*")</f>
        <v>0</v>
      </c>
      <c r="Y22" s="10">
        <f>SUMIFS('PLAN BUDGET SAMI-TF'!BK12:BK99999,'PLAN BUDGET SAMI-TF'!D12:D99999,SUMMARY!D22,'PLAN BUDGET SAMI-TF'!J12:J99999,SUMMARY!A22&amp;"*")</f>
        <v>0</v>
      </c>
      <c r="Z22" s="10">
        <f>SUMIFS('PLAN BUDGET SAMI-TF'!BL12:BL99999,'PLAN BUDGET SAMI-TF'!D12:D99999,SUMMARY!D22,'PLAN BUDGET SAMI-TF'!J12:J99999,SUMMARY!A22&amp;"*")</f>
        <v>0</v>
      </c>
      <c r="AA22" s="10">
        <f>SUMIFS('PLAN BUDGET SAMI-TF'!BM12:BM99999,'PLAN BUDGET SAMI-TF'!D12:D99999,SUMMARY!D22,'PLAN BUDGET SAMI-TF'!J12:J99999,SUMMARY!A22&amp;"*")</f>
        <v>0</v>
      </c>
      <c r="AB22" s="10">
        <f>SUMIFS('PLAN BUDGET SAMI-TF'!BN12:BN99999,'PLAN BUDGET SAMI-TF'!D12:D99999,SUMMARY!D22,'PLAN BUDGET SAMI-TF'!J12:J99999,SUMMARY!A22&amp;"*")</f>
        <v>0</v>
      </c>
      <c r="AC22" s="10">
        <f t="shared" si="0"/>
        <v>1</v>
      </c>
      <c r="AD22" s="10">
        <f t="shared" si="1"/>
        <v>0.34211892192978999</v>
      </c>
      <c r="AE22" s="16"/>
      <c r="AF22" s="10">
        <v>1</v>
      </c>
      <c r="AG22" s="10">
        <v>0.32414264555087002</v>
      </c>
      <c r="AH22" s="20">
        <f t="shared" si="2"/>
        <v>0</v>
      </c>
      <c r="AI22" s="20">
        <f t="shared" si="3"/>
        <v>5.5457918375318556E-2</v>
      </c>
      <c r="AJ22" s="7" t="s">
        <v>856</v>
      </c>
    </row>
    <row r="23" spans="1:36" x14ac:dyDescent="0.35">
      <c r="A23" s="7" t="s">
        <v>48</v>
      </c>
      <c r="B23" s="7"/>
      <c r="C23" s="7"/>
      <c r="D23" s="7" t="s">
        <v>226</v>
      </c>
      <c r="E23" s="10">
        <f>SUMIFS('PLAN BUDGET SAMI-TF'!AN12:AN99999,'PLAN BUDGET SAMI-TF'!D12:D99999,SUMMARY!D23,'PLAN BUDGET SAMI-TF'!J12:J99999,SUMMARY!A23&amp;"*")</f>
        <v>0</v>
      </c>
      <c r="F23" s="10">
        <f>SUMIFS('PLAN BUDGET SAMI-TF'!AO12:AO99999,'PLAN BUDGET SAMI-TF'!D12:D99999,SUMMARY!D23,'PLAN BUDGET SAMI-TF'!J12:J99999,SUMMARY!A23&amp;"*")</f>
        <v>0</v>
      </c>
      <c r="G23" s="10">
        <f>SUMIFS('PLAN BUDGET SAMI-TF'!AP12:AP99999,'PLAN BUDGET SAMI-TF'!D12:D99999,SUMMARY!D23,'PLAN BUDGET SAMI-TF'!J12:J99999,SUMMARY!A23&amp;"*")</f>
        <v>3</v>
      </c>
      <c r="H23" s="10">
        <f>SUMIFS('PLAN BUDGET SAMI-TF'!AQ12:AQ99999,'PLAN BUDGET SAMI-TF'!D12:D99999,SUMMARY!D23,'PLAN BUDGET SAMI-TF'!J12:J99999,SUMMARY!A23&amp;"*")</f>
        <v>0</v>
      </c>
      <c r="I23" s="10">
        <f>SUMIFS('PLAN BUDGET SAMI-TF'!AR12:AR99999,'PLAN BUDGET SAMI-TF'!D12:D99999,SUMMARY!D23,'PLAN BUDGET SAMI-TF'!J12:J99999,SUMMARY!A23&amp;"*")</f>
        <v>0</v>
      </c>
      <c r="J23" s="10">
        <f>SUMIFS('PLAN BUDGET SAMI-TF'!AS12:AS99999,'PLAN BUDGET SAMI-TF'!D12:D99999,SUMMARY!D23,'PLAN BUDGET SAMI-TF'!J12:J99999,SUMMARY!A23&amp;"*")</f>
        <v>0</v>
      </c>
      <c r="K23" s="10">
        <f>SUMIFS('PLAN BUDGET SAMI-TF'!AT12:AT99999,'PLAN BUDGET SAMI-TF'!D12:D99999,SUMMARY!D23,'PLAN BUDGET SAMI-TF'!J12:J99999,SUMMARY!A23&amp;"*")</f>
        <v>0</v>
      </c>
      <c r="L23" s="10">
        <f>SUMIFS('PLAN BUDGET SAMI-TF'!AU12:AU99999,'PLAN BUDGET SAMI-TF'!D12:D99999,SUMMARY!D23,'PLAN BUDGET SAMI-TF'!J12:J99999,SUMMARY!A23&amp;"*")</f>
        <v>0</v>
      </c>
      <c r="M23" s="10">
        <f>SUMIFS('PLAN BUDGET SAMI-TF'!AV12:AV99999,'PLAN BUDGET SAMI-TF'!D12:D99999,SUMMARY!D23,'PLAN BUDGET SAMI-TF'!J12:J99999,SUMMARY!A23&amp;"*")</f>
        <v>0</v>
      </c>
      <c r="N23" s="10">
        <f>SUMIFS('PLAN BUDGET SAMI-TF'!AW12:AW99999,'PLAN BUDGET SAMI-TF'!D12:D99999,SUMMARY!D23,'PLAN BUDGET SAMI-TF'!J12:J99999,SUMMARY!A23&amp;"*")</f>
        <v>0</v>
      </c>
      <c r="O23" s="10">
        <f>SUMIFS('PLAN BUDGET SAMI-TF'!AX12:AX99999,'PLAN BUDGET SAMI-TF'!D12:D99999,SUMMARY!D23,'PLAN BUDGET SAMI-TF'!J12:J99999,SUMMARY!A23&amp;"*")</f>
        <v>0</v>
      </c>
      <c r="P23" s="10">
        <f>SUMIFS('PLAN BUDGET SAMI-TF'!AY12:AY99999,'PLAN BUDGET SAMI-TF'!D12:D99999,SUMMARY!D23,'PLAN BUDGET SAMI-TF'!J12:J99999,SUMMARY!A23&amp;"*")</f>
        <v>0</v>
      </c>
      <c r="Q23" s="10">
        <f>SUMIFS('PLAN BUDGET SAMI-TF'!BC12:BC99999,'PLAN BUDGET SAMI-TF'!D12:D99999,SUMMARY!D23,'PLAN BUDGET SAMI-TF'!J12:J99999,SUMMARY!A23&amp;"*")</f>
        <v>0</v>
      </c>
      <c r="R23" s="10">
        <f>SUMIFS('PLAN BUDGET SAMI-TF'!BD12:BD99999,'PLAN BUDGET SAMI-TF'!D12:D99999,SUMMARY!D23,'PLAN BUDGET SAMI-TF'!J12:J99999,SUMMARY!A23&amp;"*")</f>
        <v>0</v>
      </c>
      <c r="S23" s="10">
        <f>SUMIFS('PLAN BUDGET SAMI-TF'!BE12:BE99999,'PLAN BUDGET SAMI-TF'!D12:D99999,SUMMARY!D23,'PLAN BUDGET SAMI-TF'!J12:J99999,SUMMARY!A23&amp;"*")</f>
        <v>0.47035813299912999</v>
      </c>
      <c r="T23" s="10">
        <f>SUMIFS('PLAN BUDGET SAMI-TF'!BF12:BF99999,'PLAN BUDGET SAMI-TF'!D12:D99999,SUMMARY!D23,'PLAN BUDGET SAMI-TF'!J12:J99999,SUMMARY!A23&amp;"*")</f>
        <v>0</v>
      </c>
      <c r="U23" s="10">
        <f>SUMIFS('PLAN BUDGET SAMI-TF'!BG12:BG99999,'PLAN BUDGET SAMI-TF'!D12:D99999,SUMMARY!D23,'PLAN BUDGET SAMI-TF'!J12:J99999,SUMMARY!A23&amp;"*")</f>
        <v>0</v>
      </c>
      <c r="V23" s="10">
        <f>SUMIFS('PLAN BUDGET SAMI-TF'!BH12:BH99999,'PLAN BUDGET SAMI-TF'!D12:D99999,SUMMARY!D23,'PLAN BUDGET SAMI-TF'!J12:J99999,SUMMARY!A23&amp;"*")</f>
        <v>0</v>
      </c>
      <c r="W23" s="10">
        <f>SUMIFS('PLAN BUDGET SAMI-TF'!BI12:BI99999,'PLAN BUDGET SAMI-TF'!D12:D99999,SUMMARY!D23,'PLAN BUDGET SAMI-TF'!J12:J99999,SUMMARY!A23&amp;"*")</f>
        <v>0</v>
      </c>
      <c r="X23" s="10">
        <f>SUMIFS('PLAN BUDGET SAMI-TF'!BJ12:BJ99999,'PLAN BUDGET SAMI-TF'!D12:D99999,SUMMARY!D23,'PLAN BUDGET SAMI-TF'!J12:J99999,SUMMARY!A23&amp;"*")</f>
        <v>0</v>
      </c>
      <c r="Y23" s="10">
        <f>SUMIFS('PLAN BUDGET SAMI-TF'!BK12:BK99999,'PLAN BUDGET SAMI-TF'!D12:D99999,SUMMARY!D23,'PLAN BUDGET SAMI-TF'!J12:J99999,SUMMARY!A23&amp;"*")</f>
        <v>0</v>
      </c>
      <c r="Z23" s="10">
        <f>SUMIFS('PLAN BUDGET SAMI-TF'!BL12:BL99999,'PLAN BUDGET SAMI-TF'!D12:D99999,SUMMARY!D23,'PLAN BUDGET SAMI-TF'!J12:J99999,SUMMARY!A23&amp;"*")</f>
        <v>0</v>
      </c>
      <c r="AA23" s="10">
        <f>SUMIFS('PLAN BUDGET SAMI-TF'!BM12:BM99999,'PLAN BUDGET SAMI-TF'!D12:D99999,SUMMARY!D23,'PLAN BUDGET SAMI-TF'!J12:J99999,SUMMARY!A23&amp;"*")</f>
        <v>0</v>
      </c>
      <c r="AB23" s="10">
        <f>SUMIFS('PLAN BUDGET SAMI-TF'!BN12:BN99999,'PLAN BUDGET SAMI-TF'!D12:D99999,SUMMARY!D23,'PLAN BUDGET SAMI-TF'!J12:J99999,SUMMARY!A23&amp;"*")</f>
        <v>0</v>
      </c>
      <c r="AC23" s="10">
        <f t="shared" si="0"/>
        <v>3</v>
      </c>
      <c r="AD23" s="10">
        <f t="shared" si="1"/>
        <v>0.47035813299912999</v>
      </c>
      <c r="AE23" s="16"/>
      <c r="AF23" s="10">
        <v>9</v>
      </c>
      <c r="AG23" s="10">
        <v>1.0533211803578</v>
      </c>
      <c r="AH23" s="20">
        <f t="shared" si="2"/>
        <v>-0.66666666666666663</v>
      </c>
      <c r="AI23" s="20">
        <f t="shared" si="3"/>
        <v>-0.55345231656753047</v>
      </c>
      <c r="AJ23" s="7" t="s">
        <v>857</v>
      </c>
    </row>
    <row r="24" spans="1:36" x14ac:dyDescent="0.35">
      <c r="A24" s="7" t="s">
        <v>48</v>
      </c>
      <c r="B24" s="7"/>
      <c r="C24" s="7"/>
      <c r="D24" s="7" t="s">
        <v>399</v>
      </c>
      <c r="E24" s="10">
        <f>SUMIFS('PLAN BUDGET SAMI-TF'!AN12:AN99999,'PLAN BUDGET SAMI-TF'!D12:D99999,SUMMARY!D24,'PLAN BUDGET SAMI-TF'!J12:J99999,SUMMARY!A24&amp;"*")</f>
        <v>1</v>
      </c>
      <c r="F24" s="10">
        <f>SUMIFS('PLAN BUDGET SAMI-TF'!AO12:AO99999,'PLAN BUDGET SAMI-TF'!D12:D99999,SUMMARY!D24,'PLAN BUDGET SAMI-TF'!J12:J99999,SUMMARY!A24&amp;"*")</f>
        <v>1</v>
      </c>
      <c r="G24" s="10">
        <f>SUMIFS('PLAN BUDGET SAMI-TF'!AP12:AP99999,'PLAN BUDGET SAMI-TF'!D12:D99999,SUMMARY!D24,'PLAN BUDGET SAMI-TF'!J12:J99999,SUMMARY!A24&amp;"*")</f>
        <v>1</v>
      </c>
      <c r="H24" s="10">
        <f>SUMIFS('PLAN BUDGET SAMI-TF'!AQ12:AQ99999,'PLAN BUDGET SAMI-TF'!D12:D99999,SUMMARY!D24,'PLAN BUDGET SAMI-TF'!J12:J99999,SUMMARY!A24&amp;"*")</f>
        <v>1</v>
      </c>
      <c r="I24" s="10">
        <f>SUMIFS('PLAN BUDGET SAMI-TF'!AR12:AR99999,'PLAN BUDGET SAMI-TF'!D12:D99999,SUMMARY!D24,'PLAN BUDGET SAMI-TF'!J12:J99999,SUMMARY!A24&amp;"*")</f>
        <v>1</v>
      </c>
      <c r="J24" s="10">
        <f>SUMIFS('PLAN BUDGET SAMI-TF'!AS12:AS99999,'PLAN BUDGET SAMI-TF'!D12:D99999,SUMMARY!D24,'PLAN BUDGET SAMI-TF'!J12:J99999,SUMMARY!A24&amp;"*")</f>
        <v>1</v>
      </c>
      <c r="K24" s="10">
        <f>SUMIFS('PLAN BUDGET SAMI-TF'!AT12:AT99999,'PLAN BUDGET SAMI-TF'!D12:D99999,SUMMARY!D24,'PLAN BUDGET SAMI-TF'!J12:J99999,SUMMARY!A24&amp;"*")</f>
        <v>1</v>
      </c>
      <c r="L24" s="10">
        <f>SUMIFS('PLAN BUDGET SAMI-TF'!AU12:AU99999,'PLAN BUDGET SAMI-TF'!D12:D99999,SUMMARY!D24,'PLAN BUDGET SAMI-TF'!J12:J99999,SUMMARY!A24&amp;"*")</f>
        <v>1</v>
      </c>
      <c r="M24" s="10">
        <f>SUMIFS('PLAN BUDGET SAMI-TF'!AV12:AV99999,'PLAN BUDGET SAMI-TF'!D12:D99999,SUMMARY!D24,'PLAN BUDGET SAMI-TF'!J12:J99999,SUMMARY!A24&amp;"*")</f>
        <v>1</v>
      </c>
      <c r="N24" s="10">
        <f>SUMIFS('PLAN BUDGET SAMI-TF'!AW12:AW99999,'PLAN BUDGET SAMI-TF'!D12:D99999,SUMMARY!D24,'PLAN BUDGET SAMI-TF'!J12:J99999,SUMMARY!A24&amp;"*")</f>
        <v>1</v>
      </c>
      <c r="O24" s="10">
        <f>SUMIFS('PLAN BUDGET SAMI-TF'!AX12:AX99999,'PLAN BUDGET SAMI-TF'!D12:D99999,SUMMARY!D24,'PLAN BUDGET SAMI-TF'!J12:J99999,SUMMARY!A24&amp;"*")</f>
        <v>1</v>
      </c>
      <c r="P24" s="10">
        <f>SUMIFS('PLAN BUDGET SAMI-TF'!AY12:AY99999,'PLAN BUDGET SAMI-TF'!D12:D99999,SUMMARY!D24,'PLAN BUDGET SAMI-TF'!J12:J99999,SUMMARY!A24&amp;"*")</f>
        <v>1</v>
      </c>
      <c r="Q24" s="10">
        <f>SUMIFS('PLAN BUDGET SAMI-TF'!BC12:BC99999,'PLAN BUDGET SAMI-TF'!D12:D99999,SUMMARY!D24,'PLAN BUDGET SAMI-TF'!J12:J99999,SUMMARY!A24&amp;"*")</f>
        <v>0.15969769473244</v>
      </c>
      <c r="R24" s="10">
        <f>SUMIFS('PLAN BUDGET SAMI-TF'!BD12:BD99999,'PLAN BUDGET SAMI-TF'!D12:D99999,SUMMARY!D24,'PLAN BUDGET SAMI-TF'!J12:J99999,SUMMARY!A24&amp;"*")</f>
        <v>0.15969769473244</v>
      </c>
      <c r="S24" s="10">
        <f>SUMIFS('PLAN BUDGET SAMI-TF'!BE12:BE99999,'PLAN BUDGET SAMI-TF'!D12:D99999,SUMMARY!D24,'PLAN BUDGET SAMI-TF'!J12:J99999,SUMMARY!A24&amp;"*")</f>
        <v>0.15969769473244</v>
      </c>
      <c r="T24" s="10">
        <f>SUMIFS('PLAN BUDGET SAMI-TF'!BF12:BF99999,'PLAN BUDGET SAMI-TF'!D12:D99999,SUMMARY!D24,'PLAN BUDGET SAMI-TF'!J12:J99999,SUMMARY!A24&amp;"*")</f>
        <v>0.15969769473244</v>
      </c>
      <c r="U24" s="10">
        <f>SUMIFS('PLAN BUDGET SAMI-TF'!BG12:BG99999,'PLAN BUDGET SAMI-TF'!D12:D99999,SUMMARY!D24,'PLAN BUDGET SAMI-TF'!J12:J99999,SUMMARY!A24&amp;"*")</f>
        <v>0.15969769473244</v>
      </c>
      <c r="V24" s="10">
        <f>SUMIFS('PLAN BUDGET SAMI-TF'!BH12:BH99999,'PLAN BUDGET SAMI-TF'!D12:D99999,SUMMARY!D24,'PLAN BUDGET SAMI-TF'!J12:J99999,SUMMARY!A24&amp;"*")</f>
        <v>0.15969769473244</v>
      </c>
      <c r="W24" s="10">
        <f>SUMIFS('PLAN BUDGET SAMI-TF'!BI12:BI99999,'PLAN BUDGET SAMI-TF'!D12:D99999,SUMMARY!D24,'PLAN BUDGET SAMI-TF'!J12:J99999,SUMMARY!A24&amp;"*")</f>
        <v>0.15969769473244</v>
      </c>
      <c r="X24" s="10">
        <f>SUMIFS('PLAN BUDGET SAMI-TF'!BJ12:BJ99999,'PLAN BUDGET SAMI-TF'!D12:D99999,SUMMARY!D24,'PLAN BUDGET SAMI-TF'!J12:J99999,SUMMARY!A24&amp;"*")</f>
        <v>0.15969769473244</v>
      </c>
      <c r="Y24" s="10">
        <f>SUMIFS('PLAN BUDGET SAMI-TF'!BK12:BK99999,'PLAN BUDGET SAMI-TF'!D12:D99999,SUMMARY!D24,'PLAN BUDGET SAMI-TF'!J12:J99999,SUMMARY!A24&amp;"*")</f>
        <v>0.15969769473244</v>
      </c>
      <c r="Z24" s="10">
        <f>SUMIFS('PLAN BUDGET SAMI-TF'!BL12:BL99999,'PLAN BUDGET SAMI-TF'!D12:D99999,SUMMARY!D24,'PLAN BUDGET SAMI-TF'!J12:J99999,SUMMARY!A24&amp;"*")</f>
        <v>0.15969769473244</v>
      </c>
      <c r="AA24" s="10">
        <f>SUMIFS('PLAN BUDGET SAMI-TF'!BM12:BM99999,'PLAN BUDGET SAMI-TF'!D12:D99999,SUMMARY!D24,'PLAN BUDGET SAMI-TF'!J12:J99999,SUMMARY!A24&amp;"*")</f>
        <v>0.15969769473244</v>
      </c>
      <c r="AB24" s="10">
        <f>SUMIFS('PLAN BUDGET SAMI-TF'!BN12:BN99999,'PLAN BUDGET SAMI-TF'!D12:D99999,SUMMARY!D24,'PLAN BUDGET SAMI-TF'!J12:J99999,SUMMARY!A24&amp;"*")</f>
        <v>0.15969769473244</v>
      </c>
      <c r="AC24" s="10">
        <f t="shared" si="0"/>
        <v>12</v>
      </c>
      <c r="AD24" s="10">
        <f t="shared" si="1"/>
        <v>1.91637233678928</v>
      </c>
      <c r="AE24" s="16"/>
      <c r="AF24" s="10">
        <v>12</v>
      </c>
      <c r="AG24" s="10">
        <v>1.8009190687782</v>
      </c>
      <c r="AH24" s="20">
        <f t="shared" si="2"/>
        <v>0</v>
      </c>
      <c r="AI24" s="20">
        <f t="shared" si="3"/>
        <v>6.4107971320114421E-2</v>
      </c>
      <c r="AJ24" s="7" t="s">
        <v>849</v>
      </c>
    </row>
    <row r="25" spans="1:36" x14ac:dyDescent="0.35">
      <c r="A25" s="7" t="s">
        <v>48</v>
      </c>
      <c r="B25" s="7"/>
      <c r="C25" s="7"/>
      <c r="D25" s="7" t="s">
        <v>79</v>
      </c>
      <c r="E25" s="10">
        <f>SUMIFS('PLAN BUDGET SAMI-TF'!AN12:AN99999,'PLAN BUDGET SAMI-TF'!D12:D99999,SUMMARY!D25,'PLAN BUDGET SAMI-TF'!J12:J99999,SUMMARY!A25&amp;"*")</f>
        <v>5</v>
      </c>
      <c r="F25" s="10">
        <f>SUMIFS('PLAN BUDGET SAMI-TF'!AO12:AO99999,'PLAN BUDGET SAMI-TF'!D12:D99999,SUMMARY!D25,'PLAN BUDGET SAMI-TF'!J12:J99999,SUMMARY!A25&amp;"*")</f>
        <v>5</v>
      </c>
      <c r="G25" s="10">
        <f>SUMIFS('PLAN BUDGET SAMI-TF'!AP12:AP99999,'PLAN BUDGET SAMI-TF'!D12:D99999,SUMMARY!D25,'PLAN BUDGET SAMI-TF'!J12:J99999,SUMMARY!A25&amp;"*")</f>
        <v>5</v>
      </c>
      <c r="H25" s="10">
        <f>SUMIFS('PLAN BUDGET SAMI-TF'!AQ12:AQ99999,'PLAN BUDGET SAMI-TF'!D12:D99999,SUMMARY!D25,'PLAN BUDGET SAMI-TF'!J12:J99999,SUMMARY!A25&amp;"*")</f>
        <v>6</v>
      </c>
      <c r="I25" s="10">
        <f>SUMIFS('PLAN BUDGET SAMI-TF'!AR12:AR99999,'PLAN BUDGET SAMI-TF'!D12:D99999,SUMMARY!D25,'PLAN BUDGET SAMI-TF'!J12:J99999,SUMMARY!A25&amp;"*")</f>
        <v>5</v>
      </c>
      <c r="J25" s="10">
        <f>SUMIFS('PLAN BUDGET SAMI-TF'!AS12:AS99999,'PLAN BUDGET SAMI-TF'!D12:D99999,SUMMARY!D25,'PLAN BUDGET SAMI-TF'!J12:J99999,SUMMARY!A25&amp;"*")</f>
        <v>5</v>
      </c>
      <c r="K25" s="10">
        <f>SUMIFS('PLAN BUDGET SAMI-TF'!AT12:AT99999,'PLAN BUDGET SAMI-TF'!D12:D99999,SUMMARY!D25,'PLAN BUDGET SAMI-TF'!J12:J99999,SUMMARY!A25&amp;"*")</f>
        <v>5</v>
      </c>
      <c r="L25" s="10">
        <f>SUMIFS('PLAN BUDGET SAMI-TF'!AU12:AU99999,'PLAN BUDGET SAMI-TF'!D12:D99999,SUMMARY!D25,'PLAN BUDGET SAMI-TF'!J12:J99999,SUMMARY!A25&amp;"*")</f>
        <v>6</v>
      </c>
      <c r="M25" s="10">
        <f>SUMIFS('PLAN BUDGET SAMI-TF'!AV12:AV99999,'PLAN BUDGET SAMI-TF'!D12:D99999,SUMMARY!D25,'PLAN BUDGET SAMI-TF'!J12:J99999,SUMMARY!A25&amp;"*")</f>
        <v>5</v>
      </c>
      <c r="N25" s="10">
        <f>SUMIFS('PLAN BUDGET SAMI-TF'!AW12:AW99999,'PLAN BUDGET SAMI-TF'!D12:D99999,SUMMARY!D25,'PLAN BUDGET SAMI-TF'!J12:J99999,SUMMARY!A25&amp;"*")</f>
        <v>5</v>
      </c>
      <c r="O25" s="10">
        <f>SUMIFS('PLAN BUDGET SAMI-TF'!AX12:AX99999,'PLAN BUDGET SAMI-TF'!D12:D99999,SUMMARY!D25,'PLAN BUDGET SAMI-TF'!J12:J99999,SUMMARY!A25&amp;"*")</f>
        <v>5</v>
      </c>
      <c r="P25" s="10">
        <f>SUMIFS('PLAN BUDGET SAMI-TF'!AY12:AY99999,'PLAN BUDGET SAMI-TF'!D12:D99999,SUMMARY!D25,'PLAN BUDGET SAMI-TF'!J12:J99999,SUMMARY!A25&amp;"*")</f>
        <v>6</v>
      </c>
      <c r="Q25" s="10">
        <f>SUMIFS('PLAN BUDGET SAMI-TF'!BC12:BC99999,'PLAN BUDGET SAMI-TF'!D12:D99999,SUMMARY!D25,'PLAN BUDGET SAMI-TF'!J12:J99999,SUMMARY!A25&amp;"*")</f>
        <v>24.329687440659001</v>
      </c>
      <c r="R25" s="10">
        <f>SUMIFS('PLAN BUDGET SAMI-TF'!BD12:BD99999,'PLAN BUDGET SAMI-TF'!D12:D99999,SUMMARY!D25,'PLAN BUDGET SAMI-TF'!J12:J99999,SUMMARY!A25&amp;"*")</f>
        <v>24.329687440659001</v>
      </c>
      <c r="S25" s="10">
        <f>SUMIFS('PLAN BUDGET SAMI-TF'!BE12:BE99999,'PLAN BUDGET SAMI-TF'!D12:D99999,SUMMARY!D25,'PLAN BUDGET SAMI-TF'!J12:J99999,SUMMARY!A25&amp;"*")</f>
        <v>24.329687440659001</v>
      </c>
      <c r="T25" s="10">
        <f>SUMIFS('PLAN BUDGET SAMI-TF'!BF12:BF99999,'PLAN BUDGET SAMI-TF'!D12:D99999,SUMMARY!D25,'PLAN BUDGET SAMI-TF'!J12:J99999,SUMMARY!A25&amp;"*")</f>
        <v>26.4382920005567</v>
      </c>
      <c r="U25" s="10">
        <f>SUMIFS('PLAN BUDGET SAMI-TF'!BG12:BG99999,'PLAN BUDGET SAMI-TF'!D12:D99999,SUMMARY!D25,'PLAN BUDGET SAMI-TF'!J12:J99999,SUMMARY!A25&amp;"*")</f>
        <v>24.329687440659001</v>
      </c>
      <c r="V25" s="10">
        <f>SUMIFS('PLAN BUDGET SAMI-TF'!BH12:BH99999,'PLAN BUDGET SAMI-TF'!D12:D99999,SUMMARY!D25,'PLAN BUDGET SAMI-TF'!J12:J99999,SUMMARY!A25&amp;"*")</f>
        <v>24.329687440659001</v>
      </c>
      <c r="W25" s="10">
        <f>SUMIFS('PLAN BUDGET SAMI-TF'!BI12:BI99999,'PLAN BUDGET SAMI-TF'!D12:D99999,SUMMARY!D25,'PLAN BUDGET SAMI-TF'!J12:J99999,SUMMARY!A25&amp;"*")</f>
        <v>24.329687440659001</v>
      </c>
      <c r="X25" s="10">
        <f>SUMIFS('PLAN BUDGET SAMI-TF'!BJ12:BJ99999,'PLAN BUDGET SAMI-TF'!D12:D99999,SUMMARY!D25,'PLAN BUDGET SAMI-TF'!J12:J99999,SUMMARY!A25&amp;"*")</f>
        <v>26.4382920005567</v>
      </c>
      <c r="Y25" s="10">
        <f>SUMIFS('PLAN BUDGET SAMI-TF'!BK12:BK99999,'PLAN BUDGET SAMI-TF'!D12:D99999,SUMMARY!D25,'PLAN BUDGET SAMI-TF'!J12:J99999,SUMMARY!A25&amp;"*")</f>
        <v>24.329687440659001</v>
      </c>
      <c r="Z25" s="10">
        <f>SUMIFS('PLAN BUDGET SAMI-TF'!BL12:BL99999,'PLAN BUDGET SAMI-TF'!D12:D99999,SUMMARY!D25,'PLAN BUDGET SAMI-TF'!J12:J99999,SUMMARY!A25&amp;"*")</f>
        <v>24.329687440659001</v>
      </c>
      <c r="AA25" s="10">
        <f>SUMIFS('PLAN BUDGET SAMI-TF'!BM12:BM99999,'PLAN BUDGET SAMI-TF'!D12:D99999,SUMMARY!D25,'PLAN BUDGET SAMI-TF'!J12:J99999,SUMMARY!A25&amp;"*")</f>
        <v>24.329687440659001</v>
      </c>
      <c r="AB25" s="10">
        <f>SUMIFS('PLAN BUDGET SAMI-TF'!BN12:BN99999,'PLAN BUDGET SAMI-TF'!D12:D99999,SUMMARY!D25,'PLAN BUDGET SAMI-TF'!J12:J99999,SUMMARY!A25&amp;"*")</f>
        <v>26.4382920005567</v>
      </c>
      <c r="AC25" s="10">
        <f t="shared" si="0"/>
        <v>63</v>
      </c>
      <c r="AD25" s="10">
        <f t="shared" si="1"/>
        <v>298.28206296760112</v>
      </c>
      <c r="AE25" s="16"/>
      <c r="AF25" s="10">
        <v>11</v>
      </c>
      <c r="AG25" s="10">
        <v>44.888787614092003</v>
      </c>
      <c r="AH25" s="20">
        <f t="shared" si="2"/>
        <v>4.7272727272727275</v>
      </c>
      <c r="AI25" s="20">
        <f t="shared" si="3"/>
        <v>5.6449124340787717</v>
      </c>
      <c r="AJ25" s="7" t="s">
        <v>858</v>
      </c>
    </row>
    <row r="26" spans="1:36" x14ac:dyDescent="0.35">
      <c r="A26" s="7" t="s">
        <v>48</v>
      </c>
      <c r="B26" s="7"/>
      <c r="C26" s="7"/>
      <c r="D26" s="7" t="s">
        <v>468</v>
      </c>
      <c r="E26" s="10">
        <f>SUMIFS('PLAN BUDGET SAMI-TF'!AN12:AN99999,'PLAN BUDGET SAMI-TF'!D12:D99999,SUMMARY!D26,'PLAN BUDGET SAMI-TF'!J12:J99999,SUMMARY!A26&amp;"*")</f>
        <v>0</v>
      </c>
      <c r="F26" s="10">
        <f>SUMIFS('PLAN BUDGET SAMI-TF'!AO12:AO99999,'PLAN BUDGET SAMI-TF'!D12:D99999,SUMMARY!D26,'PLAN BUDGET SAMI-TF'!J12:J99999,SUMMARY!A26&amp;"*")</f>
        <v>1</v>
      </c>
      <c r="G26" s="10">
        <f>SUMIFS('PLAN BUDGET SAMI-TF'!AP12:AP99999,'PLAN BUDGET SAMI-TF'!D12:D99999,SUMMARY!D26,'PLAN BUDGET SAMI-TF'!J12:J99999,SUMMARY!A26&amp;"*")</f>
        <v>0</v>
      </c>
      <c r="H26" s="10">
        <f>SUMIFS('PLAN BUDGET SAMI-TF'!AQ12:AQ99999,'PLAN BUDGET SAMI-TF'!D12:D99999,SUMMARY!D26,'PLAN BUDGET SAMI-TF'!J12:J99999,SUMMARY!A26&amp;"*")</f>
        <v>0</v>
      </c>
      <c r="I26" s="10">
        <f>SUMIFS('PLAN BUDGET SAMI-TF'!AR12:AR99999,'PLAN BUDGET SAMI-TF'!D12:D99999,SUMMARY!D26,'PLAN BUDGET SAMI-TF'!J12:J99999,SUMMARY!A26&amp;"*")</f>
        <v>0</v>
      </c>
      <c r="J26" s="10">
        <f>SUMIFS('PLAN BUDGET SAMI-TF'!AS12:AS99999,'PLAN BUDGET SAMI-TF'!D12:D99999,SUMMARY!D26,'PLAN BUDGET SAMI-TF'!J12:J99999,SUMMARY!A26&amp;"*")</f>
        <v>0</v>
      </c>
      <c r="K26" s="10">
        <f>SUMIFS('PLAN BUDGET SAMI-TF'!AT12:AT99999,'PLAN BUDGET SAMI-TF'!D12:D99999,SUMMARY!D26,'PLAN BUDGET SAMI-TF'!J12:J99999,SUMMARY!A26&amp;"*")</f>
        <v>0</v>
      </c>
      <c r="L26" s="10">
        <f>SUMIFS('PLAN BUDGET SAMI-TF'!AU12:AU99999,'PLAN BUDGET SAMI-TF'!D12:D99999,SUMMARY!D26,'PLAN BUDGET SAMI-TF'!J12:J99999,SUMMARY!A26&amp;"*")</f>
        <v>0</v>
      </c>
      <c r="M26" s="10">
        <f>SUMIFS('PLAN BUDGET SAMI-TF'!AV12:AV99999,'PLAN BUDGET SAMI-TF'!D12:D99999,SUMMARY!D26,'PLAN BUDGET SAMI-TF'!J12:J99999,SUMMARY!A26&amp;"*")</f>
        <v>0</v>
      </c>
      <c r="N26" s="10">
        <f>SUMIFS('PLAN BUDGET SAMI-TF'!AW12:AW99999,'PLAN BUDGET SAMI-TF'!D12:D99999,SUMMARY!D26,'PLAN BUDGET SAMI-TF'!J12:J99999,SUMMARY!A26&amp;"*")</f>
        <v>0</v>
      </c>
      <c r="O26" s="10">
        <f>SUMIFS('PLAN BUDGET SAMI-TF'!AX12:AX99999,'PLAN BUDGET SAMI-TF'!D12:D99999,SUMMARY!D26,'PLAN BUDGET SAMI-TF'!J12:J99999,SUMMARY!A26&amp;"*")</f>
        <v>0</v>
      </c>
      <c r="P26" s="10">
        <f>SUMIFS('PLAN BUDGET SAMI-TF'!AY12:AY99999,'PLAN BUDGET SAMI-TF'!D12:D99999,SUMMARY!D26,'PLAN BUDGET SAMI-TF'!J12:J99999,SUMMARY!A26&amp;"*")</f>
        <v>0</v>
      </c>
      <c r="Q26" s="10">
        <f>SUMIFS('PLAN BUDGET SAMI-TF'!BC12:BC99999,'PLAN BUDGET SAMI-TF'!D12:D99999,SUMMARY!D26,'PLAN BUDGET SAMI-TF'!J12:J99999,SUMMARY!A26&amp;"*")</f>
        <v>0</v>
      </c>
      <c r="R26" s="10">
        <f>SUMIFS('PLAN BUDGET SAMI-TF'!BD12:BD99999,'PLAN BUDGET SAMI-TF'!D12:D99999,SUMMARY!D26,'PLAN BUDGET SAMI-TF'!J12:J99999,SUMMARY!A26&amp;"*")</f>
        <v>0.61872570987302999</v>
      </c>
      <c r="S26" s="10">
        <f>SUMIFS('PLAN BUDGET SAMI-TF'!BE12:BE99999,'PLAN BUDGET SAMI-TF'!D12:D99999,SUMMARY!D26,'PLAN BUDGET SAMI-TF'!J12:J99999,SUMMARY!A26&amp;"*")</f>
        <v>0</v>
      </c>
      <c r="T26" s="10">
        <f>SUMIFS('PLAN BUDGET SAMI-TF'!BF12:BF99999,'PLAN BUDGET SAMI-TF'!D12:D99999,SUMMARY!D26,'PLAN BUDGET SAMI-TF'!J12:J99999,SUMMARY!A26&amp;"*")</f>
        <v>0</v>
      </c>
      <c r="U26" s="10">
        <f>SUMIFS('PLAN BUDGET SAMI-TF'!BG12:BG99999,'PLAN BUDGET SAMI-TF'!D12:D99999,SUMMARY!D26,'PLAN BUDGET SAMI-TF'!J12:J99999,SUMMARY!A26&amp;"*")</f>
        <v>0</v>
      </c>
      <c r="V26" s="10">
        <f>SUMIFS('PLAN BUDGET SAMI-TF'!BH12:BH99999,'PLAN BUDGET SAMI-TF'!D12:D99999,SUMMARY!D26,'PLAN BUDGET SAMI-TF'!J12:J99999,SUMMARY!A26&amp;"*")</f>
        <v>0</v>
      </c>
      <c r="W26" s="10">
        <f>SUMIFS('PLAN BUDGET SAMI-TF'!BI12:BI99999,'PLAN BUDGET SAMI-TF'!D12:D99999,SUMMARY!D26,'PLAN BUDGET SAMI-TF'!J12:J99999,SUMMARY!A26&amp;"*")</f>
        <v>0</v>
      </c>
      <c r="X26" s="10">
        <f>SUMIFS('PLAN BUDGET SAMI-TF'!BJ12:BJ99999,'PLAN BUDGET SAMI-TF'!D12:D99999,SUMMARY!D26,'PLAN BUDGET SAMI-TF'!J12:J99999,SUMMARY!A26&amp;"*")</f>
        <v>0</v>
      </c>
      <c r="Y26" s="10">
        <f>SUMIFS('PLAN BUDGET SAMI-TF'!BK12:BK99999,'PLAN BUDGET SAMI-TF'!D12:D99999,SUMMARY!D26,'PLAN BUDGET SAMI-TF'!J12:J99999,SUMMARY!A26&amp;"*")</f>
        <v>0</v>
      </c>
      <c r="Z26" s="10">
        <f>SUMIFS('PLAN BUDGET SAMI-TF'!BL12:BL99999,'PLAN BUDGET SAMI-TF'!D12:D99999,SUMMARY!D26,'PLAN BUDGET SAMI-TF'!J12:J99999,SUMMARY!A26&amp;"*")</f>
        <v>0</v>
      </c>
      <c r="AA26" s="10">
        <f>SUMIFS('PLAN BUDGET SAMI-TF'!BM12:BM99999,'PLAN BUDGET SAMI-TF'!D12:D99999,SUMMARY!D26,'PLAN BUDGET SAMI-TF'!J12:J99999,SUMMARY!A26&amp;"*")</f>
        <v>0</v>
      </c>
      <c r="AB26" s="10">
        <f>SUMIFS('PLAN BUDGET SAMI-TF'!BN12:BN99999,'PLAN BUDGET SAMI-TF'!D12:D99999,SUMMARY!D26,'PLAN BUDGET SAMI-TF'!J12:J99999,SUMMARY!A26&amp;"*")</f>
        <v>0</v>
      </c>
      <c r="AC26" s="10">
        <f t="shared" si="0"/>
        <v>1</v>
      </c>
      <c r="AD26" s="10">
        <f t="shared" si="1"/>
        <v>0.61872570987302999</v>
      </c>
      <c r="AE26" s="16"/>
      <c r="AF26" s="10">
        <v>2</v>
      </c>
      <c r="AG26" s="10">
        <v>1.1704834605598</v>
      </c>
      <c r="AH26" s="20">
        <f t="shared" si="2"/>
        <v>-0.5</v>
      </c>
      <c r="AI26" s="20">
        <f t="shared" si="3"/>
        <v>-0.47139303482586947</v>
      </c>
      <c r="AJ26" s="67" t="s">
        <v>859</v>
      </c>
    </row>
    <row r="27" spans="1:36" x14ac:dyDescent="0.35">
      <c r="A27" s="7" t="s">
        <v>48</v>
      </c>
      <c r="B27" s="7"/>
      <c r="C27" s="7"/>
      <c r="D27" s="7" t="s">
        <v>279</v>
      </c>
      <c r="E27" s="10">
        <f>SUMIFS('PLAN BUDGET SAMI-TF'!AN12:AN99999,'PLAN BUDGET SAMI-TF'!D12:D99999,SUMMARY!D27,'PLAN BUDGET SAMI-TF'!J12:J99999,SUMMARY!A27&amp;"*")</f>
        <v>2</v>
      </c>
      <c r="F27" s="10">
        <f>SUMIFS('PLAN BUDGET SAMI-TF'!AO12:AO99999,'PLAN BUDGET SAMI-TF'!D12:D99999,SUMMARY!D27,'PLAN BUDGET SAMI-TF'!J12:J99999,SUMMARY!A27&amp;"*")</f>
        <v>2</v>
      </c>
      <c r="G27" s="10">
        <f>SUMIFS('PLAN BUDGET SAMI-TF'!AP12:AP99999,'PLAN BUDGET SAMI-TF'!D12:D99999,SUMMARY!D27,'PLAN BUDGET SAMI-TF'!J12:J99999,SUMMARY!A27&amp;"*")</f>
        <v>2</v>
      </c>
      <c r="H27" s="10">
        <f>SUMIFS('PLAN BUDGET SAMI-TF'!AQ12:AQ99999,'PLAN BUDGET SAMI-TF'!D12:D99999,SUMMARY!D27,'PLAN BUDGET SAMI-TF'!J12:J99999,SUMMARY!A27&amp;"*")</f>
        <v>2</v>
      </c>
      <c r="I27" s="10">
        <f>SUMIFS('PLAN BUDGET SAMI-TF'!AR12:AR99999,'PLAN BUDGET SAMI-TF'!D12:D99999,SUMMARY!D27,'PLAN BUDGET SAMI-TF'!J12:J99999,SUMMARY!A27&amp;"*")</f>
        <v>2</v>
      </c>
      <c r="J27" s="10">
        <f>SUMIFS('PLAN BUDGET SAMI-TF'!AS12:AS99999,'PLAN BUDGET SAMI-TF'!D12:D99999,SUMMARY!D27,'PLAN BUDGET SAMI-TF'!J12:J99999,SUMMARY!A27&amp;"*")</f>
        <v>2</v>
      </c>
      <c r="K27" s="10">
        <f>SUMIFS('PLAN BUDGET SAMI-TF'!AT12:AT99999,'PLAN BUDGET SAMI-TF'!D12:D99999,SUMMARY!D27,'PLAN BUDGET SAMI-TF'!J12:J99999,SUMMARY!A27&amp;"*")</f>
        <v>2</v>
      </c>
      <c r="L27" s="10">
        <f>SUMIFS('PLAN BUDGET SAMI-TF'!AU12:AU99999,'PLAN BUDGET SAMI-TF'!D12:D99999,SUMMARY!D27,'PLAN BUDGET SAMI-TF'!J12:J99999,SUMMARY!A27&amp;"*")</f>
        <v>2</v>
      </c>
      <c r="M27" s="10">
        <f>SUMIFS('PLAN BUDGET SAMI-TF'!AV12:AV99999,'PLAN BUDGET SAMI-TF'!D12:D99999,SUMMARY!D27,'PLAN BUDGET SAMI-TF'!J12:J99999,SUMMARY!A27&amp;"*")</f>
        <v>2</v>
      </c>
      <c r="N27" s="10">
        <f>SUMIFS('PLAN BUDGET SAMI-TF'!AW12:AW99999,'PLAN BUDGET SAMI-TF'!D12:D99999,SUMMARY!D27,'PLAN BUDGET SAMI-TF'!J12:J99999,SUMMARY!A27&amp;"*")</f>
        <v>2</v>
      </c>
      <c r="O27" s="10">
        <f>SUMIFS('PLAN BUDGET SAMI-TF'!AX12:AX99999,'PLAN BUDGET SAMI-TF'!D12:D99999,SUMMARY!D27,'PLAN BUDGET SAMI-TF'!J12:J99999,SUMMARY!A27&amp;"*")</f>
        <v>2</v>
      </c>
      <c r="P27" s="10">
        <f>SUMIFS('PLAN BUDGET SAMI-TF'!AY12:AY99999,'PLAN BUDGET SAMI-TF'!D12:D99999,SUMMARY!D27,'PLAN BUDGET SAMI-TF'!J12:J99999,SUMMARY!A27&amp;"*")</f>
        <v>2</v>
      </c>
      <c r="Q27" s="10">
        <f>SUMIFS('PLAN BUDGET SAMI-TF'!BC12:BC99999,'PLAN BUDGET SAMI-TF'!D12:D99999,SUMMARY!D27,'PLAN BUDGET SAMI-TF'!J12:J99999,SUMMARY!A27&amp;"*")</f>
        <v>1.9463749952527001</v>
      </c>
      <c r="R27" s="10">
        <f>SUMIFS('PLAN BUDGET SAMI-TF'!BD12:BD99999,'PLAN BUDGET SAMI-TF'!D12:D99999,SUMMARY!D27,'PLAN BUDGET SAMI-TF'!J12:J99999,SUMMARY!A27&amp;"*")</f>
        <v>1.9463749952527001</v>
      </c>
      <c r="S27" s="10">
        <f>SUMIFS('PLAN BUDGET SAMI-TF'!BE12:BE99999,'PLAN BUDGET SAMI-TF'!D12:D99999,SUMMARY!D27,'PLAN BUDGET SAMI-TF'!J12:J99999,SUMMARY!A27&amp;"*")</f>
        <v>1.9463749952527001</v>
      </c>
      <c r="T27" s="10">
        <f>SUMIFS('PLAN BUDGET SAMI-TF'!BF12:BF99999,'PLAN BUDGET SAMI-TF'!D12:D99999,SUMMARY!D27,'PLAN BUDGET SAMI-TF'!J12:J99999,SUMMARY!A27&amp;"*")</f>
        <v>1.9463749952527001</v>
      </c>
      <c r="U27" s="10">
        <f>SUMIFS('PLAN BUDGET SAMI-TF'!BG12:BG99999,'PLAN BUDGET SAMI-TF'!D12:D99999,SUMMARY!D27,'PLAN BUDGET SAMI-TF'!J12:J99999,SUMMARY!A27&amp;"*")</f>
        <v>1.9463749952527001</v>
      </c>
      <c r="V27" s="10">
        <f>SUMIFS('PLAN BUDGET SAMI-TF'!BH12:BH99999,'PLAN BUDGET SAMI-TF'!D12:D99999,SUMMARY!D27,'PLAN BUDGET SAMI-TF'!J12:J99999,SUMMARY!A27&amp;"*")</f>
        <v>1.9463749952527001</v>
      </c>
      <c r="W27" s="10">
        <f>SUMIFS('PLAN BUDGET SAMI-TF'!BI12:BI99999,'PLAN BUDGET SAMI-TF'!D12:D99999,SUMMARY!D27,'PLAN BUDGET SAMI-TF'!J12:J99999,SUMMARY!A27&amp;"*")</f>
        <v>1.9463749952527001</v>
      </c>
      <c r="X27" s="10">
        <f>SUMIFS('PLAN BUDGET SAMI-TF'!BJ12:BJ99999,'PLAN BUDGET SAMI-TF'!D12:D99999,SUMMARY!D27,'PLAN BUDGET SAMI-TF'!J12:J99999,SUMMARY!A27&amp;"*")</f>
        <v>1.9463749952527001</v>
      </c>
      <c r="Y27" s="10">
        <f>SUMIFS('PLAN BUDGET SAMI-TF'!BK12:BK99999,'PLAN BUDGET SAMI-TF'!D12:D99999,SUMMARY!D27,'PLAN BUDGET SAMI-TF'!J12:J99999,SUMMARY!A27&amp;"*")</f>
        <v>1.9463749952527001</v>
      </c>
      <c r="Z27" s="10">
        <f>SUMIFS('PLAN BUDGET SAMI-TF'!BL12:BL99999,'PLAN BUDGET SAMI-TF'!D12:D99999,SUMMARY!D27,'PLAN BUDGET SAMI-TF'!J12:J99999,SUMMARY!A27&amp;"*")</f>
        <v>1.9463749952527001</v>
      </c>
      <c r="AA27" s="10">
        <f>SUMIFS('PLAN BUDGET SAMI-TF'!BM12:BM99999,'PLAN BUDGET SAMI-TF'!D12:D99999,SUMMARY!D27,'PLAN BUDGET SAMI-TF'!J12:J99999,SUMMARY!A27&amp;"*")</f>
        <v>1.9463749952527001</v>
      </c>
      <c r="AB27" s="10">
        <f>SUMIFS('PLAN BUDGET SAMI-TF'!BN12:BN99999,'PLAN BUDGET SAMI-TF'!D12:D99999,SUMMARY!D27,'PLAN BUDGET SAMI-TF'!J12:J99999,SUMMARY!A27&amp;"*")</f>
        <v>1.9463749952527001</v>
      </c>
      <c r="AC27" s="10">
        <f t="shared" si="0"/>
        <v>24</v>
      </c>
      <c r="AD27" s="10">
        <f t="shared" si="1"/>
        <v>23.3564999430324</v>
      </c>
      <c r="AE27" s="16"/>
      <c r="AF27" s="10">
        <v>24</v>
      </c>
      <c r="AG27" s="10">
        <v>23.090653602218001</v>
      </c>
      <c r="AH27" s="20">
        <f t="shared" si="2"/>
        <v>0</v>
      </c>
      <c r="AI27" s="20">
        <f t="shared" si="3"/>
        <v>1.1513157894710375E-2</v>
      </c>
      <c r="AJ27" s="7" t="s">
        <v>849</v>
      </c>
    </row>
    <row r="28" spans="1:36" x14ac:dyDescent="0.35">
      <c r="A28" s="7" t="s">
        <v>48</v>
      </c>
      <c r="B28" s="7"/>
      <c r="C28" s="7"/>
      <c r="D28" s="7" t="s">
        <v>70</v>
      </c>
      <c r="E28" s="10">
        <f>SUMIFS('PLAN BUDGET SAMI-TF'!AN12:AN99999,'PLAN BUDGET SAMI-TF'!D12:D99999,SUMMARY!D28,'PLAN BUDGET SAMI-TF'!J12:J99999,SUMMARY!A28&amp;"*")</f>
        <v>0</v>
      </c>
      <c r="F28" s="10">
        <f>SUMIFS('PLAN BUDGET SAMI-TF'!AO12:AO99999,'PLAN BUDGET SAMI-TF'!D12:D99999,SUMMARY!D28,'PLAN BUDGET SAMI-TF'!J12:J99999,SUMMARY!A28&amp;"*")</f>
        <v>1</v>
      </c>
      <c r="G28" s="10">
        <f>SUMIFS('PLAN BUDGET SAMI-TF'!AP12:AP99999,'PLAN BUDGET SAMI-TF'!D12:D99999,SUMMARY!D28,'PLAN BUDGET SAMI-TF'!J12:J99999,SUMMARY!A28&amp;"*")</f>
        <v>0</v>
      </c>
      <c r="H28" s="10">
        <f>SUMIFS('PLAN BUDGET SAMI-TF'!AQ12:AQ99999,'PLAN BUDGET SAMI-TF'!D12:D99999,SUMMARY!D28,'PLAN BUDGET SAMI-TF'!J12:J99999,SUMMARY!A28&amp;"*")</f>
        <v>1</v>
      </c>
      <c r="I28" s="10">
        <f>SUMIFS('PLAN BUDGET SAMI-TF'!AR12:AR99999,'PLAN BUDGET SAMI-TF'!D12:D99999,SUMMARY!D28,'PLAN BUDGET SAMI-TF'!J12:J99999,SUMMARY!A28&amp;"*")</f>
        <v>0</v>
      </c>
      <c r="J28" s="10">
        <f>SUMIFS('PLAN BUDGET SAMI-TF'!AS12:AS99999,'PLAN BUDGET SAMI-TF'!D12:D99999,SUMMARY!D28,'PLAN BUDGET SAMI-TF'!J12:J99999,SUMMARY!A28&amp;"*")</f>
        <v>1</v>
      </c>
      <c r="K28" s="10">
        <f>SUMIFS('PLAN BUDGET SAMI-TF'!AT12:AT99999,'PLAN BUDGET SAMI-TF'!D12:D99999,SUMMARY!D28,'PLAN BUDGET SAMI-TF'!J12:J99999,SUMMARY!A28&amp;"*")</f>
        <v>0</v>
      </c>
      <c r="L28" s="10">
        <f>SUMIFS('PLAN BUDGET SAMI-TF'!AU12:AU99999,'PLAN BUDGET SAMI-TF'!D12:D99999,SUMMARY!D28,'PLAN BUDGET SAMI-TF'!J12:J99999,SUMMARY!A28&amp;"*")</f>
        <v>1</v>
      </c>
      <c r="M28" s="10">
        <f>SUMIFS('PLAN BUDGET SAMI-TF'!AV12:AV99999,'PLAN BUDGET SAMI-TF'!D12:D99999,SUMMARY!D28,'PLAN BUDGET SAMI-TF'!J12:J99999,SUMMARY!A28&amp;"*")</f>
        <v>0</v>
      </c>
      <c r="N28" s="10">
        <f>SUMIFS('PLAN BUDGET SAMI-TF'!AW12:AW99999,'PLAN BUDGET SAMI-TF'!D12:D99999,SUMMARY!D28,'PLAN BUDGET SAMI-TF'!J12:J99999,SUMMARY!A28&amp;"*")</f>
        <v>1</v>
      </c>
      <c r="O28" s="10">
        <f>SUMIFS('PLAN BUDGET SAMI-TF'!AX12:AX99999,'PLAN BUDGET SAMI-TF'!D12:D99999,SUMMARY!D28,'PLAN BUDGET SAMI-TF'!J12:J99999,SUMMARY!A28&amp;"*")</f>
        <v>0</v>
      </c>
      <c r="P28" s="10">
        <f>SUMIFS('PLAN BUDGET SAMI-TF'!AY12:AY99999,'PLAN BUDGET SAMI-TF'!D12:D99999,SUMMARY!D28,'PLAN BUDGET SAMI-TF'!J12:J99999,SUMMARY!A28&amp;"*")</f>
        <v>1</v>
      </c>
      <c r="Q28" s="10">
        <f>SUMIFS('PLAN BUDGET SAMI-TF'!BC12:BC99999,'PLAN BUDGET SAMI-TF'!D12:D99999,SUMMARY!D28,'PLAN BUDGET SAMI-TF'!J12:J99999,SUMMARY!A28&amp;"*")</f>
        <v>0</v>
      </c>
      <c r="R28" s="10">
        <f>SUMIFS('PLAN BUDGET SAMI-TF'!BD12:BD99999,'PLAN BUDGET SAMI-TF'!D12:D99999,SUMMARY!D28,'PLAN BUDGET SAMI-TF'!J12:J99999,SUMMARY!A28&amp;"*")</f>
        <v>0.51552985707594001</v>
      </c>
      <c r="S28" s="10">
        <f>SUMIFS('PLAN BUDGET SAMI-TF'!BE12:BE99999,'PLAN BUDGET SAMI-TF'!D12:D99999,SUMMARY!D28,'PLAN BUDGET SAMI-TF'!J12:J99999,SUMMARY!A28&amp;"*")</f>
        <v>0</v>
      </c>
      <c r="T28" s="10">
        <f>SUMIFS('PLAN BUDGET SAMI-TF'!BF12:BF99999,'PLAN BUDGET SAMI-TF'!D12:D99999,SUMMARY!D28,'PLAN BUDGET SAMI-TF'!J12:J99999,SUMMARY!A28&amp;"*")</f>
        <v>0.51552985707594001</v>
      </c>
      <c r="U28" s="10">
        <f>SUMIFS('PLAN BUDGET SAMI-TF'!BG12:BG99999,'PLAN BUDGET SAMI-TF'!D12:D99999,SUMMARY!D28,'PLAN BUDGET SAMI-TF'!J12:J99999,SUMMARY!A28&amp;"*")</f>
        <v>0</v>
      </c>
      <c r="V28" s="10">
        <f>SUMIFS('PLAN BUDGET SAMI-TF'!BH12:BH99999,'PLAN BUDGET SAMI-TF'!D12:D99999,SUMMARY!D28,'PLAN BUDGET SAMI-TF'!J12:J99999,SUMMARY!A28&amp;"*")</f>
        <v>0.51552985707594001</v>
      </c>
      <c r="W28" s="10">
        <f>SUMIFS('PLAN BUDGET SAMI-TF'!BI12:BI99999,'PLAN BUDGET SAMI-TF'!D12:D99999,SUMMARY!D28,'PLAN BUDGET SAMI-TF'!J12:J99999,SUMMARY!A28&amp;"*")</f>
        <v>0</v>
      </c>
      <c r="X28" s="10">
        <f>SUMIFS('PLAN BUDGET SAMI-TF'!BJ12:BJ99999,'PLAN BUDGET SAMI-TF'!D12:D99999,SUMMARY!D28,'PLAN BUDGET SAMI-TF'!J12:J99999,SUMMARY!A28&amp;"*")</f>
        <v>0.51552985707594001</v>
      </c>
      <c r="Y28" s="10">
        <f>SUMIFS('PLAN BUDGET SAMI-TF'!BK12:BK99999,'PLAN BUDGET SAMI-TF'!D12:D99999,SUMMARY!D28,'PLAN BUDGET SAMI-TF'!J12:J99999,SUMMARY!A28&amp;"*")</f>
        <v>0</v>
      </c>
      <c r="Z28" s="10">
        <f>SUMIFS('PLAN BUDGET SAMI-TF'!BL12:BL99999,'PLAN BUDGET SAMI-TF'!D12:D99999,SUMMARY!D28,'PLAN BUDGET SAMI-TF'!J12:J99999,SUMMARY!A28&amp;"*")</f>
        <v>0.51552985707594001</v>
      </c>
      <c r="AA28" s="10">
        <f>SUMIFS('PLAN BUDGET SAMI-TF'!BM12:BM99999,'PLAN BUDGET SAMI-TF'!D12:D99999,SUMMARY!D28,'PLAN BUDGET SAMI-TF'!J12:J99999,SUMMARY!A28&amp;"*")</f>
        <v>0</v>
      </c>
      <c r="AB28" s="10">
        <f>SUMIFS('PLAN BUDGET SAMI-TF'!BN12:BN99999,'PLAN BUDGET SAMI-TF'!D12:D99999,SUMMARY!D28,'PLAN BUDGET SAMI-TF'!J12:J99999,SUMMARY!A28&amp;"*")</f>
        <v>0.51552985707594001</v>
      </c>
      <c r="AC28" s="10">
        <f t="shared" si="0"/>
        <v>6</v>
      </c>
      <c r="AD28" s="10">
        <f t="shared" si="1"/>
        <v>3.0931791424556399</v>
      </c>
      <c r="AE28" s="16"/>
      <c r="AF28" s="10">
        <v>6</v>
      </c>
      <c r="AG28" s="10">
        <v>2.9140556758193998</v>
      </c>
      <c r="AH28" s="20">
        <f t="shared" si="2"/>
        <v>0</v>
      </c>
      <c r="AI28" s="20">
        <f t="shared" si="3"/>
        <v>6.1468786654487136E-2</v>
      </c>
      <c r="AJ28" s="7" t="s">
        <v>849</v>
      </c>
    </row>
    <row r="29" spans="1:36" x14ac:dyDescent="0.35">
      <c r="A29" s="7" t="s">
        <v>48</v>
      </c>
      <c r="B29" s="7"/>
      <c r="C29" s="7"/>
      <c r="D29" s="7" t="s">
        <v>341</v>
      </c>
      <c r="E29" s="10">
        <f>SUMIFS('PLAN BUDGET SAMI-TF'!AN12:AN99999,'PLAN BUDGET SAMI-TF'!D12:D99999,SUMMARY!D29,'PLAN BUDGET SAMI-TF'!J12:J99999,SUMMARY!A29&amp;"*")</f>
        <v>0</v>
      </c>
      <c r="F29" s="10">
        <f>SUMIFS('PLAN BUDGET SAMI-TF'!AO12:AO99999,'PLAN BUDGET SAMI-TF'!D12:D99999,SUMMARY!D29,'PLAN BUDGET SAMI-TF'!J12:J99999,SUMMARY!A29&amp;"*")</f>
        <v>0</v>
      </c>
      <c r="G29" s="10">
        <f>SUMIFS('PLAN BUDGET SAMI-TF'!AP12:AP99999,'PLAN BUDGET SAMI-TF'!D12:D99999,SUMMARY!D29,'PLAN BUDGET SAMI-TF'!J12:J99999,SUMMARY!A29&amp;"*")</f>
        <v>0</v>
      </c>
      <c r="H29" s="10">
        <f>SUMIFS('PLAN BUDGET SAMI-TF'!AQ12:AQ99999,'PLAN BUDGET SAMI-TF'!D12:D99999,SUMMARY!D29,'PLAN BUDGET SAMI-TF'!J12:J99999,SUMMARY!A29&amp;"*")</f>
        <v>0</v>
      </c>
      <c r="I29" s="10">
        <f>SUMIFS('PLAN BUDGET SAMI-TF'!AR12:AR99999,'PLAN BUDGET SAMI-TF'!D12:D99999,SUMMARY!D29,'PLAN BUDGET SAMI-TF'!J12:J99999,SUMMARY!A29&amp;"*")</f>
        <v>0</v>
      </c>
      <c r="J29" s="10">
        <f>SUMIFS('PLAN BUDGET SAMI-TF'!AS12:AS99999,'PLAN BUDGET SAMI-TF'!D12:D99999,SUMMARY!D29,'PLAN BUDGET SAMI-TF'!J12:J99999,SUMMARY!A29&amp;"*")</f>
        <v>0</v>
      </c>
      <c r="K29" s="10">
        <f>SUMIFS('PLAN BUDGET SAMI-TF'!AT12:AT99999,'PLAN BUDGET SAMI-TF'!D12:D99999,SUMMARY!D29,'PLAN BUDGET SAMI-TF'!J12:J99999,SUMMARY!A29&amp;"*")</f>
        <v>0</v>
      </c>
      <c r="L29" s="10">
        <f>SUMIFS('PLAN BUDGET SAMI-TF'!AU12:AU99999,'PLAN BUDGET SAMI-TF'!D12:D99999,SUMMARY!D29,'PLAN BUDGET SAMI-TF'!J12:J99999,SUMMARY!A29&amp;"*")</f>
        <v>0</v>
      </c>
      <c r="M29" s="10">
        <f>SUMIFS('PLAN BUDGET SAMI-TF'!AV12:AV99999,'PLAN BUDGET SAMI-TF'!D12:D99999,SUMMARY!D29,'PLAN BUDGET SAMI-TF'!J12:J99999,SUMMARY!A29&amp;"*")</f>
        <v>5</v>
      </c>
      <c r="N29" s="10">
        <f>SUMIFS('PLAN BUDGET SAMI-TF'!AW12:AW99999,'PLAN BUDGET SAMI-TF'!D12:D99999,SUMMARY!D29,'PLAN BUDGET SAMI-TF'!J12:J99999,SUMMARY!A29&amp;"*")</f>
        <v>0</v>
      </c>
      <c r="O29" s="10">
        <f>SUMIFS('PLAN BUDGET SAMI-TF'!AX12:AX99999,'PLAN BUDGET SAMI-TF'!D12:D99999,SUMMARY!D29,'PLAN BUDGET SAMI-TF'!J12:J99999,SUMMARY!A29&amp;"*")</f>
        <v>0</v>
      </c>
      <c r="P29" s="10">
        <f>SUMIFS('PLAN BUDGET SAMI-TF'!AY12:AY99999,'PLAN BUDGET SAMI-TF'!D12:D99999,SUMMARY!D29,'PLAN BUDGET SAMI-TF'!J12:J99999,SUMMARY!A29&amp;"*")</f>
        <v>0</v>
      </c>
      <c r="Q29" s="10">
        <f>SUMIFS('PLAN BUDGET SAMI-TF'!BC12:BC99999,'PLAN BUDGET SAMI-TF'!D12:D99999,SUMMARY!D29,'PLAN BUDGET SAMI-TF'!J12:J99999,SUMMARY!A29&amp;"*")</f>
        <v>0</v>
      </c>
      <c r="R29" s="10">
        <f>SUMIFS('PLAN BUDGET SAMI-TF'!BD12:BD99999,'PLAN BUDGET SAMI-TF'!D12:D99999,SUMMARY!D29,'PLAN BUDGET SAMI-TF'!J12:J99999,SUMMARY!A29&amp;"*")</f>
        <v>0</v>
      </c>
      <c r="S29" s="10">
        <f>SUMIFS('PLAN BUDGET SAMI-TF'!BE12:BE99999,'PLAN BUDGET SAMI-TF'!D12:D99999,SUMMARY!D29,'PLAN BUDGET SAMI-TF'!J12:J99999,SUMMARY!A29&amp;"*")</f>
        <v>0</v>
      </c>
      <c r="T29" s="10">
        <f>SUMIFS('PLAN BUDGET SAMI-TF'!BF12:BF99999,'PLAN BUDGET SAMI-TF'!D12:D99999,SUMMARY!D29,'PLAN BUDGET SAMI-TF'!J12:J99999,SUMMARY!A29&amp;"*")</f>
        <v>0</v>
      </c>
      <c r="U29" s="10">
        <f>SUMIFS('PLAN BUDGET SAMI-TF'!BG12:BG99999,'PLAN BUDGET SAMI-TF'!D12:D99999,SUMMARY!D29,'PLAN BUDGET SAMI-TF'!J12:J99999,SUMMARY!A29&amp;"*")</f>
        <v>0</v>
      </c>
      <c r="V29" s="10">
        <f>SUMIFS('PLAN BUDGET SAMI-TF'!BH12:BH99999,'PLAN BUDGET SAMI-TF'!D12:D99999,SUMMARY!D29,'PLAN BUDGET SAMI-TF'!J12:J99999,SUMMARY!A29&amp;"*")</f>
        <v>0</v>
      </c>
      <c r="W29" s="10">
        <f>SUMIFS('PLAN BUDGET SAMI-TF'!BI12:BI99999,'PLAN BUDGET SAMI-TF'!D12:D99999,SUMMARY!D29,'PLAN BUDGET SAMI-TF'!J12:J99999,SUMMARY!A29&amp;"*")</f>
        <v>0</v>
      </c>
      <c r="X29" s="10">
        <f>SUMIFS('PLAN BUDGET SAMI-TF'!BJ12:BJ99999,'PLAN BUDGET SAMI-TF'!D12:D99999,SUMMARY!D29,'PLAN BUDGET SAMI-TF'!J12:J99999,SUMMARY!A29&amp;"*")</f>
        <v>0</v>
      </c>
      <c r="Y29" s="10">
        <f>SUMIFS('PLAN BUDGET SAMI-TF'!BK12:BK99999,'PLAN BUDGET SAMI-TF'!D12:D99999,SUMMARY!D29,'PLAN BUDGET SAMI-TF'!J12:J99999,SUMMARY!A29&amp;"*")</f>
        <v>147.16493866544999</v>
      </c>
      <c r="Z29" s="10">
        <f>SUMIFS('PLAN BUDGET SAMI-TF'!BL12:BL99999,'PLAN BUDGET SAMI-TF'!D12:D99999,SUMMARY!D29,'PLAN BUDGET SAMI-TF'!J12:J99999,SUMMARY!A29&amp;"*")</f>
        <v>0</v>
      </c>
      <c r="AA29" s="10">
        <f>SUMIFS('PLAN BUDGET SAMI-TF'!BM12:BM99999,'PLAN BUDGET SAMI-TF'!D12:D99999,SUMMARY!D29,'PLAN BUDGET SAMI-TF'!J12:J99999,SUMMARY!A29&amp;"*")</f>
        <v>0</v>
      </c>
      <c r="AB29" s="10">
        <f>SUMIFS('PLAN BUDGET SAMI-TF'!BN12:BN99999,'PLAN BUDGET SAMI-TF'!D12:D99999,SUMMARY!D29,'PLAN BUDGET SAMI-TF'!J12:J99999,SUMMARY!A29&amp;"*")</f>
        <v>0</v>
      </c>
      <c r="AC29" s="10">
        <f t="shared" si="0"/>
        <v>5</v>
      </c>
      <c r="AD29" s="10">
        <f t="shared" si="1"/>
        <v>147.16493866544999</v>
      </c>
      <c r="AE29" s="16"/>
      <c r="AF29" s="10">
        <v>5</v>
      </c>
      <c r="AG29" s="10">
        <v>120.02962287798</v>
      </c>
      <c r="AH29" s="20">
        <f t="shared" si="2"/>
        <v>0</v>
      </c>
      <c r="AI29" s="20">
        <f t="shared" si="3"/>
        <v>0.22607182407842166</v>
      </c>
      <c r="AJ29" s="7" t="s">
        <v>849</v>
      </c>
    </row>
    <row r="30" spans="1:36" x14ac:dyDescent="0.35">
      <c r="A30" s="7" t="s">
        <v>48</v>
      </c>
      <c r="B30" s="7"/>
      <c r="C30" s="7"/>
      <c r="D30" s="7" t="s">
        <v>371</v>
      </c>
      <c r="E30" s="10">
        <f>SUMIFS('PLAN BUDGET SAMI-TF'!AN12:AN99999,'PLAN BUDGET SAMI-TF'!D12:D99999,SUMMARY!D30,'PLAN BUDGET SAMI-TF'!J12:J99999,SUMMARY!A30&amp;"*")</f>
        <v>0</v>
      </c>
      <c r="F30" s="10">
        <f>SUMIFS('PLAN BUDGET SAMI-TF'!AO12:AO99999,'PLAN BUDGET SAMI-TF'!D12:D99999,SUMMARY!D30,'PLAN BUDGET SAMI-TF'!J12:J99999,SUMMARY!A30&amp;"*")</f>
        <v>0</v>
      </c>
      <c r="G30" s="10">
        <f>SUMIFS('PLAN BUDGET SAMI-TF'!AP12:AP99999,'PLAN BUDGET SAMI-TF'!D12:D99999,SUMMARY!D30,'PLAN BUDGET SAMI-TF'!J12:J99999,SUMMARY!A30&amp;"*")</f>
        <v>0</v>
      </c>
      <c r="H30" s="10">
        <f>SUMIFS('PLAN BUDGET SAMI-TF'!AQ12:AQ99999,'PLAN BUDGET SAMI-TF'!D12:D99999,SUMMARY!D30,'PLAN BUDGET SAMI-TF'!J12:J99999,SUMMARY!A30&amp;"*")</f>
        <v>0</v>
      </c>
      <c r="I30" s="10">
        <f>SUMIFS('PLAN BUDGET SAMI-TF'!AR12:AR99999,'PLAN BUDGET SAMI-TF'!D12:D99999,SUMMARY!D30,'PLAN BUDGET SAMI-TF'!J12:J99999,SUMMARY!A30&amp;"*")</f>
        <v>12</v>
      </c>
      <c r="J30" s="10">
        <f>SUMIFS('PLAN BUDGET SAMI-TF'!AS12:AS99999,'PLAN BUDGET SAMI-TF'!D12:D99999,SUMMARY!D30,'PLAN BUDGET SAMI-TF'!J12:J99999,SUMMARY!A30&amp;"*")</f>
        <v>0</v>
      </c>
      <c r="K30" s="10">
        <f>SUMIFS('PLAN BUDGET SAMI-TF'!AT12:AT99999,'PLAN BUDGET SAMI-TF'!D12:D99999,SUMMARY!D30,'PLAN BUDGET SAMI-TF'!J12:J99999,SUMMARY!A30&amp;"*")</f>
        <v>0</v>
      </c>
      <c r="L30" s="10">
        <f>SUMIFS('PLAN BUDGET SAMI-TF'!AU12:AU99999,'PLAN BUDGET SAMI-TF'!D12:D99999,SUMMARY!D30,'PLAN BUDGET SAMI-TF'!J12:J99999,SUMMARY!A30&amp;"*")</f>
        <v>0</v>
      </c>
      <c r="M30" s="10">
        <f>SUMIFS('PLAN BUDGET SAMI-TF'!AV12:AV99999,'PLAN BUDGET SAMI-TF'!D12:D99999,SUMMARY!D30,'PLAN BUDGET SAMI-TF'!J12:J99999,SUMMARY!A30&amp;"*")</f>
        <v>0</v>
      </c>
      <c r="N30" s="10">
        <f>SUMIFS('PLAN BUDGET SAMI-TF'!AW12:AW99999,'PLAN BUDGET SAMI-TF'!D12:D99999,SUMMARY!D30,'PLAN BUDGET SAMI-TF'!J12:J99999,SUMMARY!A30&amp;"*")</f>
        <v>0</v>
      </c>
      <c r="O30" s="10">
        <f>SUMIFS('PLAN BUDGET SAMI-TF'!AX12:AX99999,'PLAN BUDGET SAMI-TF'!D12:D99999,SUMMARY!D30,'PLAN BUDGET SAMI-TF'!J12:J99999,SUMMARY!A30&amp;"*")</f>
        <v>0</v>
      </c>
      <c r="P30" s="10">
        <f>SUMIFS('PLAN BUDGET SAMI-TF'!AY12:AY99999,'PLAN BUDGET SAMI-TF'!D12:D99999,SUMMARY!D30,'PLAN BUDGET SAMI-TF'!J12:J99999,SUMMARY!A30&amp;"*")</f>
        <v>0</v>
      </c>
      <c r="Q30" s="10">
        <f>SUMIFS('PLAN BUDGET SAMI-TF'!BC12:BC99999,'PLAN BUDGET SAMI-TF'!D12:D99999,SUMMARY!D30,'PLAN BUDGET SAMI-TF'!J12:J99999,SUMMARY!A30&amp;"*")</f>
        <v>0</v>
      </c>
      <c r="R30" s="10">
        <f>SUMIFS('PLAN BUDGET SAMI-TF'!BD12:BD99999,'PLAN BUDGET SAMI-TF'!D12:D99999,SUMMARY!D30,'PLAN BUDGET SAMI-TF'!J12:J99999,SUMMARY!A30&amp;"*")</f>
        <v>0</v>
      </c>
      <c r="S30" s="10">
        <f>SUMIFS('PLAN BUDGET SAMI-TF'!BE12:BE99999,'PLAN BUDGET SAMI-TF'!D12:D99999,SUMMARY!D30,'PLAN BUDGET SAMI-TF'!J12:J99999,SUMMARY!A30&amp;"*")</f>
        <v>0</v>
      </c>
      <c r="T30" s="10">
        <f>SUMIFS('PLAN BUDGET SAMI-TF'!BF12:BF99999,'PLAN BUDGET SAMI-TF'!D12:D99999,SUMMARY!D30,'PLAN BUDGET SAMI-TF'!J12:J99999,SUMMARY!A30&amp;"*")</f>
        <v>0</v>
      </c>
      <c r="U30" s="10">
        <f>SUMIFS('PLAN BUDGET SAMI-TF'!BG12:BG99999,'PLAN BUDGET SAMI-TF'!D12:D99999,SUMMARY!D30,'PLAN BUDGET SAMI-TF'!J12:J99999,SUMMARY!A30&amp;"*")</f>
        <v>227.86829212715</v>
      </c>
      <c r="V30" s="10">
        <f>SUMIFS('PLAN BUDGET SAMI-TF'!BH12:BH99999,'PLAN BUDGET SAMI-TF'!D12:D99999,SUMMARY!D30,'PLAN BUDGET SAMI-TF'!J12:J99999,SUMMARY!A30&amp;"*")</f>
        <v>0</v>
      </c>
      <c r="W30" s="10">
        <f>SUMIFS('PLAN BUDGET SAMI-TF'!BI12:BI99999,'PLAN BUDGET SAMI-TF'!D12:D99999,SUMMARY!D30,'PLAN BUDGET SAMI-TF'!J12:J99999,SUMMARY!A30&amp;"*")</f>
        <v>0</v>
      </c>
      <c r="X30" s="10">
        <f>SUMIFS('PLAN BUDGET SAMI-TF'!BJ12:BJ99999,'PLAN BUDGET SAMI-TF'!D12:D99999,SUMMARY!D30,'PLAN BUDGET SAMI-TF'!J12:J99999,SUMMARY!A30&amp;"*")</f>
        <v>0</v>
      </c>
      <c r="Y30" s="10">
        <f>SUMIFS('PLAN BUDGET SAMI-TF'!BK12:BK99999,'PLAN BUDGET SAMI-TF'!D12:D99999,SUMMARY!D30,'PLAN BUDGET SAMI-TF'!J12:J99999,SUMMARY!A30&amp;"*")</f>
        <v>0</v>
      </c>
      <c r="Z30" s="10">
        <f>SUMIFS('PLAN BUDGET SAMI-TF'!BL12:BL99999,'PLAN BUDGET SAMI-TF'!D12:D99999,SUMMARY!D30,'PLAN BUDGET SAMI-TF'!J12:J99999,SUMMARY!A30&amp;"*")</f>
        <v>0</v>
      </c>
      <c r="AA30" s="10">
        <f>SUMIFS('PLAN BUDGET SAMI-TF'!BM12:BM99999,'PLAN BUDGET SAMI-TF'!D12:D99999,SUMMARY!D30,'PLAN BUDGET SAMI-TF'!J12:J99999,SUMMARY!A30&amp;"*")</f>
        <v>0</v>
      </c>
      <c r="AB30" s="10">
        <f>SUMIFS('PLAN BUDGET SAMI-TF'!BN12:BN99999,'PLAN BUDGET SAMI-TF'!D12:D99999,SUMMARY!D30,'PLAN BUDGET SAMI-TF'!J12:J99999,SUMMARY!A30&amp;"*")</f>
        <v>0</v>
      </c>
      <c r="AC30" s="10">
        <f t="shared" si="0"/>
        <v>12</v>
      </c>
      <c r="AD30" s="10">
        <f t="shared" si="1"/>
        <v>227.86829212715</v>
      </c>
      <c r="AE30" s="16"/>
      <c r="AF30" s="10">
        <v>12</v>
      </c>
      <c r="AG30" s="10">
        <v>142.05298013244999</v>
      </c>
      <c r="AH30" s="20">
        <f t="shared" si="2"/>
        <v>0</v>
      </c>
      <c r="AI30" s="20">
        <f t="shared" si="3"/>
        <v>0.60410779073192222</v>
      </c>
      <c r="AJ30" s="7" t="s">
        <v>849</v>
      </c>
    </row>
    <row r="31" spans="1:36" x14ac:dyDescent="0.35">
      <c r="A31" s="7" t="s">
        <v>48</v>
      </c>
      <c r="B31" s="7"/>
      <c r="C31" s="7"/>
      <c r="D31" s="7" t="s">
        <v>91</v>
      </c>
      <c r="E31" s="10">
        <f>SUMIFS('PLAN BUDGET SAMI-TF'!AN12:AN99999,'PLAN BUDGET SAMI-TF'!D12:D99999,SUMMARY!D31,'PLAN BUDGET SAMI-TF'!J12:J99999,SUMMARY!A31&amp;"*")</f>
        <v>0</v>
      </c>
      <c r="F31" s="10">
        <f>SUMIFS('PLAN BUDGET SAMI-TF'!AO12:AO99999,'PLAN BUDGET SAMI-TF'!D12:D99999,SUMMARY!D31,'PLAN BUDGET SAMI-TF'!J12:J99999,SUMMARY!A31&amp;"*")</f>
        <v>0</v>
      </c>
      <c r="G31" s="10">
        <f>SUMIFS('PLAN BUDGET SAMI-TF'!AP12:AP99999,'PLAN BUDGET SAMI-TF'!D12:D99999,SUMMARY!D31,'PLAN BUDGET SAMI-TF'!J12:J99999,SUMMARY!A31&amp;"*")</f>
        <v>2</v>
      </c>
      <c r="H31" s="10">
        <f>SUMIFS('PLAN BUDGET SAMI-TF'!AQ12:AQ99999,'PLAN BUDGET SAMI-TF'!D12:D99999,SUMMARY!D31,'PLAN BUDGET SAMI-TF'!J12:J99999,SUMMARY!A31&amp;"*")</f>
        <v>0</v>
      </c>
      <c r="I31" s="10">
        <f>SUMIFS('PLAN BUDGET SAMI-TF'!AR12:AR99999,'PLAN BUDGET SAMI-TF'!D12:D99999,SUMMARY!D31,'PLAN BUDGET SAMI-TF'!J12:J99999,SUMMARY!A31&amp;"*")</f>
        <v>0</v>
      </c>
      <c r="J31" s="10">
        <f>SUMIFS('PLAN BUDGET SAMI-TF'!AS12:AS99999,'PLAN BUDGET SAMI-TF'!D12:D99999,SUMMARY!D31,'PLAN BUDGET SAMI-TF'!J12:J99999,SUMMARY!A31&amp;"*")</f>
        <v>0</v>
      </c>
      <c r="K31" s="10">
        <f>SUMIFS('PLAN BUDGET SAMI-TF'!AT12:AT99999,'PLAN BUDGET SAMI-TF'!D12:D99999,SUMMARY!D31,'PLAN BUDGET SAMI-TF'!J12:J99999,SUMMARY!A31&amp;"*")</f>
        <v>0</v>
      </c>
      <c r="L31" s="10">
        <f>SUMIFS('PLAN BUDGET SAMI-TF'!AU12:AU99999,'PLAN BUDGET SAMI-TF'!D12:D99999,SUMMARY!D31,'PLAN BUDGET SAMI-TF'!J12:J99999,SUMMARY!A31&amp;"*")</f>
        <v>0</v>
      </c>
      <c r="M31" s="10">
        <f>SUMIFS('PLAN BUDGET SAMI-TF'!AV12:AV99999,'PLAN BUDGET SAMI-TF'!D12:D99999,SUMMARY!D31,'PLAN BUDGET SAMI-TF'!J12:J99999,SUMMARY!A31&amp;"*")</f>
        <v>0</v>
      </c>
      <c r="N31" s="10">
        <f>SUMIFS('PLAN BUDGET SAMI-TF'!AW12:AW99999,'PLAN BUDGET SAMI-TF'!D12:D99999,SUMMARY!D31,'PLAN BUDGET SAMI-TF'!J12:J99999,SUMMARY!A31&amp;"*")</f>
        <v>0</v>
      </c>
      <c r="O31" s="10">
        <f>SUMIFS('PLAN BUDGET SAMI-TF'!AX12:AX99999,'PLAN BUDGET SAMI-TF'!D12:D99999,SUMMARY!D31,'PLAN BUDGET SAMI-TF'!J12:J99999,SUMMARY!A31&amp;"*")</f>
        <v>0</v>
      </c>
      <c r="P31" s="10">
        <f>SUMIFS('PLAN BUDGET SAMI-TF'!AY12:AY99999,'PLAN BUDGET SAMI-TF'!D12:D99999,SUMMARY!D31,'PLAN BUDGET SAMI-TF'!J12:J99999,SUMMARY!A31&amp;"*")</f>
        <v>0</v>
      </c>
      <c r="Q31" s="10">
        <f>SUMIFS('PLAN BUDGET SAMI-TF'!BC12:BC99999,'PLAN BUDGET SAMI-TF'!D12:D99999,SUMMARY!D31,'PLAN BUDGET SAMI-TF'!J12:J99999,SUMMARY!A31&amp;"*")</f>
        <v>0</v>
      </c>
      <c r="R31" s="10">
        <f>SUMIFS('PLAN BUDGET SAMI-TF'!BD12:BD99999,'PLAN BUDGET SAMI-TF'!D12:D99999,SUMMARY!D31,'PLAN BUDGET SAMI-TF'!J12:J99999,SUMMARY!A31&amp;"*")</f>
        <v>0</v>
      </c>
      <c r="S31" s="10">
        <f>SUMIFS('PLAN BUDGET SAMI-TF'!BE12:BE99999,'PLAN BUDGET SAMI-TF'!D12:D99999,SUMMARY!D31,'PLAN BUDGET SAMI-TF'!J12:J99999,SUMMARY!A31&amp;"*")</f>
        <v>64.879166508425001</v>
      </c>
      <c r="T31" s="10">
        <f>SUMIFS('PLAN BUDGET SAMI-TF'!BF12:BF99999,'PLAN BUDGET SAMI-TF'!D12:D99999,SUMMARY!D31,'PLAN BUDGET SAMI-TF'!J12:J99999,SUMMARY!A31&amp;"*")</f>
        <v>0</v>
      </c>
      <c r="U31" s="10">
        <f>SUMIFS('PLAN BUDGET SAMI-TF'!BG12:BG99999,'PLAN BUDGET SAMI-TF'!D12:D99999,SUMMARY!D31,'PLAN BUDGET SAMI-TF'!J12:J99999,SUMMARY!A31&amp;"*")</f>
        <v>0</v>
      </c>
      <c r="V31" s="10">
        <f>SUMIFS('PLAN BUDGET SAMI-TF'!BH12:BH99999,'PLAN BUDGET SAMI-TF'!D12:D99999,SUMMARY!D31,'PLAN BUDGET SAMI-TF'!J12:J99999,SUMMARY!A31&amp;"*")</f>
        <v>0</v>
      </c>
      <c r="W31" s="10">
        <f>SUMIFS('PLAN BUDGET SAMI-TF'!BI12:BI99999,'PLAN BUDGET SAMI-TF'!D12:D99999,SUMMARY!D31,'PLAN BUDGET SAMI-TF'!J12:J99999,SUMMARY!A31&amp;"*")</f>
        <v>0</v>
      </c>
      <c r="X31" s="10">
        <f>SUMIFS('PLAN BUDGET SAMI-TF'!BJ12:BJ99999,'PLAN BUDGET SAMI-TF'!D12:D99999,SUMMARY!D31,'PLAN BUDGET SAMI-TF'!J12:J99999,SUMMARY!A31&amp;"*")</f>
        <v>0</v>
      </c>
      <c r="Y31" s="10">
        <f>SUMIFS('PLAN BUDGET SAMI-TF'!BK12:BK99999,'PLAN BUDGET SAMI-TF'!D12:D99999,SUMMARY!D31,'PLAN BUDGET SAMI-TF'!J12:J99999,SUMMARY!A31&amp;"*")</f>
        <v>0</v>
      </c>
      <c r="Z31" s="10">
        <f>SUMIFS('PLAN BUDGET SAMI-TF'!BL12:BL99999,'PLAN BUDGET SAMI-TF'!D12:D99999,SUMMARY!D31,'PLAN BUDGET SAMI-TF'!J12:J99999,SUMMARY!A31&amp;"*")</f>
        <v>0</v>
      </c>
      <c r="AA31" s="10">
        <f>SUMIFS('PLAN BUDGET SAMI-TF'!BM12:BM99999,'PLAN BUDGET SAMI-TF'!D12:D99999,SUMMARY!D31,'PLAN BUDGET SAMI-TF'!J12:J99999,SUMMARY!A31&amp;"*")</f>
        <v>0</v>
      </c>
      <c r="AB31" s="10">
        <f>SUMIFS('PLAN BUDGET SAMI-TF'!BN12:BN99999,'PLAN BUDGET SAMI-TF'!D12:D99999,SUMMARY!D31,'PLAN BUDGET SAMI-TF'!J12:J99999,SUMMARY!A31&amp;"*")</f>
        <v>0</v>
      </c>
      <c r="AC31" s="10">
        <f t="shared" si="0"/>
        <v>2</v>
      </c>
      <c r="AD31" s="10">
        <f t="shared" si="1"/>
        <v>64.879166508425001</v>
      </c>
      <c r="AE31" s="16"/>
      <c r="AF31" s="10">
        <v>2</v>
      </c>
      <c r="AG31" s="10">
        <v>50.700694998290999</v>
      </c>
      <c r="AH31" s="20">
        <f t="shared" si="2"/>
        <v>0</v>
      </c>
      <c r="AI31" s="20">
        <f t="shared" si="3"/>
        <v>0.27965043695381148</v>
      </c>
      <c r="AJ31" s="7" t="s">
        <v>849</v>
      </c>
    </row>
    <row r="32" spans="1:36" x14ac:dyDescent="0.35">
      <c r="A32" s="7" t="s">
        <v>48</v>
      </c>
      <c r="B32" s="7"/>
      <c r="C32" s="7"/>
      <c r="D32" s="7" t="s">
        <v>337</v>
      </c>
      <c r="E32" s="10">
        <f>SUMIFS('PLAN BUDGET SAMI-TF'!AN12:AN99999,'PLAN BUDGET SAMI-TF'!D12:D99999,SUMMARY!D32,'PLAN BUDGET SAMI-TF'!J12:J99999,SUMMARY!A32&amp;"*")</f>
        <v>0</v>
      </c>
      <c r="F32" s="10">
        <f>SUMIFS('PLAN BUDGET SAMI-TF'!AO12:AO99999,'PLAN BUDGET SAMI-TF'!D12:D99999,SUMMARY!D32,'PLAN BUDGET SAMI-TF'!J12:J99999,SUMMARY!A32&amp;"*")</f>
        <v>0</v>
      </c>
      <c r="G32" s="10">
        <f>SUMIFS('PLAN BUDGET SAMI-TF'!AP12:AP99999,'PLAN BUDGET SAMI-TF'!D12:D99999,SUMMARY!D32,'PLAN BUDGET SAMI-TF'!J12:J99999,SUMMARY!A32&amp;"*")</f>
        <v>1</v>
      </c>
      <c r="H32" s="10">
        <f>SUMIFS('PLAN BUDGET SAMI-TF'!AQ12:AQ99999,'PLAN BUDGET SAMI-TF'!D12:D99999,SUMMARY!D32,'PLAN BUDGET SAMI-TF'!J12:J99999,SUMMARY!A32&amp;"*")</f>
        <v>0</v>
      </c>
      <c r="I32" s="10">
        <f>SUMIFS('PLAN BUDGET SAMI-TF'!AR12:AR99999,'PLAN BUDGET SAMI-TF'!D12:D99999,SUMMARY!D32,'PLAN BUDGET SAMI-TF'!J12:J99999,SUMMARY!A32&amp;"*")</f>
        <v>0</v>
      </c>
      <c r="J32" s="10">
        <f>SUMIFS('PLAN BUDGET SAMI-TF'!AS12:AS99999,'PLAN BUDGET SAMI-TF'!D12:D99999,SUMMARY!D32,'PLAN BUDGET SAMI-TF'!J12:J99999,SUMMARY!A32&amp;"*")</f>
        <v>1</v>
      </c>
      <c r="K32" s="10">
        <f>SUMIFS('PLAN BUDGET SAMI-TF'!AT12:AT99999,'PLAN BUDGET SAMI-TF'!D12:D99999,SUMMARY!D32,'PLAN BUDGET SAMI-TF'!J12:J99999,SUMMARY!A32&amp;"*")</f>
        <v>0</v>
      </c>
      <c r="L32" s="10">
        <f>SUMIFS('PLAN BUDGET SAMI-TF'!AU12:AU99999,'PLAN BUDGET SAMI-TF'!D12:D99999,SUMMARY!D32,'PLAN BUDGET SAMI-TF'!J12:J99999,SUMMARY!A32&amp;"*")</f>
        <v>0</v>
      </c>
      <c r="M32" s="10">
        <f>SUMIFS('PLAN BUDGET SAMI-TF'!AV12:AV99999,'PLAN BUDGET SAMI-TF'!D12:D99999,SUMMARY!D32,'PLAN BUDGET SAMI-TF'!J12:J99999,SUMMARY!A32&amp;"*")</f>
        <v>0</v>
      </c>
      <c r="N32" s="10">
        <f>SUMIFS('PLAN BUDGET SAMI-TF'!AW12:AW99999,'PLAN BUDGET SAMI-TF'!D12:D99999,SUMMARY!D32,'PLAN BUDGET SAMI-TF'!J12:J99999,SUMMARY!A32&amp;"*")</f>
        <v>0</v>
      </c>
      <c r="O32" s="10">
        <f>SUMIFS('PLAN BUDGET SAMI-TF'!AX12:AX99999,'PLAN BUDGET SAMI-TF'!D12:D99999,SUMMARY!D32,'PLAN BUDGET SAMI-TF'!J12:J99999,SUMMARY!A32&amp;"*")</f>
        <v>0</v>
      </c>
      <c r="P32" s="10">
        <f>SUMIFS('PLAN BUDGET SAMI-TF'!AY12:AY99999,'PLAN BUDGET SAMI-TF'!D12:D99999,SUMMARY!D32,'PLAN BUDGET SAMI-TF'!J12:J99999,SUMMARY!A32&amp;"*")</f>
        <v>0</v>
      </c>
      <c r="Q32" s="10">
        <f>SUMIFS('PLAN BUDGET SAMI-TF'!BC12:BC99999,'PLAN BUDGET SAMI-TF'!D12:D99999,SUMMARY!D32,'PLAN BUDGET SAMI-TF'!J12:J99999,SUMMARY!A32&amp;"*")</f>
        <v>0</v>
      </c>
      <c r="R32" s="10">
        <f>SUMIFS('PLAN BUDGET SAMI-TF'!BD12:BD99999,'PLAN BUDGET SAMI-TF'!D12:D99999,SUMMARY!D32,'PLAN BUDGET SAMI-TF'!J12:J99999,SUMMARY!A32&amp;"*")</f>
        <v>0</v>
      </c>
      <c r="S32" s="10">
        <f>SUMIFS('PLAN BUDGET SAMI-TF'!BE12:BE99999,'PLAN BUDGET SAMI-TF'!D12:D99999,SUMMARY!D32,'PLAN BUDGET SAMI-TF'!J12:J99999,SUMMARY!A32&amp;"*")</f>
        <v>0.33927056827820001</v>
      </c>
      <c r="T32" s="10">
        <f>SUMIFS('PLAN BUDGET SAMI-TF'!BF12:BF99999,'PLAN BUDGET SAMI-TF'!D12:D99999,SUMMARY!D32,'PLAN BUDGET SAMI-TF'!J12:J99999,SUMMARY!A32&amp;"*")</f>
        <v>0</v>
      </c>
      <c r="U32" s="10">
        <f>SUMIFS('PLAN BUDGET SAMI-TF'!BG12:BG99999,'PLAN BUDGET SAMI-TF'!D12:D99999,SUMMARY!D32,'PLAN BUDGET SAMI-TF'!J12:J99999,SUMMARY!A32&amp;"*")</f>
        <v>0</v>
      </c>
      <c r="V32" s="10">
        <f>SUMIFS('PLAN BUDGET SAMI-TF'!BH12:BH99999,'PLAN BUDGET SAMI-TF'!D12:D99999,SUMMARY!D32,'PLAN BUDGET SAMI-TF'!J12:J99999,SUMMARY!A32&amp;"*")</f>
        <v>0.33927056827820001</v>
      </c>
      <c r="W32" s="10">
        <f>SUMIFS('PLAN BUDGET SAMI-TF'!BI12:BI99999,'PLAN BUDGET SAMI-TF'!D12:D99999,SUMMARY!D32,'PLAN BUDGET SAMI-TF'!J12:J99999,SUMMARY!A32&amp;"*")</f>
        <v>0</v>
      </c>
      <c r="X32" s="10">
        <f>SUMIFS('PLAN BUDGET SAMI-TF'!BJ12:BJ99999,'PLAN BUDGET SAMI-TF'!D12:D99999,SUMMARY!D32,'PLAN BUDGET SAMI-TF'!J12:J99999,SUMMARY!A32&amp;"*")</f>
        <v>0</v>
      </c>
      <c r="Y32" s="10">
        <f>SUMIFS('PLAN BUDGET SAMI-TF'!BK12:BK99999,'PLAN BUDGET SAMI-TF'!D12:D99999,SUMMARY!D32,'PLAN BUDGET SAMI-TF'!J12:J99999,SUMMARY!A32&amp;"*")</f>
        <v>0</v>
      </c>
      <c r="Z32" s="10">
        <f>SUMIFS('PLAN BUDGET SAMI-TF'!BL12:BL99999,'PLAN BUDGET SAMI-TF'!D12:D99999,SUMMARY!D32,'PLAN BUDGET SAMI-TF'!J12:J99999,SUMMARY!A32&amp;"*")</f>
        <v>0</v>
      </c>
      <c r="AA32" s="10">
        <f>SUMIFS('PLAN BUDGET SAMI-TF'!BM12:BM99999,'PLAN BUDGET SAMI-TF'!D12:D99999,SUMMARY!D32,'PLAN BUDGET SAMI-TF'!J12:J99999,SUMMARY!A32&amp;"*")</f>
        <v>0</v>
      </c>
      <c r="AB32" s="10">
        <f>SUMIFS('PLAN BUDGET SAMI-TF'!BN12:BN99999,'PLAN BUDGET SAMI-TF'!D12:D99999,SUMMARY!D32,'PLAN BUDGET SAMI-TF'!J12:J99999,SUMMARY!A32&amp;"*")</f>
        <v>0</v>
      </c>
      <c r="AC32" s="10">
        <f t="shared" si="0"/>
        <v>2</v>
      </c>
      <c r="AD32" s="10">
        <f t="shared" si="1"/>
        <v>0.67854113655640003</v>
      </c>
      <c r="AE32" s="16"/>
      <c r="AF32" s="10">
        <v>2</v>
      </c>
      <c r="AG32" s="10">
        <v>0.64220880331168995</v>
      </c>
      <c r="AH32" s="20">
        <f t="shared" si="2"/>
        <v>0</v>
      </c>
      <c r="AI32" s="20">
        <f t="shared" si="3"/>
        <v>5.6574019317945298E-2</v>
      </c>
      <c r="AJ32" s="7" t="s">
        <v>849</v>
      </c>
    </row>
    <row r="33" spans="1:36" x14ac:dyDescent="0.35">
      <c r="A33" s="7" t="s">
        <v>48</v>
      </c>
      <c r="B33" s="7"/>
      <c r="C33" s="7"/>
      <c r="D33" s="7" t="s">
        <v>121</v>
      </c>
      <c r="E33" s="10">
        <f>SUMIFS('PLAN BUDGET SAMI-TF'!AN12:AN99999,'PLAN BUDGET SAMI-TF'!D12:D99999,SUMMARY!D33,'PLAN BUDGET SAMI-TF'!J12:J99999,SUMMARY!A33&amp;"*")</f>
        <v>102</v>
      </c>
      <c r="F33" s="10">
        <f>SUMIFS('PLAN BUDGET SAMI-TF'!AO12:AO99999,'PLAN BUDGET SAMI-TF'!D12:D99999,SUMMARY!D33,'PLAN BUDGET SAMI-TF'!J12:J99999,SUMMARY!A33&amp;"*")</f>
        <v>185</v>
      </c>
      <c r="G33" s="10">
        <f>SUMIFS('PLAN BUDGET SAMI-TF'!AP12:AP99999,'PLAN BUDGET SAMI-TF'!D12:D99999,SUMMARY!D33,'PLAN BUDGET SAMI-TF'!J12:J99999,SUMMARY!A33&amp;"*")</f>
        <v>2927</v>
      </c>
      <c r="H33" s="10">
        <f>SUMIFS('PLAN BUDGET SAMI-TF'!AQ12:AQ99999,'PLAN BUDGET SAMI-TF'!D12:D99999,SUMMARY!D33,'PLAN BUDGET SAMI-TF'!J12:J99999,SUMMARY!A33&amp;"*")</f>
        <v>101</v>
      </c>
      <c r="I33" s="10">
        <f>SUMIFS('PLAN BUDGET SAMI-TF'!AR12:AR99999,'PLAN BUDGET SAMI-TF'!D12:D99999,SUMMARY!D33,'PLAN BUDGET SAMI-TF'!J12:J99999,SUMMARY!A33&amp;"*")</f>
        <v>95</v>
      </c>
      <c r="J33" s="10">
        <f>SUMIFS('PLAN BUDGET SAMI-TF'!AS12:AS99999,'PLAN BUDGET SAMI-TF'!D12:D99999,SUMMARY!D33,'PLAN BUDGET SAMI-TF'!J12:J99999,SUMMARY!A33&amp;"*")</f>
        <v>95</v>
      </c>
      <c r="K33" s="10">
        <f>SUMIFS('PLAN BUDGET SAMI-TF'!AT12:AT99999,'PLAN BUDGET SAMI-TF'!D12:D99999,SUMMARY!D33,'PLAN BUDGET SAMI-TF'!J12:J99999,SUMMARY!A33&amp;"*")</f>
        <v>101</v>
      </c>
      <c r="L33" s="10">
        <f>SUMIFS('PLAN BUDGET SAMI-TF'!AU12:AU99999,'PLAN BUDGET SAMI-TF'!D12:D99999,SUMMARY!D33,'PLAN BUDGET SAMI-TF'!J12:J99999,SUMMARY!A33&amp;"*")</f>
        <v>185</v>
      </c>
      <c r="M33" s="10">
        <f>SUMIFS('PLAN BUDGET SAMI-TF'!AV12:AV99999,'PLAN BUDGET SAMI-TF'!D12:D99999,SUMMARY!D33,'PLAN BUDGET SAMI-TF'!J12:J99999,SUMMARY!A33&amp;"*")</f>
        <v>2900</v>
      </c>
      <c r="N33" s="10">
        <f>SUMIFS('PLAN BUDGET SAMI-TF'!AW12:AW99999,'PLAN BUDGET SAMI-TF'!D12:D99999,SUMMARY!D33,'PLAN BUDGET SAMI-TF'!J12:J99999,SUMMARY!A33&amp;"*")</f>
        <v>101</v>
      </c>
      <c r="O33" s="10">
        <f>SUMIFS('PLAN BUDGET SAMI-TF'!AX12:AX99999,'PLAN BUDGET SAMI-TF'!D12:D99999,SUMMARY!D33,'PLAN BUDGET SAMI-TF'!J12:J99999,SUMMARY!A33&amp;"*")</f>
        <v>182</v>
      </c>
      <c r="P33" s="10">
        <f>SUMIFS('PLAN BUDGET SAMI-TF'!AY12:AY99999,'PLAN BUDGET SAMI-TF'!D12:D99999,SUMMARY!D33,'PLAN BUDGET SAMI-TF'!J12:J99999,SUMMARY!A33&amp;"*")</f>
        <v>95</v>
      </c>
      <c r="Q33" s="10">
        <f>SUMIFS('PLAN BUDGET SAMI-TF'!BC12:BC99999,'PLAN BUDGET SAMI-TF'!D12:D99999,SUMMARY!D33,'PLAN BUDGET SAMI-TF'!J12:J99999,SUMMARY!A33&amp;"*")</f>
        <v>228.22433633360001</v>
      </c>
      <c r="R33" s="10">
        <f>SUMIFS('PLAN BUDGET SAMI-TF'!BD12:BD99999,'PLAN BUDGET SAMI-TF'!D12:D99999,SUMMARY!D33,'PLAN BUDGET SAMI-TF'!J12:J99999,SUMMARY!A33&amp;"*")</f>
        <v>366.36948843568302</v>
      </c>
      <c r="S33" s="10">
        <f>SUMIFS('PLAN BUDGET SAMI-TF'!BE12:BE99999,'PLAN BUDGET SAMI-TF'!D12:D99999,SUMMARY!D33,'PLAN BUDGET SAMI-TF'!J12:J99999,SUMMARY!A33&amp;"*")</f>
        <v>2824.688580000724</v>
      </c>
      <c r="T33" s="10">
        <f>SUMIFS('PLAN BUDGET SAMI-TF'!BF12:BF99999,'PLAN BUDGET SAMI-TF'!D12:D99999,SUMMARY!D33,'PLAN BUDGET SAMI-TF'!J12:J99999,SUMMARY!A33&amp;"*")</f>
        <v>209.235311989671</v>
      </c>
      <c r="U33" s="10">
        <f>SUMIFS('PLAN BUDGET SAMI-TF'!BG12:BG99999,'PLAN BUDGET SAMI-TF'!D12:D99999,SUMMARY!D33,'PLAN BUDGET SAMI-TF'!J12:J99999,SUMMARY!A33&amp;"*")</f>
        <v>131.380312179561</v>
      </c>
      <c r="V33" s="10">
        <f>SUMIFS('PLAN BUDGET SAMI-TF'!BH12:BH99999,'PLAN BUDGET SAMI-TF'!D12:D99999,SUMMARY!D33,'PLAN BUDGET SAMI-TF'!J12:J99999,SUMMARY!A33&amp;"*")</f>
        <v>131.380312179561</v>
      </c>
      <c r="W33" s="10">
        <f>SUMIFS('PLAN BUDGET SAMI-TF'!BI12:BI99999,'PLAN BUDGET SAMI-TF'!D12:D99999,SUMMARY!D33,'PLAN BUDGET SAMI-TF'!J12:J99999,SUMMARY!A33&amp;"*")</f>
        <v>209.235311989671</v>
      </c>
      <c r="X33" s="10">
        <f>SUMIFS('PLAN BUDGET SAMI-TF'!BJ12:BJ99999,'PLAN BUDGET SAMI-TF'!D12:D99999,SUMMARY!D33,'PLAN BUDGET SAMI-TF'!J12:J99999,SUMMARY!A33&amp;"*")</f>
        <v>366.36948843568302</v>
      </c>
      <c r="Y33" s="10">
        <f>SUMIFS('PLAN BUDGET SAMI-TF'!BK12:BK99999,'PLAN BUDGET SAMI-TF'!D12:D99999,SUMMARY!D33,'PLAN BUDGET SAMI-TF'!J12:J99999,SUMMARY!A33&amp;"*")</f>
        <v>2656.477472687418</v>
      </c>
      <c r="Z33" s="10">
        <f>SUMIFS('PLAN BUDGET SAMI-TF'!BL12:BL99999,'PLAN BUDGET SAMI-TF'!D12:D99999,SUMMARY!D33,'PLAN BUDGET SAMI-TF'!J12:J99999,SUMMARY!A33&amp;"*")</f>
        <v>209.235311989671</v>
      </c>
      <c r="AA33" s="10">
        <f>SUMIFS('PLAN BUDGET SAMI-TF'!BM12:BM99999,'PLAN BUDGET SAMI-TF'!D12:D99999,SUMMARY!D33,'PLAN BUDGET SAMI-TF'!J12:J99999,SUMMARY!A33&amp;"*")</f>
        <v>579.04656108769007</v>
      </c>
      <c r="AB33" s="10">
        <f>SUMIFS('PLAN BUDGET SAMI-TF'!BN12:BN99999,'PLAN BUDGET SAMI-TF'!D12:D99999,SUMMARY!D33,'PLAN BUDGET SAMI-TF'!J12:J99999,SUMMARY!A33&amp;"*")</f>
        <v>131.380312179561</v>
      </c>
      <c r="AC33" s="10">
        <f t="shared" si="0"/>
        <v>7069</v>
      </c>
      <c r="AD33" s="10">
        <f t="shared" si="1"/>
        <v>8043.0227994884926</v>
      </c>
      <c r="AE33" s="16"/>
      <c r="AF33" s="10">
        <v>5223</v>
      </c>
      <c r="AG33" s="10">
        <v>5977.7448634688999</v>
      </c>
      <c r="AH33" s="20">
        <f t="shared" si="2"/>
        <v>0.35343672219031208</v>
      </c>
      <c r="AI33" s="20">
        <f t="shared" si="3"/>
        <v>0.34549449385852626</v>
      </c>
      <c r="AJ33" s="7" t="s">
        <v>860</v>
      </c>
    </row>
    <row r="34" spans="1:36" x14ac:dyDescent="0.35">
      <c r="A34" s="7" t="s">
        <v>48</v>
      </c>
      <c r="B34" s="7"/>
      <c r="C34" s="7"/>
      <c r="D34" s="7" t="s">
        <v>126</v>
      </c>
      <c r="E34" s="10">
        <f>SUMIFS('PLAN BUDGET SAMI-TF'!AN12:AN99999,'PLAN BUDGET SAMI-TF'!D12:D99999,SUMMARY!D34,'PLAN BUDGET SAMI-TF'!J12:J99999,SUMMARY!A34&amp;"*")</f>
        <v>28</v>
      </c>
      <c r="F34" s="10">
        <f>SUMIFS('PLAN BUDGET SAMI-TF'!AO12:AO99999,'PLAN BUDGET SAMI-TF'!D12:D99999,SUMMARY!D34,'PLAN BUDGET SAMI-TF'!J12:J99999,SUMMARY!A34&amp;"*")</f>
        <v>20</v>
      </c>
      <c r="G34" s="10">
        <f>SUMIFS('PLAN BUDGET SAMI-TF'!AP12:AP99999,'PLAN BUDGET SAMI-TF'!D12:D99999,SUMMARY!D34,'PLAN BUDGET SAMI-TF'!J12:J99999,SUMMARY!A34&amp;"*")</f>
        <v>1</v>
      </c>
      <c r="H34" s="10">
        <f>SUMIFS('PLAN BUDGET SAMI-TF'!AQ12:AQ99999,'PLAN BUDGET SAMI-TF'!D12:D99999,SUMMARY!D34,'PLAN BUDGET SAMI-TF'!J12:J99999,SUMMARY!A34&amp;"*")</f>
        <v>15</v>
      </c>
      <c r="I34" s="10">
        <f>SUMIFS('PLAN BUDGET SAMI-TF'!AR12:AR99999,'PLAN BUDGET SAMI-TF'!D12:D99999,SUMMARY!D34,'PLAN BUDGET SAMI-TF'!J12:J99999,SUMMARY!A34&amp;"*")</f>
        <v>6</v>
      </c>
      <c r="J34" s="10">
        <f>SUMIFS('PLAN BUDGET SAMI-TF'!AS12:AS99999,'PLAN BUDGET SAMI-TF'!D12:D99999,SUMMARY!D34,'PLAN BUDGET SAMI-TF'!J12:J99999,SUMMARY!A34&amp;"*")</f>
        <v>24</v>
      </c>
      <c r="K34" s="10">
        <f>SUMIFS('PLAN BUDGET SAMI-TF'!AT12:AT99999,'PLAN BUDGET SAMI-TF'!D12:D99999,SUMMARY!D34,'PLAN BUDGET SAMI-TF'!J12:J99999,SUMMARY!A34&amp;"*")</f>
        <v>27</v>
      </c>
      <c r="L34" s="10">
        <f>SUMIFS('PLAN BUDGET SAMI-TF'!AU12:AU99999,'PLAN BUDGET SAMI-TF'!D12:D99999,SUMMARY!D34,'PLAN BUDGET SAMI-TF'!J12:J99999,SUMMARY!A34&amp;"*")</f>
        <v>5</v>
      </c>
      <c r="M34" s="10">
        <f>SUMIFS('PLAN BUDGET SAMI-TF'!AV12:AV99999,'PLAN BUDGET SAMI-TF'!D12:D99999,SUMMARY!D34,'PLAN BUDGET SAMI-TF'!J12:J99999,SUMMARY!A34&amp;"*")</f>
        <v>6</v>
      </c>
      <c r="N34" s="10">
        <f>SUMIFS('PLAN BUDGET SAMI-TF'!AW12:AW99999,'PLAN BUDGET SAMI-TF'!D12:D99999,SUMMARY!D34,'PLAN BUDGET SAMI-TF'!J12:J99999,SUMMARY!A34&amp;"*")</f>
        <v>0</v>
      </c>
      <c r="O34" s="10">
        <f>SUMIFS('PLAN BUDGET SAMI-TF'!AX12:AX99999,'PLAN BUDGET SAMI-TF'!D12:D99999,SUMMARY!D34,'PLAN BUDGET SAMI-TF'!J12:J99999,SUMMARY!A34&amp;"*")</f>
        <v>1</v>
      </c>
      <c r="P34" s="10">
        <f>SUMIFS('PLAN BUDGET SAMI-TF'!AY12:AY99999,'PLAN BUDGET SAMI-TF'!D12:D99999,SUMMARY!D34,'PLAN BUDGET SAMI-TF'!J12:J99999,SUMMARY!A34&amp;"*")</f>
        <v>0</v>
      </c>
      <c r="Q34" s="10">
        <f>SUMIFS('PLAN BUDGET SAMI-TF'!BC12:BC99999,'PLAN BUDGET SAMI-TF'!D12:D99999,SUMMARY!D34,'PLAN BUDGET SAMI-TF'!J12:J99999,SUMMARY!A34&amp;"*")</f>
        <v>1366.52711200917</v>
      </c>
      <c r="R34" s="10">
        <f>SUMIFS('PLAN BUDGET SAMI-TF'!BD12:BD99999,'PLAN BUDGET SAMI-TF'!D12:D99999,SUMMARY!D34,'PLAN BUDGET SAMI-TF'!J12:J99999,SUMMARY!A34&amp;"*")</f>
        <v>324.39583254211999</v>
      </c>
      <c r="S34" s="10">
        <f>SUMIFS('PLAN BUDGET SAMI-TF'!BE12:BE99999,'PLAN BUDGET SAMI-TF'!D12:D99999,SUMMARY!D34,'PLAN BUDGET SAMI-TF'!J12:J99999,SUMMARY!A34&amp;"*")</f>
        <v>64.879166508425001</v>
      </c>
      <c r="T34" s="10">
        <f>SUMIFS('PLAN BUDGET SAMI-TF'!BF12:BF99999,'PLAN BUDGET SAMI-TF'!D12:D99999,SUMMARY!D34,'PLAN BUDGET SAMI-TF'!J12:J99999,SUMMARY!A34&amp;"*")</f>
        <v>162.19791627106</v>
      </c>
      <c r="U34" s="10">
        <f>SUMIFS('PLAN BUDGET SAMI-TF'!BG12:BG99999,'PLAN BUDGET SAMI-TF'!D12:D99999,SUMMARY!D34,'PLAN BUDGET SAMI-TF'!J12:J99999,SUMMARY!A34&amp;"*")</f>
        <v>51.903333206740001</v>
      </c>
      <c r="V34" s="10">
        <f>SUMIFS('PLAN BUDGET SAMI-TF'!BH12:BH99999,'PLAN BUDGET SAMI-TF'!D12:D99999,SUMMARY!D34,'PLAN BUDGET SAMI-TF'!J12:J99999,SUMMARY!A34&amp;"*")</f>
        <v>324.39583254211999</v>
      </c>
      <c r="W34" s="10">
        <f>SUMIFS('PLAN BUDGET SAMI-TF'!BI12:BI99999,'PLAN BUDGET SAMI-TF'!D12:D99999,SUMMARY!D34,'PLAN BUDGET SAMI-TF'!J12:J99999,SUMMARY!A34&amp;"*")</f>
        <v>793.55813906889989</v>
      </c>
      <c r="X34" s="10">
        <f>SUMIFS('PLAN BUDGET SAMI-TF'!BJ12:BJ99999,'PLAN BUDGET SAMI-TF'!D12:D99999,SUMMARY!D34,'PLAN BUDGET SAMI-TF'!J12:J99999,SUMMARY!A34&amp;"*")</f>
        <v>0</v>
      </c>
      <c r="Y34" s="10">
        <f>SUMIFS('PLAN BUDGET SAMI-TF'!BK12:BK99999,'PLAN BUDGET SAMI-TF'!D12:D99999,SUMMARY!D34,'PLAN BUDGET SAMI-TF'!J12:J99999,SUMMARY!A34&amp;"*")</f>
        <v>0</v>
      </c>
      <c r="Z34" s="10">
        <f>SUMIFS('PLAN BUDGET SAMI-TF'!BL12:BL99999,'PLAN BUDGET SAMI-TF'!D12:D99999,SUMMARY!D34,'PLAN BUDGET SAMI-TF'!J12:J99999,SUMMARY!A34&amp;"*")</f>
        <v>0</v>
      </c>
      <c r="AA34" s="10">
        <f>SUMIFS('PLAN BUDGET SAMI-TF'!BM12:BM99999,'PLAN BUDGET SAMI-TF'!D12:D99999,SUMMARY!D34,'PLAN BUDGET SAMI-TF'!J12:J99999,SUMMARY!A34&amp;"*")</f>
        <v>162.19791627106</v>
      </c>
      <c r="AB34" s="10">
        <f>SUMIFS('PLAN BUDGET SAMI-TF'!BN12:BN99999,'PLAN BUDGET SAMI-TF'!D12:D99999,SUMMARY!D34,'PLAN BUDGET SAMI-TF'!J12:J99999,SUMMARY!A34&amp;"*")</f>
        <v>0</v>
      </c>
      <c r="AC34" s="10">
        <f t="shared" si="0"/>
        <v>133</v>
      </c>
      <c r="AD34" s="10">
        <f t="shared" si="1"/>
        <v>3250.0552484195946</v>
      </c>
      <c r="AE34" s="16"/>
      <c r="AF34" s="10">
        <v>49</v>
      </c>
      <c r="AG34" s="10">
        <v>2318.6754212357</v>
      </c>
      <c r="AH34" s="20">
        <f t="shared" si="2"/>
        <v>1.7142857142857142</v>
      </c>
      <c r="AI34" s="20">
        <f t="shared" si="3"/>
        <v>0.40168616040598343</v>
      </c>
      <c r="AJ34" s="7" t="s">
        <v>861</v>
      </c>
    </row>
    <row r="35" spans="1:36" x14ac:dyDescent="0.35">
      <c r="A35" s="7" t="s">
        <v>48</v>
      </c>
      <c r="B35" s="7"/>
      <c r="C35" s="7"/>
      <c r="D35" s="7" t="s">
        <v>112</v>
      </c>
      <c r="E35" s="10">
        <f>SUMIFS('PLAN BUDGET SAMI-TF'!AN12:AN99999,'PLAN BUDGET SAMI-TF'!D12:D99999,SUMMARY!D35,'PLAN BUDGET SAMI-TF'!J12:J99999,SUMMARY!A35&amp;"*")</f>
        <v>0</v>
      </c>
      <c r="F35" s="10">
        <f>SUMIFS('PLAN BUDGET SAMI-TF'!AO12:AO99999,'PLAN BUDGET SAMI-TF'!D12:D99999,SUMMARY!D35,'PLAN BUDGET SAMI-TF'!J12:J99999,SUMMARY!A35&amp;"*")</f>
        <v>0</v>
      </c>
      <c r="G35" s="10">
        <f>SUMIFS('PLAN BUDGET SAMI-TF'!AP12:AP99999,'PLAN BUDGET SAMI-TF'!D12:D99999,SUMMARY!D35,'PLAN BUDGET SAMI-TF'!J12:J99999,SUMMARY!A35&amp;"*")</f>
        <v>2</v>
      </c>
      <c r="H35" s="10">
        <f>SUMIFS('PLAN BUDGET SAMI-TF'!AQ12:AQ99999,'PLAN BUDGET SAMI-TF'!D12:D99999,SUMMARY!D35,'PLAN BUDGET SAMI-TF'!J12:J99999,SUMMARY!A35&amp;"*")</f>
        <v>1</v>
      </c>
      <c r="I35" s="10">
        <f>SUMIFS('PLAN BUDGET SAMI-TF'!AR12:AR99999,'PLAN BUDGET SAMI-TF'!D12:D99999,SUMMARY!D35,'PLAN BUDGET SAMI-TF'!J12:J99999,SUMMARY!A35&amp;"*")</f>
        <v>0</v>
      </c>
      <c r="J35" s="10">
        <f>SUMIFS('PLAN BUDGET SAMI-TF'!AS12:AS99999,'PLAN BUDGET SAMI-TF'!D12:D99999,SUMMARY!D35,'PLAN BUDGET SAMI-TF'!J12:J99999,SUMMARY!A35&amp;"*")</f>
        <v>0</v>
      </c>
      <c r="K35" s="10">
        <f>SUMIFS('PLAN BUDGET SAMI-TF'!AT12:AT99999,'PLAN BUDGET SAMI-TF'!D12:D99999,SUMMARY!D35,'PLAN BUDGET SAMI-TF'!J12:J99999,SUMMARY!A35&amp;"*")</f>
        <v>0</v>
      </c>
      <c r="L35" s="10">
        <f>SUMIFS('PLAN BUDGET SAMI-TF'!AU12:AU99999,'PLAN BUDGET SAMI-TF'!D12:D99999,SUMMARY!D35,'PLAN BUDGET SAMI-TF'!J12:J99999,SUMMARY!A35&amp;"*")</f>
        <v>0</v>
      </c>
      <c r="M35" s="10">
        <f>SUMIFS('PLAN BUDGET SAMI-TF'!AV12:AV99999,'PLAN BUDGET SAMI-TF'!D12:D99999,SUMMARY!D35,'PLAN BUDGET SAMI-TF'!J12:J99999,SUMMARY!A35&amp;"*")</f>
        <v>0</v>
      </c>
      <c r="N35" s="10">
        <f>SUMIFS('PLAN BUDGET SAMI-TF'!AW12:AW99999,'PLAN BUDGET SAMI-TF'!D12:D99999,SUMMARY!D35,'PLAN BUDGET SAMI-TF'!J12:J99999,SUMMARY!A35&amp;"*")</f>
        <v>1</v>
      </c>
      <c r="O35" s="10">
        <f>SUMIFS('PLAN BUDGET SAMI-TF'!AX12:AX99999,'PLAN BUDGET SAMI-TF'!D12:D99999,SUMMARY!D35,'PLAN BUDGET SAMI-TF'!J12:J99999,SUMMARY!A35&amp;"*")</f>
        <v>0</v>
      </c>
      <c r="P35" s="10">
        <f>SUMIFS('PLAN BUDGET SAMI-TF'!AY12:AY99999,'PLAN BUDGET SAMI-TF'!D12:D99999,SUMMARY!D35,'PLAN BUDGET SAMI-TF'!J12:J99999,SUMMARY!A35&amp;"*")</f>
        <v>0</v>
      </c>
      <c r="Q35" s="10">
        <f>SUMIFS('PLAN BUDGET SAMI-TF'!BC12:BC99999,'PLAN BUDGET SAMI-TF'!D12:D99999,SUMMARY!D35,'PLAN BUDGET SAMI-TF'!J12:J99999,SUMMARY!A35&amp;"*")</f>
        <v>0</v>
      </c>
      <c r="R35" s="10">
        <f>SUMIFS('PLAN BUDGET SAMI-TF'!BD12:BD99999,'PLAN BUDGET SAMI-TF'!D12:D99999,SUMMARY!D35,'PLAN BUDGET SAMI-TF'!J12:J99999,SUMMARY!A35&amp;"*")</f>
        <v>0</v>
      </c>
      <c r="S35" s="10">
        <f>SUMIFS('PLAN BUDGET SAMI-TF'!BE12:BE99999,'PLAN BUDGET SAMI-TF'!D12:D99999,SUMMARY!D35,'PLAN BUDGET SAMI-TF'!J12:J99999,SUMMARY!A35&amp;"*")</f>
        <v>25.318699125237998</v>
      </c>
      <c r="T35" s="10">
        <f>SUMIFS('PLAN BUDGET SAMI-TF'!BF12:BF99999,'PLAN BUDGET SAMI-TF'!D12:D99999,SUMMARY!D35,'PLAN BUDGET SAMI-TF'!J12:J99999,SUMMARY!A35&amp;"*")</f>
        <v>12.659349562618999</v>
      </c>
      <c r="U35" s="10">
        <f>SUMIFS('PLAN BUDGET SAMI-TF'!BG12:BG99999,'PLAN BUDGET SAMI-TF'!D12:D99999,SUMMARY!D35,'PLAN BUDGET SAMI-TF'!J12:J99999,SUMMARY!A35&amp;"*")</f>
        <v>0</v>
      </c>
      <c r="V35" s="10">
        <f>SUMIFS('PLAN BUDGET SAMI-TF'!BH12:BH99999,'PLAN BUDGET SAMI-TF'!D12:D99999,SUMMARY!D35,'PLAN BUDGET SAMI-TF'!J12:J99999,SUMMARY!A35&amp;"*")</f>
        <v>0</v>
      </c>
      <c r="W35" s="10">
        <f>SUMIFS('PLAN BUDGET SAMI-TF'!BI12:BI99999,'PLAN BUDGET SAMI-TF'!D12:D99999,SUMMARY!D35,'PLAN BUDGET SAMI-TF'!J12:J99999,SUMMARY!A35&amp;"*")</f>
        <v>0</v>
      </c>
      <c r="X35" s="10">
        <f>SUMIFS('PLAN BUDGET SAMI-TF'!BJ12:BJ99999,'PLAN BUDGET SAMI-TF'!D12:D99999,SUMMARY!D35,'PLAN BUDGET SAMI-TF'!J12:J99999,SUMMARY!A35&amp;"*")</f>
        <v>0</v>
      </c>
      <c r="Y35" s="10">
        <f>SUMIFS('PLAN BUDGET SAMI-TF'!BK12:BK99999,'PLAN BUDGET SAMI-TF'!D12:D99999,SUMMARY!D35,'PLAN BUDGET SAMI-TF'!J12:J99999,SUMMARY!A35&amp;"*")</f>
        <v>0</v>
      </c>
      <c r="Z35" s="10">
        <f>SUMIFS('PLAN BUDGET SAMI-TF'!BL12:BL99999,'PLAN BUDGET SAMI-TF'!D12:D99999,SUMMARY!D35,'PLAN BUDGET SAMI-TF'!J12:J99999,SUMMARY!A35&amp;"*")</f>
        <v>12.659349562618999</v>
      </c>
      <c r="AA35" s="10">
        <f>SUMIFS('PLAN BUDGET SAMI-TF'!BM12:BM99999,'PLAN BUDGET SAMI-TF'!D12:D99999,SUMMARY!D35,'PLAN BUDGET SAMI-TF'!J12:J99999,SUMMARY!A35&amp;"*")</f>
        <v>0</v>
      </c>
      <c r="AB35" s="10">
        <f>SUMIFS('PLAN BUDGET SAMI-TF'!BN12:BN99999,'PLAN BUDGET SAMI-TF'!D12:D99999,SUMMARY!D35,'PLAN BUDGET SAMI-TF'!J12:J99999,SUMMARY!A35&amp;"*")</f>
        <v>0</v>
      </c>
      <c r="AC35" s="10">
        <f t="shared" si="0"/>
        <v>4</v>
      </c>
      <c r="AD35" s="10">
        <f t="shared" si="1"/>
        <v>50.637398250475997</v>
      </c>
      <c r="AE35" s="16"/>
      <c r="AF35" s="10">
        <v>3</v>
      </c>
      <c r="AG35" s="10">
        <v>37.978048687857999</v>
      </c>
      <c r="AH35" s="20">
        <f t="shared" si="2"/>
        <v>0.33333333333333331</v>
      </c>
      <c r="AI35" s="20">
        <f t="shared" si="3"/>
        <v>0.33333333333329818</v>
      </c>
      <c r="AJ35" s="7" t="s">
        <v>862</v>
      </c>
    </row>
    <row r="36" spans="1:36" x14ac:dyDescent="0.35">
      <c r="A36" s="7" t="s">
        <v>48</v>
      </c>
      <c r="B36" s="7"/>
      <c r="C36" s="7"/>
      <c r="D36" s="7" t="s">
        <v>472</v>
      </c>
      <c r="E36" s="10">
        <f>SUMIFS('PLAN BUDGET SAMI-TF'!AN12:AN99999,'PLAN BUDGET SAMI-TF'!D12:D99999,SUMMARY!D36,'PLAN BUDGET SAMI-TF'!J12:J99999,SUMMARY!A36&amp;"*")</f>
        <v>0</v>
      </c>
      <c r="F36" s="10">
        <f>SUMIFS('PLAN BUDGET SAMI-TF'!AO12:AO99999,'PLAN BUDGET SAMI-TF'!D12:D99999,SUMMARY!D36,'PLAN BUDGET SAMI-TF'!J12:J99999,SUMMARY!A36&amp;"*")</f>
        <v>0</v>
      </c>
      <c r="G36" s="10">
        <f>SUMIFS('PLAN BUDGET SAMI-TF'!AP12:AP99999,'PLAN BUDGET SAMI-TF'!D12:D99999,SUMMARY!D36,'PLAN BUDGET SAMI-TF'!J12:J99999,SUMMARY!A36&amp;"*")</f>
        <v>12</v>
      </c>
      <c r="H36" s="10">
        <f>SUMIFS('PLAN BUDGET SAMI-TF'!AQ12:AQ99999,'PLAN BUDGET SAMI-TF'!D12:D99999,SUMMARY!D36,'PLAN BUDGET SAMI-TF'!J12:J99999,SUMMARY!A36&amp;"*")</f>
        <v>0</v>
      </c>
      <c r="I36" s="10">
        <f>SUMIFS('PLAN BUDGET SAMI-TF'!AR12:AR99999,'PLAN BUDGET SAMI-TF'!D12:D99999,SUMMARY!D36,'PLAN BUDGET SAMI-TF'!J12:J99999,SUMMARY!A36&amp;"*")</f>
        <v>0</v>
      </c>
      <c r="J36" s="10">
        <f>SUMIFS('PLAN BUDGET SAMI-TF'!AS12:AS99999,'PLAN BUDGET SAMI-TF'!D12:D99999,SUMMARY!D36,'PLAN BUDGET SAMI-TF'!J12:J99999,SUMMARY!A36&amp;"*")</f>
        <v>12</v>
      </c>
      <c r="K36" s="10">
        <f>SUMIFS('PLAN BUDGET SAMI-TF'!AT12:AT99999,'PLAN BUDGET SAMI-TF'!D12:D99999,SUMMARY!D36,'PLAN BUDGET SAMI-TF'!J12:J99999,SUMMARY!A36&amp;"*")</f>
        <v>0</v>
      </c>
      <c r="L36" s="10">
        <f>SUMIFS('PLAN BUDGET SAMI-TF'!AU12:AU99999,'PLAN BUDGET SAMI-TF'!D12:D99999,SUMMARY!D36,'PLAN BUDGET SAMI-TF'!J12:J99999,SUMMARY!A36&amp;"*")</f>
        <v>0</v>
      </c>
      <c r="M36" s="10">
        <f>SUMIFS('PLAN BUDGET SAMI-TF'!AV12:AV99999,'PLAN BUDGET SAMI-TF'!D12:D99999,SUMMARY!D36,'PLAN BUDGET SAMI-TF'!J12:J99999,SUMMARY!A36&amp;"*")</f>
        <v>12</v>
      </c>
      <c r="N36" s="10">
        <f>SUMIFS('PLAN BUDGET SAMI-TF'!AW12:AW99999,'PLAN BUDGET SAMI-TF'!D12:D99999,SUMMARY!D36,'PLAN BUDGET SAMI-TF'!J12:J99999,SUMMARY!A36&amp;"*")</f>
        <v>0</v>
      </c>
      <c r="O36" s="10">
        <f>SUMIFS('PLAN BUDGET SAMI-TF'!AX12:AX99999,'PLAN BUDGET SAMI-TF'!D12:D99999,SUMMARY!D36,'PLAN BUDGET SAMI-TF'!J12:J99999,SUMMARY!A36&amp;"*")</f>
        <v>0</v>
      </c>
      <c r="P36" s="10">
        <f>SUMIFS('PLAN BUDGET SAMI-TF'!AY12:AY99999,'PLAN BUDGET SAMI-TF'!D12:D99999,SUMMARY!D36,'PLAN BUDGET SAMI-TF'!J12:J99999,SUMMARY!A36&amp;"*")</f>
        <v>6</v>
      </c>
      <c r="Q36" s="10">
        <f>SUMIFS('PLAN BUDGET SAMI-TF'!BC12:BC99999,'PLAN BUDGET SAMI-TF'!D12:D99999,SUMMARY!D36,'PLAN BUDGET SAMI-TF'!J12:J99999,SUMMARY!A36&amp;"*")</f>
        <v>0</v>
      </c>
      <c r="R36" s="10">
        <f>SUMIFS('PLAN BUDGET SAMI-TF'!BD12:BD99999,'PLAN BUDGET SAMI-TF'!D12:D99999,SUMMARY!D36,'PLAN BUDGET SAMI-TF'!J12:J99999,SUMMARY!A36&amp;"*")</f>
        <v>0</v>
      </c>
      <c r="S36" s="10">
        <f>SUMIFS('PLAN BUDGET SAMI-TF'!BE12:BE99999,'PLAN BUDGET SAMI-TF'!D12:D99999,SUMMARY!D36,'PLAN BUDGET SAMI-TF'!J12:J99999,SUMMARY!A36&amp;"*")</f>
        <v>0.68436443735521002</v>
      </c>
      <c r="T36" s="10">
        <f>SUMIFS('PLAN BUDGET SAMI-TF'!BF12:BF99999,'PLAN BUDGET SAMI-TF'!D12:D99999,SUMMARY!D36,'PLAN BUDGET SAMI-TF'!J12:J99999,SUMMARY!A36&amp;"*")</f>
        <v>0</v>
      </c>
      <c r="U36" s="10">
        <f>SUMIFS('PLAN BUDGET SAMI-TF'!BG12:BG99999,'PLAN BUDGET SAMI-TF'!D12:D99999,SUMMARY!D36,'PLAN BUDGET SAMI-TF'!J12:J99999,SUMMARY!A36&amp;"*")</f>
        <v>0</v>
      </c>
      <c r="V36" s="10">
        <f>SUMIFS('PLAN BUDGET SAMI-TF'!BH12:BH99999,'PLAN BUDGET SAMI-TF'!D12:D99999,SUMMARY!D36,'PLAN BUDGET SAMI-TF'!J12:J99999,SUMMARY!A36&amp;"*")</f>
        <v>0.68436443735521002</v>
      </c>
      <c r="W36" s="10">
        <f>SUMIFS('PLAN BUDGET SAMI-TF'!BI12:BI99999,'PLAN BUDGET SAMI-TF'!D12:D99999,SUMMARY!D36,'PLAN BUDGET SAMI-TF'!J12:J99999,SUMMARY!A36&amp;"*")</f>
        <v>0</v>
      </c>
      <c r="X36" s="10">
        <f>SUMIFS('PLAN BUDGET SAMI-TF'!BJ12:BJ99999,'PLAN BUDGET SAMI-TF'!D12:D99999,SUMMARY!D36,'PLAN BUDGET SAMI-TF'!J12:J99999,SUMMARY!A36&amp;"*")</f>
        <v>0</v>
      </c>
      <c r="Y36" s="10">
        <f>SUMIFS('PLAN BUDGET SAMI-TF'!BK12:BK99999,'PLAN BUDGET SAMI-TF'!D12:D99999,SUMMARY!D36,'PLAN BUDGET SAMI-TF'!J12:J99999,SUMMARY!A36&amp;"*")</f>
        <v>0.68436443735521002</v>
      </c>
      <c r="Z36" s="10">
        <f>SUMIFS('PLAN BUDGET SAMI-TF'!BL12:BL99999,'PLAN BUDGET SAMI-TF'!D12:D99999,SUMMARY!D36,'PLAN BUDGET SAMI-TF'!J12:J99999,SUMMARY!A36&amp;"*")</f>
        <v>0</v>
      </c>
      <c r="AA36" s="10">
        <f>SUMIFS('PLAN BUDGET SAMI-TF'!BM12:BM99999,'PLAN BUDGET SAMI-TF'!D12:D99999,SUMMARY!D36,'PLAN BUDGET SAMI-TF'!J12:J99999,SUMMARY!A36&amp;"*")</f>
        <v>0</v>
      </c>
      <c r="AB36" s="10">
        <f>SUMIFS('PLAN BUDGET SAMI-TF'!BN12:BN99999,'PLAN BUDGET SAMI-TF'!D12:D99999,SUMMARY!D36,'PLAN BUDGET SAMI-TF'!J12:J99999,SUMMARY!A36&amp;"*")</f>
        <v>0.34218221867760001</v>
      </c>
      <c r="AC36" s="10">
        <f t="shared" si="0"/>
        <v>42</v>
      </c>
      <c r="AD36" s="10">
        <f t="shared" si="1"/>
        <v>2.3952755307432296</v>
      </c>
      <c r="AE36" s="16"/>
      <c r="AF36" s="10">
        <v>42</v>
      </c>
      <c r="AG36" s="10">
        <v>2.2361475067411001</v>
      </c>
      <c r="AH36" s="20">
        <f t="shared" si="2"/>
        <v>0</v>
      </c>
      <c r="AI36" s="20">
        <f t="shared" si="3"/>
        <v>7.1161684782610049E-2</v>
      </c>
      <c r="AJ36" s="7" t="s">
        <v>849</v>
      </c>
    </row>
    <row r="37" spans="1:36" x14ac:dyDescent="0.35">
      <c r="A37" s="7" t="s">
        <v>48</v>
      </c>
      <c r="B37" s="7"/>
      <c r="C37" s="7"/>
      <c r="D37" s="7" t="s">
        <v>490</v>
      </c>
      <c r="E37" s="10">
        <f>SUMIFS('PLAN BUDGET SAMI-TF'!AN12:AN99999,'PLAN BUDGET SAMI-TF'!D12:D99999,SUMMARY!D37,'PLAN BUDGET SAMI-TF'!J12:J99999,SUMMARY!A37&amp;"*")</f>
        <v>0</v>
      </c>
      <c r="F37" s="10">
        <f>SUMIFS('PLAN BUDGET SAMI-TF'!AO12:AO99999,'PLAN BUDGET SAMI-TF'!D12:D99999,SUMMARY!D37,'PLAN BUDGET SAMI-TF'!J12:J99999,SUMMARY!A37&amp;"*")</f>
        <v>0</v>
      </c>
      <c r="G37" s="10">
        <f>SUMIFS('PLAN BUDGET SAMI-TF'!AP12:AP99999,'PLAN BUDGET SAMI-TF'!D12:D99999,SUMMARY!D37,'PLAN BUDGET SAMI-TF'!J12:J99999,SUMMARY!A37&amp;"*")</f>
        <v>14</v>
      </c>
      <c r="H37" s="10">
        <f>SUMIFS('PLAN BUDGET SAMI-TF'!AQ12:AQ99999,'PLAN BUDGET SAMI-TF'!D12:D99999,SUMMARY!D37,'PLAN BUDGET SAMI-TF'!J12:J99999,SUMMARY!A37&amp;"*")</f>
        <v>0</v>
      </c>
      <c r="I37" s="10">
        <f>SUMIFS('PLAN BUDGET SAMI-TF'!AR12:AR99999,'PLAN BUDGET SAMI-TF'!D12:D99999,SUMMARY!D37,'PLAN BUDGET SAMI-TF'!J12:J99999,SUMMARY!A37&amp;"*")</f>
        <v>0</v>
      </c>
      <c r="J37" s="10">
        <f>SUMIFS('PLAN BUDGET SAMI-TF'!AS12:AS99999,'PLAN BUDGET SAMI-TF'!D12:D99999,SUMMARY!D37,'PLAN BUDGET SAMI-TF'!J12:J99999,SUMMARY!A37&amp;"*")</f>
        <v>0</v>
      </c>
      <c r="K37" s="10">
        <f>SUMIFS('PLAN BUDGET SAMI-TF'!AT12:AT99999,'PLAN BUDGET SAMI-TF'!D12:D99999,SUMMARY!D37,'PLAN BUDGET SAMI-TF'!J12:J99999,SUMMARY!A37&amp;"*")</f>
        <v>0</v>
      </c>
      <c r="L37" s="10">
        <f>SUMIFS('PLAN BUDGET SAMI-TF'!AU12:AU99999,'PLAN BUDGET SAMI-TF'!D12:D99999,SUMMARY!D37,'PLAN BUDGET SAMI-TF'!J12:J99999,SUMMARY!A37&amp;"*")</f>
        <v>0</v>
      </c>
      <c r="M37" s="10">
        <f>SUMIFS('PLAN BUDGET SAMI-TF'!AV12:AV99999,'PLAN BUDGET SAMI-TF'!D12:D99999,SUMMARY!D37,'PLAN BUDGET SAMI-TF'!J12:J99999,SUMMARY!A37&amp;"*")</f>
        <v>0</v>
      </c>
      <c r="N37" s="10">
        <f>SUMIFS('PLAN BUDGET SAMI-TF'!AW12:AW99999,'PLAN BUDGET SAMI-TF'!D12:D99999,SUMMARY!D37,'PLAN BUDGET SAMI-TF'!J12:J99999,SUMMARY!A37&amp;"*")</f>
        <v>0</v>
      </c>
      <c r="O37" s="10">
        <f>SUMIFS('PLAN BUDGET SAMI-TF'!AX12:AX99999,'PLAN BUDGET SAMI-TF'!D12:D99999,SUMMARY!D37,'PLAN BUDGET SAMI-TF'!J12:J99999,SUMMARY!A37&amp;"*")</f>
        <v>0</v>
      </c>
      <c r="P37" s="10">
        <f>SUMIFS('PLAN BUDGET SAMI-TF'!AY12:AY99999,'PLAN BUDGET SAMI-TF'!D12:D99999,SUMMARY!D37,'PLAN BUDGET SAMI-TF'!J12:J99999,SUMMARY!A37&amp;"*")</f>
        <v>0</v>
      </c>
      <c r="Q37" s="10">
        <f>SUMIFS('PLAN BUDGET SAMI-TF'!BC12:BC99999,'PLAN BUDGET SAMI-TF'!D12:D99999,SUMMARY!D37,'PLAN BUDGET SAMI-TF'!J12:J99999,SUMMARY!A37&amp;"*")</f>
        <v>0</v>
      </c>
      <c r="R37" s="10">
        <f>SUMIFS('PLAN BUDGET SAMI-TF'!BD12:BD99999,'PLAN BUDGET SAMI-TF'!D12:D99999,SUMMARY!D37,'PLAN BUDGET SAMI-TF'!J12:J99999,SUMMARY!A37&amp;"*")</f>
        <v>0</v>
      </c>
      <c r="S37" s="10">
        <f>SUMIFS('PLAN BUDGET SAMI-TF'!BE12:BE99999,'PLAN BUDGET SAMI-TF'!D12:D99999,SUMMARY!D37,'PLAN BUDGET SAMI-TF'!J12:J99999,SUMMARY!A37&amp;"*")</f>
        <v>588</v>
      </c>
      <c r="T37" s="10">
        <f>SUMIFS('PLAN BUDGET SAMI-TF'!BF12:BF99999,'PLAN BUDGET SAMI-TF'!D12:D99999,SUMMARY!D37,'PLAN BUDGET SAMI-TF'!J12:J99999,SUMMARY!A37&amp;"*")</f>
        <v>0</v>
      </c>
      <c r="U37" s="10">
        <f>SUMIFS('PLAN BUDGET SAMI-TF'!BG12:BG99999,'PLAN BUDGET SAMI-TF'!D12:D99999,SUMMARY!D37,'PLAN BUDGET SAMI-TF'!J12:J99999,SUMMARY!A37&amp;"*")</f>
        <v>0</v>
      </c>
      <c r="V37" s="10">
        <f>SUMIFS('PLAN BUDGET SAMI-TF'!BH12:BH99999,'PLAN BUDGET SAMI-TF'!D12:D99999,SUMMARY!D37,'PLAN BUDGET SAMI-TF'!J12:J99999,SUMMARY!A37&amp;"*")</f>
        <v>0</v>
      </c>
      <c r="W37" s="10">
        <f>SUMIFS('PLAN BUDGET SAMI-TF'!BI12:BI99999,'PLAN BUDGET SAMI-TF'!D12:D99999,SUMMARY!D37,'PLAN BUDGET SAMI-TF'!J12:J99999,SUMMARY!A37&amp;"*")</f>
        <v>0</v>
      </c>
      <c r="X37" s="10">
        <f>SUMIFS('PLAN BUDGET SAMI-TF'!BJ12:BJ99999,'PLAN BUDGET SAMI-TF'!D12:D99999,SUMMARY!D37,'PLAN BUDGET SAMI-TF'!J12:J99999,SUMMARY!A37&amp;"*")</f>
        <v>0</v>
      </c>
      <c r="Y37" s="10">
        <f>SUMIFS('PLAN BUDGET SAMI-TF'!BK12:BK99999,'PLAN BUDGET SAMI-TF'!D12:D99999,SUMMARY!D37,'PLAN BUDGET SAMI-TF'!J12:J99999,SUMMARY!A37&amp;"*")</f>
        <v>0</v>
      </c>
      <c r="Z37" s="10">
        <f>SUMIFS('PLAN BUDGET SAMI-TF'!BL12:BL99999,'PLAN BUDGET SAMI-TF'!D12:D99999,SUMMARY!D37,'PLAN BUDGET SAMI-TF'!J12:J99999,SUMMARY!A37&amp;"*")</f>
        <v>0</v>
      </c>
      <c r="AA37" s="10">
        <f>SUMIFS('PLAN BUDGET SAMI-TF'!BM12:BM99999,'PLAN BUDGET SAMI-TF'!D12:D99999,SUMMARY!D37,'PLAN BUDGET SAMI-TF'!J12:J99999,SUMMARY!A37&amp;"*")</f>
        <v>0</v>
      </c>
      <c r="AB37" s="10">
        <f>SUMIFS('PLAN BUDGET SAMI-TF'!BN12:BN99999,'PLAN BUDGET SAMI-TF'!D12:D99999,SUMMARY!D37,'PLAN BUDGET SAMI-TF'!J12:J99999,SUMMARY!A37&amp;"*")</f>
        <v>0</v>
      </c>
      <c r="AC37" s="10">
        <f t="shared" si="0"/>
        <v>14</v>
      </c>
      <c r="AD37" s="10">
        <f t="shared" si="1"/>
        <v>588</v>
      </c>
      <c r="AE37" s="16"/>
      <c r="AF37" s="10">
        <v>0</v>
      </c>
      <c r="AG37" s="10">
        <v>0</v>
      </c>
      <c r="AH37" s="20">
        <f t="shared" si="2"/>
        <v>1</v>
      </c>
      <c r="AI37" s="20">
        <f t="shared" si="3"/>
        <v>1</v>
      </c>
      <c r="AJ37" s="7" t="s">
        <v>863</v>
      </c>
    </row>
    <row r="38" spans="1:36" x14ac:dyDescent="0.35">
      <c r="A38" s="7" t="s">
        <v>48</v>
      </c>
      <c r="B38" s="7"/>
      <c r="C38" s="7"/>
      <c r="D38" s="7" t="s">
        <v>190</v>
      </c>
      <c r="E38" s="10">
        <f>SUMIFS('PLAN BUDGET SAMI-TF'!AN12:AN99999,'PLAN BUDGET SAMI-TF'!D12:D99999,SUMMARY!D38,'PLAN BUDGET SAMI-TF'!J12:J99999,SUMMARY!A38&amp;"*")</f>
        <v>2</v>
      </c>
      <c r="F38" s="10">
        <f>SUMIFS('PLAN BUDGET SAMI-TF'!AO12:AO99999,'PLAN BUDGET SAMI-TF'!D12:D99999,SUMMARY!D38,'PLAN BUDGET SAMI-TF'!J12:J99999,SUMMARY!A38&amp;"*")</f>
        <v>3</v>
      </c>
      <c r="G38" s="10">
        <f>SUMIFS('PLAN BUDGET SAMI-TF'!AP12:AP99999,'PLAN BUDGET SAMI-TF'!D12:D99999,SUMMARY!D38,'PLAN BUDGET SAMI-TF'!J12:J99999,SUMMARY!A38&amp;"*")</f>
        <v>17</v>
      </c>
      <c r="H38" s="10">
        <f>SUMIFS('PLAN BUDGET SAMI-TF'!AQ12:AQ99999,'PLAN BUDGET SAMI-TF'!D12:D99999,SUMMARY!D38,'PLAN BUDGET SAMI-TF'!J12:J99999,SUMMARY!A38&amp;"*")</f>
        <v>0</v>
      </c>
      <c r="I38" s="10">
        <f>SUMIFS('PLAN BUDGET SAMI-TF'!AR12:AR99999,'PLAN BUDGET SAMI-TF'!D12:D99999,SUMMARY!D38,'PLAN BUDGET SAMI-TF'!J12:J99999,SUMMARY!A38&amp;"*")</f>
        <v>13</v>
      </c>
      <c r="J38" s="10">
        <f>SUMIFS('PLAN BUDGET SAMI-TF'!AS12:AS99999,'PLAN BUDGET SAMI-TF'!D12:D99999,SUMMARY!D38,'PLAN BUDGET SAMI-TF'!J12:J99999,SUMMARY!A38&amp;"*")</f>
        <v>0</v>
      </c>
      <c r="K38" s="10">
        <f>SUMIFS('PLAN BUDGET SAMI-TF'!AT12:AT99999,'PLAN BUDGET SAMI-TF'!D12:D99999,SUMMARY!D38,'PLAN BUDGET SAMI-TF'!J12:J99999,SUMMARY!A38&amp;"*")</f>
        <v>1</v>
      </c>
      <c r="L38" s="10">
        <f>SUMIFS('PLAN BUDGET SAMI-TF'!AU12:AU99999,'PLAN BUDGET SAMI-TF'!D12:D99999,SUMMARY!D38,'PLAN BUDGET SAMI-TF'!J12:J99999,SUMMARY!A38&amp;"*")</f>
        <v>0</v>
      </c>
      <c r="M38" s="10">
        <f>SUMIFS('PLAN BUDGET SAMI-TF'!AV12:AV99999,'PLAN BUDGET SAMI-TF'!D12:D99999,SUMMARY!D38,'PLAN BUDGET SAMI-TF'!J12:J99999,SUMMARY!A38&amp;"*")</f>
        <v>0</v>
      </c>
      <c r="N38" s="10">
        <f>SUMIFS('PLAN BUDGET SAMI-TF'!AW12:AW99999,'PLAN BUDGET SAMI-TF'!D12:D99999,SUMMARY!D38,'PLAN BUDGET SAMI-TF'!J12:J99999,SUMMARY!A38&amp;"*")</f>
        <v>0</v>
      </c>
      <c r="O38" s="10">
        <f>SUMIFS('PLAN BUDGET SAMI-TF'!AX12:AX99999,'PLAN BUDGET SAMI-TF'!D12:D99999,SUMMARY!D38,'PLAN BUDGET SAMI-TF'!J12:J99999,SUMMARY!A38&amp;"*")</f>
        <v>0</v>
      </c>
      <c r="P38" s="10">
        <f>SUMIFS('PLAN BUDGET SAMI-TF'!AY12:AY99999,'PLAN BUDGET SAMI-TF'!D12:D99999,SUMMARY!D38,'PLAN BUDGET SAMI-TF'!J12:J99999,SUMMARY!A38&amp;"*")</f>
        <v>4</v>
      </c>
      <c r="Q38" s="10">
        <f>SUMIFS('PLAN BUDGET SAMI-TF'!BC12:BC99999,'PLAN BUDGET SAMI-TF'!D12:D99999,SUMMARY!D38,'PLAN BUDGET SAMI-TF'!J12:J99999,SUMMARY!A38&amp;"*")</f>
        <v>3164.8373906549</v>
      </c>
      <c r="R38" s="10">
        <f>SUMIFS('PLAN BUDGET SAMI-TF'!BD12:BD99999,'PLAN BUDGET SAMI-TF'!D12:D99999,SUMMARY!D38,'PLAN BUDGET SAMI-TF'!J12:J99999,SUMMARY!A38&amp;"*")</f>
        <v>1582.4186953274</v>
      </c>
      <c r="S38" s="10">
        <f>SUMIFS('PLAN BUDGET SAMI-TF'!BE12:BE99999,'PLAN BUDGET SAMI-TF'!D12:D99999,SUMMARY!D38,'PLAN BUDGET SAMI-TF'!J12:J99999,SUMMARY!A38&amp;"*")</f>
        <v>2177.4081247705326</v>
      </c>
      <c r="T38" s="10">
        <f>SUMIFS('PLAN BUDGET SAMI-TF'!BF12:BF99999,'PLAN BUDGET SAMI-TF'!D12:D99999,SUMMARY!D38,'PLAN BUDGET SAMI-TF'!J12:J99999,SUMMARY!A38&amp;"*")</f>
        <v>0</v>
      </c>
      <c r="U38" s="10">
        <f>SUMIFS('PLAN BUDGET SAMI-TF'!BG12:BG99999,'PLAN BUDGET SAMI-TF'!D12:D99999,SUMMARY!D38,'PLAN BUDGET SAMI-TF'!J12:J99999,SUMMARY!A38&amp;"*")</f>
        <v>1715.34186573495</v>
      </c>
      <c r="V38" s="10">
        <f>SUMIFS('PLAN BUDGET SAMI-TF'!BH12:BH99999,'PLAN BUDGET SAMI-TF'!D12:D99999,SUMMARY!D38,'PLAN BUDGET SAMI-TF'!J12:J99999,SUMMARY!A38&amp;"*")</f>
        <v>0</v>
      </c>
      <c r="W38" s="10">
        <f>SUMIFS('PLAN BUDGET SAMI-TF'!BI12:BI99999,'PLAN BUDGET SAMI-TF'!D12:D99999,SUMMARY!D38,'PLAN BUDGET SAMI-TF'!J12:J99999,SUMMARY!A38&amp;"*")</f>
        <v>2215.3861734584002</v>
      </c>
      <c r="X38" s="10">
        <f>SUMIFS('PLAN BUDGET SAMI-TF'!BJ12:BJ99999,'PLAN BUDGET SAMI-TF'!D12:D99999,SUMMARY!D38,'PLAN BUDGET SAMI-TF'!J12:J99999,SUMMARY!A38&amp;"*")</f>
        <v>0</v>
      </c>
      <c r="Y38" s="10">
        <f>SUMIFS('PLAN BUDGET SAMI-TF'!BK12:BK99999,'PLAN BUDGET SAMI-TF'!D12:D99999,SUMMARY!D38,'PLAN BUDGET SAMI-TF'!J12:J99999,SUMMARY!A38&amp;"*")</f>
        <v>0</v>
      </c>
      <c r="Z38" s="10">
        <f>SUMIFS('PLAN BUDGET SAMI-TF'!BL12:BL99999,'PLAN BUDGET SAMI-TF'!D12:D99999,SUMMARY!D38,'PLAN BUDGET SAMI-TF'!J12:J99999,SUMMARY!A38&amp;"*")</f>
        <v>0</v>
      </c>
      <c r="AA38" s="10">
        <f>SUMIFS('PLAN BUDGET SAMI-TF'!BM12:BM99999,'PLAN BUDGET SAMI-TF'!D12:D99999,SUMMARY!D38,'PLAN BUDGET SAMI-TF'!J12:J99999,SUMMARY!A38&amp;"*")</f>
        <v>0</v>
      </c>
      <c r="AB38" s="10">
        <f>SUMIFS('PLAN BUDGET SAMI-TF'!BN12:BN99999,'PLAN BUDGET SAMI-TF'!D12:D99999,SUMMARY!D38,'PLAN BUDGET SAMI-TF'!J12:J99999,SUMMARY!A38&amp;"*")</f>
        <v>411.08072867215702</v>
      </c>
      <c r="AC38" s="10">
        <f t="shared" si="0"/>
        <v>40</v>
      </c>
      <c r="AD38" s="10">
        <f t="shared" si="1"/>
        <v>11266.47297861834</v>
      </c>
      <c r="AE38" s="16"/>
      <c r="AF38" s="10">
        <v>35</v>
      </c>
      <c r="AG38" s="10">
        <v>449.40690947298998</v>
      </c>
      <c r="AH38" s="20">
        <f t="shared" si="2"/>
        <v>0.14285714285714285</v>
      </c>
      <c r="AI38" s="20">
        <f t="shared" si="3"/>
        <v>24.069647887323974</v>
      </c>
      <c r="AJ38" s="7" t="s">
        <v>865</v>
      </c>
    </row>
    <row r="39" spans="1:36" x14ac:dyDescent="0.35">
      <c r="A39" s="7" t="s">
        <v>48</v>
      </c>
      <c r="B39" s="7"/>
      <c r="C39" s="7"/>
      <c r="D39" s="7" t="s">
        <v>251</v>
      </c>
      <c r="E39" s="10">
        <f>SUMIFS('PLAN BUDGET SAMI-TF'!AN12:AN99999,'PLAN BUDGET SAMI-TF'!D12:D99999,SUMMARY!D39,'PLAN BUDGET SAMI-TF'!J12:J99999,SUMMARY!A39&amp;"*")</f>
        <v>0</v>
      </c>
      <c r="F39" s="10">
        <f>SUMIFS('PLAN BUDGET SAMI-TF'!AO12:AO99999,'PLAN BUDGET SAMI-TF'!D12:D99999,SUMMARY!D39,'PLAN BUDGET SAMI-TF'!J12:J99999,SUMMARY!A39&amp;"*")</f>
        <v>15</v>
      </c>
      <c r="G39" s="10">
        <f>SUMIFS('PLAN BUDGET SAMI-TF'!AP12:AP99999,'PLAN BUDGET SAMI-TF'!D12:D99999,SUMMARY!D39,'PLAN BUDGET SAMI-TF'!J12:J99999,SUMMARY!A39&amp;"*")</f>
        <v>0</v>
      </c>
      <c r="H39" s="10">
        <f>SUMIFS('PLAN BUDGET SAMI-TF'!AQ12:AQ99999,'PLAN BUDGET SAMI-TF'!D12:D99999,SUMMARY!D39,'PLAN BUDGET SAMI-TF'!J12:J99999,SUMMARY!A39&amp;"*")</f>
        <v>15</v>
      </c>
      <c r="I39" s="10">
        <f>SUMIFS('PLAN BUDGET SAMI-TF'!AR12:AR99999,'PLAN BUDGET SAMI-TF'!D12:D99999,SUMMARY!D39,'PLAN BUDGET SAMI-TF'!J12:J99999,SUMMARY!A39&amp;"*")</f>
        <v>0</v>
      </c>
      <c r="J39" s="10">
        <f>SUMIFS('PLAN BUDGET SAMI-TF'!AS12:AS99999,'PLAN BUDGET SAMI-TF'!D12:D99999,SUMMARY!D39,'PLAN BUDGET SAMI-TF'!J12:J99999,SUMMARY!A39&amp;"*")</f>
        <v>15</v>
      </c>
      <c r="K39" s="10">
        <f>SUMIFS('PLAN BUDGET SAMI-TF'!AT12:AT99999,'PLAN BUDGET SAMI-TF'!D12:D99999,SUMMARY!D39,'PLAN BUDGET SAMI-TF'!J12:J99999,SUMMARY!A39&amp;"*")</f>
        <v>0</v>
      </c>
      <c r="L39" s="10">
        <f>SUMIFS('PLAN BUDGET SAMI-TF'!AU12:AU99999,'PLAN BUDGET SAMI-TF'!D12:D99999,SUMMARY!D39,'PLAN BUDGET SAMI-TF'!J12:J99999,SUMMARY!A39&amp;"*")</f>
        <v>15</v>
      </c>
      <c r="M39" s="10">
        <f>SUMIFS('PLAN BUDGET SAMI-TF'!AV12:AV99999,'PLAN BUDGET SAMI-TF'!D12:D99999,SUMMARY!D39,'PLAN BUDGET SAMI-TF'!J12:J99999,SUMMARY!A39&amp;"*")</f>
        <v>0</v>
      </c>
      <c r="N39" s="10">
        <f>SUMIFS('PLAN BUDGET SAMI-TF'!AW12:AW99999,'PLAN BUDGET SAMI-TF'!D12:D99999,SUMMARY!D39,'PLAN BUDGET SAMI-TF'!J12:J99999,SUMMARY!A39&amp;"*")</f>
        <v>15</v>
      </c>
      <c r="O39" s="10">
        <f>SUMIFS('PLAN BUDGET SAMI-TF'!AX12:AX99999,'PLAN BUDGET SAMI-TF'!D12:D99999,SUMMARY!D39,'PLAN BUDGET SAMI-TF'!J12:J99999,SUMMARY!A39&amp;"*")</f>
        <v>12</v>
      </c>
      <c r="P39" s="10">
        <f>SUMIFS('PLAN BUDGET SAMI-TF'!AY12:AY99999,'PLAN BUDGET SAMI-TF'!D12:D99999,SUMMARY!D39,'PLAN BUDGET SAMI-TF'!J12:J99999,SUMMARY!A39&amp;"*")</f>
        <v>15</v>
      </c>
      <c r="Q39" s="10">
        <f>SUMIFS('PLAN BUDGET SAMI-TF'!BC12:BC99999,'PLAN BUDGET SAMI-TF'!D12:D99999,SUMMARY!D39,'PLAN BUDGET SAMI-TF'!J12:J99999,SUMMARY!A39&amp;"*")</f>
        <v>0</v>
      </c>
      <c r="R39" s="10">
        <f>SUMIFS('PLAN BUDGET SAMI-TF'!BD12:BD99999,'PLAN BUDGET SAMI-TF'!D12:D99999,SUMMARY!D39,'PLAN BUDGET SAMI-TF'!J12:J99999,SUMMARY!A39&amp;"*")</f>
        <v>21.362652386920001</v>
      </c>
      <c r="S39" s="10">
        <f>SUMIFS('PLAN BUDGET SAMI-TF'!BE12:BE99999,'PLAN BUDGET SAMI-TF'!D12:D99999,SUMMARY!D39,'PLAN BUDGET SAMI-TF'!J12:J99999,SUMMARY!A39&amp;"*")</f>
        <v>0</v>
      </c>
      <c r="T39" s="10">
        <f>SUMIFS('PLAN BUDGET SAMI-TF'!BF12:BF99999,'PLAN BUDGET SAMI-TF'!D12:D99999,SUMMARY!D39,'PLAN BUDGET SAMI-TF'!J12:J99999,SUMMARY!A39&amp;"*")</f>
        <v>21.362652386920001</v>
      </c>
      <c r="U39" s="10">
        <f>SUMIFS('PLAN BUDGET SAMI-TF'!BG12:BG99999,'PLAN BUDGET SAMI-TF'!D12:D99999,SUMMARY!D39,'PLAN BUDGET SAMI-TF'!J12:J99999,SUMMARY!A39&amp;"*")</f>
        <v>0</v>
      </c>
      <c r="V39" s="10">
        <f>SUMIFS('PLAN BUDGET SAMI-TF'!BH12:BH99999,'PLAN BUDGET SAMI-TF'!D12:D99999,SUMMARY!D39,'PLAN BUDGET SAMI-TF'!J12:J99999,SUMMARY!A39&amp;"*")</f>
        <v>21.362652386920001</v>
      </c>
      <c r="W39" s="10">
        <f>SUMIFS('PLAN BUDGET SAMI-TF'!BI12:BI99999,'PLAN BUDGET SAMI-TF'!D12:D99999,SUMMARY!D39,'PLAN BUDGET SAMI-TF'!J12:J99999,SUMMARY!A39&amp;"*")</f>
        <v>0</v>
      </c>
      <c r="X39" s="10">
        <f>SUMIFS('PLAN BUDGET SAMI-TF'!BJ12:BJ99999,'PLAN BUDGET SAMI-TF'!D12:D99999,SUMMARY!D39,'PLAN BUDGET SAMI-TF'!J12:J99999,SUMMARY!A39&amp;"*")</f>
        <v>21.362652386920001</v>
      </c>
      <c r="Y39" s="10">
        <f>SUMIFS('PLAN BUDGET SAMI-TF'!BK12:BK99999,'PLAN BUDGET SAMI-TF'!D12:D99999,SUMMARY!D39,'PLAN BUDGET SAMI-TF'!J12:J99999,SUMMARY!A39&amp;"*")</f>
        <v>0</v>
      </c>
      <c r="Z39" s="10">
        <f>SUMIFS('PLAN BUDGET SAMI-TF'!BL12:BL99999,'PLAN BUDGET SAMI-TF'!D12:D99999,SUMMARY!D39,'PLAN BUDGET SAMI-TF'!J12:J99999,SUMMARY!A39&amp;"*")</f>
        <v>21.362652386920001</v>
      </c>
      <c r="AA39" s="10">
        <f>SUMIFS('PLAN BUDGET SAMI-TF'!BM12:BM99999,'PLAN BUDGET SAMI-TF'!D12:D99999,SUMMARY!D39,'PLAN BUDGET SAMI-TF'!J12:J99999,SUMMARY!A39&amp;"*")</f>
        <v>18.989024343929</v>
      </c>
      <c r="AB39" s="10">
        <f>SUMIFS('PLAN BUDGET SAMI-TF'!BN12:BN99999,'PLAN BUDGET SAMI-TF'!D12:D99999,SUMMARY!D39,'PLAN BUDGET SAMI-TF'!J12:J99999,SUMMARY!A39&amp;"*")</f>
        <v>21.362652386920001</v>
      </c>
      <c r="AC39" s="10">
        <f t="shared" si="0"/>
        <v>102</v>
      </c>
      <c r="AD39" s="10">
        <f t="shared" si="1"/>
        <v>147.164938665449</v>
      </c>
      <c r="AE39" s="16"/>
      <c r="AF39" s="10">
        <v>197</v>
      </c>
      <c r="AG39" s="10">
        <v>282.46173711594997</v>
      </c>
      <c r="AH39" s="20">
        <f t="shared" si="2"/>
        <v>-0.48223350253807107</v>
      </c>
      <c r="AI39" s="20">
        <f t="shared" si="3"/>
        <v>-0.47899159663866936</v>
      </c>
      <c r="AJ39" s="7" t="s">
        <v>866</v>
      </c>
    </row>
    <row r="40" spans="1:36" x14ac:dyDescent="0.35">
      <c r="A40" s="7" t="s">
        <v>48</v>
      </c>
      <c r="B40" s="7"/>
      <c r="C40" s="7"/>
      <c r="D40" s="7" t="s">
        <v>157</v>
      </c>
      <c r="E40" s="10">
        <f>SUMIFS('PLAN BUDGET SAMI-TF'!AN12:AN99999,'PLAN BUDGET SAMI-TF'!D12:D99999,SUMMARY!D40,'PLAN BUDGET SAMI-TF'!J12:J99999,SUMMARY!A40&amp;"*")</f>
        <v>0</v>
      </c>
      <c r="F40" s="10">
        <f>SUMIFS('PLAN BUDGET SAMI-TF'!AO12:AO99999,'PLAN BUDGET SAMI-TF'!D12:D99999,SUMMARY!D40,'PLAN BUDGET SAMI-TF'!J12:J99999,SUMMARY!A40&amp;"*")</f>
        <v>3</v>
      </c>
      <c r="G40" s="10">
        <f>SUMIFS('PLAN BUDGET SAMI-TF'!AP12:AP99999,'PLAN BUDGET SAMI-TF'!D12:D99999,SUMMARY!D40,'PLAN BUDGET SAMI-TF'!J12:J99999,SUMMARY!A40&amp;"*")</f>
        <v>0</v>
      </c>
      <c r="H40" s="10">
        <f>SUMIFS('PLAN BUDGET SAMI-TF'!AQ12:AQ99999,'PLAN BUDGET SAMI-TF'!D12:D99999,SUMMARY!D40,'PLAN BUDGET SAMI-TF'!J12:J99999,SUMMARY!A40&amp;"*")</f>
        <v>0</v>
      </c>
      <c r="I40" s="10">
        <f>SUMIFS('PLAN BUDGET SAMI-TF'!AR12:AR99999,'PLAN BUDGET SAMI-TF'!D12:D99999,SUMMARY!D40,'PLAN BUDGET SAMI-TF'!J12:J99999,SUMMARY!A40&amp;"*")</f>
        <v>0</v>
      </c>
      <c r="J40" s="10">
        <f>SUMIFS('PLAN BUDGET SAMI-TF'!AS12:AS99999,'PLAN BUDGET SAMI-TF'!D12:D99999,SUMMARY!D40,'PLAN BUDGET SAMI-TF'!J12:J99999,SUMMARY!A40&amp;"*")</f>
        <v>0</v>
      </c>
      <c r="K40" s="10">
        <f>SUMIFS('PLAN BUDGET SAMI-TF'!AT12:AT99999,'PLAN BUDGET SAMI-TF'!D12:D99999,SUMMARY!D40,'PLAN BUDGET SAMI-TF'!J12:J99999,SUMMARY!A40&amp;"*")</f>
        <v>3</v>
      </c>
      <c r="L40" s="10">
        <f>SUMIFS('PLAN BUDGET SAMI-TF'!AU12:AU99999,'PLAN BUDGET SAMI-TF'!D12:D99999,SUMMARY!D40,'PLAN BUDGET SAMI-TF'!J12:J99999,SUMMARY!A40&amp;"*")</f>
        <v>0</v>
      </c>
      <c r="M40" s="10">
        <f>SUMIFS('PLAN BUDGET SAMI-TF'!AV12:AV99999,'PLAN BUDGET SAMI-TF'!D12:D99999,SUMMARY!D40,'PLAN BUDGET SAMI-TF'!J12:J99999,SUMMARY!A40&amp;"*")</f>
        <v>0</v>
      </c>
      <c r="N40" s="10">
        <f>SUMIFS('PLAN BUDGET SAMI-TF'!AW12:AW99999,'PLAN BUDGET SAMI-TF'!D12:D99999,SUMMARY!D40,'PLAN BUDGET SAMI-TF'!J12:J99999,SUMMARY!A40&amp;"*")</f>
        <v>0</v>
      </c>
      <c r="O40" s="10">
        <f>SUMIFS('PLAN BUDGET SAMI-TF'!AX12:AX99999,'PLAN BUDGET SAMI-TF'!D12:D99999,SUMMARY!D40,'PLAN BUDGET SAMI-TF'!J12:J99999,SUMMARY!A40&amp;"*")</f>
        <v>0</v>
      </c>
      <c r="P40" s="10">
        <f>SUMIFS('PLAN BUDGET SAMI-TF'!AY12:AY99999,'PLAN BUDGET SAMI-TF'!D12:D99999,SUMMARY!D40,'PLAN BUDGET SAMI-TF'!J12:J99999,SUMMARY!A40&amp;"*")</f>
        <v>0</v>
      </c>
      <c r="Q40" s="10">
        <f>SUMIFS('PLAN BUDGET SAMI-TF'!BC12:BC99999,'PLAN BUDGET SAMI-TF'!D12:D99999,SUMMARY!D40,'PLAN BUDGET SAMI-TF'!J12:J99999,SUMMARY!A40&amp;"*")</f>
        <v>0</v>
      </c>
      <c r="R40" s="10">
        <f>SUMIFS('PLAN BUDGET SAMI-TF'!BD12:BD99999,'PLAN BUDGET SAMI-TF'!D12:D99999,SUMMARY!D40,'PLAN BUDGET SAMI-TF'!J12:J99999,SUMMARY!A40&amp;"*")</f>
        <v>2.7249249933537998</v>
      </c>
      <c r="S40" s="10">
        <f>SUMIFS('PLAN BUDGET SAMI-TF'!BE12:BE99999,'PLAN BUDGET SAMI-TF'!D12:D99999,SUMMARY!D40,'PLAN BUDGET SAMI-TF'!J12:J99999,SUMMARY!A40&amp;"*")</f>
        <v>0</v>
      </c>
      <c r="T40" s="10">
        <f>SUMIFS('PLAN BUDGET SAMI-TF'!BF12:BF99999,'PLAN BUDGET SAMI-TF'!D12:D99999,SUMMARY!D40,'PLAN BUDGET SAMI-TF'!J12:J99999,SUMMARY!A40&amp;"*")</f>
        <v>0</v>
      </c>
      <c r="U40" s="10">
        <f>SUMIFS('PLAN BUDGET SAMI-TF'!BG12:BG99999,'PLAN BUDGET SAMI-TF'!D12:D99999,SUMMARY!D40,'PLAN BUDGET SAMI-TF'!J12:J99999,SUMMARY!A40&amp;"*")</f>
        <v>0</v>
      </c>
      <c r="V40" s="10">
        <f>SUMIFS('PLAN BUDGET SAMI-TF'!BH12:BH99999,'PLAN BUDGET SAMI-TF'!D12:D99999,SUMMARY!D40,'PLAN BUDGET SAMI-TF'!J12:J99999,SUMMARY!A40&amp;"*")</f>
        <v>0</v>
      </c>
      <c r="W40" s="10">
        <f>SUMIFS('PLAN BUDGET SAMI-TF'!BI12:BI99999,'PLAN BUDGET SAMI-TF'!D12:D99999,SUMMARY!D40,'PLAN BUDGET SAMI-TF'!J12:J99999,SUMMARY!A40&amp;"*")</f>
        <v>2.7249249933537998</v>
      </c>
      <c r="X40" s="10">
        <f>SUMIFS('PLAN BUDGET SAMI-TF'!BJ12:BJ99999,'PLAN BUDGET SAMI-TF'!D12:D99999,SUMMARY!D40,'PLAN BUDGET SAMI-TF'!J12:J99999,SUMMARY!A40&amp;"*")</f>
        <v>0</v>
      </c>
      <c r="Y40" s="10">
        <f>SUMIFS('PLAN BUDGET SAMI-TF'!BK12:BK99999,'PLAN BUDGET SAMI-TF'!D12:D99999,SUMMARY!D40,'PLAN BUDGET SAMI-TF'!J12:J99999,SUMMARY!A40&amp;"*")</f>
        <v>0</v>
      </c>
      <c r="Z40" s="10">
        <f>SUMIFS('PLAN BUDGET SAMI-TF'!BL12:BL99999,'PLAN BUDGET SAMI-TF'!D12:D99999,SUMMARY!D40,'PLAN BUDGET SAMI-TF'!J12:J99999,SUMMARY!A40&amp;"*")</f>
        <v>0</v>
      </c>
      <c r="AA40" s="10">
        <f>SUMIFS('PLAN BUDGET SAMI-TF'!BM12:BM99999,'PLAN BUDGET SAMI-TF'!D12:D99999,SUMMARY!D40,'PLAN BUDGET SAMI-TF'!J12:J99999,SUMMARY!A40&amp;"*")</f>
        <v>0</v>
      </c>
      <c r="AB40" s="10">
        <f>SUMIFS('PLAN BUDGET SAMI-TF'!BN12:BN99999,'PLAN BUDGET SAMI-TF'!D12:D99999,SUMMARY!D40,'PLAN BUDGET SAMI-TF'!J12:J99999,SUMMARY!A40&amp;"*")</f>
        <v>0</v>
      </c>
      <c r="AC40" s="10">
        <f t="shared" si="0"/>
        <v>6</v>
      </c>
      <c r="AD40" s="10">
        <f t="shared" si="1"/>
        <v>5.4498499867075996</v>
      </c>
      <c r="AE40" s="16"/>
      <c r="AF40" s="10">
        <v>9</v>
      </c>
      <c r="AG40" s="10">
        <v>8.2564277847403993</v>
      </c>
      <c r="AH40" s="20">
        <f t="shared" si="2"/>
        <v>-0.33333333333333331</v>
      </c>
      <c r="AI40" s="20">
        <f t="shared" si="3"/>
        <v>-0.3399264029438907</v>
      </c>
      <c r="AJ40" s="7" t="s">
        <v>867</v>
      </c>
    </row>
    <row r="41" spans="1:36" x14ac:dyDescent="0.35">
      <c r="A41" s="7" t="s">
        <v>48</v>
      </c>
      <c r="B41" s="7"/>
      <c r="C41" s="7"/>
      <c r="D41" s="7" t="s">
        <v>169</v>
      </c>
      <c r="E41" s="10">
        <f>SUMIFS('PLAN BUDGET SAMI-TF'!AN12:AN99999,'PLAN BUDGET SAMI-TF'!D12:D99999,SUMMARY!D41,'PLAN BUDGET SAMI-TF'!J12:J99999,SUMMARY!A41&amp;"*")</f>
        <v>175</v>
      </c>
      <c r="F41" s="10">
        <f>SUMIFS('PLAN BUDGET SAMI-TF'!AO12:AO99999,'PLAN BUDGET SAMI-TF'!D12:D99999,SUMMARY!D41,'PLAN BUDGET SAMI-TF'!J12:J99999,SUMMARY!A41&amp;"*")</f>
        <v>1</v>
      </c>
      <c r="G41" s="10">
        <f>SUMIFS('PLAN BUDGET SAMI-TF'!AP12:AP99999,'PLAN BUDGET SAMI-TF'!D12:D99999,SUMMARY!D41,'PLAN BUDGET SAMI-TF'!J12:J99999,SUMMARY!A41&amp;"*")</f>
        <v>125</v>
      </c>
      <c r="H41" s="10">
        <f>SUMIFS('PLAN BUDGET SAMI-TF'!AQ12:AQ99999,'PLAN BUDGET SAMI-TF'!D12:D99999,SUMMARY!D41,'PLAN BUDGET SAMI-TF'!J12:J99999,SUMMARY!A41&amp;"*")</f>
        <v>0</v>
      </c>
      <c r="I41" s="10">
        <f>SUMIFS('PLAN BUDGET SAMI-TF'!AR12:AR99999,'PLAN BUDGET SAMI-TF'!D12:D99999,SUMMARY!D41,'PLAN BUDGET SAMI-TF'!J12:J99999,SUMMARY!A41&amp;"*")</f>
        <v>175</v>
      </c>
      <c r="J41" s="10">
        <f>SUMIFS('PLAN BUDGET SAMI-TF'!AS12:AS99999,'PLAN BUDGET SAMI-TF'!D12:D99999,SUMMARY!D41,'PLAN BUDGET SAMI-TF'!J12:J99999,SUMMARY!A41&amp;"*")</f>
        <v>0</v>
      </c>
      <c r="K41" s="10">
        <f>SUMIFS('PLAN BUDGET SAMI-TF'!AT12:AT99999,'PLAN BUDGET SAMI-TF'!D12:D99999,SUMMARY!D41,'PLAN BUDGET SAMI-TF'!J12:J99999,SUMMARY!A41&amp;"*")</f>
        <v>125</v>
      </c>
      <c r="L41" s="10">
        <f>SUMIFS('PLAN BUDGET SAMI-TF'!AU12:AU99999,'PLAN BUDGET SAMI-TF'!D12:D99999,SUMMARY!D41,'PLAN BUDGET SAMI-TF'!J12:J99999,SUMMARY!A41&amp;"*")</f>
        <v>0</v>
      </c>
      <c r="M41" s="10">
        <f>SUMIFS('PLAN BUDGET SAMI-TF'!AV12:AV99999,'PLAN BUDGET SAMI-TF'!D12:D99999,SUMMARY!D41,'PLAN BUDGET SAMI-TF'!J12:J99999,SUMMARY!A41&amp;"*")</f>
        <v>175</v>
      </c>
      <c r="N41" s="10">
        <f>SUMIFS('PLAN BUDGET SAMI-TF'!AW12:AW99999,'PLAN BUDGET SAMI-TF'!D12:D99999,SUMMARY!D41,'PLAN BUDGET SAMI-TF'!J12:J99999,SUMMARY!A41&amp;"*")</f>
        <v>0</v>
      </c>
      <c r="O41" s="10">
        <f>SUMIFS('PLAN BUDGET SAMI-TF'!AX12:AX99999,'PLAN BUDGET SAMI-TF'!D12:D99999,SUMMARY!D41,'PLAN BUDGET SAMI-TF'!J12:J99999,SUMMARY!A41&amp;"*")</f>
        <v>125</v>
      </c>
      <c r="P41" s="10">
        <f>SUMIFS('PLAN BUDGET SAMI-TF'!AY12:AY99999,'PLAN BUDGET SAMI-TF'!D12:D99999,SUMMARY!D41,'PLAN BUDGET SAMI-TF'!J12:J99999,SUMMARY!A41&amp;"*")</f>
        <v>0</v>
      </c>
      <c r="Q41" s="10">
        <f>SUMIFS('PLAN BUDGET SAMI-TF'!BC12:BC99999,'PLAN BUDGET SAMI-TF'!D12:D99999,SUMMARY!D41,'PLAN BUDGET SAMI-TF'!J12:J99999,SUMMARY!A41&amp;"*")</f>
        <v>20.152102084994802</v>
      </c>
      <c r="R41" s="10">
        <f>SUMIFS('PLAN BUDGET SAMI-TF'!BD12:BD99999,'PLAN BUDGET SAMI-TF'!D12:D99999,SUMMARY!D41,'PLAN BUDGET SAMI-TF'!J12:J99999,SUMMARY!A41&amp;"*")</f>
        <v>0.21494467864240999</v>
      </c>
      <c r="S41" s="10">
        <f>SUMIFS('PLAN BUDGET SAMI-TF'!BE12:BE99999,'PLAN BUDGET SAMI-TF'!D12:D99999,SUMMARY!D41,'PLAN BUDGET SAMI-TF'!J12:J99999,SUMMARY!A41&amp;"*")</f>
        <v>12.667261656096001</v>
      </c>
      <c r="T41" s="10">
        <f>SUMIFS('PLAN BUDGET SAMI-TF'!BF12:BF99999,'PLAN BUDGET SAMI-TF'!D12:D99999,SUMMARY!D41,'PLAN BUDGET SAMI-TF'!J12:J99999,SUMMARY!A41&amp;"*")</f>
        <v>0</v>
      </c>
      <c r="U41" s="10">
        <f>SUMIFS('PLAN BUDGET SAMI-TF'!BG12:BG99999,'PLAN BUDGET SAMI-TF'!D12:D99999,SUMMARY!D41,'PLAN BUDGET SAMI-TF'!J12:J99999,SUMMARY!A41&amp;"*")</f>
        <v>20.152102084994802</v>
      </c>
      <c r="V41" s="10">
        <f>SUMIFS('PLAN BUDGET SAMI-TF'!BH12:BH99999,'PLAN BUDGET SAMI-TF'!D12:D99999,SUMMARY!D41,'PLAN BUDGET SAMI-TF'!J12:J99999,SUMMARY!A41&amp;"*")</f>
        <v>0</v>
      </c>
      <c r="W41" s="10">
        <f>SUMIFS('PLAN BUDGET SAMI-TF'!BI12:BI99999,'PLAN BUDGET SAMI-TF'!D12:D99999,SUMMARY!D41,'PLAN BUDGET SAMI-TF'!J12:J99999,SUMMARY!A41&amp;"*")</f>
        <v>12.667261656096001</v>
      </c>
      <c r="X41" s="10">
        <f>SUMIFS('PLAN BUDGET SAMI-TF'!BJ12:BJ99999,'PLAN BUDGET SAMI-TF'!D12:D99999,SUMMARY!D41,'PLAN BUDGET SAMI-TF'!J12:J99999,SUMMARY!A41&amp;"*")</f>
        <v>0</v>
      </c>
      <c r="Y41" s="10">
        <f>SUMIFS('PLAN BUDGET SAMI-TF'!BK12:BK99999,'PLAN BUDGET SAMI-TF'!D12:D99999,SUMMARY!D41,'PLAN BUDGET SAMI-TF'!J12:J99999,SUMMARY!A41&amp;"*")</f>
        <v>20.152102084994802</v>
      </c>
      <c r="Z41" s="10">
        <f>SUMIFS('PLAN BUDGET SAMI-TF'!BL12:BL99999,'PLAN BUDGET SAMI-TF'!D12:D99999,SUMMARY!D41,'PLAN BUDGET SAMI-TF'!J12:J99999,SUMMARY!A41&amp;"*")</f>
        <v>0</v>
      </c>
      <c r="AA41" s="10">
        <f>SUMIFS('PLAN BUDGET SAMI-TF'!BM12:BM99999,'PLAN BUDGET SAMI-TF'!D12:D99999,SUMMARY!D41,'PLAN BUDGET SAMI-TF'!J12:J99999,SUMMARY!A41&amp;"*")</f>
        <v>12.667261656096001</v>
      </c>
      <c r="AB41" s="10">
        <f>SUMIFS('PLAN BUDGET SAMI-TF'!BN12:BN99999,'PLAN BUDGET SAMI-TF'!D12:D99999,SUMMARY!D41,'PLAN BUDGET SAMI-TF'!J12:J99999,SUMMARY!A41&amp;"*")</f>
        <v>0</v>
      </c>
      <c r="AC41" s="10">
        <f t="shared" ref="AC41:AC72" si="4">SUM(E41:P41)</f>
        <v>901</v>
      </c>
      <c r="AD41" s="10">
        <f t="shared" ref="AD41:AD72" si="5">SUM(Q41:AB41)</f>
        <v>98.67303590191483</v>
      </c>
      <c r="AE41" s="16"/>
      <c r="AF41" s="10">
        <v>2097</v>
      </c>
      <c r="AG41" s="10">
        <v>204.62908105782</v>
      </c>
      <c r="AH41" s="20">
        <f t="shared" ref="AH41:AH72" si="6">IFERROR((AC41-AF41)/AF41,1)</f>
        <v>-0.57033857892226991</v>
      </c>
      <c r="AI41" s="20">
        <f t="shared" ref="AI41:AI72" si="7">IFERROR((AD41-AG41)/AG41,1)</f>
        <v>-0.51779563592902134</v>
      </c>
      <c r="AJ41" s="7" t="s">
        <v>868</v>
      </c>
    </row>
    <row r="42" spans="1:36" x14ac:dyDescent="0.35">
      <c r="A42" s="7" t="s">
        <v>48</v>
      </c>
      <c r="B42" s="7"/>
      <c r="C42" s="7"/>
      <c r="D42" s="7" t="s">
        <v>173</v>
      </c>
      <c r="E42" s="10">
        <f>SUMIFS('PLAN BUDGET SAMI-TF'!AN12:AN99999,'PLAN BUDGET SAMI-TF'!D12:D99999,SUMMARY!D42,'PLAN BUDGET SAMI-TF'!J12:J99999,SUMMARY!A42&amp;"*")</f>
        <v>0</v>
      </c>
      <c r="F42" s="10">
        <f>SUMIFS('PLAN BUDGET SAMI-TF'!AO12:AO99999,'PLAN BUDGET SAMI-TF'!D12:D99999,SUMMARY!D42,'PLAN BUDGET SAMI-TF'!J12:J99999,SUMMARY!A42&amp;"*")</f>
        <v>0</v>
      </c>
      <c r="G42" s="10">
        <f>SUMIFS('PLAN BUDGET SAMI-TF'!AP12:AP99999,'PLAN BUDGET SAMI-TF'!D12:D99999,SUMMARY!D42,'PLAN BUDGET SAMI-TF'!J12:J99999,SUMMARY!A42&amp;"*")</f>
        <v>0</v>
      </c>
      <c r="H42" s="10">
        <f>SUMIFS('PLAN BUDGET SAMI-TF'!AQ12:AQ99999,'PLAN BUDGET SAMI-TF'!D12:D99999,SUMMARY!D42,'PLAN BUDGET SAMI-TF'!J12:J99999,SUMMARY!A42&amp;"*")</f>
        <v>0</v>
      </c>
      <c r="I42" s="10">
        <f>SUMIFS('PLAN BUDGET SAMI-TF'!AR12:AR99999,'PLAN BUDGET SAMI-TF'!D12:D99999,SUMMARY!D42,'PLAN BUDGET SAMI-TF'!J12:J99999,SUMMARY!A42&amp;"*")</f>
        <v>0</v>
      </c>
      <c r="J42" s="10">
        <f>SUMIFS('PLAN BUDGET SAMI-TF'!AS12:AS99999,'PLAN BUDGET SAMI-TF'!D12:D99999,SUMMARY!D42,'PLAN BUDGET SAMI-TF'!J12:J99999,SUMMARY!A42&amp;"*")</f>
        <v>0</v>
      </c>
      <c r="K42" s="10">
        <f>SUMIFS('PLAN BUDGET SAMI-TF'!AT12:AT99999,'PLAN BUDGET SAMI-TF'!D12:D99999,SUMMARY!D42,'PLAN BUDGET SAMI-TF'!J12:J99999,SUMMARY!A42&amp;"*")</f>
        <v>0</v>
      </c>
      <c r="L42" s="10">
        <f>SUMIFS('PLAN BUDGET SAMI-TF'!AU12:AU99999,'PLAN BUDGET SAMI-TF'!D12:D99999,SUMMARY!D42,'PLAN BUDGET SAMI-TF'!J12:J99999,SUMMARY!A42&amp;"*")</f>
        <v>0</v>
      </c>
      <c r="M42" s="10">
        <f>SUMIFS('PLAN BUDGET SAMI-TF'!AV12:AV99999,'PLAN BUDGET SAMI-TF'!D12:D99999,SUMMARY!D42,'PLAN BUDGET SAMI-TF'!J12:J99999,SUMMARY!A42&amp;"*")</f>
        <v>1</v>
      </c>
      <c r="N42" s="10">
        <f>SUMIFS('PLAN BUDGET SAMI-TF'!AW12:AW99999,'PLAN BUDGET SAMI-TF'!D12:D99999,SUMMARY!D42,'PLAN BUDGET SAMI-TF'!J12:J99999,SUMMARY!A42&amp;"*")</f>
        <v>0</v>
      </c>
      <c r="O42" s="10">
        <f>SUMIFS('PLAN BUDGET SAMI-TF'!AX12:AX99999,'PLAN BUDGET SAMI-TF'!D12:D99999,SUMMARY!D42,'PLAN BUDGET SAMI-TF'!J12:J99999,SUMMARY!A42&amp;"*")</f>
        <v>0</v>
      </c>
      <c r="P42" s="10">
        <f>SUMIFS('PLAN BUDGET SAMI-TF'!AY12:AY99999,'PLAN BUDGET SAMI-TF'!D12:D99999,SUMMARY!D42,'PLAN BUDGET SAMI-TF'!J12:J99999,SUMMARY!A42&amp;"*")</f>
        <v>0</v>
      </c>
      <c r="Q42" s="10">
        <f>SUMIFS('PLAN BUDGET SAMI-TF'!BC12:BC99999,'PLAN BUDGET SAMI-TF'!D12:D99999,SUMMARY!D42,'PLAN BUDGET SAMI-TF'!J12:J99999,SUMMARY!A42&amp;"*")</f>
        <v>0</v>
      </c>
      <c r="R42" s="10">
        <f>SUMIFS('PLAN BUDGET SAMI-TF'!BD12:BD99999,'PLAN BUDGET SAMI-TF'!D12:D99999,SUMMARY!D42,'PLAN BUDGET SAMI-TF'!J12:J99999,SUMMARY!A42&amp;"*")</f>
        <v>0</v>
      </c>
      <c r="S42" s="10">
        <f>SUMIFS('PLAN BUDGET SAMI-TF'!BE12:BE99999,'PLAN BUDGET SAMI-TF'!D12:D99999,SUMMARY!D42,'PLAN BUDGET SAMI-TF'!J12:J99999,SUMMARY!A42&amp;"*")</f>
        <v>0</v>
      </c>
      <c r="T42" s="10">
        <f>SUMIFS('PLAN BUDGET SAMI-TF'!BF12:BF99999,'PLAN BUDGET SAMI-TF'!D12:D99999,SUMMARY!D42,'PLAN BUDGET SAMI-TF'!J12:J99999,SUMMARY!A42&amp;"*")</f>
        <v>0</v>
      </c>
      <c r="U42" s="10">
        <f>SUMIFS('PLAN BUDGET SAMI-TF'!BG12:BG99999,'PLAN BUDGET SAMI-TF'!D12:D99999,SUMMARY!D42,'PLAN BUDGET SAMI-TF'!J12:J99999,SUMMARY!A42&amp;"*")</f>
        <v>0</v>
      </c>
      <c r="V42" s="10">
        <f>SUMIFS('PLAN BUDGET SAMI-TF'!BH12:BH99999,'PLAN BUDGET SAMI-TF'!D12:D99999,SUMMARY!D42,'PLAN BUDGET SAMI-TF'!J12:J99999,SUMMARY!A42&amp;"*")</f>
        <v>0</v>
      </c>
      <c r="W42" s="10">
        <f>SUMIFS('PLAN BUDGET SAMI-TF'!BI12:BI99999,'PLAN BUDGET SAMI-TF'!D12:D99999,SUMMARY!D42,'PLAN BUDGET SAMI-TF'!J12:J99999,SUMMARY!A42&amp;"*")</f>
        <v>0</v>
      </c>
      <c r="X42" s="10">
        <f>SUMIFS('PLAN BUDGET SAMI-TF'!BJ12:BJ99999,'PLAN BUDGET SAMI-TF'!D12:D99999,SUMMARY!D42,'PLAN BUDGET SAMI-TF'!J12:J99999,SUMMARY!A42&amp;"*")</f>
        <v>0</v>
      </c>
      <c r="Y42" s="10">
        <f>SUMIFS('PLAN BUDGET SAMI-TF'!BK12:BK99999,'PLAN BUDGET SAMI-TF'!D12:D99999,SUMMARY!D42,'PLAN BUDGET SAMI-TF'!J12:J99999,SUMMARY!A42&amp;"*")</f>
        <v>3.1648373906548999</v>
      </c>
      <c r="Z42" s="10">
        <f>SUMIFS('PLAN BUDGET SAMI-TF'!BL12:BL99999,'PLAN BUDGET SAMI-TF'!D12:D99999,SUMMARY!D42,'PLAN BUDGET SAMI-TF'!J12:J99999,SUMMARY!A42&amp;"*")</f>
        <v>0</v>
      </c>
      <c r="AA42" s="10">
        <f>SUMIFS('PLAN BUDGET SAMI-TF'!BM12:BM99999,'PLAN BUDGET SAMI-TF'!D12:D99999,SUMMARY!D42,'PLAN BUDGET SAMI-TF'!J12:J99999,SUMMARY!A42&amp;"*")</f>
        <v>0</v>
      </c>
      <c r="AB42" s="10">
        <f>SUMIFS('PLAN BUDGET SAMI-TF'!BN12:BN99999,'PLAN BUDGET SAMI-TF'!D12:D99999,SUMMARY!D42,'PLAN BUDGET SAMI-TF'!J12:J99999,SUMMARY!A42&amp;"*")</f>
        <v>0</v>
      </c>
      <c r="AC42" s="10">
        <f t="shared" si="4"/>
        <v>1</v>
      </c>
      <c r="AD42" s="10">
        <f t="shared" si="5"/>
        <v>3.1648373906548999</v>
      </c>
      <c r="AE42" s="16"/>
      <c r="AF42" s="10">
        <v>0</v>
      </c>
      <c r="AG42" s="10">
        <v>0</v>
      </c>
      <c r="AH42" s="20">
        <f t="shared" si="6"/>
        <v>1</v>
      </c>
      <c r="AI42" s="20">
        <f t="shared" si="7"/>
        <v>1</v>
      </c>
      <c r="AJ42" s="7" t="s">
        <v>863</v>
      </c>
    </row>
    <row r="43" spans="1:36" x14ac:dyDescent="0.35">
      <c r="A43" s="7" t="s">
        <v>48</v>
      </c>
      <c r="B43" s="7"/>
      <c r="C43" s="7"/>
      <c r="D43" s="7" t="s">
        <v>147</v>
      </c>
      <c r="E43" s="10">
        <f>SUMIFS('PLAN BUDGET SAMI-TF'!AN12:AN99999,'PLAN BUDGET SAMI-TF'!D12:D99999,SUMMARY!D43,'PLAN BUDGET SAMI-TF'!J12:J99999,SUMMARY!A43&amp;"*")</f>
        <v>2</v>
      </c>
      <c r="F43" s="10">
        <f>SUMIFS('PLAN BUDGET SAMI-TF'!AO12:AO99999,'PLAN BUDGET SAMI-TF'!D12:D99999,SUMMARY!D43,'PLAN BUDGET SAMI-TF'!J12:J99999,SUMMARY!A43&amp;"*")</f>
        <v>2</v>
      </c>
      <c r="G43" s="10">
        <f>SUMIFS('PLAN BUDGET SAMI-TF'!AP12:AP99999,'PLAN BUDGET SAMI-TF'!D12:D99999,SUMMARY!D43,'PLAN BUDGET SAMI-TF'!J12:J99999,SUMMARY!A43&amp;"*")</f>
        <v>18</v>
      </c>
      <c r="H43" s="10">
        <f>SUMIFS('PLAN BUDGET SAMI-TF'!AQ12:AQ99999,'PLAN BUDGET SAMI-TF'!D12:D99999,SUMMARY!D43,'PLAN BUDGET SAMI-TF'!J12:J99999,SUMMARY!A43&amp;"*")</f>
        <v>2</v>
      </c>
      <c r="I43" s="10">
        <f>SUMIFS('PLAN BUDGET SAMI-TF'!AR12:AR99999,'PLAN BUDGET SAMI-TF'!D12:D99999,SUMMARY!D43,'PLAN BUDGET SAMI-TF'!J12:J99999,SUMMARY!A43&amp;"*")</f>
        <v>32</v>
      </c>
      <c r="J43" s="10">
        <f>SUMIFS('PLAN BUDGET SAMI-TF'!AS12:AS99999,'PLAN BUDGET SAMI-TF'!D12:D99999,SUMMARY!D43,'PLAN BUDGET SAMI-TF'!J12:J99999,SUMMARY!A43&amp;"*")</f>
        <v>2</v>
      </c>
      <c r="K43" s="10">
        <f>SUMIFS('PLAN BUDGET SAMI-TF'!AT12:AT99999,'PLAN BUDGET SAMI-TF'!D12:D99999,SUMMARY!D43,'PLAN BUDGET SAMI-TF'!J12:J99999,SUMMARY!A43&amp;"*")</f>
        <v>2</v>
      </c>
      <c r="L43" s="10">
        <f>SUMIFS('PLAN BUDGET SAMI-TF'!AU12:AU99999,'PLAN BUDGET SAMI-TF'!D12:D99999,SUMMARY!D43,'PLAN BUDGET SAMI-TF'!J12:J99999,SUMMARY!A43&amp;"*")</f>
        <v>2</v>
      </c>
      <c r="M43" s="10">
        <f>SUMIFS('PLAN BUDGET SAMI-TF'!AV12:AV99999,'PLAN BUDGET SAMI-TF'!D12:D99999,SUMMARY!D43,'PLAN BUDGET SAMI-TF'!J12:J99999,SUMMARY!A43&amp;"*")</f>
        <v>2</v>
      </c>
      <c r="N43" s="10">
        <f>SUMIFS('PLAN BUDGET SAMI-TF'!AW12:AW99999,'PLAN BUDGET SAMI-TF'!D12:D99999,SUMMARY!D43,'PLAN BUDGET SAMI-TF'!J12:J99999,SUMMARY!A43&amp;"*")</f>
        <v>2</v>
      </c>
      <c r="O43" s="10">
        <f>SUMIFS('PLAN BUDGET SAMI-TF'!AX12:AX99999,'PLAN BUDGET SAMI-TF'!D12:D99999,SUMMARY!D43,'PLAN BUDGET SAMI-TF'!J12:J99999,SUMMARY!A43&amp;"*")</f>
        <v>2</v>
      </c>
      <c r="P43" s="10">
        <f>SUMIFS('PLAN BUDGET SAMI-TF'!AY12:AY99999,'PLAN BUDGET SAMI-TF'!D12:D99999,SUMMARY!D43,'PLAN BUDGET SAMI-TF'!J12:J99999,SUMMARY!A43&amp;"*")</f>
        <v>14</v>
      </c>
      <c r="Q43" s="10">
        <f>SUMIFS('PLAN BUDGET SAMI-TF'!BC12:BC99999,'PLAN BUDGET SAMI-TF'!D12:D99999,SUMMARY!D43,'PLAN BUDGET SAMI-TF'!J12:J99999,SUMMARY!A43&amp;"*")</f>
        <v>2.1520894256453</v>
      </c>
      <c r="R43" s="10">
        <f>SUMIFS('PLAN BUDGET SAMI-TF'!BD12:BD99999,'PLAN BUDGET SAMI-TF'!D12:D99999,SUMMARY!D43,'PLAN BUDGET SAMI-TF'!J12:J99999,SUMMARY!A43&amp;"*")</f>
        <v>2.1520894256453</v>
      </c>
      <c r="S43" s="10">
        <f>SUMIFS('PLAN BUDGET SAMI-TF'!BE12:BE99999,'PLAN BUDGET SAMI-TF'!D12:D99999,SUMMARY!D43,'PLAN BUDGET SAMI-TF'!J12:J99999,SUMMARY!A43&amp;"*")</f>
        <v>914.15208942564527</v>
      </c>
      <c r="T43" s="10">
        <f>SUMIFS('PLAN BUDGET SAMI-TF'!BF12:BF99999,'PLAN BUDGET SAMI-TF'!D12:D99999,SUMMARY!D43,'PLAN BUDGET SAMI-TF'!J12:J99999,SUMMARY!A43&amp;"*")</f>
        <v>2.1520894256453</v>
      </c>
      <c r="U43" s="10">
        <f>SUMIFS('PLAN BUDGET SAMI-TF'!BG12:BG99999,'PLAN BUDGET SAMI-TF'!D12:D99999,SUMMARY!D43,'PLAN BUDGET SAMI-TF'!J12:J99999,SUMMARY!A43&amp;"*")</f>
        <v>75.576316888836104</v>
      </c>
      <c r="V43" s="10">
        <f>SUMIFS('PLAN BUDGET SAMI-TF'!BH12:BH99999,'PLAN BUDGET SAMI-TF'!D12:D99999,SUMMARY!D43,'PLAN BUDGET SAMI-TF'!J12:J99999,SUMMARY!A43&amp;"*")</f>
        <v>2.1520894256453</v>
      </c>
      <c r="W43" s="10">
        <f>SUMIFS('PLAN BUDGET SAMI-TF'!BI12:BI99999,'PLAN BUDGET SAMI-TF'!D12:D99999,SUMMARY!D43,'PLAN BUDGET SAMI-TF'!J12:J99999,SUMMARY!A43&amp;"*")</f>
        <v>2.1520894256453</v>
      </c>
      <c r="X43" s="10">
        <f>SUMIFS('PLAN BUDGET SAMI-TF'!BJ12:BJ99999,'PLAN BUDGET SAMI-TF'!D12:D99999,SUMMARY!D43,'PLAN BUDGET SAMI-TF'!J12:J99999,SUMMARY!A43&amp;"*")</f>
        <v>2.1520894256453</v>
      </c>
      <c r="Y43" s="10">
        <f>SUMIFS('PLAN BUDGET SAMI-TF'!BK12:BK99999,'PLAN BUDGET SAMI-TF'!D12:D99999,SUMMARY!D43,'PLAN BUDGET SAMI-TF'!J12:J99999,SUMMARY!A43&amp;"*")</f>
        <v>2.1520894256453</v>
      </c>
      <c r="Z43" s="10">
        <f>SUMIFS('PLAN BUDGET SAMI-TF'!BL12:BL99999,'PLAN BUDGET SAMI-TF'!D12:D99999,SUMMARY!D43,'PLAN BUDGET SAMI-TF'!J12:J99999,SUMMARY!A43&amp;"*")</f>
        <v>2.1520894256453</v>
      </c>
      <c r="AA43" s="10">
        <f>SUMIFS('PLAN BUDGET SAMI-TF'!BM12:BM99999,'PLAN BUDGET SAMI-TF'!D12:D99999,SUMMARY!D43,'PLAN BUDGET SAMI-TF'!J12:J99999,SUMMARY!A43&amp;"*")</f>
        <v>2.1520894256453</v>
      </c>
      <c r="AB43" s="10">
        <f>SUMIFS('PLAN BUDGET SAMI-TF'!BN12:BN99999,'PLAN BUDGET SAMI-TF'!D12:D99999,SUMMARY!D43,'PLAN BUDGET SAMI-TF'!J12:J99999,SUMMARY!A43&amp;"*")</f>
        <v>30.635625941538301</v>
      </c>
      <c r="AC43" s="10">
        <f t="shared" si="4"/>
        <v>82</v>
      </c>
      <c r="AD43" s="10">
        <f t="shared" si="5"/>
        <v>1039.7328370868272</v>
      </c>
      <c r="AE43" s="16"/>
      <c r="AF43" s="10">
        <v>48</v>
      </c>
      <c r="AG43" s="10">
        <v>1339.7778141629001</v>
      </c>
      <c r="AH43" s="20">
        <f t="shared" si="6"/>
        <v>0.70833333333333337</v>
      </c>
      <c r="AI43" s="20">
        <f t="shared" si="7"/>
        <v>-0.22395129543441686</v>
      </c>
      <c r="AJ43" s="7" t="s">
        <v>869</v>
      </c>
    </row>
    <row r="44" spans="1:36" x14ac:dyDescent="0.35">
      <c r="A44" s="7" t="s">
        <v>48</v>
      </c>
      <c r="B44" s="7"/>
      <c r="C44" s="7"/>
      <c r="D44" s="7" t="s">
        <v>333</v>
      </c>
      <c r="E44" s="10">
        <f>SUMIFS('PLAN BUDGET SAMI-TF'!AN12:AN99999,'PLAN BUDGET SAMI-TF'!D12:D99999,SUMMARY!D44,'PLAN BUDGET SAMI-TF'!J12:J99999,SUMMARY!A44&amp;"*")</f>
        <v>0</v>
      </c>
      <c r="F44" s="10">
        <f>SUMIFS('PLAN BUDGET SAMI-TF'!AO12:AO99999,'PLAN BUDGET SAMI-TF'!D12:D99999,SUMMARY!D44,'PLAN BUDGET SAMI-TF'!J12:J99999,SUMMARY!A44&amp;"*")</f>
        <v>0</v>
      </c>
      <c r="G44" s="10">
        <f>SUMIFS('PLAN BUDGET SAMI-TF'!AP12:AP99999,'PLAN BUDGET SAMI-TF'!D12:D99999,SUMMARY!D44,'PLAN BUDGET SAMI-TF'!J12:J99999,SUMMARY!A44&amp;"*")</f>
        <v>0</v>
      </c>
      <c r="H44" s="10">
        <f>SUMIFS('PLAN BUDGET SAMI-TF'!AQ12:AQ99999,'PLAN BUDGET SAMI-TF'!D12:D99999,SUMMARY!D44,'PLAN BUDGET SAMI-TF'!J12:J99999,SUMMARY!A44&amp;"*")</f>
        <v>0</v>
      </c>
      <c r="I44" s="10">
        <f>SUMIFS('PLAN BUDGET SAMI-TF'!AR12:AR99999,'PLAN BUDGET SAMI-TF'!D12:D99999,SUMMARY!D44,'PLAN BUDGET SAMI-TF'!J12:J99999,SUMMARY!A44&amp;"*")</f>
        <v>0</v>
      </c>
      <c r="J44" s="10">
        <f>SUMIFS('PLAN BUDGET SAMI-TF'!AS12:AS99999,'PLAN BUDGET SAMI-TF'!D12:D99999,SUMMARY!D44,'PLAN BUDGET SAMI-TF'!J12:J99999,SUMMARY!A44&amp;"*")</f>
        <v>0</v>
      </c>
      <c r="K44" s="10">
        <f>SUMIFS('PLAN BUDGET SAMI-TF'!AT12:AT99999,'PLAN BUDGET SAMI-TF'!D12:D99999,SUMMARY!D44,'PLAN BUDGET SAMI-TF'!J12:J99999,SUMMARY!A44&amp;"*")</f>
        <v>0</v>
      </c>
      <c r="L44" s="10">
        <f>SUMIFS('PLAN BUDGET SAMI-TF'!AU12:AU99999,'PLAN BUDGET SAMI-TF'!D12:D99999,SUMMARY!D44,'PLAN BUDGET SAMI-TF'!J12:J99999,SUMMARY!A44&amp;"*")</f>
        <v>0</v>
      </c>
      <c r="M44" s="10">
        <f>SUMIFS('PLAN BUDGET SAMI-TF'!AV12:AV99999,'PLAN BUDGET SAMI-TF'!D12:D99999,SUMMARY!D44,'PLAN BUDGET SAMI-TF'!J12:J99999,SUMMARY!A44&amp;"*")</f>
        <v>0</v>
      </c>
      <c r="N44" s="10">
        <f>SUMIFS('PLAN BUDGET SAMI-TF'!AW12:AW99999,'PLAN BUDGET SAMI-TF'!D12:D99999,SUMMARY!D44,'PLAN BUDGET SAMI-TF'!J12:J99999,SUMMARY!A44&amp;"*")</f>
        <v>0</v>
      </c>
      <c r="O44" s="10">
        <f>SUMIFS('PLAN BUDGET SAMI-TF'!AX12:AX99999,'PLAN BUDGET SAMI-TF'!D12:D99999,SUMMARY!D44,'PLAN BUDGET SAMI-TF'!J12:J99999,SUMMARY!A44&amp;"*")</f>
        <v>4</v>
      </c>
      <c r="P44" s="10">
        <f>SUMIFS('PLAN BUDGET SAMI-TF'!AY12:AY99999,'PLAN BUDGET SAMI-TF'!D12:D99999,SUMMARY!D44,'PLAN BUDGET SAMI-TF'!J12:J99999,SUMMARY!A44&amp;"*")</f>
        <v>0</v>
      </c>
      <c r="Q44" s="10">
        <f>SUMIFS('PLAN BUDGET SAMI-TF'!BC12:BC99999,'PLAN BUDGET SAMI-TF'!D12:D99999,SUMMARY!D44,'PLAN BUDGET SAMI-TF'!J12:J99999,SUMMARY!A44&amp;"*")</f>
        <v>0</v>
      </c>
      <c r="R44" s="10">
        <f>SUMIFS('PLAN BUDGET SAMI-TF'!BD12:BD99999,'PLAN BUDGET SAMI-TF'!D12:D99999,SUMMARY!D44,'PLAN BUDGET SAMI-TF'!J12:J99999,SUMMARY!A44&amp;"*")</f>
        <v>0</v>
      </c>
      <c r="S44" s="10">
        <f>SUMIFS('PLAN BUDGET SAMI-TF'!BE12:BE99999,'PLAN BUDGET SAMI-TF'!D12:D99999,SUMMARY!D44,'PLAN BUDGET SAMI-TF'!J12:J99999,SUMMARY!A44&amp;"*")</f>
        <v>0</v>
      </c>
      <c r="T44" s="10">
        <f>SUMIFS('PLAN BUDGET SAMI-TF'!BF12:BF99999,'PLAN BUDGET SAMI-TF'!D12:D99999,SUMMARY!D44,'PLAN BUDGET SAMI-TF'!J12:J99999,SUMMARY!A44&amp;"*")</f>
        <v>0</v>
      </c>
      <c r="U44" s="10">
        <f>SUMIFS('PLAN BUDGET SAMI-TF'!BG12:BG99999,'PLAN BUDGET SAMI-TF'!D12:D99999,SUMMARY!D44,'PLAN BUDGET SAMI-TF'!J12:J99999,SUMMARY!A44&amp;"*")</f>
        <v>0</v>
      </c>
      <c r="V44" s="10">
        <f>SUMIFS('PLAN BUDGET SAMI-TF'!BH12:BH99999,'PLAN BUDGET SAMI-TF'!D12:D99999,SUMMARY!D44,'PLAN BUDGET SAMI-TF'!J12:J99999,SUMMARY!A44&amp;"*")</f>
        <v>0</v>
      </c>
      <c r="W44" s="10">
        <f>SUMIFS('PLAN BUDGET SAMI-TF'!BI12:BI99999,'PLAN BUDGET SAMI-TF'!D12:D99999,SUMMARY!D44,'PLAN BUDGET SAMI-TF'!J12:J99999,SUMMARY!A44&amp;"*")</f>
        <v>0</v>
      </c>
      <c r="X44" s="10">
        <f>SUMIFS('PLAN BUDGET SAMI-TF'!BJ12:BJ99999,'PLAN BUDGET SAMI-TF'!D12:D99999,SUMMARY!D44,'PLAN BUDGET SAMI-TF'!J12:J99999,SUMMARY!A44&amp;"*")</f>
        <v>0</v>
      </c>
      <c r="Y44" s="10">
        <f>SUMIFS('PLAN BUDGET SAMI-TF'!BK12:BK99999,'PLAN BUDGET SAMI-TF'!D12:D99999,SUMMARY!D44,'PLAN BUDGET SAMI-TF'!J12:J99999,SUMMARY!A44&amp;"*")</f>
        <v>0</v>
      </c>
      <c r="Z44" s="10">
        <f>SUMIFS('PLAN BUDGET SAMI-TF'!BL12:BL99999,'PLAN BUDGET SAMI-TF'!D12:D99999,SUMMARY!D44,'PLAN BUDGET SAMI-TF'!J12:J99999,SUMMARY!A44&amp;"*")</f>
        <v>0</v>
      </c>
      <c r="AA44" s="10">
        <f>SUMIFS('PLAN BUDGET SAMI-TF'!BM12:BM99999,'PLAN BUDGET SAMI-TF'!D12:D99999,SUMMARY!D44,'PLAN BUDGET SAMI-TF'!J12:J99999,SUMMARY!A44&amp;"*")</f>
        <v>741.72185430464003</v>
      </c>
      <c r="AB44" s="10">
        <f>SUMIFS('PLAN BUDGET SAMI-TF'!BN12:BN99999,'PLAN BUDGET SAMI-TF'!D12:D99999,SUMMARY!D44,'PLAN BUDGET SAMI-TF'!J12:J99999,SUMMARY!A44&amp;"*")</f>
        <v>0</v>
      </c>
      <c r="AC44" s="10">
        <f t="shared" si="4"/>
        <v>4</v>
      </c>
      <c r="AD44" s="10">
        <f t="shared" si="5"/>
        <v>741.72185430464003</v>
      </c>
      <c r="AE44" s="16"/>
      <c r="AF44" s="10">
        <v>0</v>
      </c>
      <c r="AG44" s="10">
        <v>0</v>
      </c>
      <c r="AH44" s="20">
        <f t="shared" si="6"/>
        <v>1</v>
      </c>
      <c r="AI44" s="20">
        <f t="shared" si="7"/>
        <v>1</v>
      </c>
      <c r="AJ44" s="7" t="s">
        <v>863</v>
      </c>
    </row>
    <row r="45" spans="1:36" x14ac:dyDescent="0.35">
      <c r="A45" s="7" t="s">
        <v>48</v>
      </c>
      <c r="B45" s="7"/>
      <c r="C45" s="7"/>
      <c r="D45" s="7" t="s">
        <v>380</v>
      </c>
      <c r="E45" s="10">
        <f>SUMIFS('PLAN BUDGET SAMI-TF'!AN12:AN99999,'PLAN BUDGET SAMI-TF'!D12:D99999,SUMMARY!D45,'PLAN BUDGET SAMI-TF'!J12:J99999,SUMMARY!A45&amp;"*")</f>
        <v>8</v>
      </c>
      <c r="F45" s="10">
        <f>SUMIFS('PLAN BUDGET SAMI-TF'!AO12:AO99999,'PLAN BUDGET SAMI-TF'!D12:D99999,SUMMARY!D45,'PLAN BUDGET SAMI-TF'!J12:J99999,SUMMARY!A45&amp;"*")</f>
        <v>0</v>
      </c>
      <c r="G45" s="10">
        <f>SUMIFS('PLAN BUDGET SAMI-TF'!AP12:AP99999,'PLAN BUDGET SAMI-TF'!D12:D99999,SUMMARY!D45,'PLAN BUDGET SAMI-TF'!J12:J99999,SUMMARY!A45&amp;"*")</f>
        <v>0</v>
      </c>
      <c r="H45" s="10">
        <f>SUMIFS('PLAN BUDGET SAMI-TF'!AQ12:AQ99999,'PLAN BUDGET SAMI-TF'!D12:D99999,SUMMARY!D45,'PLAN BUDGET SAMI-TF'!J12:J99999,SUMMARY!A45&amp;"*")</f>
        <v>0</v>
      </c>
      <c r="I45" s="10">
        <f>SUMIFS('PLAN BUDGET SAMI-TF'!AR12:AR99999,'PLAN BUDGET SAMI-TF'!D12:D99999,SUMMARY!D45,'PLAN BUDGET SAMI-TF'!J12:J99999,SUMMARY!A45&amp;"*")</f>
        <v>8</v>
      </c>
      <c r="J45" s="10">
        <f>SUMIFS('PLAN BUDGET SAMI-TF'!AS12:AS99999,'PLAN BUDGET SAMI-TF'!D12:D99999,SUMMARY!D45,'PLAN BUDGET SAMI-TF'!J12:J99999,SUMMARY!A45&amp;"*")</f>
        <v>0</v>
      </c>
      <c r="K45" s="10">
        <f>SUMIFS('PLAN BUDGET SAMI-TF'!AT12:AT99999,'PLAN BUDGET SAMI-TF'!D12:D99999,SUMMARY!D45,'PLAN BUDGET SAMI-TF'!J12:J99999,SUMMARY!A45&amp;"*")</f>
        <v>0</v>
      </c>
      <c r="L45" s="10">
        <f>SUMIFS('PLAN BUDGET SAMI-TF'!AU12:AU99999,'PLAN BUDGET SAMI-TF'!D12:D99999,SUMMARY!D45,'PLAN BUDGET SAMI-TF'!J12:J99999,SUMMARY!A45&amp;"*")</f>
        <v>0</v>
      </c>
      <c r="M45" s="10">
        <f>SUMIFS('PLAN BUDGET SAMI-TF'!AV12:AV99999,'PLAN BUDGET SAMI-TF'!D12:D99999,SUMMARY!D45,'PLAN BUDGET SAMI-TF'!J12:J99999,SUMMARY!A45&amp;"*")</f>
        <v>8</v>
      </c>
      <c r="N45" s="10">
        <f>SUMIFS('PLAN BUDGET SAMI-TF'!AW12:AW99999,'PLAN BUDGET SAMI-TF'!D12:D99999,SUMMARY!D45,'PLAN BUDGET SAMI-TF'!J12:J99999,SUMMARY!A45&amp;"*")</f>
        <v>0</v>
      </c>
      <c r="O45" s="10">
        <f>SUMIFS('PLAN BUDGET SAMI-TF'!AX12:AX99999,'PLAN BUDGET SAMI-TF'!D12:D99999,SUMMARY!D45,'PLAN BUDGET SAMI-TF'!J12:J99999,SUMMARY!A45&amp;"*")</f>
        <v>0</v>
      </c>
      <c r="P45" s="10">
        <f>SUMIFS('PLAN BUDGET SAMI-TF'!AY12:AY99999,'PLAN BUDGET SAMI-TF'!D12:D99999,SUMMARY!D45,'PLAN BUDGET SAMI-TF'!J12:J99999,SUMMARY!A45&amp;"*")</f>
        <v>0</v>
      </c>
      <c r="Q45" s="10">
        <f>SUMIFS('PLAN BUDGET SAMI-TF'!BC12:BC99999,'PLAN BUDGET SAMI-TF'!D12:D99999,SUMMARY!D45,'PLAN BUDGET SAMI-TF'!J12:J99999,SUMMARY!A45&amp;"*")</f>
        <v>3.0103933259909001</v>
      </c>
      <c r="R45" s="10">
        <f>SUMIFS('PLAN BUDGET SAMI-TF'!BD12:BD99999,'PLAN BUDGET SAMI-TF'!D12:D99999,SUMMARY!D45,'PLAN BUDGET SAMI-TF'!J12:J99999,SUMMARY!A45&amp;"*")</f>
        <v>0</v>
      </c>
      <c r="S45" s="10">
        <f>SUMIFS('PLAN BUDGET SAMI-TF'!BE12:BE99999,'PLAN BUDGET SAMI-TF'!D12:D99999,SUMMARY!D45,'PLAN BUDGET SAMI-TF'!J12:J99999,SUMMARY!A45&amp;"*")</f>
        <v>0</v>
      </c>
      <c r="T45" s="10">
        <f>SUMIFS('PLAN BUDGET SAMI-TF'!BF12:BF99999,'PLAN BUDGET SAMI-TF'!D12:D99999,SUMMARY!D45,'PLAN BUDGET SAMI-TF'!J12:J99999,SUMMARY!A45&amp;"*")</f>
        <v>0</v>
      </c>
      <c r="U45" s="10">
        <f>SUMIFS('PLAN BUDGET SAMI-TF'!BG12:BG99999,'PLAN BUDGET SAMI-TF'!D12:D99999,SUMMARY!D45,'PLAN BUDGET SAMI-TF'!J12:J99999,SUMMARY!A45&amp;"*")</f>
        <v>3.0103933259909001</v>
      </c>
      <c r="V45" s="10">
        <f>SUMIFS('PLAN BUDGET SAMI-TF'!BH12:BH99999,'PLAN BUDGET SAMI-TF'!D12:D99999,SUMMARY!D45,'PLAN BUDGET SAMI-TF'!J12:J99999,SUMMARY!A45&amp;"*")</f>
        <v>0</v>
      </c>
      <c r="W45" s="10">
        <f>SUMIFS('PLAN BUDGET SAMI-TF'!BI12:BI99999,'PLAN BUDGET SAMI-TF'!D12:D99999,SUMMARY!D45,'PLAN BUDGET SAMI-TF'!J12:J99999,SUMMARY!A45&amp;"*")</f>
        <v>0</v>
      </c>
      <c r="X45" s="10">
        <f>SUMIFS('PLAN BUDGET SAMI-TF'!BJ12:BJ99999,'PLAN BUDGET SAMI-TF'!D12:D99999,SUMMARY!D45,'PLAN BUDGET SAMI-TF'!J12:J99999,SUMMARY!A45&amp;"*")</f>
        <v>0</v>
      </c>
      <c r="Y45" s="10">
        <f>SUMIFS('PLAN BUDGET SAMI-TF'!BK12:BK99999,'PLAN BUDGET SAMI-TF'!D12:D99999,SUMMARY!D45,'PLAN BUDGET SAMI-TF'!J12:J99999,SUMMARY!A45&amp;"*")</f>
        <v>3.0103933259909001</v>
      </c>
      <c r="Z45" s="10">
        <f>SUMIFS('PLAN BUDGET SAMI-TF'!BL12:BL99999,'PLAN BUDGET SAMI-TF'!D12:D99999,SUMMARY!D45,'PLAN BUDGET SAMI-TF'!J12:J99999,SUMMARY!A45&amp;"*")</f>
        <v>0</v>
      </c>
      <c r="AA45" s="10">
        <f>SUMIFS('PLAN BUDGET SAMI-TF'!BM12:BM99999,'PLAN BUDGET SAMI-TF'!D12:D99999,SUMMARY!D45,'PLAN BUDGET SAMI-TF'!J12:J99999,SUMMARY!A45&amp;"*")</f>
        <v>0</v>
      </c>
      <c r="AB45" s="10">
        <f>SUMIFS('PLAN BUDGET SAMI-TF'!BN12:BN99999,'PLAN BUDGET SAMI-TF'!D12:D99999,SUMMARY!D45,'PLAN BUDGET SAMI-TF'!J12:J99999,SUMMARY!A45&amp;"*")</f>
        <v>0</v>
      </c>
      <c r="AC45" s="10">
        <f t="shared" si="4"/>
        <v>24</v>
      </c>
      <c r="AD45" s="10">
        <f t="shared" si="5"/>
        <v>9.0311799779727</v>
      </c>
      <c r="AE45" s="16"/>
      <c r="AF45" s="10">
        <v>24</v>
      </c>
      <c r="AG45" s="10">
        <v>9.3983011152886995</v>
      </c>
      <c r="AH45" s="20">
        <f t="shared" si="6"/>
        <v>0</v>
      </c>
      <c r="AI45" s="20">
        <f t="shared" si="7"/>
        <v>-3.9062500000003691E-2</v>
      </c>
      <c r="AJ45" s="7" t="s">
        <v>855</v>
      </c>
    </row>
    <row r="46" spans="1:36" x14ac:dyDescent="0.35">
      <c r="A46" s="7" t="s">
        <v>48</v>
      </c>
      <c r="B46" s="7"/>
      <c r="C46" s="7"/>
      <c r="D46" s="7" t="s">
        <v>117</v>
      </c>
      <c r="E46" s="10">
        <f>SUMIFS('PLAN BUDGET SAMI-TF'!AN12:AN99999,'PLAN BUDGET SAMI-TF'!D12:D99999,SUMMARY!D46,'PLAN BUDGET SAMI-TF'!J12:J99999,SUMMARY!A46&amp;"*")</f>
        <v>5</v>
      </c>
      <c r="F46" s="10">
        <f>SUMIFS('PLAN BUDGET SAMI-TF'!AO12:AO99999,'PLAN BUDGET SAMI-TF'!D12:D99999,SUMMARY!D46,'PLAN BUDGET SAMI-TF'!J12:J99999,SUMMARY!A46&amp;"*")</f>
        <v>4</v>
      </c>
      <c r="G46" s="10">
        <f>SUMIFS('PLAN BUDGET SAMI-TF'!AP12:AP99999,'PLAN BUDGET SAMI-TF'!D12:D99999,SUMMARY!D46,'PLAN BUDGET SAMI-TF'!J12:J99999,SUMMARY!A46&amp;"*")</f>
        <v>5</v>
      </c>
      <c r="H46" s="10">
        <f>SUMIFS('PLAN BUDGET SAMI-TF'!AQ12:AQ99999,'PLAN BUDGET SAMI-TF'!D12:D99999,SUMMARY!D46,'PLAN BUDGET SAMI-TF'!J12:J99999,SUMMARY!A46&amp;"*")</f>
        <v>5</v>
      </c>
      <c r="I46" s="10">
        <f>SUMIFS('PLAN BUDGET SAMI-TF'!AR12:AR99999,'PLAN BUDGET SAMI-TF'!D12:D99999,SUMMARY!D46,'PLAN BUDGET SAMI-TF'!J12:J99999,SUMMARY!A46&amp;"*")</f>
        <v>4</v>
      </c>
      <c r="J46" s="10">
        <f>SUMIFS('PLAN BUDGET SAMI-TF'!AS12:AS99999,'PLAN BUDGET SAMI-TF'!D12:D99999,SUMMARY!D46,'PLAN BUDGET SAMI-TF'!J12:J99999,SUMMARY!A46&amp;"*")</f>
        <v>5</v>
      </c>
      <c r="K46" s="10">
        <f>SUMIFS('PLAN BUDGET SAMI-TF'!AT12:AT99999,'PLAN BUDGET SAMI-TF'!D12:D99999,SUMMARY!D46,'PLAN BUDGET SAMI-TF'!J12:J99999,SUMMARY!A46&amp;"*")</f>
        <v>5</v>
      </c>
      <c r="L46" s="10">
        <f>SUMIFS('PLAN BUDGET SAMI-TF'!AU12:AU99999,'PLAN BUDGET SAMI-TF'!D12:D99999,SUMMARY!D46,'PLAN BUDGET SAMI-TF'!J12:J99999,SUMMARY!A46&amp;"*")</f>
        <v>5</v>
      </c>
      <c r="M46" s="10">
        <f>SUMIFS('PLAN BUDGET SAMI-TF'!AV12:AV99999,'PLAN BUDGET SAMI-TF'!D12:D99999,SUMMARY!D46,'PLAN BUDGET SAMI-TF'!J12:J99999,SUMMARY!A46&amp;"*")</f>
        <v>4</v>
      </c>
      <c r="N46" s="10">
        <f>SUMIFS('PLAN BUDGET SAMI-TF'!AW12:AW99999,'PLAN BUDGET SAMI-TF'!D12:D99999,SUMMARY!D46,'PLAN BUDGET SAMI-TF'!J12:J99999,SUMMARY!A46&amp;"*")</f>
        <v>6</v>
      </c>
      <c r="O46" s="10">
        <f>SUMIFS('PLAN BUDGET SAMI-TF'!AX12:AX99999,'PLAN BUDGET SAMI-TF'!D12:D99999,SUMMARY!D46,'PLAN BUDGET SAMI-TF'!J12:J99999,SUMMARY!A46&amp;"*")</f>
        <v>4</v>
      </c>
      <c r="P46" s="10">
        <f>SUMIFS('PLAN BUDGET SAMI-TF'!AY12:AY99999,'PLAN BUDGET SAMI-TF'!D12:D99999,SUMMARY!D46,'PLAN BUDGET SAMI-TF'!J12:J99999,SUMMARY!A46&amp;"*")</f>
        <v>4</v>
      </c>
      <c r="Q46" s="10">
        <f>SUMIFS('PLAN BUDGET SAMI-TF'!BC12:BC99999,'PLAN BUDGET SAMI-TF'!D12:D99999,SUMMARY!D46,'PLAN BUDGET SAMI-TF'!J12:J99999,SUMMARY!A46&amp;"*")</f>
        <v>25.318699125239</v>
      </c>
      <c r="R46" s="10">
        <f>SUMIFS('PLAN BUDGET SAMI-TF'!BD12:BD99999,'PLAN BUDGET SAMI-TF'!D12:D99999,SUMMARY!D46,'PLAN BUDGET SAMI-TF'!J12:J99999,SUMMARY!A46&amp;"*")</f>
        <v>18.989024343929298</v>
      </c>
      <c r="S46" s="10">
        <f>SUMIFS('PLAN BUDGET SAMI-TF'!BE12:BE99999,'PLAN BUDGET SAMI-TF'!D12:D99999,SUMMARY!D46,'PLAN BUDGET SAMI-TF'!J12:J99999,SUMMARY!A46&amp;"*")</f>
        <v>23.736280429911599</v>
      </c>
      <c r="T46" s="10">
        <f>SUMIFS('PLAN BUDGET SAMI-TF'!BF12:BF99999,'PLAN BUDGET SAMI-TF'!D12:D99999,SUMMARY!D46,'PLAN BUDGET SAMI-TF'!J12:J99999,SUMMARY!A46&amp;"*")</f>
        <v>23.736280429911599</v>
      </c>
      <c r="U46" s="10">
        <f>SUMIFS('PLAN BUDGET SAMI-TF'!BG12:BG99999,'PLAN BUDGET SAMI-TF'!D12:D99999,SUMMARY!D46,'PLAN BUDGET SAMI-TF'!J12:J99999,SUMMARY!A46&amp;"*")</f>
        <v>18.989024343929298</v>
      </c>
      <c r="V46" s="10">
        <f>SUMIFS('PLAN BUDGET SAMI-TF'!BH12:BH99999,'PLAN BUDGET SAMI-TF'!D12:D99999,SUMMARY!D46,'PLAN BUDGET SAMI-TF'!J12:J99999,SUMMARY!A46&amp;"*")</f>
        <v>23.736280429911599</v>
      </c>
      <c r="W46" s="10">
        <f>SUMIFS('PLAN BUDGET SAMI-TF'!BI12:BI99999,'PLAN BUDGET SAMI-TF'!D12:D99999,SUMMARY!D46,'PLAN BUDGET SAMI-TF'!J12:J99999,SUMMARY!A46&amp;"*")</f>
        <v>25.318699125239</v>
      </c>
      <c r="X46" s="10">
        <f>SUMIFS('PLAN BUDGET SAMI-TF'!BJ12:BJ99999,'PLAN BUDGET SAMI-TF'!D12:D99999,SUMMARY!D46,'PLAN BUDGET SAMI-TF'!J12:J99999,SUMMARY!A46&amp;"*")</f>
        <v>24.685731647108099</v>
      </c>
      <c r="Y46" s="10">
        <f>SUMIFS('PLAN BUDGET SAMI-TF'!BK12:BK99999,'PLAN BUDGET SAMI-TF'!D12:D99999,SUMMARY!D46,'PLAN BUDGET SAMI-TF'!J12:J99999,SUMMARY!A46&amp;"*")</f>
        <v>18.989024343929298</v>
      </c>
      <c r="Z46" s="10">
        <f>SUMIFS('PLAN BUDGET SAMI-TF'!BL12:BL99999,'PLAN BUDGET SAMI-TF'!D12:D99999,SUMMARY!D46,'PLAN BUDGET SAMI-TF'!J12:J99999,SUMMARY!A46&amp;"*")</f>
        <v>28.483536515893899</v>
      </c>
      <c r="AA46" s="10">
        <f>SUMIFS('PLAN BUDGET SAMI-TF'!BM12:BM99999,'PLAN BUDGET SAMI-TF'!D12:D99999,SUMMARY!D46,'PLAN BUDGET SAMI-TF'!J12:J99999,SUMMARY!A46&amp;"*")</f>
        <v>18.989024343929298</v>
      </c>
      <c r="AB46" s="10">
        <f>SUMIFS('PLAN BUDGET SAMI-TF'!BN12:BN99999,'PLAN BUDGET SAMI-TF'!D12:D99999,SUMMARY!D46,'PLAN BUDGET SAMI-TF'!J12:J99999,SUMMARY!A46&amp;"*")</f>
        <v>18.989024343929298</v>
      </c>
      <c r="AC46" s="10">
        <f t="shared" si="4"/>
        <v>56</v>
      </c>
      <c r="AD46" s="10">
        <f t="shared" si="5"/>
        <v>269.96062942286125</v>
      </c>
      <c r="AE46" s="16"/>
      <c r="AF46" s="10">
        <v>56</v>
      </c>
      <c r="AG46" s="10">
        <v>268.81774334434999</v>
      </c>
      <c r="AH46" s="20">
        <f t="shared" si="6"/>
        <v>0</v>
      </c>
      <c r="AI46" s="20">
        <f t="shared" si="7"/>
        <v>4.2515276867243091E-3</v>
      </c>
      <c r="AJ46" s="7" t="s">
        <v>849</v>
      </c>
    </row>
    <row r="47" spans="1:36" x14ac:dyDescent="0.35">
      <c r="A47" s="7" t="s">
        <v>48</v>
      </c>
      <c r="B47" s="7"/>
      <c r="C47" s="7"/>
      <c r="D47" s="7" t="s">
        <v>83</v>
      </c>
      <c r="E47" s="10">
        <f>SUMIFS('PLAN BUDGET SAMI-TF'!AN12:AN99999,'PLAN BUDGET SAMI-TF'!D12:D99999,SUMMARY!D47,'PLAN BUDGET SAMI-TF'!J12:J99999,SUMMARY!A47&amp;"*")</f>
        <v>50</v>
      </c>
      <c r="F47" s="10">
        <f>SUMIFS('PLAN BUDGET SAMI-TF'!AO12:AO99999,'PLAN BUDGET SAMI-TF'!D12:D99999,SUMMARY!D47,'PLAN BUDGET SAMI-TF'!J12:J99999,SUMMARY!A47&amp;"*")</f>
        <v>0</v>
      </c>
      <c r="G47" s="10">
        <f>SUMIFS('PLAN BUDGET SAMI-TF'!AP12:AP99999,'PLAN BUDGET SAMI-TF'!D12:D99999,SUMMARY!D47,'PLAN BUDGET SAMI-TF'!J12:J99999,SUMMARY!A47&amp;"*")</f>
        <v>0</v>
      </c>
      <c r="H47" s="10">
        <f>SUMIFS('PLAN BUDGET SAMI-TF'!AQ12:AQ99999,'PLAN BUDGET SAMI-TF'!D12:D99999,SUMMARY!D47,'PLAN BUDGET SAMI-TF'!J12:J99999,SUMMARY!A47&amp;"*")</f>
        <v>0</v>
      </c>
      <c r="I47" s="10">
        <f>SUMIFS('PLAN BUDGET SAMI-TF'!AR12:AR99999,'PLAN BUDGET SAMI-TF'!D12:D99999,SUMMARY!D47,'PLAN BUDGET SAMI-TF'!J12:J99999,SUMMARY!A47&amp;"*")</f>
        <v>0</v>
      </c>
      <c r="J47" s="10">
        <f>SUMIFS('PLAN BUDGET SAMI-TF'!AS12:AS99999,'PLAN BUDGET SAMI-TF'!D12:D99999,SUMMARY!D47,'PLAN BUDGET SAMI-TF'!J12:J99999,SUMMARY!A47&amp;"*")</f>
        <v>0</v>
      </c>
      <c r="K47" s="10">
        <f>SUMIFS('PLAN BUDGET SAMI-TF'!AT12:AT99999,'PLAN BUDGET SAMI-TF'!D12:D99999,SUMMARY!D47,'PLAN BUDGET SAMI-TF'!J12:J99999,SUMMARY!A47&amp;"*")</f>
        <v>50</v>
      </c>
      <c r="L47" s="10">
        <f>SUMIFS('PLAN BUDGET SAMI-TF'!AU12:AU99999,'PLAN BUDGET SAMI-TF'!D12:D99999,SUMMARY!D47,'PLAN BUDGET SAMI-TF'!J12:J99999,SUMMARY!A47&amp;"*")</f>
        <v>0</v>
      </c>
      <c r="M47" s="10">
        <f>SUMIFS('PLAN BUDGET SAMI-TF'!AV12:AV99999,'PLAN BUDGET SAMI-TF'!D12:D99999,SUMMARY!D47,'PLAN BUDGET SAMI-TF'!J12:J99999,SUMMARY!A47&amp;"*")</f>
        <v>0</v>
      </c>
      <c r="N47" s="10">
        <f>SUMIFS('PLAN BUDGET SAMI-TF'!AW12:AW99999,'PLAN BUDGET SAMI-TF'!D12:D99999,SUMMARY!D47,'PLAN BUDGET SAMI-TF'!J12:J99999,SUMMARY!A47&amp;"*")</f>
        <v>0</v>
      </c>
      <c r="O47" s="10">
        <f>SUMIFS('PLAN BUDGET SAMI-TF'!AX12:AX99999,'PLAN BUDGET SAMI-TF'!D12:D99999,SUMMARY!D47,'PLAN BUDGET SAMI-TF'!J12:J99999,SUMMARY!A47&amp;"*")</f>
        <v>0</v>
      </c>
      <c r="P47" s="10">
        <f>SUMIFS('PLAN BUDGET SAMI-TF'!AY12:AY99999,'PLAN BUDGET SAMI-TF'!D12:D99999,SUMMARY!D47,'PLAN BUDGET SAMI-TF'!J12:J99999,SUMMARY!A47&amp;"*")</f>
        <v>0</v>
      </c>
      <c r="Q47" s="10">
        <f>SUMIFS('PLAN BUDGET SAMI-TF'!BC12:BC99999,'PLAN BUDGET SAMI-TF'!D12:D99999,SUMMARY!D47,'PLAN BUDGET SAMI-TF'!J12:J99999,SUMMARY!A47&amp;"*")</f>
        <v>486.59374881319002</v>
      </c>
      <c r="R47" s="10">
        <f>SUMIFS('PLAN BUDGET SAMI-TF'!BD12:BD99999,'PLAN BUDGET SAMI-TF'!D12:D99999,SUMMARY!D47,'PLAN BUDGET SAMI-TF'!J12:J99999,SUMMARY!A47&amp;"*")</f>
        <v>0</v>
      </c>
      <c r="S47" s="10">
        <f>SUMIFS('PLAN BUDGET SAMI-TF'!BE12:BE99999,'PLAN BUDGET SAMI-TF'!D12:D99999,SUMMARY!D47,'PLAN BUDGET SAMI-TF'!J12:J99999,SUMMARY!A47&amp;"*")</f>
        <v>0</v>
      </c>
      <c r="T47" s="10">
        <f>SUMIFS('PLAN BUDGET SAMI-TF'!BF12:BF99999,'PLAN BUDGET SAMI-TF'!D12:D99999,SUMMARY!D47,'PLAN BUDGET SAMI-TF'!J12:J99999,SUMMARY!A47&amp;"*")</f>
        <v>0</v>
      </c>
      <c r="U47" s="10">
        <f>SUMIFS('PLAN BUDGET SAMI-TF'!BG12:BG99999,'PLAN BUDGET SAMI-TF'!D12:D99999,SUMMARY!D47,'PLAN BUDGET SAMI-TF'!J12:J99999,SUMMARY!A47&amp;"*")</f>
        <v>0</v>
      </c>
      <c r="V47" s="10">
        <f>SUMIFS('PLAN BUDGET SAMI-TF'!BH12:BH99999,'PLAN BUDGET SAMI-TF'!D12:D99999,SUMMARY!D47,'PLAN BUDGET SAMI-TF'!J12:J99999,SUMMARY!A47&amp;"*")</f>
        <v>0</v>
      </c>
      <c r="W47" s="10">
        <f>SUMIFS('PLAN BUDGET SAMI-TF'!BI12:BI99999,'PLAN BUDGET SAMI-TF'!D12:D99999,SUMMARY!D47,'PLAN BUDGET SAMI-TF'!J12:J99999,SUMMARY!A47&amp;"*")</f>
        <v>486.59374881319002</v>
      </c>
      <c r="X47" s="10">
        <f>SUMIFS('PLAN BUDGET SAMI-TF'!BJ12:BJ99999,'PLAN BUDGET SAMI-TF'!D12:D99999,SUMMARY!D47,'PLAN BUDGET SAMI-TF'!J12:J99999,SUMMARY!A47&amp;"*")</f>
        <v>0</v>
      </c>
      <c r="Y47" s="10">
        <f>SUMIFS('PLAN BUDGET SAMI-TF'!BK12:BK99999,'PLAN BUDGET SAMI-TF'!D12:D99999,SUMMARY!D47,'PLAN BUDGET SAMI-TF'!J12:J99999,SUMMARY!A47&amp;"*")</f>
        <v>0</v>
      </c>
      <c r="Z47" s="10">
        <f>SUMIFS('PLAN BUDGET SAMI-TF'!BL12:BL99999,'PLAN BUDGET SAMI-TF'!D12:D99999,SUMMARY!D47,'PLAN BUDGET SAMI-TF'!J12:J99999,SUMMARY!A47&amp;"*")</f>
        <v>0</v>
      </c>
      <c r="AA47" s="10">
        <f>SUMIFS('PLAN BUDGET SAMI-TF'!BM12:BM99999,'PLAN BUDGET SAMI-TF'!D12:D99999,SUMMARY!D47,'PLAN BUDGET SAMI-TF'!J12:J99999,SUMMARY!A47&amp;"*")</f>
        <v>0</v>
      </c>
      <c r="AB47" s="10">
        <f>SUMIFS('PLAN BUDGET SAMI-TF'!BN12:BN99999,'PLAN BUDGET SAMI-TF'!D12:D99999,SUMMARY!D47,'PLAN BUDGET SAMI-TF'!J12:J99999,SUMMARY!A47&amp;"*")</f>
        <v>0</v>
      </c>
      <c r="AC47" s="10">
        <f t="shared" si="4"/>
        <v>100</v>
      </c>
      <c r="AD47" s="10">
        <f t="shared" si="5"/>
        <v>973.18749762638004</v>
      </c>
      <c r="AE47" s="16"/>
      <c r="AF47" s="10">
        <v>100</v>
      </c>
      <c r="AG47" s="10">
        <v>949.45121719645999</v>
      </c>
      <c r="AH47" s="20">
        <f t="shared" si="6"/>
        <v>0</v>
      </c>
      <c r="AI47" s="20">
        <f t="shared" si="7"/>
        <v>2.5000000000008998E-2</v>
      </c>
      <c r="AJ47" s="7" t="s">
        <v>849</v>
      </c>
    </row>
    <row r="48" spans="1:36" x14ac:dyDescent="0.35">
      <c r="A48" s="7" t="s">
        <v>48</v>
      </c>
      <c r="B48" s="7"/>
      <c r="C48" s="7"/>
      <c r="D48" s="7" t="s">
        <v>428</v>
      </c>
      <c r="E48" s="10">
        <f>SUMIFS('PLAN BUDGET SAMI-TF'!AN12:AN99999,'PLAN BUDGET SAMI-TF'!D12:D99999,SUMMARY!D48,'PLAN BUDGET SAMI-TF'!J12:J99999,SUMMARY!A48&amp;"*")</f>
        <v>0</v>
      </c>
      <c r="F48" s="10">
        <f>SUMIFS('PLAN BUDGET SAMI-TF'!AO12:AO99999,'PLAN BUDGET SAMI-TF'!D12:D99999,SUMMARY!D48,'PLAN BUDGET SAMI-TF'!J12:J99999,SUMMARY!A48&amp;"*")</f>
        <v>0</v>
      </c>
      <c r="G48" s="10">
        <f>SUMIFS('PLAN BUDGET SAMI-TF'!AP12:AP99999,'PLAN BUDGET SAMI-TF'!D12:D99999,SUMMARY!D48,'PLAN BUDGET SAMI-TF'!J12:J99999,SUMMARY!A48&amp;"*")</f>
        <v>0</v>
      </c>
      <c r="H48" s="10">
        <f>SUMIFS('PLAN BUDGET SAMI-TF'!AQ12:AQ99999,'PLAN BUDGET SAMI-TF'!D12:D99999,SUMMARY!D48,'PLAN BUDGET SAMI-TF'!J12:J99999,SUMMARY!A48&amp;"*")</f>
        <v>0</v>
      </c>
      <c r="I48" s="10">
        <f>SUMIFS('PLAN BUDGET SAMI-TF'!AR12:AR99999,'PLAN BUDGET SAMI-TF'!D12:D99999,SUMMARY!D48,'PLAN BUDGET SAMI-TF'!J12:J99999,SUMMARY!A48&amp;"*")</f>
        <v>6</v>
      </c>
      <c r="J48" s="10">
        <f>SUMIFS('PLAN BUDGET SAMI-TF'!AS12:AS99999,'PLAN BUDGET SAMI-TF'!D12:D99999,SUMMARY!D48,'PLAN BUDGET SAMI-TF'!J12:J99999,SUMMARY!A48&amp;"*")</f>
        <v>0</v>
      </c>
      <c r="K48" s="10">
        <f>SUMIFS('PLAN BUDGET SAMI-TF'!AT12:AT99999,'PLAN BUDGET SAMI-TF'!D12:D99999,SUMMARY!D48,'PLAN BUDGET SAMI-TF'!J12:J99999,SUMMARY!A48&amp;"*")</f>
        <v>0</v>
      </c>
      <c r="L48" s="10">
        <f>SUMIFS('PLAN BUDGET SAMI-TF'!AU12:AU99999,'PLAN BUDGET SAMI-TF'!D12:D99999,SUMMARY!D48,'PLAN BUDGET SAMI-TF'!J12:J99999,SUMMARY!A48&amp;"*")</f>
        <v>0</v>
      </c>
      <c r="M48" s="10">
        <f>SUMIFS('PLAN BUDGET SAMI-TF'!AV12:AV99999,'PLAN BUDGET SAMI-TF'!D12:D99999,SUMMARY!D48,'PLAN BUDGET SAMI-TF'!J12:J99999,SUMMARY!A48&amp;"*")</f>
        <v>0</v>
      </c>
      <c r="N48" s="10">
        <f>SUMIFS('PLAN BUDGET SAMI-TF'!AW12:AW99999,'PLAN BUDGET SAMI-TF'!D12:D99999,SUMMARY!D48,'PLAN BUDGET SAMI-TF'!J12:J99999,SUMMARY!A48&amp;"*")</f>
        <v>0</v>
      </c>
      <c r="O48" s="10">
        <f>SUMIFS('PLAN BUDGET SAMI-TF'!AX12:AX99999,'PLAN BUDGET SAMI-TF'!D12:D99999,SUMMARY!D48,'PLAN BUDGET SAMI-TF'!J12:J99999,SUMMARY!A48&amp;"*")</f>
        <v>0</v>
      </c>
      <c r="P48" s="10">
        <f>SUMIFS('PLAN BUDGET SAMI-TF'!AY12:AY99999,'PLAN BUDGET SAMI-TF'!D12:D99999,SUMMARY!D48,'PLAN BUDGET SAMI-TF'!J12:J99999,SUMMARY!A48&amp;"*")</f>
        <v>0</v>
      </c>
      <c r="Q48" s="10">
        <f>SUMIFS('PLAN BUDGET SAMI-TF'!BC12:BC99999,'PLAN BUDGET SAMI-TF'!D12:D99999,SUMMARY!D48,'PLAN BUDGET SAMI-TF'!J12:J99999,SUMMARY!A48&amp;"*")</f>
        <v>0</v>
      </c>
      <c r="R48" s="10">
        <f>SUMIFS('PLAN BUDGET SAMI-TF'!BD12:BD99999,'PLAN BUDGET SAMI-TF'!D12:D99999,SUMMARY!D48,'PLAN BUDGET SAMI-TF'!J12:J99999,SUMMARY!A48&amp;"*")</f>
        <v>0</v>
      </c>
      <c r="S48" s="10">
        <f>SUMIFS('PLAN BUDGET SAMI-TF'!BE12:BE99999,'PLAN BUDGET SAMI-TF'!D12:D99999,SUMMARY!D48,'PLAN BUDGET SAMI-TF'!J12:J99999,SUMMARY!A48&amp;"*")</f>
        <v>0</v>
      </c>
      <c r="T48" s="10">
        <f>SUMIFS('PLAN BUDGET SAMI-TF'!BF12:BF99999,'PLAN BUDGET SAMI-TF'!D12:D99999,SUMMARY!D48,'PLAN BUDGET SAMI-TF'!J12:J99999,SUMMARY!A48&amp;"*")</f>
        <v>0</v>
      </c>
      <c r="U48" s="10">
        <f>SUMIFS('PLAN BUDGET SAMI-TF'!BG12:BG99999,'PLAN BUDGET SAMI-TF'!D12:D99999,SUMMARY!D48,'PLAN BUDGET SAMI-TF'!J12:J99999,SUMMARY!A48&amp;"*")</f>
        <v>0.71854468117428005</v>
      </c>
      <c r="V48" s="10">
        <f>SUMIFS('PLAN BUDGET SAMI-TF'!BH12:BH99999,'PLAN BUDGET SAMI-TF'!D12:D99999,SUMMARY!D48,'PLAN BUDGET SAMI-TF'!J12:J99999,SUMMARY!A48&amp;"*")</f>
        <v>0</v>
      </c>
      <c r="W48" s="10">
        <f>SUMIFS('PLAN BUDGET SAMI-TF'!BI12:BI99999,'PLAN BUDGET SAMI-TF'!D12:D99999,SUMMARY!D48,'PLAN BUDGET SAMI-TF'!J12:J99999,SUMMARY!A48&amp;"*")</f>
        <v>0</v>
      </c>
      <c r="X48" s="10">
        <f>SUMIFS('PLAN BUDGET SAMI-TF'!BJ12:BJ99999,'PLAN BUDGET SAMI-TF'!D12:D99999,SUMMARY!D48,'PLAN BUDGET SAMI-TF'!J12:J99999,SUMMARY!A48&amp;"*")</f>
        <v>0</v>
      </c>
      <c r="Y48" s="10">
        <f>SUMIFS('PLAN BUDGET SAMI-TF'!BK12:BK99999,'PLAN BUDGET SAMI-TF'!D12:D99999,SUMMARY!D48,'PLAN BUDGET SAMI-TF'!J12:J99999,SUMMARY!A48&amp;"*")</f>
        <v>0</v>
      </c>
      <c r="Z48" s="10">
        <f>SUMIFS('PLAN BUDGET SAMI-TF'!BL12:BL99999,'PLAN BUDGET SAMI-TF'!D12:D99999,SUMMARY!D48,'PLAN BUDGET SAMI-TF'!J12:J99999,SUMMARY!A48&amp;"*")</f>
        <v>0</v>
      </c>
      <c r="AA48" s="10">
        <f>SUMIFS('PLAN BUDGET SAMI-TF'!BM12:BM99999,'PLAN BUDGET SAMI-TF'!D12:D99999,SUMMARY!D48,'PLAN BUDGET SAMI-TF'!J12:J99999,SUMMARY!A48&amp;"*")</f>
        <v>0</v>
      </c>
      <c r="AB48" s="10">
        <f>SUMIFS('PLAN BUDGET SAMI-TF'!BN12:BN99999,'PLAN BUDGET SAMI-TF'!D12:D99999,SUMMARY!D48,'PLAN BUDGET SAMI-TF'!J12:J99999,SUMMARY!A48&amp;"*")</f>
        <v>0</v>
      </c>
      <c r="AC48" s="10">
        <f t="shared" si="4"/>
        <v>6</v>
      </c>
      <c r="AD48" s="10">
        <f t="shared" si="5"/>
        <v>0.71854468117428005</v>
      </c>
      <c r="AE48" s="16"/>
      <c r="AF48" s="10">
        <v>0</v>
      </c>
      <c r="AG48" s="10">
        <v>0</v>
      </c>
      <c r="AH48" s="20">
        <f t="shared" si="6"/>
        <v>1</v>
      </c>
      <c r="AI48" s="20">
        <f t="shared" si="7"/>
        <v>1</v>
      </c>
      <c r="AJ48" s="7" t="s">
        <v>863</v>
      </c>
    </row>
    <row r="49" spans="1:36" x14ac:dyDescent="0.35">
      <c r="A49" s="7" t="s">
        <v>48</v>
      </c>
      <c r="B49" s="7"/>
      <c r="C49" s="7"/>
      <c r="D49" s="7" t="s">
        <v>234</v>
      </c>
      <c r="E49" s="10">
        <f>SUMIFS('PLAN BUDGET SAMI-TF'!AN12:AN99999,'PLAN BUDGET SAMI-TF'!D12:D99999,SUMMARY!D49,'PLAN BUDGET SAMI-TF'!J12:J99999,SUMMARY!A49&amp;"*")</f>
        <v>1</v>
      </c>
      <c r="F49" s="10">
        <f>SUMIFS('PLAN BUDGET SAMI-TF'!AO12:AO99999,'PLAN BUDGET SAMI-TF'!D12:D99999,SUMMARY!D49,'PLAN BUDGET SAMI-TF'!J12:J99999,SUMMARY!A49&amp;"*")</f>
        <v>1</v>
      </c>
      <c r="G49" s="10">
        <f>SUMIFS('PLAN BUDGET SAMI-TF'!AP12:AP99999,'PLAN BUDGET SAMI-TF'!D12:D99999,SUMMARY!D49,'PLAN BUDGET SAMI-TF'!J12:J99999,SUMMARY!A49&amp;"*")</f>
        <v>0</v>
      </c>
      <c r="H49" s="10">
        <f>SUMIFS('PLAN BUDGET SAMI-TF'!AQ12:AQ99999,'PLAN BUDGET SAMI-TF'!D12:D99999,SUMMARY!D49,'PLAN BUDGET SAMI-TF'!J12:J99999,SUMMARY!A49&amp;"*")</f>
        <v>1</v>
      </c>
      <c r="I49" s="10">
        <f>SUMIFS('PLAN BUDGET SAMI-TF'!AR12:AR99999,'PLAN BUDGET SAMI-TF'!D12:D99999,SUMMARY!D49,'PLAN BUDGET SAMI-TF'!J12:J99999,SUMMARY!A49&amp;"*")</f>
        <v>0</v>
      </c>
      <c r="J49" s="10">
        <f>SUMIFS('PLAN BUDGET SAMI-TF'!AS12:AS99999,'PLAN BUDGET SAMI-TF'!D12:D99999,SUMMARY!D49,'PLAN BUDGET SAMI-TF'!J12:J99999,SUMMARY!A49&amp;"*")</f>
        <v>2</v>
      </c>
      <c r="K49" s="10">
        <f>SUMIFS('PLAN BUDGET SAMI-TF'!AT12:AT99999,'PLAN BUDGET SAMI-TF'!D12:D99999,SUMMARY!D49,'PLAN BUDGET SAMI-TF'!J12:J99999,SUMMARY!A49&amp;"*")</f>
        <v>0</v>
      </c>
      <c r="L49" s="10">
        <f>SUMIFS('PLAN BUDGET SAMI-TF'!AU12:AU99999,'PLAN BUDGET SAMI-TF'!D12:D99999,SUMMARY!D49,'PLAN BUDGET SAMI-TF'!J12:J99999,SUMMARY!A49&amp;"*")</f>
        <v>0</v>
      </c>
      <c r="M49" s="10">
        <f>SUMIFS('PLAN BUDGET SAMI-TF'!AV12:AV99999,'PLAN BUDGET SAMI-TF'!D12:D99999,SUMMARY!D49,'PLAN BUDGET SAMI-TF'!J12:J99999,SUMMARY!A49&amp;"*")</f>
        <v>0</v>
      </c>
      <c r="N49" s="10">
        <f>SUMIFS('PLAN BUDGET SAMI-TF'!AW12:AW99999,'PLAN BUDGET SAMI-TF'!D12:D99999,SUMMARY!D49,'PLAN BUDGET SAMI-TF'!J12:J99999,SUMMARY!A49&amp;"*")</f>
        <v>1</v>
      </c>
      <c r="O49" s="10">
        <f>SUMIFS('PLAN BUDGET SAMI-TF'!AX12:AX99999,'PLAN BUDGET SAMI-TF'!D12:D99999,SUMMARY!D49,'PLAN BUDGET SAMI-TF'!J12:J99999,SUMMARY!A49&amp;"*")</f>
        <v>1</v>
      </c>
      <c r="P49" s="10">
        <f>SUMIFS('PLAN BUDGET SAMI-TF'!AY12:AY99999,'PLAN BUDGET SAMI-TF'!D12:D99999,SUMMARY!D49,'PLAN BUDGET SAMI-TF'!J12:J99999,SUMMARY!A49&amp;"*")</f>
        <v>1</v>
      </c>
      <c r="Q49" s="10">
        <f>SUMIFS('PLAN BUDGET SAMI-TF'!BC12:BC99999,'PLAN BUDGET SAMI-TF'!D12:D99999,SUMMARY!D49,'PLAN BUDGET SAMI-TF'!J12:J99999,SUMMARY!A49&amp;"*")</f>
        <v>3.1015406428418002</v>
      </c>
      <c r="R49" s="10">
        <f>SUMIFS('PLAN BUDGET SAMI-TF'!BD12:BD99999,'PLAN BUDGET SAMI-TF'!D12:D99999,SUMMARY!D49,'PLAN BUDGET SAMI-TF'!J12:J99999,SUMMARY!A49&amp;"*")</f>
        <v>3.1064144924233998</v>
      </c>
      <c r="S49" s="10">
        <f>SUMIFS('PLAN BUDGET SAMI-TF'!BE12:BE99999,'PLAN BUDGET SAMI-TF'!D12:D99999,SUMMARY!D49,'PLAN BUDGET SAMI-TF'!J12:J99999,SUMMARY!A49&amp;"*")</f>
        <v>0</v>
      </c>
      <c r="T49" s="10">
        <f>SUMIFS('PLAN BUDGET SAMI-TF'!BF12:BF99999,'PLAN BUDGET SAMI-TF'!D12:D99999,SUMMARY!D49,'PLAN BUDGET SAMI-TF'!J12:J99999,SUMMARY!A49&amp;"*")</f>
        <v>0.61524913599939002</v>
      </c>
      <c r="U49" s="10">
        <f>SUMIFS('PLAN BUDGET SAMI-TF'!BG12:BG99999,'PLAN BUDGET SAMI-TF'!D12:D99999,SUMMARY!D49,'PLAN BUDGET SAMI-TF'!J12:J99999,SUMMARY!A49&amp;"*")</f>
        <v>0</v>
      </c>
      <c r="V49" s="10">
        <f>SUMIFS('PLAN BUDGET SAMI-TF'!BH12:BH99999,'PLAN BUDGET SAMI-TF'!D12:D99999,SUMMARY!D49,'PLAN BUDGET SAMI-TF'!J12:J99999,SUMMARY!A49&amp;"*")</f>
        <v>6.2079551352652</v>
      </c>
      <c r="W49" s="10">
        <f>SUMIFS('PLAN BUDGET SAMI-TF'!BI12:BI99999,'PLAN BUDGET SAMI-TF'!D12:D99999,SUMMARY!D49,'PLAN BUDGET SAMI-TF'!J12:J99999,SUMMARY!A49&amp;"*")</f>
        <v>0</v>
      </c>
      <c r="X49" s="10">
        <f>SUMIFS('PLAN BUDGET SAMI-TF'!BJ12:BJ99999,'PLAN BUDGET SAMI-TF'!D12:D99999,SUMMARY!D49,'PLAN BUDGET SAMI-TF'!J12:J99999,SUMMARY!A49&amp;"*")</f>
        <v>0</v>
      </c>
      <c r="Y49" s="10">
        <f>SUMIFS('PLAN BUDGET SAMI-TF'!BK12:BK99999,'PLAN BUDGET SAMI-TF'!D12:D99999,SUMMARY!D49,'PLAN BUDGET SAMI-TF'!J12:J99999,SUMMARY!A49&amp;"*")</f>
        <v>0</v>
      </c>
      <c r="Z49" s="10">
        <f>SUMIFS('PLAN BUDGET SAMI-TF'!BL12:BL99999,'PLAN BUDGET SAMI-TF'!D12:D99999,SUMMARY!D49,'PLAN BUDGET SAMI-TF'!J12:J99999,SUMMARY!A49&amp;"*")</f>
        <v>3.1064144924233998</v>
      </c>
      <c r="AA49" s="10">
        <f>SUMIFS('PLAN BUDGET SAMI-TF'!BM12:BM99999,'PLAN BUDGET SAMI-TF'!D12:D99999,SUMMARY!D49,'PLAN BUDGET SAMI-TF'!J12:J99999,SUMMARY!A49&amp;"*")</f>
        <v>3.1015406428418002</v>
      </c>
      <c r="AB49" s="10">
        <f>SUMIFS('PLAN BUDGET SAMI-TF'!BN12:BN99999,'PLAN BUDGET SAMI-TF'!D12:D99999,SUMMARY!D49,'PLAN BUDGET SAMI-TF'!J12:J99999,SUMMARY!A49&amp;"*")</f>
        <v>0.61524913599939002</v>
      </c>
      <c r="AC49" s="10">
        <f t="shared" si="4"/>
        <v>8</v>
      </c>
      <c r="AD49" s="10">
        <f t="shared" si="5"/>
        <v>19.854363677794382</v>
      </c>
      <c r="AE49" s="16"/>
      <c r="AF49" s="10">
        <v>8</v>
      </c>
      <c r="AG49" s="10">
        <v>19.820933500437</v>
      </c>
      <c r="AH49" s="20">
        <f t="shared" si="6"/>
        <v>0</v>
      </c>
      <c r="AI49" s="20">
        <f t="shared" si="7"/>
        <v>1.6866096320157801E-3</v>
      </c>
      <c r="AJ49" s="7" t="s">
        <v>849</v>
      </c>
    </row>
    <row r="50" spans="1:36" x14ac:dyDescent="0.35">
      <c r="A50" s="7" t="s">
        <v>48</v>
      </c>
      <c r="B50" s="7"/>
      <c r="C50" s="7"/>
      <c r="D50" s="7" t="s">
        <v>438</v>
      </c>
      <c r="E50" s="10">
        <f>SUMIFS('PLAN BUDGET SAMI-TF'!AN12:AN99999,'PLAN BUDGET SAMI-TF'!D12:D99999,SUMMARY!D50,'PLAN BUDGET SAMI-TF'!J12:J99999,SUMMARY!A50&amp;"*")</f>
        <v>0</v>
      </c>
      <c r="F50" s="10">
        <f>SUMIFS('PLAN BUDGET SAMI-TF'!AO12:AO99999,'PLAN BUDGET SAMI-TF'!D12:D99999,SUMMARY!D50,'PLAN BUDGET SAMI-TF'!J12:J99999,SUMMARY!A50&amp;"*")</f>
        <v>1</v>
      </c>
      <c r="G50" s="10">
        <f>SUMIFS('PLAN BUDGET SAMI-TF'!AP12:AP99999,'PLAN BUDGET SAMI-TF'!D12:D99999,SUMMARY!D50,'PLAN BUDGET SAMI-TF'!J12:J99999,SUMMARY!A50&amp;"*")</f>
        <v>0</v>
      </c>
      <c r="H50" s="10">
        <f>SUMIFS('PLAN BUDGET SAMI-TF'!AQ12:AQ99999,'PLAN BUDGET SAMI-TF'!D12:D99999,SUMMARY!D50,'PLAN BUDGET SAMI-TF'!J12:J99999,SUMMARY!A50&amp;"*")</f>
        <v>0</v>
      </c>
      <c r="I50" s="10">
        <f>SUMIFS('PLAN BUDGET SAMI-TF'!AR12:AR99999,'PLAN BUDGET SAMI-TF'!D12:D99999,SUMMARY!D50,'PLAN BUDGET SAMI-TF'!J12:J99999,SUMMARY!A50&amp;"*")</f>
        <v>0</v>
      </c>
      <c r="J50" s="10">
        <f>SUMIFS('PLAN BUDGET SAMI-TF'!AS12:AS99999,'PLAN BUDGET SAMI-TF'!D12:D99999,SUMMARY!D50,'PLAN BUDGET SAMI-TF'!J12:J99999,SUMMARY!A50&amp;"*")</f>
        <v>0</v>
      </c>
      <c r="K50" s="10">
        <f>SUMIFS('PLAN BUDGET SAMI-TF'!AT12:AT99999,'PLAN BUDGET SAMI-TF'!D12:D99999,SUMMARY!D50,'PLAN BUDGET SAMI-TF'!J12:J99999,SUMMARY!A50&amp;"*")</f>
        <v>1</v>
      </c>
      <c r="L50" s="10">
        <f>SUMIFS('PLAN BUDGET SAMI-TF'!AU12:AU99999,'PLAN BUDGET SAMI-TF'!D12:D99999,SUMMARY!D50,'PLAN BUDGET SAMI-TF'!J12:J99999,SUMMARY!A50&amp;"*")</f>
        <v>0</v>
      </c>
      <c r="M50" s="10">
        <f>SUMIFS('PLAN BUDGET SAMI-TF'!AV12:AV99999,'PLAN BUDGET SAMI-TF'!D12:D99999,SUMMARY!D50,'PLAN BUDGET SAMI-TF'!J12:J99999,SUMMARY!A50&amp;"*")</f>
        <v>0</v>
      </c>
      <c r="N50" s="10">
        <f>SUMIFS('PLAN BUDGET SAMI-TF'!AW12:AW99999,'PLAN BUDGET SAMI-TF'!D12:D99999,SUMMARY!D50,'PLAN BUDGET SAMI-TF'!J12:J99999,SUMMARY!A50&amp;"*")</f>
        <v>0</v>
      </c>
      <c r="O50" s="10">
        <f>SUMIFS('PLAN BUDGET SAMI-TF'!AX12:AX99999,'PLAN BUDGET SAMI-TF'!D12:D99999,SUMMARY!D50,'PLAN BUDGET SAMI-TF'!J12:J99999,SUMMARY!A50&amp;"*")</f>
        <v>0</v>
      </c>
      <c r="P50" s="10">
        <f>SUMIFS('PLAN BUDGET SAMI-TF'!AY12:AY99999,'PLAN BUDGET SAMI-TF'!D12:D99999,SUMMARY!D50,'PLAN BUDGET SAMI-TF'!J12:J99999,SUMMARY!A50&amp;"*")</f>
        <v>0</v>
      </c>
      <c r="Q50" s="10">
        <f>SUMIFS('PLAN BUDGET SAMI-TF'!BC12:BC99999,'PLAN BUDGET SAMI-TF'!D12:D99999,SUMMARY!D50,'PLAN BUDGET SAMI-TF'!J12:J99999,SUMMARY!A50&amp;"*")</f>
        <v>0</v>
      </c>
      <c r="R50" s="10">
        <f>SUMIFS('PLAN BUDGET SAMI-TF'!BD12:BD99999,'PLAN BUDGET SAMI-TF'!D12:D99999,SUMMARY!D50,'PLAN BUDGET SAMI-TF'!J12:J99999,SUMMARY!A50&amp;"*")</f>
        <v>50.637398250478</v>
      </c>
      <c r="S50" s="10">
        <f>SUMIFS('PLAN BUDGET SAMI-TF'!BE12:BE99999,'PLAN BUDGET SAMI-TF'!D12:D99999,SUMMARY!D50,'PLAN BUDGET SAMI-TF'!J12:J99999,SUMMARY!A50&amp;"*")</f>
        <v>0</v>
      </c>
      <c r="T50" s="10">
        <f>SUMIFS('PLAN BUDGET SAMI-TF'!BF12:BF99999,'PLAN BUDGET SAMI-TF'!D12:D99999,SUMMARY!D50,'PLAN BUDGET SAMI-TF'!J12:J99999,SUMMARY!A50&amp;"*")</f>
        <v>0</v>
      </c>
      <c r="U50" s="10">
        <f>SUMIFS('PLAN BUDGET SAMI-TF'!BG12:BG99999,'PLAN BUDGET SAMI-TF'!D12:D99999,SUMMARY!D50,'PLAN BUDGET SAMI-TF'!J12:J99999,SUMMARY!A50&amp;"*")</f>
        <v>0</v>
      </c>
      <c r="V50" s="10">
        <f>SUMIFS('PLAN BUDGET SAMI-TF'!BH12:BH99999,'PLAN BUDGET SAMI-TF'!D12:D99999,SUMMARY!D50,'PLAN BUDGET SAMI-TF'!J12:J99999,SUMMARY!A50&amp;"*")</f>
        <v>0</v>
      </c>
      <c r="W50" s="10">
        <f>SUMIFS('PLAN BUDGET SAMI-TF'!BI12:BI99999,'PLAN BUDGET SAMI-TF'!D12:D99999,SUMMARY!D50,'PLAN BUDGET SAMI-TF'!J12:J99999,SUMMARY!A50&amp;"*")</f>
        <v>50.637398250478</v>
      </c>
      <c r="X50" s="10">
        <f>SUMIFS('PLAN BUDGET SAMI-TF'!BJ12:BJ99999,'PLAN BUDGET SAMI-TF'!D12:D99999,SUMMARY!D50,'PLAN BUDGET SAMI-TF'!J12:J99999,SUMMARY!A50&amp;"*")</f>
        <v>0</v>
      </c>
      <c r="Y50" s="10">
        <f>SUMIFS('PLAN BUDGET SAMI-TF'!BK12:BK99999,'PLAN BUDGET SAMI-TF'!D12:D99999,SUMMARY!D50,'PLAN BUDGET SAMI-TF'!J12:J99999,SUMMARY!A50&amp;"*")</f>
        <v>0</v>
      </c>
      <c r="Z50" s="10">
        <f>SUMIFS('PLAN BUDGET SAMI-TF'!BL12:BL99999,'PLAN BUDGET SAMI-TF'!D12:D99999,SUMMARY!D50,'PLAN BUDGET SAMI-TF'!J12:J99999,SUMMARY!A50&amp;"*")</f>
        <v>0</v>
      </c>
      <c r="AA50" s="10">
        <f>SUMIFS('PLAN BUDGET SAMI-TF'!BM12:BM99999,'PLAN BUDGET SAMI-TF'!D12:D99999,SUMMARY!D50,'PLAN BUDGET SAMI-TF'!J12:J99999,SUMMARY!A50&amp;"*")</f>
        <v>0</v>
      </c>
      <c r="AB50" s="10">
        <f>SUMIFS('PLAN BUDGET SAMI-TF'!BN12:BN99999,'PLAN BUDGET SAMI-TF'!D12:D99999,SUMMARY!D50,'PLAN BUDGET SAMI-TF'!J12:J99999,SUMMARY!A50&amp;"*")</f>
        <v>0</v>
      </c>
      <c r="AC50" s="10">
        <f t="shared" si="4"/>
        <v>2</v>
      </c>
      <c r="AD50" s="10">
        <f t="shared" si="5"/>
        <v>101.274796500956</v>
      </c>
      <c r="AE50" s="16"/>
      <c r="AF50" s="10">
        <v>0</v>
      </c>
      <c r="AG50" s="10">
        <v>0</v>
      </c>
      <c r="AH50" s="20">
        <f t="shared" si="6"/>
        <v>1</v>
      </c>
      <c r="AI50" s="20">
        <f t="shared" si="7"/>
        <v>1</v>
      </c>
      <c r="AJ50" s="7" t="s">
        <v>863</v>
      </c>
    </row>
    <row r="51" spans="1:36" x14ac:dyDescent="0.35">
      <c r="A51" s="7" t="s">
        <v>48</v>
      </c>
      <c r="B51" s="7"/>
      <c r="C51" s="7"/>
      <c r="D51" s="7" t="s">
        <v>161</v>
      </c>
      <c r="E51" s="10">
        <f>SUMIFS('PLAN BUDGET SAMI-TF'!AN12:AN99999,'PLAN BUDGET SAMI-TF'!D12:D99999,SUMMARY!D51,'PLAN BUDGET SAMI-TF'!J12:J99999,SUMMARY!A51&amp;"*")</f>
        <v>110</v>
      </c>
      <c r="F51" s="10">
        <f>SUMIFS('PLAN BUDGET SAMI-TF'!AO12:AO99999,'PLAN BUDGET SAMI-TF'!D12:D99999,SUMMARY!D51,'PLAN BUDGET SAMI-TF'!J12:J99999,SUMMARY!A51&amp;"*")</f>
        <v>105</v>
      </c>
      <c r="G51" s="10">
        <f>SUMIFS('PLAN BUDGET SAMI-TF'!AP12:AP99999,'PLAN BUDGET SAMI-TF'!D12:D99999,SUMMARY!D51,'PLAN BUDGET SAMI-TF'!J12:J99999,SUMMARY!A51&amp;"*")</f>
        <v>80</v>
      </c>
      <c r="H51" s="10">
        <f>SUMIFS('PLAN BUDGET SAMI-TF'!AQ12:AQ99999,'PLAN BUDGET SAMI-TF'!D12:D99999,SUMMARY!D51,'PLAN BUDGET SAMI-TF'!J12:J99999,SUMMARY!A51&amp;"*")</f>
        <v>45</v>
      </c>
      <c r="I51" s="10">
        <f>SUMIFS('PLAN BUDGET SAMI-TF'!AR12:AR99999,'PLAN BUDGET SAMI-TF'!D12:D99999,SUMMARY!D51,'PLAN BUDGET SAMI-TF'!J12:J99999,SUMMARY!A51&amp;"*")</f>
        <v>0</v>
      </c>
      <c r="J51" s="10">
        <f>SUMIFS('PLAN BUDGET SAMI-TF'!AS12:AS99999,'PLAN BUDGET SAMI-TF'!D12:D99999,SUMMARY!D51,'PLAN BUDGET SAMI-TF'!J12:J99999,SUMMARY!A51&amp;"*")</f>
        <v>90</v>
      </c>
      <c r="K51" s="10">
        <f>SUMIFS('PLAN BUDGET SAMI-TF'!AT12:AT99999,'PLAN BUDGET SAMI-TF'!D12:D99999,SUMMARY!D51,'PLAN BUDGET SAMI-TF'!J12:J99999,SUMMARY!A51&amp;"*")</f>
        <v>105</v>
      </c>
      <c r="L51" s="10">
        <f>SUMIFS('PLAN BUDGET SAMI-TF'!AU12:AU99999,'PLAN BUDGET SAMI-TF'!D12:D99999,SUMMARY!D51,'PLAN BUDGET SAMI-TF'!J12:J99999,SUMMARY!A51&amp;"*")</f>
        <v>105</v>
      </c>
      <c r="M51" s="10">
        <f>SUMIFS('PLAN BUDGET SAMI-TF'!AV12:AV99999,'PLAN BUDGET SAMI-TF'!D12:D99999,SUMMARY!D51,'PLAN BUDGET SAMI-TF'!J12:J99999,SUMMARY!A51&amp;"*")</f>
        <v>0</v>
      </c>
      <c r="N51" s="10">
        <f>SUMIFS('PLAN BUDGET SAMI-TF'!AW12:AW99999,'PLAN BUDGET SAMI-TF'!D12:D99999,SUMMARY!D51,'PLAN BUDGET SAMI-TF'!J12:J99999,SUMMARY!A51&amp;"*")</f>
        <v>45</v>
      </c>
      <c r="O51" s="10">
        <f>SUMIFS('PLAN BUDGET SAMI-TF'!AX12:AX99999,'PLAN BUDGET SAMI-TF'!D12:D99999,SUMMARY!D51,'PLAN BUDGET SAMI-TF'!J12:J99999,SUMMARY!A51&amp;"*")</f>
        <v>70</v>
      </c>
      <c r="P51" s="10">
        <f>SUMIFS('PLAN BUDGET SAMI-TF'!AY12:AY99999,'PLAN BUDGET SAMI-TF'!D12:D99999,SUMMARY!D51,'PLAN BUDGET SAMI-TF'!J12:J99999,SUMMARY!A51&amp;"*")</f>
        <v>30</v>
      </c>
      <c r="Q51" s="10">
        <f>SUMIFS('PLAN BUDGET SAMI-TF'!BC12:BC99999,'PLAN BUDGET SAMI-TF'!D12:D99999,SUMMARY!D51,'PLAN BUDGET SAMI-TF'!J12:J99999,SUMMARY!A51&amp;"*")</f>
        <v>348.13211297203702</v>
      </c>
      <c r="R51" s="10">
        <f>SUMIFS('PLAN BUDGET SAMI-TF'!BD12:BD99999,'PLAN BUDGET SAMI-TF'!D12:D99999,SUMMARY!D51,'PLAN BUDGET SAMI-TF'!J12:J99999,SUMMARY!A51&amp;"*")</f>
        <v>332.30792601876601</v>
      </c>
      <c r="S51" s="10">
        <f>SUMIFS('PLAN BUDGET SAMI-TF'!BE12:BE99999,'PLAN BUDGET SAMI-TF'!D12:D99999,SUMMARY!D51,'PLAN BUDGET SAMI-TF'!J12:J99999,SUMMARY!A51&amp;"*")</f>
        <v>253.18699125238999</v>
      </c>
      <c r="T51" s="10">
        <f>SUMIFS('PLAN BUDGET SAMI-TF'!BF12:BF99999,'PLAN BUDGET SAMI-TF'!D12:D99999,SUMMARY!D51,'PLAN BUDGET SAMI-TF'!J12:J99999,SUMMARY!A51&amp;"*")</f>
        <v>142.41768257946899</v>
      </c>
      <c r="U51" s="10">
        <f>SUMIFS('PLAN BUDGET SAMI-TF'!BG12:BG99999,'PLAN BUDGET SAMI-TF'!D12:D99999,SUMMARY!D51,'PLAN BUDGET SAMI-TF'!J12:J99999,SUMMARY!A51&amp;"*")</f>
        <v>0</v>
      </c>
      <c r="V51" s="10">
        <f>SUMIFS('PLAN BUDGET SAMI-TF'!BH12:BH99999,'PLAN BUDGET SAMI-TF'!D12:D99999,SUMMARY!D51,'PLAN BUDGET SAMI-TF'!J12:J99999,SUMMARY!A51&amp;"*")</f>
        <v>284.83536515893599</v>
      </c>
      <c r="W51" s="10">
        <f>SUMIFS('PLAN BUDGET SAMI-TF'!BI12:BI99999,'PLAN BUDGET SAMI-TF'!D12:D99999,SUMMARY!D51,'PLAN BUDGET SAMI-TF'!J12:J99999,SUMMARY!A51&amp;"*")</f>
        <v>332.307926018763</v>
      </c>
      <c r="X51" s="10">
        <f>SUMIFS('PLAN BUDGET SAMI-TF'!BJ12:BJ99999,'PLAN BUDGET SAMI-TF'!D12:D99999,SUMMARY!D51,'PLAN BUDGET SAMI-TF'!J12:J99999,SUMMARY!A51&amp;"*")</f>
        <v>332.30792601876601</v>
      </c>
      <c r="Y51" s="10">
        <f>SUMIFS('PLAN BUDGET SAMI-TF'!BK12:BK99999,'PLAN BUDGET SAMI-TF'!D12:D99999,SUMMARY!D51,'PLAN BUDGET SAMI-TF'!J12:J99999,SUMMARY!A51&amp;"*")</f>
        <v>0</v>
      </c>
      <c r="Z51" s="10">
        <f>SUMIFS('PLAN BUDGET SAMI-TF'!BL12:BL99999,'PLAN BUDGET SAMI-TF'!D12:D99999,SUMMARY!D51,'PLAN BUDGET SAMI-TF'!J12:J99999,SUMMARY!A51&amp;"*")</f>
        <v>142.41768257946899</v>
      </c>
      <c r="AA51" s="10">
        <f>SUMIFS('PLAN BUDGET SAMI-TF'!BM12:BM99999,'PLAN BUDGET SAMI-TF'!D12:D99999,SUMMARY!D51,'PLAN BUDGET SAMI-TF'!J12:J99999,SUMMARY!A51&amp;"*")</f>
        <v>221.53861734584001</v>
      </c>
      <c r="AB51" s="10">
        <f>SUMIFS('PLAN BUDGET SAMI-TF'!BN12:BN99999,'PLAN BUDGET SAMI-TF'!D12:D99999,SUMMARY!D51,'PLAN BUDGET SAMI-TF'!J12:J99999,SUMMARY!A51&amp;"*")</f>
        <v>94.945121719645996</v>
      </c>
      <c r="AC51" s="10">
        <f t="shared" si="4"/>
        <v>785</v>
      </c>
      <c r="AD51" s="10">
        <f t="shared" si="5"/>
        <v>2484.3973516640822</v>
      </c>
      <c r="AE51" s="16"/>
      <c r="AF51" s="10">
        <v>440</v>
      </c>
      <c r="AG51" s="10">
        <v>1392.5284518881001</v>
      </c>
      <c r="AH51" s="20">
        <f t="shared" si="6"/>
        <v>0.78409090909090906</v>
      </c>
      <c r="AI51" s="20">
        <f t="shared" si="7"/>
        <v>0.78409090909097046</v>
      </c>
      <c r="AJ51" s="67" t="s">
        <v>870</v>
      </c>
    </row>
    <row r="52" spans="1:36" x14ac:dyDescent="0.35">
      <c r="A52" s="7" t="s">
        <v>48</v>
      </c>
      <c r="B52" s="7"/>
      <c r="C52" s="7"/>
      <c r="D52" s="7" t="s">
        <v>136</v>
      </c>
      <c r="E52" s="10">
        <f>SUMIFS('PLAN BUDGET SAMI-TF'!AN12:AN99999,'PLAN BUDGET SAMI-TF'!D12:D99999,SUMMARY!D52,'PLAN BUDGET SAMI-TF'!J12:J99999,SUMMARY!A52&amp;"*")</f>
        <v>0</v>
      </c>
      <c r="F52" s="10">
        <f>SUMIFS('PLAN BUDGET SAMI-TF'!AO12:AO99999,'PLAN BUDGET SAMI-TF'!D12:D99999,SUMMARY!D52,'PLAN BUDGET SAMI-TF'!J12:J99999,SUMMARY!A52&amp;"*")</f>
        <v>0</v>
      </c>
      <c r="G52" s="10">
        <f>SUMIFS('PLAN BUDGET SAMI-TF'!AP12:AP99999,'PLAN BUDGET SAMI-TF'!D12:D99999,SUMMARY!D52,'PLAN BUDGET SAMI-TF'!J12:J99999,SUMMARY!A52&amp;"*")</f>
        <v>2</v>
      </c>
      <c r="H52" s="10">
        <f>SUMIFS('PLAN BUDGET SAMI-TF'!AQ12:AQ99999,'PLAN BUDGET SAMI-TF'!D12:D99999,SUMMARY!D52,'PLAN BUDGET SAMI-TF'!J12:J99999,SUMMARY!A52&amp;"*")</f>
        <v>0</v>
      </c>
      <c r="I52" s="10">
        <f>SUMIFS('PLAN BUDGET SAMI-TF'!AR12:AR99999,'PLAN BUDGET SAMI-TF'!D12:D99999,SUMMARY!D52,'PLAN BUDGET SAMI-TF'!J12:J99999,SUMMARY!A52&amp;"*")</f>
        <v>11</v>
      </c>
      <c r="J52" s="10">
        <f>SUMIFS('PLAN BUDGET SAMI-TF'!AS12:AS99999,'PLAN BUDGET SAMI-TF'!D12:D99999,SUMMARY!D52,'PLAN BUDGET SAMI-TF'!J12:J99999,SUMMARY!A52&amp;"*")</f>
        <v>14</v>
      </c>
      <c r="K52" s="10">
        <f>SUMIFS('PLAN BUDGET SAMI-TF'!AT12:AT99999,'PLAN BUDGET SAMI-TF'!D12:D99999,SUMMARY!D52,'PLAN BUDGET SAMI-TF'!J12:J99999,SUMMARY!A52&amp;"*")</f>
        <v>0</v>
      </c>
      <c r="L52" s="10">
        <f>SUMIFS('PLAN BUDGET SAMI-TF'!AU12:AU99999,'PLAN BUDGET SAMI-TF'!D12:D99999,SUMMARY!D52,'PLAN BUDGET SAMI-TF'!J12:J99999,SUMMARY!A52&amp;"*")</f>
        <v>0</v>
      </c>
      <c r="M52" s="10">
        <f>SUMIFS('PLAN BUDGET SAMI-TF'!AV12:AV99999,'PLAN BUDGET SAMI-TF'!D12:D99999,SUMMARY!D52,'PLAN BUDGET SAMI-TF'!J12:J99999,SUMMARY!A52&amp;"*")</f>
        <v>0</v>
      </c>
      <c r="N52" s="10">
        <f>SUMIFS('PLAN BUDGET SAMI-TF'!AW12:AW99999,'PLAN BUDGET SAMI-TF'!D12:D99999,SUMMARY!D52,'PLAN BUDGET SAMI-TF'!J12:J99999,SUMMARY!A52&amp;"*")</f>
        <v>0</v>
      </c>
      <c r="O52" s="10">
        <f>SUMIFS('PLAN BUDGET SAMI-TF'!AX12:AX99999,'PLAN BUDGET SAMI-TF'!D12:D99999,SUMMARY!D52,'PLAN BUDGET SAMI-TF'!J12:J99999,SUMMARY!A52&amp;"*")</f>
        <v>0</v>
      </c>
      <c r="P52" s="10">
        <f>SUMIFS('PLAN BUDGET SAMI-TF'!AY12:AY99999,'PLAN BUDGET SAMI-TF'!D12:D99999,SUMMARY!D52,'PLAN BUDGET SAMI-TF'!J12:J99999,SUMMARY!A52&amp;"*")</f>
        <v>4</v>
      </c>
      <c r="Q52" s="10">
        <f>SUMIFS('PLAN BUDGET SAMI-TF'!BC12:BC99999,'PLAN BUDGET SAMI-TF'!D12:D99999,SUMMARY!D52,'PLAN BUDGET SAMI-TF'!J12:J99999,SUMMARY!A52&amp;"*")</f>
        <v>0</v>
      </c>
      <c r="R52" s="10">
        <f>SUMIFS('PLAN BUDGET SAMI-TF'!BD12:BD99999,'PLAN BUDGET SAMI-TF'!D12:D99999,SUMMARY!D52,'PLAN BUDGET SAMI-TF'!J12:J99999,SUMMARY!A52&amp;"*")</f>
        <v>0</v>
      </c>
      <c r="S52" s="10">
        <f>SUMIFS('PLAN BUDGET SAMI-TF'!BE12:BE99999,'PLAN BUDGET SAMI-TF'!D12:D99999,SUMMARY!D52,'PLAN BUDGET SAMI-TF'!J12:J99999,SUMMARY!A52&amp;"*")</f>
        <v>151.91219475143001</v>
      </c>
      <c r="T52" s="10">
        <f>SUMIFS('PLAN BUDGET SAMI-TF'!BF12:BF99999,'PLAN BUDGET SAMI-TF'!D12:D99999,SUMMARY!D52,'PLAN BUDGET SAMI-TF'!J12:J99999,SUMMARY!A52&amp;"*")</f>
        <v>0</v>
      </c>
      <c r="U52" s="10">
        <f>SUMIFS('PLAN BUDGET SAMI-TF'!BG12:BG99999,'PLAN BUDGET SAMI-TF'!D12:D99999,SUMMARY!D52,'PLAN BUDGET SAMI-TF'!J12:J99999,SUMMARY!A52&amp;"*")</f>
        <v>734.24227463192994</v>
      </c>
      <c r="V52" s="10">
        <f>SUMIFS('PLAN BUDGET SAMI-TF'!BH12:BH99999,'PLAN BUDGET SAMI-TF'!D12:D99999,SUMMARY!D52,'PLAN BUDGET SAMI-TF'!J12:J99999,SUMMARY!A52&amp;"*")</f>
        <v>2100</v>
      </c>
      <c r="W52" s="10">
        <f>SUMIFS('PLAN BUDGET SAMI-TF'!BI12:BI99999,'PLAN BUDGET SAMI-TF'!D12:D99999,SUMMARY!D52,'PLAN BUDGET SAMI-TF'!J12:J99999,SUMMARY!A52&amp;"*")</f>
        <v>0</v>
      </c>
      <c r="X52" s="10">
        <f>SUMIFS('PLAN BUDGET SAMI-TF'!BJ12:BJ99999,'PLAN BUDGET SAMI-TF'!D12:D99999,SUMMARY!D52,'PLAN BUDGET SAMI-TF'!J12:J99999,SUMMARY!A52&amp;"*")</f>
        <v>0</v>
      </c>
      <c r="Y52" s="10">
        <f>SUMIFS('PLAN BUDGET SAMI-TF'!BK12:BK99999,'PLAN BUDGET SAMI-TF'!D12:D99999,SUMMARY!D52,'PLAN BUDGET SAMI-TF'!J12:J99999,SUMMARY!A52&amp;"*")</f>
        <v>0</v>
      </c>
      <c r="Z52" s="10">
        <f>SUMIFS('PLAN BUDGET SAMI-TF'!BL12:BL99999,'PLAN BUDGET SAMI-TF'!D12:D99999,SUMMARY!D52,'PLAN BUDGET SAMI-TF'!J12:J99999,SUMMARY!A52&amp;"*")</f>
        <v>0</v>
      </c>
      <c r="AA52" s="10">
        <f>SUMIFS('PLAN BUDGET SAMI-TF'!BM12:BM99999,'PLAN BUDGET SAMI-TF'!D12:D99999,SUMMARY!D52,'PLAN BUDGET SAMI-TF'!J12:J99999,SUMMARY!A52&amp;"*")</f>
        <v>0</v>
      </c>
      <c r="AB52" s="10">
        <f>SUMIFS('PLAN BUDGET SAMI-TF'!BN12:BN99999,'PLAN BUDGET SAMI-TF'!D12:D99999,SUMMARY!D52,'PLAN BUDGET SAMI-TF'!J12:J99999,SUMMARY!A52&amp;"*")</f>
        <v>253.18699125238999</v>
      </c>
      <c r="AC52" s="10">
        <f t="shared" si="4"/>
        <v>31</v>
      </c>
      <c r="AD52" s="10">
        <f t="shared" si="5"/>
        <v>3239.3414606357496</v>
      </c>
      <c r="AE52" s="16"/>
      <c r="AF52" s="10">
        <v>27</v>
      </c>
      <c r="AG52" s="10">
        <v>881.38046937346996</v>
      </c>
      <c r="AH52" s="20">
        <f t="shared" si="6"/>
        <v>0.14814814814814814</v>
      </c>
      <c r="AI52" s="20">
        <f t="shared" si="7"/>
        <v>2.6753043358658015</v>
      </c>
      <c r="AJ52" s="7" t="s">
        <v>865</v>
      </c>
    </row>
    <row r="53" spans="1:36" x14ac:dyDescent="0.35">
      <c r="A53" s="7" t="s">
        <v>48</v>
      </c>
      <c r="B53" s="7"/>
      <c r="C53" s="7"/>
      <c r="D53" s="7" t="s">
        <v>66</v>
      </c>
      <c r="E53" s="10">
        <f>SUMIFS('PLAN BUDGET SAMI-TF'!AN12:AN99999,'PLAN BUDGET SAMI-TF'!D12:D99999,SUMMARY!D53,'PLAN BUDGET SAMI-TF'!J12:J99999,SUMMARY!A53&amp;"*")</f>
        <v>0</v>
      </c>
      <c r="F53" s="10">
        <f>SUMIFS('PLAN BUDGET SAMI-TF'!AO12:AO99999,'PLAN BUDGET SAMI-TF'!D12:D99999,SUMMARY!D53,'PLAN BUDGET SAMI-TF'!J12:J99999,SUMMARY!A53&amp;"*")</f>
        <v>0</v>
      </c>
      <c r="G53" s="10">
        <f>SUMIFS('PLAN BUDGET SAMI-TF'!AP12:AP99999,'PLAN BUDGET SAMI-TF'!D12:D99999,SUMMARY!D53,'PLAN BUDGET SAMI-TF'!J12:J99999,SUMMARY!A53&amp;"*")</f>
        <v>1</v>
      </c>
      <c r="H53" s="10">
        <f>SUMIFS('PLAN BUDGET SAMI-TF'!AQ12:AQ99999,'PLAN BUDGET SAMI-TF'!D12:D99999,SUMMARY!D53,'PLAN BUDGET SAMI-TF'!J12:J99999,SUMMARY!A53&amp;"*")</f>
        <v>0</v>
      </c>
      <c r="I53" s="10">
        <f>SUMIFS('PLAN BUDGET SAMI-TF'!AR12:AR99999,'PLAN BUDGET SAMI-TF'!D12:D99999,SUMMARY!D53,'PLAN BUDGET SAMI-TF'!J12:J99999,SUMMARY!A53&amp;"*")</f>
        <v>0</v>
      </c>
      <c r="J53" s="10">
        <f>SUMIFS('PLAN BUDGET SAMI-TF'!AS12:AS99999,'PLAN BUDGET SAMI-TF'!D12:D99999,SUMMARY!D53,'PLAN BUDGET SAMI-TF'!J12:J99999,SUMMARY!A53&amp;"*")</f>
        <v>1</v>
      </c>
      <c r="K53" s="10">
        <f>SUMIFS('PLAN BUDGET SAMI-TF'!AT12:AT99999,'PLAN BUDGET SAMI-TF'!D12:D99999,SUMMARY!D53,'PLAN BUDGET SAMI-TF'!J12:J99999,SUMMARY!A53&amp;"*")</f>
        <v>0</v>
      </c>
      <c r="L53" s="10">
        <f>SUMIFS('PLAN BUDGET SAMI-TF'!AU12:AU99999,'PLAN BUDGET SAMI-TF'!D12:D99999,SUMMARY!D53,'PLAN BUDGET SAMI-TF'!J12:J99999,SUMMARY!A53&amp;"*")</f>
        <v>0</v>
      </c>
      <c r="M53" s="10">
        <f>SUMIFS('PLAN BUDGET SAMI-TF'!AV12:AV99999,'PLAN BUDGET SAMI-TF'!D12:D99999,SUMMARY!D53,'PLAN BUDGET SAMI-TF'!J12:J99999,SUMMARY!A53&amp;"*")</f>
        <v>1</v>
      </c>
      <c r="N53" s="10">
        <f>SUMIFS('PLAN BUDGET SAMI-TF'!AW12:AW99999,'PLAN BUDGET SAMI-TF'!D12:D99999,SUMMARY!D53,'PLAN BUDGET SAMI-TF'!J12:J99999,SUMMARY!A53&amp;"*")</f>
        <v>0</v>
      </c>
      <c r="O53" s="10">
        <f>SUMIFS('PLAN BUDGET SAMI-TF'!AX12:AX99999,'PLAN BUDGET SAMI-TF'!D12:D99999,SUMMARY!D53,'PLAN BUDGET SAMI-TF'!J12:J99999,SUMMARY!A53&amp;"*")</f>
        <v>0</v>
      </c>
      <c r="P53" s="10">
        <f>SUMIFS('PLAN BUDGET SAMI-TF'!AY12:AY99999,'PLAN BUDGET SAMI-TF'!D12:D99999,SUMMARY!D53,'PLAN BUDGET SAMI-TF'!J12:J99999,SUMMARY!A53&amp;"*")</f>
        <v>1</v>
      </c>
      <c r="Q53" s="10">
        <f>SUMIFS('PLAN BUDGET SAMI-TF'!BC12:BC99999,'PLAN BUDGET SAMI-TF'!D12:D99999,SUMMARY!D53,'PLAN BUDGET SAMI-TF'!J12:J99999,SUMMARY!A53&amp;"*")</f>
        <v>0</v>
      </c>
      <c r="R53" s="10">
        <f>SUMIFS('PLAN BUDGET SAMI-TF'!BD12:BD99999,'PLAN BUDGET SAMI-TF'!D12:D99999,SUMMARY!D53,'PLAN BUDGET SAMI-TF'!J12:J99999,SUMMARY!A53&amp;"*")</f>
        <v>0</v>
      </c>
      <c r="S53" s="10">
        <f>SUMIFS('PLAN BUDGET SAMI-TF'!BE12:BE99999,'PLAN BUDGET SAMI-TF'!D12:D99999,SUMMARY!D53,'PLAN BUDGET SAMI-TF'!J12:J99999,SUMMARY!A53&amp;"*")</f>
        <v>0.60448394161508001</v>
      </c>
      <c r="T53" s="10">
        <f>SUMIFS('PLAN BUDGET SAMI-TF'!BF12:BF99999,'PLAN BUDGET SAMI-TF'!D12:D99999,SUMMARY!D53,'PLAN BUDGET SAMI-TF'!J12:J99999,SUMMARY!A53&amp;"*")</f>
        <v>0</v>
      </c>
      <c r="U53" s="10">
        <f>SUMIFS('PLAN BUDGET SAMI-TF'!BG12:BG99999,'PLAN BUDGET SAMI-TF'!D12:D99999,SUMMARY!D53,'PLAN BUDGET SAMI-TF'!J12:J99999,SUMMARY!A53&amp;"*")</f>
        <v>0</v>
      </c>
      <c r="V53" s="10">
        <f>SUMIFS('PLAN BUDGET SAMI-TF'!BH12:BH99999,'PLAN BUDGET SAMI-TF'!D12:D99999,SUMMARY!D53,'PLAN BUDGET SAMI-TF'!J12:J99999,SUMMARY!A53&amp;"*")</f>
        <v>0.60448394161508001</v>
      </c>
      <c r="W53" s="10">
        <f>SUMIFS('PLAN BUDGET SAMI-TF'!BI12:BI99999,'PLAN BUDGET SAMI-TF'!D12:D99999,SUMMARY!D53,'PLAN BUDGET SAMI-TF'!J12:J99999,SUMMARY!A53&amp;"*")</f>
        <v>0</v>
      </c>
      <c r="X53" s="10">
        <f>SUMIFS('PLAN BUDGET SAMI-TF'!BJ12:BJ99999,'PLAN BUDGET SAMI-TF'!D12:D99999,SUMMARY!D53,'PLAN BUDGET SAMI-TF'!J12:J99999,SUMMARY!A53&amp;"*")</f>
        <v>0</v>
      </c>
      <c r="Y53" s="10">
        <f>SUMIFS('PLAN BUDGET SAMI-TF'!BK12:BK99999,'PLAN BUDGET SAMI-TF'!D12:D99999,SUMMARY!D53,'PLAN BUDGET SAMI-TF'!J12:J99999,SUMMARY!A53&amp;"*")</f>
        <v>0.60448394161508001</v>
      </c>
      <c r="Z53" s="10">
        <f>SUMIFS('PLAN BUDGET SAMI-TF'!BL12:BL99999,'PLAN BUDGET SAMI-TF'!D12:D99999,SUMMARY!D53,'PLAN BUDGET SAMI-TF'!J12:J99999,SUMMARY!A53&amp;"*")</f>
        <v>0</v>
      </c>
      <c r="AA53" s="10">
        <f>SUMIFS('PLAN BUDGET SAMI-TF'!BM12:BM99999,'PLAN BUDGET SAMI-TF'!D12:D99999,SUMMARY!D53,'PLAN BUDGET SAMI-TF'!J12:J99999,SUMMARY!A53&amp;"*")</f>
        <v>0</v>
      </c>
      <c r="AB53" s="10">
        <f>SUMIFS('PLAN BUDGET SAMI-TF'!BN12:BN99999,'PLAN BUDGET SAMI-TF'!D12:D99999,SUMMARY!D53,'PLAN BUDGET SAMI-TF'!J12:J99999,SUMMARY!A53&amp;"*")</f>
        <v>0.60448394161508001</v>
      </c>
      <c r="AC53" s="10">
        <f t="shared" si="4"/>
        <v>4</v>
      </c>
      <c r="AD53" s="10">
        <f t="shared" si="5"/>
        <v>2.41793576646032</v>
      </c>
      <c r="AE53" s="16"/>
      <c r="AF53" s="10">
        <v>4</v>
      </c>
      <c r="AG53" s="10">
        <v>2.2090564986771</v>
      </c>
      <c r="AH53" s="20">
        <f t="shared" si="6"/>
        <v>0</v>
      </c>
      <c r="AI53" s="20">
        <f t="shared" si="7"/>
        <v>9.45558739255008E-2</v>
      </c>
      <c r="AJ53" s="7" t="s">
        <v>849</v>
      </c>
    </row>
    <row r="54" spans="1:36" x14ac:dyDescent="0.35">
      <c r="A54" s="7" t="s">
        <v>48</v>
      </c>
      <c r="B54" s="7"/>
      <c r="C54" s="7"/>
      <c r="D54" s="7" t="s">
        <v>214</v>
      </c>
      <c r="E54" s="10">
        <f>SUMIFS('PLAN BUDGET SAMI-TF'!AN12:AN99999,'PLAN BUDGET SAMI-TF'!D12:D99999,SUMMARY!D54,'PLAN BUDGET SAMI-TF'!J12:J99999,SUMMARY!A54&amp;"*")</f>
        <v>5</v>
      </c>
      <c r="F54" s="10">
        <f>SUMIFS('PLAN BUDGET SAMI-TF'!AO12:AO99999,'PLAN BUDGET SAMI-TF'!D12:D99999,SUMMARY!D54,'PLAN BUDGET SAMI-TF'!J12:J99999,SUMMARY!A54&amp;"*")</f>
        <v>0</v>
      </c>
      <c r="G54" s="10">
        <f>SUMIFS('PLAN BUDGET SAMI-TF'!AP12:AP99999,'PLAN BUDGET SAMI-TF'!D12:D99999,SUMMARY!D54,'PLAN BUDGET SAMI-TF'!J12:J99999,SUMMARY!A54&amp;"*")</f>
        <v>1</v>
      </c>
      <c r="H54" s="10">
        <f>SUMIFS('PLAN BUDGET SAMI-TF'!AQ12:AQ99999,'PLAN BUDGET SAMI-TF'!D12:D99999,SUMMARY!D54,'PLAN BUDGET SAMI-TF'!J12:J99999,SUMMARY!A54&amp;"*")</f>
        <v>3</v>
      </c>
      <c r="I54" s="10">
        <f>SUMIFS('PLAN BUDGET SAMI-TF'!AR12:AR99999,'PLAN BUDGET SAMI-TF'!D12:D99999,SUMMARY!D54,'PLAN BUDGET SAMI-TF'!J12:J99999,SUMMARY!A54&amp;"*")</f>
        <v>1</v>
      </c>
      <c r="J54" s="10">
        <f>SUMIFS('PLAN BUDGET SAMI-TF'!AS12:AS99999,'PLAN BUDGET SAMI-TF'!D12:D99999,SUMMARY!D54,'PLAN BUDGET SAMI-TF'!J12:J99999,SUMMARY!A54&amp;"*")</f>
        <v>0</v>
      </c>
      <c r="K54" s="10">
        <f>SUMIFS('PLAN BUDGET SAMI-TF'!AT12:AT99999,'PLAN BUDGET SAMI-TF'!D12:D99999,SUMMARY!D54,'PLAN BUDGET SAMI-TF'!J12:J99999,SUMMARY!A54&amp;"*")</f>
        <v>5</v>
      </c>
      <c r="L54" s="10">
        <f>SUMIFS('PLAN BUDGET SAMI-TF'!AU12:AU99999,'PLAN BUDGET SAMI-TF'!D12:D99999,SUMMARY!D54,'PLAN BUDGET SAMI-TF'!J12:J99999,SUMMARY!A54&amp;"*")</f>
        <v>0</v>
      </c>
      <c r="M54" s="10">
        <f>SUMIFS('PLAN BUDGET SAMI-TF'!AV12:AV99999,'PLAN BUDGET SAMI-TF'!D12:D99999,SUMMARY!D54,'PLAN BUDGET SAMI-TF'!J12:J99999,SUMMARY!A54&amp;"*")</f>
        <v>1</v>
      </c>
      <c r="N54" s="10">
        <f>SUMIFS('PLAN BUDGET SAMI-TF'!AW12:AW99999,'PLAN BUDGET SAMI-TF'!D12:D99999,SUMMARY!D54,'PLAN BUDGET SAMI-TF'!J12:J99999,SUMMARY!A54&amp;"*")</f>
        <v>3</v>
      </c>
      <c r="O54" s="10">
        <f>SUMIFS('PLAN BUDGET SAMI-TF'!AX12:AX99999,'PLAN BUDGET SAMI-TF'!D12:D99999,SUMMARY!D54,'PLAN BUDGET SAMI-TF'!J12:J99999,SUMMARY!A54&amp;"*")</f>
        <v>1</v>
      </c>
      <c r="P54" s="10">
        <f>SUMIFS('PLAN BUDGET SAMI-TF'!AY12:AY99999,'PLAN BUDGET SAMI-TF'!D12:D99999,SUMMARY!D54,'PLAN BUDGET SAMI-TF'!J12:J99999,SUMMARY!A54&amp;"*")</f>
        <v>0</v>
      </c>
      <c r="Q54" s="10">
        <f>SUMIFS('PLAN BUDGET SAMI-TF'!BC12:BC99999,'PLAN BUDGET SAMI-TF'!D12:D99999,SUMMARY!D54,'PLAN BUDGET SAMI-TF'!J12:J99999,SUMMARY!A54&amp;"*")</f>
        <v>17.1015786208905</v>
      </c>
      <c r="R54" s="10">
        <f>SUMIFS('PLAN BUDGET SAMI-TF'!BD12:BD99999,'PLAN BUDGET SAMI-TF'!D12:D99999,SUMMARY!D54,'PLAN BUDGET SAMI-TF'!J12:J99999,SUMMARY!A54&amp;"*")</f>
        <v>0</v>
      </c>
      <c r="S54" s="10">
        <f>SUMIFS('PLAN BUDGET SAMI-TF'!BE12:BE99999,'PLAN BUDGET SAMI-TF'!D12:D99999,SUMMARY!D54,'PLAN BUDGET SAMI-TF'!J12:J99999,SUMMARY!A54&amp;"*")</f>
        <v>3.9916828073374</v>
      </c>
      <c r="T54" s="10">
        <f>SUMIFS('PLAN BUDGET SAMI-TF'!BF12:BF99999,'PLAN BUDGET SAMI-TF'!D12:D99999,SUMMARY!D54,'PLAN BUDGET SAMI-TF'!J12:J99999,SUMMARY!A54&amp;"*")</f>
        <v>7.6983403592722999</v>
      </c>
      <c r="U54" s="10">
        <f>SUMIFS('PLAN BUDGET SAMI-TF'!BG12:BG99999,'PLAN BUDGET SAMI-TF'!D12:D99999,SUMMARY!D54,'PLAN BUDGET SAMI-TF'!J12:J99999,SUMMARY!A54&amp;"*")</f>
        <v>3.9916828073374</v>
      </c>
      <c r="V54" s="10">
        <f>SUMIFS('PLAN BUDGET SAMI-TF'!BH12:BH99999,'PLAN BUDGET SAMI-TF'!D12:D99999,SUMMARY!D54,'PLAN BUDGET SAMI-TF'!J12:J99999,SUMMARY!A54&amp;"*")</f>
        <v>0</v>
      </c>
      <c r="W54" s="10">
        <f>SUMIFS('PLAN BUDGET SAMI-TF'!BI12:BI99999,'PLAN BUDGET SAMI-TF'!D12:D99999,SUMMARY!D54,'PLAN BUDGET SAMI-TF'!J12:J99999,SUMMARY!A54&amp;"*")</f>
        <v>17.1015786208905</v>
      </c>
      <c r="X54" s="10">
        <f>SUMIFS('PLAN BUDGET SAMI-TF'!BJ12:BJ99999,'PLAN BUDGET SAMI-TF'!D12:D99999,SUMMARY!D54,'PLAN BUDGET SAMI-TF'!J12:J99999,SUMMARY!A54&amp;"*")</f>
        <v>0</v>
      </c>
      <c r="Y54" s="10">
        <f>SUMIFS('PLAN BUDGET SAMI-TF'!BK12:BK99999,'PLAN BUDGET SAMI-TF'!D12:D99999,SUMMARY!D54,'PLAN BUDGET SAMI-TF'!J12:J99999,SUMMARY!A54&amp;"*")</f>
        <v>3.9916828073374</v>
      </c>
      <c r="Z54" s="10">
        <f>SUMIFS('PLAN BUDGET SAMI-TF'!BL12:BL99999,'PLAN BUDGET SAMI-TF'!D12:D99999,SUMMARY!D54,'PLAN BUDGET SAMI-TF'!J12:J99999,SUMMARY!A54&amp;"*")</f>
        <v>7.6983403592722999</v>
      </c>
      <c r="AA54" s="10">
        <f>SUMIFS('PLAN BUDGET SAMI-TF'!BM12:BM99999,'PLAN BUDGET SAMI-TF'!D12:D99999,SUMMARY!D54,'PLAN BUDGET SAMI-TF'!J12:J99999,SUMMARY!A54&amp;"*")</f>
        <v>3.9916828073374</v>
      </c>
      <c r="AB54" s="10">
        <f>SUMIFS('PLAN BUDGET SAMI-TF'!BN12:BN99999,'PLAN BUDGET SAMI-TF'!D12:D99999,SUMMARY!D54,'PLAN BUDGET SAMI-TF'!J12:J99999,SUMMARY!A54&amp;"*")</f>
        <v>0</v>
      </c>
      <c r="AC54" s="10">
        <f t="shared" si="4"/>
        <v>20</v>
      </c>
      <c r="AD54" s="10">
        <f t="shared" si="5"/>
        <v>65.566569189675207</v>
      </c>
      <c r="AE54" s="16"/>
      <c r="AF54" s="10">
        <v>14</v>
      </c>
      <c r="AG54" s="10">
        <v>43.464674085045999</v>
      </c>
      <c r="AH54" s="20">
        <f t="shared" si="6"/>
        <v>0.42857142857142855</v>
      </c>
      <c r="AI54" s="20">
        <f t="shared" si="7"/>
        <v>0.50850249242368883</v>
      </c>
      <c r="AJ54" s="7" t="s">
        <v>871</v>
      </c>
    </row>
    <row r="55" spans="1:36" x14ac:dyDescent="0.35">
      <c r="A55" s="7" t="s">
        <v>48</v>
      </c>
      <c r="B55" s="7"/>
      <c r="C55" s="7"/>
      <c r="D55" s="7" t="s">
        <v>104</v>
      </c>
      <c r="E55" s="10">
        <f>SUMIFS('PLAN BUDGET SAMI-TF'!AN12:AN99999,'PLAN BUDGET SAMI-TF'!D12:D99999,SUMMARY!D55,'PLAN BUDGET SAMI-TF'!J12:J99999,SUMMARY!A55&amp;"*")</f>
        <v>8</v>
      </c>
      <c r="F55" s="10">
        <f>SUMIFS('PLAN BUDGET SAMI-TF'!AO12:AO99999,'PLAN BUDGET SAMI-TF'!D12:D99999,SUMMARY!D55,'PLAN BUDGET SAMI-TF'!J12:J99999,SUMMARY!A55&amp;"*")</f>
        <v>8</v>
      </c>
      <c r="G55" s="10">
        <f>SUMIFS('PLAN BUDGET SAMI-TF'!AP12:AP99999,'PLAN BUDGET SAMI-TF'!D12:D99999,SUMMARY!D55,'PLAN BUDGET SAMI-TF'!J12:J99999,SUMMARY!A55&amp;"*")</f>
        <v>8</v>
      </c>
      <c r="H55" s="10">
        <f>SUMIFS('PLAN BUDGET SAMI-TF'!AQ12:AQ99999,'PLAN BUDGET SAMI-TF'!D12:D99999,SUMMARY!D55,'PLAN BUDGET SAMI-TF'!J12:J99999,SUMMARY!A55&amp;"*")</f>
        <v>8</v>
      </c>
      <c r="I55" s="10">
        <f>SUMIFS('PLAN BUDGET SAMI-TF'!AR12:AR99999,'PLAN BUDGET SAMI-TF'!D12:D99999,SUMMARY!D55,'PLAN BUDGET SAMI-TF'!J12:J99999,SUMMARY!A55&amp;"*")</f>
        <v>8</v>
      </c>
      <c r="J55" s="10">
        <f>SUMIFS('PLAN BUDGET SAMI-TF'!AS12:AS99999,'PLAN BUDGET SAMI-TF'!D12:D99999,SUMMARY!D55,'PLAN BUDGET SAMI-TF'!J12:J99999,SUMMARY!A55&amp;"*")</f>
        <v>8</v>
      </c>
      <c r="K55" s="10">
        <f>SUMIFS('PLAN BUDGET SAMI-TF'!AT12:AT99999,'PLAN BUDGET SAMI-TF'!D12:D99999,SUMMARY!D55,'PLAN BUDGET SAMI-TF'!J12:J99999,SUMMARY!A55&amp;"*")</f>
        <v>11</v>
      </c>
      <c r="L55" s="10">
        <f>SUMIFS('PLAN BUDGET SAMI-TF'!AU12:AU99999,'PLAN BUDGET SAMI-TF'!D12:D99999,SUMMARY!D55,'PLAN BUDGET SAMI-TF'!J12:J99999,SUMMARY!A55&amp;"*")</f>
        <v>7</v>
      </c>
      <c r="M55" s="10">
        <f>SUMIFS('PLAN BUDGET SAMI-TF'!AV12:AV99999,'PLAN BUDGET SAMI-TF'!D12:D99999,SUMMARY!D55,'PLAN BUDGET SAMI-TF'!J12:J99999,SUMMARY!A55&amp;"*")</f>
        <v>7</v>
      </c>
      <c r="N55" s="10">
        <f>SUMIFS('PLAN BUDGET SAMI-TF'!AW12:AW99999,'PLAN BUDGET SAMI-TF'!D12:D99999,SUMMARY!D55,'PLAN BUDGET SAMI-TF'!J12:J99999,SUMMARY!A55&amp;"*")</f>
        <v>8</v>
      </c>
      <c r="O55" s="10">
        <f>SUMIFS('PLAN BUDGET SAMI-TF'!AX12:AX99999,'PLAN BUDGET SAMI-TF'!D12:D99999,SUMMARY!D55,'PLAN BUDGET SAMI-TF'!J12:J99999,SUMMARY!A55&amp;"*")</f>
        <v>7</v>
      </c>
      <c r="P55" s="10">
        <f>SUMIFS('PLAN BUDGET SAMI-TF'!AY12:AY99999,'PLAN BUDGET SAMI-TF'!D12:D99999,SUMMARY!D55,'PLAN BUDGET SAMI-TF'!J12:J99999,SUMMARY!A55&amp;"*")</f>
        <v>7</v>
      </c>
      <c r="Q55" s="10">
        <f>SUMIFS('PLAN BUDGET SAMI-TF'!BC12:BC99999,'PLAN BUDGET SAMI-TF'!D12:D99999,SUMMARY!D55,'PLAN BUDGET SAMI-TF'!J12:J99999,SUMMARY!A55&amp;"*")</f>
        <v>0</v>
      </c>
      <c r="R55" s="10">
        <f>SUMIFS('PLAN BUDGET SAMI-TF'!BD12:BD99999,'PLAN BUDGET SAMI-TF'!D12:D99999,SUMMARY!D55,'PLAN BUDGET SAMI-TF'!J12:J99999,SUMMARY!A55&amp;"*")</f>
        <v>0</v>
      </c>
      <c r="S55" s="10">
        <f>SUMIFS('PLAN BUDGET SAMI-TF'!BE12:BE99999,'PLAN BUDGET SAMI-TF'!D12:D99999,SUMMARY!D55,'PLAN BUDGET SAMI-TF'!J12:J99999,SUMMARY!A55&amp;"*")</f>
        <v>0</v>
      </c>
      <c r="T55" s="10">
        <f>SUMIFS('PLAN BUDGET SAMI-TF'!BF12:BF99999,'PLAN BUDGET SAMI-TF'!D12:D99999,SUMMARY!D55,'PLAN BUDGET SAMI-TF'!J12:J99999,SUMMARY!A55&amp;"*")</f>
        <v>0</v>
      </c>
      <c r="U55" s="10">
        <f>SUMIFS('PLAN BUDGET SAMI-TF'!BG12:BG99999,'PLAN BUDGET SAMI-TF'!D12:D99999,SUMMARY!D55,'PLAN BUDGET SAMI-TF'!J12:J99999,SUMMARY!A55&amp;"*")</f>
        <v>0</v>
      </c>
      <c r="V55" s="10">
        <f>SUMIFS('PLAN BUDGET SAMI-TF'!BH12:BH99999,'PLAN BUDGET SAMI-TF'!D12:D99999,SUMMARY!D55,'PLAN BUDGET SAMI-TF'!J12:J99999,SUMMARY!A55&amp;"*")</f>
        <v>0</v>
      </c>
      <c r="W55" s="10">
        <f>SUMIFS('PLAN BUDGET SAMI-TF'!BI12:BI99999,'PLAN BUDGET SAMI-TF'!D12:D99999,SUMMARY!D55,'PLAN BUDGET SAMI-TF'!J12:J99999,SUMMARY!A55&amp;"*")</f>
        <v>0</v>
      </c>
      <c r="X55" s="10">
        <f>SUMIFS('PLAN BUDGET SAMI-TF'!BJ12:BJ99999,'PLAN BUDGET SAMI-TF'!D12:D99999,SUMMARY!D55,'PLAN BUDGET SAMI-TF'!J12:J99999,SUMMARY!A55&amp;"*")</f>
        <v>0</v>
      </c>
      <c r="Y55" s="10">
        <f>SUMIFS('PLAN BUDGET SAMI-TF'!BK12:BK99999,'PLAN BUDGET SAMI-TF'!D12:D99999,SUMMARY!D55,'PLAN BUDGET SAMI-TF'!J12:J99999,SUMMARY!A55&amp;"*")</f>
        <v>0</v>
      </c>
      <c r="Z55" s="10">
        <f>SUMIFS('PLAN BUDGET SAMI-TF'!BL12:BL99999,'PLAN BUDGET SAMI-TF'!D12:D99999,SUMMARY!D55,'PLAN BUDGET SAMI-TF'!J12:J99999,SUMMARY!A55&amp;"*")</f>
        <v>0</v>
      </c>
      <c r="AA55" s="10">
        <f>SUMIFS('PLAN BUDGET SAMI-TF'!BM12:BM99999,'PLAN BUDGET SAMI-TF'!D12:D99999,SUMMARY!D55,'PLAN BUDGET SAMI-TF'!J12:J99999,SUMMARY!A55&amp;"*")</f>
        <v>0</v>
      </c>
      <c r="AB55" s="10">
        <f>SUMIFS('PLAN BUDGET SAMI-TF'!BN12:BN99999,'PLAN BUDGET SAMI-TF'!D12:D99999,SUMMARY!D55,'PLAN BUDGET SAMI-TF'!J12:J99999,SUMMARY!A55&amp;"*")</f>
        <v>0</v>
      </c>
      <c r="AC55" s="10">
        <f t="shared" si="4"/>
        <v>95</v>
      </c>
      <c r="AD55" s="10">
        <f t="shared" si="5"/>
        <v>0</v>
      </c>
      <c r="AE55" s="16"/>
      <c r="AF55" s="10">
        <v>0</v>
      </c>
      <c r="AG55" s="10">
        <v>0</v>
      </c>
      <c r="AH55" s="20">
        <f t="shared" si="6"/>
        <v>1</v>
      </c>
      <c r="AI55" s="20">
        <f t="shared" si="7"/>
        <v>1</v>
      </c>
      <c r="AJ55" s="7" t="s">
        <v>864</v>
      </c>
    </row>
    <row r="56" spans="1:36" x14ac:dyDescent="0.35">
      <c r="A56" s="7" t="s">
        <v>48</v>
      </c>
      <c r="B56" s="7"/>
      <c r="C56" s="7"/>
      <c r="D56" s="7" t="s">
        <v>75</v>
      </c>
      <c r="E56" s="10">
        <f>SUMIFS('PLAN BUDGET SAMI-TF'!AN12:AN99999,'PLAN BUDGET SAMI-TF'!D12:D99999,SUMMARY!D56,'PLAN BUDGET SAMI-TF'!J12:J99999,SUMMARY!A56&amp;"*")</f>
        <v>3</v>
      </c>
      <c r="F56" s="10">
        <f>SUMIFS('PLAN BUDGET SAMI-TF'!AO12:AO99999,'PLAN BUDGET SAMI-TF'!D12:D99999,SUMMARY!D56,'PLAN BUDGET SAMI-TF'!J12:J99999,SUMMARY!A56&amp;"*")</f>
        <v>2</v>
      </c>
      <c r="G56" s="10">
        <f>SUMIFS('PLAN BUDGET SAMI-TF'!AP12:AP99999,'PLAN BUDGET SAMI-TF'!D12:D99999,SUMMARY!D56,'PLAN BUDGET SAMI-TF'!J12:J99999,SUMMARY!A56&amp;"*")</f>
        <v>3</v>
      </c>
      <c r="H56" s="10">
        <f>SUMIFS('PLAN BUDGET SAMI-TF'!AQ12:AQ99999,'PLAN BUDGET SAMI-TF'!D12:D99999,SUMMARY!D56,'PLAN BUDGET SAMI-TF'!J12:J99999,SUMMARY!A56&amp;"*")</f>
        <v>2</v>
      </c>
      <c r="I56" s="10">
        <f>SUMIFS('PLAN BUDGET SAMI-TF'!AR12:AR99999,'PLAN BUDGET SAMI-TF'!D12:D99999,SUMMARY!D56,'PLAN BUDGET SAMI-TF'!J12:J99999,SUMMARY!A56&amp;"*")</f>
        <v>3</v>
      </c>
      <c r="J56" s="10">
        <f>SUMIFS('PLAN BUDGET SAMI-TF'!AS12:AS99999,'PLAN BUDGET SAMI-TF'!D12:D99999,SUMMARY!D56,'PLAN BUDGET SAMI-TF'!J12:J99999,SUMMARY!A56&amp;"*")</f>
        <v>2</v>
      </c>
      <c r="K56" s="10">
        <f>SUMIFS('PLAN BUDGET SAMI-TF'!AT12:AT99999,'PLAN BUDGET SAMI-TF'!D12:D99999,SUMMARY!D56,'PLAN BUDGET SAMI-TF'!J12:J99999,SUMMARY!A56&amp;"*")</f>
        <v>3</v>
      </c>
      <c r="L56" s="10">
        <f>SUMIFS('PLAN BUDGET SAMI-TF'!AU12:AU99999,'PLAN BUDGET SAMI-TF'!D12:D99999,SUMMARY!D56,'PLAN BUDGET SAMI-TF'!J12:J99999,SUMMARY!A56&amp;"*")</f>
        <v>2</v>
      </c>
      <c r="M56" s="10">
        <f>SUMIFS('PLAN BUDGET SAMI-TF'!AV12:AV99999,'PLAN BUDGET SAMI-TF'!D12:D99999,SUMMARY!D56,'PLAN BUDGET SAMI-TF'!J12:J99999,SUMMARY!A56&amp;"*")</f>
        <v>3</v>
      </c>
      <c r="N56" s="10">
        <f>SUMIFS('PLAN BUDGET SAMI-TF'!AW12:AW99999,'PLAN BUDGET SAMI-TF'!D12:D99999,SUMMARY!D56,'PLAN BUDGET SAMI-TF'!J12:J99999,SUMMARY!A56&amp;"*")</f>
        <v>2</v>
      </c>
      <c r="O56" s="10">
        <f>SUMIFS('PLAN BUDGET SAMI-TF'!AX12:AX99999,'PLAN BUDGET SAMI-TF'!D12:D99999,SUMMARY!D56,'PLAN BUDGET SAMI-TF'!J12:J99999,SUMMARY!A56&amp;"*")</f>
        <v>3</v>
      </c>
      <c r="P56" s="10">
        <f>SUMIFS('PLAN BUDGET SAMI-TF'!AY12:AY99999,'PLAN BUDGET SAMI-TF'!D12:D99999,SUMMARY!D56,'PLAN BUDGET SAMI-TF'!J12:J99999,SUMMARY!A56&amp;"*")</f>
        <v>2</v>
      </c>
      <c r="Q56" s="10">
        <f>SUMIFS('PLAN BUDGET SAMI-TF'!BC12:BC99999,'PLAN BUDGET SAMI-TF'!D12:D99999,SUMMARY!D56,'PLAN BUDGET SAMI-TF'!J12:J99999,SUMMARY!A56&amp;"*")</f>
        <v>1.4598761915612801</v>
      </c>
      <c r="R56" s="10">
        <f>SUMIFS('PLAN BUDGET SAMI-TF'!BD12:BD99999,'PLAN BUDGET SAMI-TF'!D12:D99999,SUMMARY!D56,'PLAN BUDGET SAMI-TF'!J12:J99999,SUMMARY!A56&amp;"*")</f>
        <v>0.97325079437419004</v>
      </c>
      <c r="S56" s="10">
        <f>SUMIFS('PLAN BUDGET SAMI-TF'!BE12:BE99999,'PLAN BUDGET SAMI-TF'!D12:D99999,SUMMARY!D56,'PLAN BUDGET SAMI-TF'!J12:J99999,SUMMARY!A56&amp;"*")</f>
        <v>1.4598761915612801</v>
      </c>
      <c r="T56" s="10">
        <f>SUMIFS('PLAN BUDGET SAMI-TF'!BF12:BF99999,'PLAN BUDGET SAMI-TF'!D12:D99999,SUMMARY!D56,'PLAN BUDGET SAMI-TF'!J12:J99999,SUMMARY!A56&amp;"*")</f>
        <v>0.97325079437419004</v>
      </c>
      <c r="U56" s="10">
        <f>SUMIFS('PLAN BUDGET SAMI-TF'!BG12:BG99999,'PLAN BUDGET SAMI-TF'!D12:D99999,SUMMARY!D56,'PLAN BUDGET SAMI-TF'!J12:J99999,SUMMARY!A56&amp;"*")</f>
        <v>1.4598761915612801</v>
      </c>
      <c r="V56" s="10">
        <f>SUMIFS('PLAN BUDGET SAMI-TF'!BH12:BH99999,'PLAN BUDGET SAMI-TF'!D12:D99999,SUMMARY!D56,'PLAN BUDGET SAMI-TF'!J12:J99999,SUMMARY!A56&amp;"*")</f>
        <v>0.97325079437419004</v>
      </c>
      <c r="W56" s="10">
        <f>SUMIFS('PLAN BUDGET SAMI-TF'!BI12:BI99999,'PLAN BUDGET SAMI-TF'!D12:D99999,SUMMARY!D56,'PLAN BUDGET SAMI-TF'!J12:J99999,SUMMARY!A56&amp;"*")</f>
        <v>1.4598761915612801</v>
      </c>
      <c r="X56" s="10">
        <f>SUMIFS('PLAN BUDGET SAMI-TF'!BJ12:BJ99999,'PLAN BUDGET SAMI-TF'!D12:D99999,SUMMARY!D56,'PLAN BUDGET SAMI-TF'!J12:J99999,SUMMARY!A56&amp;"*")</f>
        <v>0.97325079437419004</v>
      </c>
      <c r="Y56" s="10">
        <f>SUMIFS('PLAN BUDGET SAMI-TF'!BK12:BK99999,'PLAN BUDGET SAMI-TF'!D12:D99999,SUMMARY!D56,'PLAN BUDGET SAMI-TF'!J12:J99999,SUMMARY!A56&amp;"*")</f>
        <v>1.4598761915612801</v>
      </c>
      <c r="Z56" s="10">
        <f>SUMIFS('PLAN BUDGET SAMI-TF'!BL12:BL99999,'PLAN BUDGET SAMI-TF'!D12:D99999,SUMMARY!D56,'PLAN BUDGET SAMI-TF'!J12:J99999,SUMMARY!A56&amp;"*")</f>
        <v>0.97325079437419004</v>
      </c>
      <c r="AA56" s="10">
        <f>SUMIFS('PLAN BUDGET SAMI-TF'!BM12:BM99999,'PLAN BUDGET SAMI-TF'!D12:D99999,SUMMARY!D56,'PLAN BUDGET SAMI-TF'!J12:J99999,SUMMARY!A56&amp;"*")</f>
        <v>1.4598761915612801</v>
      </c>
      <c r="AB56" s="10">
        <f>SUMIFS('PLAN BUDGET SAMI-TF'!BN12:BN99999,'PLAN BUDGET SAMI-TF'!D12:D99999,SUMMARY!D56,'PLAN BUDGET SAMI-TF'!J12:J99999,SUMMARY!A56&amp;"*")</f>
        <v>0.97325079437419004</v>
      </c>
      <c r="AC56" s="10">
        <f t="shared" si="4"/>
        <v>30</v>
      </c>
      <c r="AD56" s="10">
        <f t="shared" si="5"/>
        <v>14.598761915612821</v>
      </c>
      <c r="AE56" s="16"/>
      <c r="AF56" s="10">
        <v>29</v>
      </c>
      <c r="AG56" s="10">
        <v>13.949337283049999</v>
      </c>
      <c r="AH56" s="20">
        <f t="shared" si="6"/>
        <v>3.4482758620689655E-2</v>
      </c>
      <c r="AI56" s="20">
        <f t="shared" si="7"/>
        <v>4.6555948815715051E-2</v>
      </c>
      <c r="AJ56" s="7" t="s">
        <v>872</v>
      </c>
    </row>
    <row r="57" spans="1:36" x14ac:dyDescent="0.35">
      <c r="A57" s="7" t="s">
        <v>498</v>
      </c>
      <c r="B57" s="7"/>
      <c r="C57" s="7"/>
      <c r="D57" s="7" t="s">
        <v>662</v>
      </c>
      <c r="E57" s="10">
        <f>SUMIFS('PLAN BUDGET SAMI-TF'!AN12:AN99999,'PLAN BUDGET SAMI-TF'!D12:D99999,SUMMARY!D57,'PLAN BUDGET SAMI-TF'!J12:J99999,SUMMARY!A57&amp;"*")</f>
        <v>1</v>
      </c>
      <c r="F57" s="10">
        <f>SUMIFS('PLAN BUDGET SAMI-TF'!AO12:AO99999,'PLAN BUDGET SAMI-TF'!D12:D99999,SUMMARY!D57,'PLAN BUDGET SAMI-TF'!J12:J99999,SUMMARY!A57&amp;"*")</f>
        <v>0</v>
      </c>
      <c r="G57" s="10">
        <f>SUMIFS('PLAN BUDGET SAMI-TF'!AP12:AP99999,'PLAN BUDGET SAMI-TF'!D12:D99999,SUMMARY!D57,'PLAN BUDGET SAMI-TF'!J12:J99999,SUMMARY!A57&amp;"*")</f>
        <v>0</v>
      </c>
      <c r="H57" s="10">
        <f>SUMIFS('PLAN BUDGET SAMI-TF'!AQ12:AQ99999,'PLAN BUDGET SAMI-TF'!D12:D99999,SUMMARY!D57,'PLAN BUDGET SAMI-TF'!J12:J99999,SUMMARY!A57&amp;"*")</f>
        <v>0</v>
      </c>
      <c r="I57" s="10">
        <f>SUMIFS('PLAN BUDGET SAMI-TF'!AR12:AR99999,'PLAN BUDGET SAMI-TF'!D12:D99999,SUMMARY!D57,'PLAN BUDGET SAMI-TF'!J12:J99999,SUMMARY!A57&amp;"*")</f>
        <v>0</v>
      </c>
      <c r="J57" s="10">
        <f>SUMIFS('PLAN BUDGET SAMI-TF'!AS12:AS99999,'PLAN BUDGET SAMI-TF'!D12:D99999,SUMMARY!D57,'PLAN BUDGET SAMI-TF'!J12:J99999,SUMMARY!A57&amp;"*")</f>
        <v>0</v>
      </c>
      <c r="K57" s="10">
        <f>SUMIFS('PLAN BUDGET SAMI-TF'!AT12:AT99999,'PLAN BUDGET SAMI-TF'!D12:D99999,SUMMARY!D57,'PLAN BUDGET SAMI-TF'!J12:J99999,SUMMARY!A57&amp;"*")</f>
        <v>0</v>
      </c>
      <c r="L57" s="10">
        <f>SUMIFS('PLAN BUDGET SAMI-TF'!AU12:AU99999,'PLAN BUDGET SAMI-TF'!D12:D99999,SUMMARY!D57,'PLAN BUDGET SAMI-TF'!J12:J99999,SUMMARY!A57&amp;"*")</f>
        <v>0</v>
      </c>
      <c r="M57" s="10">
        <f>SUMIFS('PLAN BUDGET SAMI-TF'!AV12:AV99999,'PLAN BUDGET SAMI-TF'!D12:D99999,SUMMARY!D57,'PLAN BUDGET SAMI-TF'!J12:J99999,SUMMARY!A57&amp;"*")</f>
        <v>0</v>
      </c>
      <c r="N57" s="10">
        <f>SUMIFS('PLAN BUDGET SAMI-TF'!AW12:AW99999,'PLAN BUDGET SAMI-TF'!D12:D99999,SUMMARY!D57,'PLAN BUDGET SAMI-TF'!J12:J99999,SUMMARY!A57&amp;"*")</f>
        <v>0</v>
      </c>
      <c r="O57" s="10">
        <f>SUMIFS('PLAN BUDGET SAMI-TF'!AX12:AX99999,'PLAN BUDGET SAMI-TF'!D12:D99999,SUMMARY!D57,'PLAN BUDGET SAMI-TF'!J12:J99999,SUMMARY!A57&amp;"*")</f>
        <v>0</v>
      </c>
      <c r="P57" s="10">
        <f>SUMIFS('PLAN BUDGET SAMI-TF'!AY12:AY99999,'PLAN BUDGET SAMI-TF'!D12:D99999,SUMMARY!D57,'PLAN BUDGET SAMI-TF'!J12:J99999,SUMMARY!A57&amp;"*")</f>
        <v>0</v>
      </c>
      <c r="Q57" s="10">
        <f>SUMIFS('PLAN BUDGET SAMI-TF'!BC12:BC99999,'PLAN BUDGET SAMI-TF'!D12:D99999,SUMMARY!D57,'PLAN BUDGET SAMI-TF'!J12:J99999,SUMMARY!A57&amp;"*")</f>
        <v>835.51707113289001</v>
      </c>
      <c r="R57" s="10">
        <f>SUMIFS('PLAN BUDGET SAMI-TF'!BD12:BD99999,'PLAN BUDGET SAMI-TF'!D12:D99999,SUMMARY!D57,'PLAN BUDGET SAMI-TF'!J12:J99999,SUMMARY!A57&amp;"*")</f>
        <v>0</v>
      </c>
      <c r="S57" s="10">
        <f>SUMIFS('PLAN BUDGET SAMI-TF'!BE12:BE99999,'PLAN BUDGET SAMI-TF'!D12:D99999,SUMMARY!D57,'PLAN BUDGET SAMI-TF'!J12:J99999,SUMMARY!A57&amp;"*")</f>
        <v>0</v>
      </c>
      <c r="T57" s="10">
        <f>SUMIFS('PLAN BUDGET SAMI-TF'!BF12:BF99999,'PLAN BUDGET SAMI-TF'!D12:D99999,SUMMARY!D57,'PLAN BUDGET SAMI-TF'!J12:J99999,SUMMARY!A57&amp;"*")</f>
        <v>0</v>
      </c>
      <c r="U57" s="10">
        <f>SUMIFS('PLAN BUDGET SAMI-TF'!BG12:BG99999,'PLAN BUDGET SAMI-TF'!D12:D99999,SUMMARY!D57,'PLAN BUDGET SAMI-TF'!J12:J99999,SUMMARY!A57&amp;"*")</f>
        <v>0</v>
      </c>
      <c r="V57" s="10">
        <f>SUMIFS('PLAN BUDGET SAMI-TF'!BH12:BH99999,'PLAN BUDGET SAMI-TF'!D12:D99999,SUMMARY!D57,'PLAN BUDGET SAMI-TF'!J12:J99999,SUMMARY!A57&amp;"*")</f>
        <v>0</v>
      </c>
      <c r="W57" s="10">
        <f>SUMIFS('PLAN BUDGET SAMI-TF'!BI12:BI99999,'PLAN BUDGET SAMI-TF'!D12:D99999,SUMMARY!D57,'PLAN BUDGET SAMI-TF'!J12:J99999,SUMMARY!A57&amp;"*")</f>
        <v>0</v>
      </c>
      <c r="X57" s="10">
        <f>SUMIFS('PLAN BUDGET SAMI-TF'!BJ12:BJ99999,'PLAN BUDGET SAMI-TF'!D12:D99999,SUMMARY!D57,'PLAN BUDGET SAMI-TF'!J12:J99999,SUMMARY!A57&amp;"*")</f>
        <v>0</v>
      </c>
      <c r="Y57" s="10">
        <f>SUMIFS('PLAN BUDGET SAMI-TF'!BK12:BK99999,'PLAN BUDGET SAMI-TF'!D12:D99999,SUMMARY!D57,'PLAN BUDGET SAMI-TF'!J12:J99999,SUMMARY!A57&amp;"*")</f>
        <v>0</v>
      </c>
      <c r="Z57" s="10">
        <f>SUMIFS('PLAN BUDGET SAMI-TF'!BL12:BL99999,'PLAN BUDGET SAMI-TF'!D12:D99999,SUMMARY!D57,'PLAN BUDGET SAMI-TF'!J12:J99999,SUMMARY!A57&amp;"*")</f>
        <v>0</v>
      </c>
      <c r="AA57" s="10">
        <f>SUMIFS('PLAN BUDGET SAMI-TF'!BM12:BM99999,'PLAN BUDGET SAMI-TF'!D12:D99999,SUMMARY!D57,'PLAN BUDGET SAMI-TF'!J12:J99999,SUMMARY!A57&amp;"*")</f>
        <v>0</v>
      </c>
      <c r="AB57" s="10">
        <f>SUMIFS('PLAN BUDGET SAMI-TF'!BN12:BN99999,'PLAN BUDGET SAMI-TF'!D12:D99999,SUMMARY!D57,'PLAN BUDGET SAMI-TF'!J12:J99999,SUMMARY!A57&amp;"*")</f>
        <v>0</v>
      </c>
      <c r="AC57" s="10">
        <f t="shared" si="4"/>
        <v>1</v>
      </c>
      <c r="AD57" s="10">
        <f t="shared" si="5"/>
        <v>835.51707113289001</v>
      </c>
      <c r="AE57" s="16"/>
      <c r="AF57" s="10">
        <v>0</v>
      </c>
      <c r="AG57" s="10">
        <v>0</v>
      </c>
      <c r="AH57" s="20">
        <f t="shared" si="6"/>
        <v>1</v>
      </c>
      <c r="AI57" s="20">
        <f t="shared" si="7"/>
        <v>1</v>
      </c>
      <c r="AJ57" s="67" t="s">
        <v>863</v>
      </c>
    </row>
    <row r="58" spans="1:36" x14ac:dyDescent="0.35">
      <c r="A58" s="7" t="s">
        <v>498</v>
      </c>
      <c r="B58" s="7"/>
      <c r="C58" s="7"/>
      <c r="D58" s="7" t="s">
        <v>538</v>
      </c>
      <c r="E58" s="10">
        <f>SUMIFS('PLAN BUDGET SAMI-TF'!AN12:AN99999,'PLAN BUDGET SAMI-TF'!D12:D99999,SUMMARY!D58,'PLAN BUDGET SAMI-TF'!J12:J99999,SUMMARY!A58&amp;"*")</f>
        <v>0</v>
      </c>
      <c r="F58" s="10">
        <f>SUMIFS('PLAN BUDGET SAMI-TF'!AO12:AO99999,'PLAN BUDGET SAMI-TF'!D12:D99999,SUMMARY!D58,'PLAN BUDGET SAMI-TF'!J12:J99999,SUMMARY!A58&amp;"*")</f>
        <v>2</v>
      </c>
      <c r="G58" s="10">
        <f>SUMIFS('PLAN BUDGET SAMI-TF'!AP12:AP99999,'PLAN BUDGET SAMI-TF'!D12:D99999,SUMMARY!D58,'PLAN BUDGET SAMI-TF'!J12:J99999,SUMMARY!A58&amp;"*")</f>
        <v>0</v>
      </c>
      <c r="H58" s="10">
        <f>SUMIFS('PLAN BUDGET SAMI-TF'!AQ12:AQ99999,'PLAN BUDGET SAMI-TF'!D12:D99999,SUMMARY!D58,'PLAN BUDGET SAMI-TF'!J12:J99999,SUMMARY!A58&amp;"*")</f>
        <v>0</v>
      </c>
      <c r="I58" s="10">
        <f>SUMIFS('PLAN BUDGET SAMI-TF'!AR12:AR99999,'PLAN BUDGET SAMI-TF'!D12:D99999,SUMMARY!D58,'PLAN BUDGET SAMI-TF'!J12:J99999,SUMMARY!A58&amp;"*")</f>
        <v>0</v>
      </c>
      <c r="J58" s="10">
        <f>SUMIFS('PLAN BUDGET SAMI-TF'!AS12:AS99999,'PLAN BUDGET SAMI-TF'!D12:D99999,SUMMARY!D58,'PLAN BUDGET SAMI-TF'!J12:J99999,SUMMARY!A58&amp;"*")</f>
        <v>0</v>
      </c>
      <c r="K58" s="10">
        <f>SUMIFS('PLAN BUDGET SAMI-TF'!AT12:AT99999,'PLAN BUDGET SAMI-TF'!D12:D99999,SUMMARY!D58,'PLAN BUDGET SAMI-TF'!J12:J99999,SUMMARY!A58&amp;"*")</f>
        <v>0</v>
      </c>
      <c r="L58" s="10">
        <f>SUMIFS('PLAN BUDGET SAMI-TF'!AU12:AU99999,'PLAN BUDGET SAMI-TF'!D12:D99999,SUMMARY!D58,'PLAN BUDGET SAMI-TF'!J12:J99999,SUMMARY!A58&amp;"*")</f>
        <v>0</v>
      </c>
      <c r="M58" s="10">
        <f>SUMIFS('PLAN BUDGET SAMI-TF'!AV12:AV99999,'PLAN BUDGET SAMI-TF'!D12:D99999,SUMMARY!D58,'PLAN BUDGET SAMI-TF'!J12:J99999,SUMMARY!A58&amp;"*")</f>
        <v>0</v>
      </c>
      <c r="N58" s="10">
        <f>SUMIFS('PLAN BUDGET SAMI-TF'!AW12:AW99999,'PLAN BUDGET SAMI-TF'!D12:D99999,SUMMARY!D58,'PLAN BUDGET SAMI-TF'!J12:J99999,SUMMARY!A58&amp;"*")</f>
        <v>0</v>
      </c>
      <c r="O58" s="10">
        <f>SUMIFS('PLAN BUDGET SAMI-TF'!AX12:AX99999,'PLAN BUDGET SAMI-TF'!D12:D99999,SUMMARY!D58,'PLAN BUDGET SAMI-TF'!J12:J99999,SUMMARY!A58&amp;"*")</f>
        <v>0</v>
      </c>
      <c r="P58" s="10">
        <f>SUMIFS('PLAN BUDGET SAMI-TF'!AY12:AY99999,'PLAN BUDGET SAMI-TF'!D12:D99999,SUMMARY!D58,'PLAN BUDGET SAMI-TF'!J12:J99999,SUMMARY!A58&amp;"*")</f>
        <v>0</v>
      </c>
      <c r="Q58" s="10">
        <f>SUMIFS('PLAN BUDGET SAMI-TF'!BC12:BC99999,'PLAN BUDGET SAMI-TF'!D12:D99999,SUMMARY!D58,'PLAN BUDGET SAMI-TF'!J12:J99999,SUMMARY!A58&amp;"*")</f>
        <v>0</v>
      </c>
      <c r="R58" s="10">
        <f>SUMIFS('PLAN BUDGET SAMI-TF'!BD12:BD99999,'PLAN BUDGET SAMI-TF'!D12:D99999,SUMMARY!D58,'PLAN BUDGET SAMI-TF'!J12:J99999,SUMMARY!A58&amp;"*")</f>
        <v>0</v>
      </c>
      <c r="S58" s="10">
        <f>SUMIFS('PLAN BUDGET SAMI-TF'!BE12:BE99999,'PLAN BUDGET SAMI-TF'!D12:D99999,SUMMARY!D58,'PLAN BUDGET SAMI-TF'!J12:J99999,SUMMARY!A58&amp;"*")</f>
        <v>0</v>
      </c>
      <c r="T58" s="10">
        <f>SUMIFS('PLAN BUDGET SAMI-TF'!BF12:BF99999,'PLAN BUDGET SAMI-TF'!D12:D99999,SUMMARY!D58,'PLAN BUDGET SAMI-TF'!J12:J99999,SUMMARY!A58&amp;"*")</f>
        <v>0</v>
      </c>
      <c r="U58" s="10">
        <f>SUMIFS('PLAN BUDGET SAMI-TF'!BG12:BG99999,'PLAN BUDGET SAMI-TF'!D12:D99999,SUMMARY!D58,'PLAN BUDGET SAMI-TF'!J12:J99999,SUMMARY!A58&amp;"*")</f>
        <v>0</v>
      </c>
      <c r="V58" s="10">
        <f>SUMIFS('PLAN BUDGET SAMI-TF'!BH12:BH99999,'PLAN BUDGET SAMI-TF'!D12:D99999,SUMMARY!D58,'PLAN BUDGET SAMI-TF'!J12:J99999,SUMMARY!A58&amp;"*")</f>
        <v>0</v>
      </c>
      <c r="W58" s="10">
        <f>SUMIFS('PLAN BUDGET SAMI-TF'!BI12:BI99999,'PLAN BUDGET SAMI-TF'!D12:D99999,SUMMARY!D58,'PLAN BUDGET SAMI-TF'!J12:J99999,SUMMARY!A58&amp;"*")</f>
        <v>0</v>
      </c>
      <c r="X58" s="10">
        <f>SUMIFS('PLAN BUDGET SAMI-TF'!BJ12:BJ99999,'PLAN BUDGET SAMI-TF'!D12:D99999,SUMMARY!D58,'PLAN BUDGET SAMI-TF'!J12:J99999,SUMMARY!A58&amp;"*")</f>
        <v>0</v>
      </c>
      <c r="Y58" s="10">
        <f>SUMIFS('PLAN BUDGET SAMI-TF'!BK12:BK99999,'PLAN BUDGET SAMI-TF'!D12:D99999,SUMMARY!D58,'PLAN BUDGET SAMI-TF'!J12:J99999,SUMMARY!A58&amp;"*")</f>
        <v>0</v>
      </c>
      <c r="Z58" s="10">
        <f>SUMIFS('PLAN BUDGET SAMI-TF'!BL12:BL99999,'PLAN BUDGET SAMI-TF'!D12:D99999,SUMMARY!D58,'PLAN BUDGET SAMI-TF'!J12:J99999,SUMMARY!A58&amp;"*")</f>
        <v>0</v>
      </c>
      <c r="AA58" s="10">
        <f>SUMIFS('PLAN BUDGET SAMI-TF'!BM12:BM99999,'PLAN BUDGET SAMI-TF'!D12:D99999,SUMMARY!D58,'PLAN BUDGET SAMI-TF'!J12:J99999,SUMMARY!A58&amp;"*")</f>
        <v>0</v>
      </c>
      <c r="AB58" s="10">
        <f>SUMIFS('PLAN BUDGET SAMI-TF'!BN12:BN99999,'PLAN BUDGET SAMI-TF'!D12:D99999,SUMMARY!D58,'PLAN BUDGET SAMI-TF'!J12:J99999,SUMMARY!A58&amp;"*")</f>
        <v>0</v>
      </c>
      <c r="AC58" s="10">
        <f t="shared" si="4"/>
        <v>2</v>
      </c>
      <c r="AD58" s="10">
        <f t="shared" si="5"/>
        <v>0</v>
      </c>
      <c r="AE58" s="16"/>
      <c r="AF58" s="10">
        <v>11</v>
      </c>
      <c r="AG58" s="10">
        <v>177.16759712886</v>
      </c>
      <c r="AH58" s="20">
        <f t="shared" si="6"/>
        <v>-0.81818181818181823</v>
      </c>
      <c r="AI58" s="20">
        <f t="shared" si="7"/>
        <v>-1</v>
      </c>
      <c r="AJ58" s="7" t="s">
        <v>873</v>
      </c>
    </row>
    <row r="59" spans="1:36" x14ac:dyDescent="0.35">
      <c r="A59" s="7" t="s">
        <v>498</v>
      </c>
      <c r="B59" s="7"/>
      <c r="C59" s="7"/>
      <c r="D59" s="7" t="s">
        <v>136</v>
      </c>
      <c r="E59" s="10">
        <f>SUMIFS('PLAN BUDGET SAMI-TF'!AN12:AN99999,'PLAN BUDGET SAMI-TF'!D12:D99999,SUMMARY!D59,'PLAN BUDGET SAMI-TF'!J12:J99999,SUMMARY!A59&amp;"*")</f>
        <v>0</v>
      </c>
      <c r="F59" s="10">
        <f>SUMIFS('PLAN BUDGET SAMI-TF'!AO12:AO99999,'PLAN BUDGET SAMI-TF'!D12:D99999,SUMMARY!D59,'PLAN BUDGET SAMI-TF'!J12:J99999,SUMMARY!A59&amp;"*")</f>
        <v>0</v>
      </c>
      <c r="G59" s="10">
        <f>SUMIFS('PLAN BUDGET SAMI-TF'!AP12:AP99999,'PLAN BUDGET SAMI-TF'!D12:D99999,SUMMARY!D59,'PLAN BUDGET SAMI-TF'!J12:J99999,SUMMARY!A59&amp;"*")</f>
        <v>0</v>
      </c>
      <c r="H59" s="10">
        <f>SUMIFS('PLAN BUDGET SAMI-TF'!AQ12:AQ99999,'PLAN BUDGET SAMI-TF'!D12:D99999,SUMMARY!D59,'PLAN BUDGET SAMI-TF'!J12:J99999,SUMMARY!A59&amp;"*")</f>
        <v>0</v>
      </c>
      <c r="I59" s="10">
        <f>SUMIFS('PLAN BUDGET SAMI-TF'!AR12:AR99999,'PLAN BUDGET SAMI-TF'!D12:D99999,SUMMARY!D59,'PLAN BUDGET SAMI-TF'!J12:J99999,SUMMARY!A59&amp;"*")</f>
        <v>2</v>
      </c>
      <c r="J59" s="10">
        <f>SUMIFS('PLAN BUDGET SAMI-TF'!AS12:AS99999,'PLAN BUDGET SAMI-TF'!D12:D99999,SUMMARY!D59,'PLAN BUDGET SAMI-TF'!J12:J99999,SUMMARY!A59&amp;"*")</f>
        <v>0</v>
      </c>
      <c r="K59" s="10">
        <f>SUMIFS('PLAN BUDGET SAMI-TF'!AT12:AT99999,'PLAN BUDGET SAMI-TF'!D12:D99999,SUMMARY!D59,'PLAN BUDGET SAMI-TF'!J12:J99999,SUMMARY!A59&amp;"*")</f>
        <v>0</v>
      </c>
      <c r="L59" s="10">
        <f>SUMIFS('PLAN BUDGET SAMI-TF'!AU12:AU99999,'PLAN BUDGET SAMI-TF'!D12:D99999,SUMMARY!D59,'PLAN BUDGET SAMI-TF'!J12:J99999,SUMMARY!A59&amp;"*")</f>
        <v>0</v>
      </c>
      <c r="M59" s="10">
        <f>SUMIFS('PLAN BUDGET SAMI-TF'!AV12:AV99999,'PLAN BUDGET SAMI-TF'!D12:D99999,SUMMARY!D59,'PLAN BUDGET SAMI-TF'!J12:J99999,SUMMARY!A59&amp;"*")</f>
        <v>0</v>
      </c>
      <c r="N59" s="10">
        <f>SUMIFS('PLAN BUDGET SAMI-TF'!AW12:AW99999,'PLAN BUDGET SAMI-TF'!D12:D99999,SUMMARY!D59,'PLAN BUDGET SAMI-TF'!J12:J99999,SUMMARY!A59&amp;"*")</f>
        <v>0</v>
      </c>
      <c r="O59" s="10">
        <f>SUMIFS('PLAN BUDGET SAMI-TF'!AX12:AX99999,'PLAN BUDGET SAMI-TF'!D12:D99999,SUMMARY!D59,'PLAN BUDGET SAMI-TF'!J12:J99999,SUMMARY!A59&amp;"*")</f>
        <v>0</v>
      </c>
      <c r="P59" s="10">
        <f>SUMIFS('PLAN BUDGET SAMI-TF'!AY12:AY99999,'PLAN BUDGET SAMI-TF'!D12:D99999,SUMMARY!D59,'PLAN BUDGET SAMI-TF'!J12:J99999,SUMMARY!A59&amp;"*")</f>
        <v>0</v>
      </c>
      <c r="Q59" s="10">
        <f>SUMIFS('PLAN BUDGET SAMI-TF'!BC12:BC99999,'PLAN BUDGET SAMI-TF'!D12:D99999,SUMMARY!D59,'PLAN BUDGET SAMI-TF'!J12:J99999,SUMMARY!A59&amp;"*")</f>
        <v>0</v>
      </c>
      <c r="R59" s="10">
        <f>SUMIFS('PLAN BUDGET SAMI-TF'!BD12:BD99999,'PLAN BUDGET SAMI-TF'!D12:D99999,SUMMARY!D59,'PLAN BUDGET SAMI-TF'!J12:J99999,SUMMARY!A59&amp;"*")</f>
        <v>0</v>
      </c>
      <c r="S59" s="10">
        <f>SUMIFS('PLAN BUDGET SAMI-TF'!BE12:BE99999,'PLAN BUDGET SAMI-TF'!D12:D99999,SUMMARY!D59,'PLAN BUDGET SAMI-TF'!J12:J99999,SUMMARY!A59&amp;"*")</f>
        <v>0</v>
      </c>
      <c r="T59" s="10">
        <f>SUMIFS('PLAN BUDGET SAMI-TF'!BF12:BF99999,'PLAN BUDGET SAMI-TF'!D12:D99999,SUMMARY!D59,'PLAN BUDGET SAMI-TF'!J12:J99999,SUMMARY!A59&amp;"*")</f>
        <v>0</v>
      </c>
      <c r="U59" s="10">
        <f>SUMIFS('PLAN BUDGET SAMI-TF'!BG12:BG99999,'PLAN BUDGET SAMI-TF'!D12:D99999,SUMMARY!D59,'PLAN BUDGET SAMI-TF'!J12:J99999,SUMMARY!A59&amp;"*")</f>
        <v>101.27479650095999</v>
      </c>
      <c r="V59" s="10">
        <f>SUMIFS('PLAN BUDGET SAMI-TF'!BH12:BH99999,'PLAN BUDGET SAMI-TF'!D12:D99999,SUMMARY!D59,'PLAN BUDGET SAMI-TF'!J12:J99999,SUMMARY!A59&amp;"*")</f>
        <v>0</v>
      </c>
      <c r="W59" s="10">
        <f>SUMIFS('PLAN BUDGET SAMI-TF'!BI12:BI99999,'PLAN BUDGET SAMI-TF'!D12:D99999,SUMMARY!D59,'PLAN BUDGET SAMI-TF'!J12:J99999,SUMMARY!A59&amp;"*")</f>
        <v>0</v>
      </c>
      <c r="X59" s="10">
        <f>SUMIFS('PLAN BUDGET SAMI-TF'!BJ12:BJ99999,'PLAN BUDGET SAMI-TF'!D12:D99999,SUMMARY!D59,'PLAN BUDGET SAMI-TF'!J12:J99999,SUMMARY!A59&amp;"*")</f>
        <v>0</v>
      </c>
      <c r="Y59" s="10">
        <f>SUMIFS('PLAN BUDGET SAMI-TF'!BK12:BK99999,'PLAN BUDGET SAMI-TF'!D12:D99999,SUMMARY!D59,'PLAN BUDGET SAMI-TF'!J12:J99999,SUMMARY!A59&amp;"*")</f>
        <v>0</v>
      </c>
      <c r="Z59" s="10">
        <f>SUMIFS('PLAN BUDGET SAMI-TF'!BL12:BL99999,'PLAN BUDGET SAMI-TF'!D12:D99999,SUMMARY!D59,'PLAN BUDGET SAMI-TF'!J12:J99999,SUMMARY!A59&amp;"*")</f>
        <v>0</v>
      </c>
      <c r="AA59" s="10">
        <f>SUMIFS('PLAN BUDGET SAMI-TF'!BM12:BM99999,'PLAN BUDGET SAMI-TF'!D12:D99999,SUMMARY!D59,'PLAN BUDGET SAMI-TF'!J12:J99999,SUMMARY!A59&amp;"*")</f>
        <v>0</v>
      </c>
      <c r="AB59" s="10">
        <f>SUMIFS('PLAN BUDGET SAMI-TF'!BN12:BN99999,'PLAN BUDGET SAMI-TF'!D12:D99999,SUMMARY!D59,'PLAN BUDGET SAMI-TF'!J12:J99999,SUMMARY!A59&amp;"*")</f>
        <v>0</v>
      </c>
      <c r="AC59" s="10">
        <f t="shared" si="4"/>
        <v>2</v>
      </c>
      <c r="AD59" s="10">
        <f t="shared" si="5"/>
        <v>101.27479650095999</v>
      </c>
      <c r="AE59" s="16"/>
      <c r="AF59" s="10">
        <v>50</v>
      </c>
      <c r="AG59" s="10">
        <v>2708.8412897345002</v>
      </c>
      <c r="AH59" s="20">
        <f t="shared" si="6"/>
        <v>-0.96</v>
      </c>
      <c r="AI59" s="20">
        <f t="shared" si="7"/>
        <v>-0.96261324098803658</v>
      </c>
      <c r="AJ59" s="7" t="s">
        <v>874</v>
      </c>
    </row>
    <row r="60" spans="1:36" x14ac:dyDescent="0.35">
      <c r="A60" s="7" t="s">
        <v>498</v>
      </c>
      <c r="B60" s="7"/>
      <c r="C60" s="7"/>
      <c r="D60" s="7" t="s">
        <v>553</v>
      </c>
      <c r="E60" s="10">
        <f>SUMIFS('PLAN BUDGET SAMI-TF'!AN12:AN99999,'PLAN BUDGET SAMI-TF'!D12:D99999,SUMMARY!D60,'PLAN BUDGET SAMI-TF'!J12:J99999,SUMMARY!A60&amp;"*")</f>
        <v>0</v>
      </c>
      <c r="F60" s="10">
        <f>SUMIFS('PLAN BUDGET SAMI-TF'!AO12:AO99999,'PLAN BUDGET SAMI-TF'!D12:D99999,SUMMARY!D60,'PLAN BUDGET SAMI-TF'!J12:J99999,SUMMARY!A60&amp;"*")</f>
        <v>1</v>
      </c>
      <c r="G60" s="10">
        <f>SUMIFS('PLAN BUDGET SAMI-TF'!AP12:AP99999,'PLAN BUDGET SAMI-TF'!D12:D99999,SUMMARY!D60,'PLAN BUDGET SAMI-TF'!J12:J99999,SUMMARY!A60&amp;"*")</f>
        <v>0</v>
      </c>
      <c r="H60" s="10">
        <f>SUMIFS('PLAN BUDGET SAMI-TF'!AQ12:AQ99999,'PLAN BUDGET SAMI-TF'!D12:D99999,SUMMARY!D60,'PLAN BUDGET SAMI-TF'!J12:J99999,SUMMARY!A60&amp;"*")</f>
        <v>0</v>
      </c>
      <c r="I60" s="10">
        <f>SUMIFS('PLAN BUDGET SAMI-TF'!AR12:AR99999,'PLAN BUDGET SAMI-TF'!D12:D99999,SUMMARY!D60,'PLAN BUDGET SAMI-TF'!J12:J99999,SUMMARY!A60&amp;"*")</f>
        <v>0</v>
      </c>
      <c r="J60" s="10">
        <f>SUMIFS('PLAN BUDGET SAMI-TF'!AS12:AS99999,'PLAN BUDGET SAMI-TF'!D12:D99999,SUMMARY!D60,'PLAN BUDGET SAMI-TF'!J12:J99999,SUMMARY!A60&amp;"*")</f>
        <v>0</v>
      </c>
      <c r="K60" s="10">
        <f>SUMIFS('PLAN BUDGET SAMI-TF'!AT12:AT99999,'PLAN BUDGET SAMI-TF'!D12:D99999,SUMMARY!D60,'PLAN BUDGET SAMI-TF'!J12:J99999,SUMMARY!A60&amp;"*")</f>
        <v>0</v>
      </c>
      <c r="L60" s="10">
        <f>SUMIFS('PLAN BUDGET SAMI-TF'!AU12:AU99999,'PLAN BUDGET SAMI-TF'!D12:D99999,SUMMARY!D60,'PLAN BUDGET SAMI-TF'!J12:J99999,SUMMARY!A60&amp;"*")</f>
        <v>0</v>
      </c>
      <c r="M60" s="10">
        <f>SUMIFS('PLAN BUDGET SAMI-TF'!AV12:AV99999,'PLAN BUDGET SAMI-TF'!D12:D99999,SUMMARY!D60,'PLAN BUDGET SAMI-TF'!J12:J99999,SUMMARY!A60&amp;"*")</f>
        <v>0</v>
      </c>
      <c r="N60" s="10">
        <f>SUMIFS('PLAN BUDGET SAMI-TF'!AW12:AW99999,'PLAN BUDGET SAMI-TF'!D12:D99999,SUMMARY!D60,'PLAN BUDGET SAMI-TF'!J12:J99999,SUMMARY!A60&amp;"*")</f>
        <v>0</v>
      </c>
      <c r="O60" s="10">
        <f>SUMIFS('PLAN BUDGET SAMI-TF'!AX12:AX99999,'PLAN BUDGET SAMI-TF'!D12:D99999,SUMMARY!D60,'PLAN BUDGET SAMI-TF'!J12:J99999,SUMMARY!A60&amp;"*")</f>
        <v>0</v>
      </c>
      <c r="P60" s="10">
        <f>SUMIFS('PLAN BUDGET SAMI-TF'!AY12:AY99999,'PLAN BUDGET SAMI-TF'!D12:D99999,SUMMARY!D60,'PLAN BUDGET SAMI-TF'!J12:J99999,SUMMARY!A60&amp;"*")</f>
        <v>0</v>
      </c>
      <c r="Q60" s="10">
        <f>SUMIFS('PLAN BUDGET SAMI-TF'!BC12:BC99999,'PLAN BUDGET SAMI-TF'!D12:D99999,SUMMARY!D60,'PLAN BUDGET SAMI-TF'!J12:J99999,SUMMARY!A60&amp;"*")</f>
        <v>0</v>
      </c>
      <c r="R60" s="10">
        <f>SUMIFS('PLAN BUDGET SAMI-TF'!BD12:BD99999,'PLAN BUDGET SAMI-TF'!D12:D99999,SUMMARY!D60,'PLAN BUDGET SAMI-TF'!J12:J99999,SUMMARY!A60&amp;"*")</f>
        <v>0</v>
      </c>
      <c r="S60" s="10">
        <f>SUMIFS('PLAN BUDGET SAMI-TF'!BE12:BE99999,'PLAN BUDGET SAMI-TF'!D12:D99999,SUMMARY!D60,'PLAN BUDGET SAMI-TF'!J12:J99999,SUMMARY!A60&amp;"*")</f>
        <v>0</v>
      </c>
      <c r="T60" s="10">
        <f>SUMIFS('PLAN BUDGET SAMI-TF'!BF12:BF99999,'PLAN BUDGET SAMI-TF'!D12:D99999,SUMMARY!D60,'PLAN BUDGET SAMI-TF'!J12:J99999,SUMMARY!A60&amp;"*")</f>
        <v>0</v>
      </c>
      <c r="U60" s="10">
        <f>SUMIFS('PLAN BUDGET SAMI-TF'!BG12:BG99999,'PLAN BUDGET SAMI-TF'!D12:D99999,SUMMARY!D60,'PLAN BUDGET SAMI-TF'!J12:J99999,SUMMARY!A60&amp;"*")</f>
        <v>0</v>
      </c>
      <c r="V60" s="10">
        <f>SUMIFS('PLAN BUDGET SAMI-TF'!BH12:BH99999,'PLAN BUDGET SAMI-TF'!D12:D99999,SUMMARY!D60,'PLAN BUDGET SAMI-TF'!J12:J99999,SUMMARY!A60&amp;"*")</f>
        <v>0</v>
      </c>
      <c r="W60" s="10">
        <f>SUMIFS('PLAN BUDGET SAMI-TF'!BI12:BI99999,'PLAN BUDGET SAMI-TF'!D12:D99999,SUMMARY!D60,'PLAN BUDGET SAMI-TF'!J12:J99999,SUMMARY!A60&amp;"*")</f>
        <v>0</v>
      </c>
      <c r="X60" s="10">
        <f>SUMIFS('PLAN BUDGET SAMI-TF'!BJ12:BJ99999,'PLAN BUDGET SAMI-TF'!D12:D99999,SUMMARY!D60,'PLAN BUDGET SAMI-TF'!J12:J99999,SUMMARY!A60&amp;"*")</f>
        <v>0</v>
      </c>
      <c r="Y60" s="10">
        <f>SUMIFS('PLAN BUDGET SAMI-TF'!BK12:BK99999,'PLAN BUDGET SAMI-TF'!D12:D99999,SUMMARY!D60,'PLAN BUDGET SAMI-TF'!J12:J99999,SUMMARY!A60&amp;"*")</f>
        <v>0</v>
      </c>
      <c r="Z60" s="10">
        <f>SUMIFS('PLAN BUDGET SAMI-TF'!BL12:BL99999,'PLAN BUDGET SAMI-TF'!D12:D99999,SUMMARY!D60,'PLAN BUDGET SAMI-TF'!J12:J99999,SUMMARY!A60&amp;"*")</f>
        <v>0</v>
      </c>
      <c r="AA60" s="10">
        <f>SUMIFS('PLAN BUDGET SAMI-TF'!BM12:BM99999,'PLAN BUDGET SAMI-TF'!D12:D99999,SUMMARY!D60,'PLAN BUDGET SAMI-TF'!J12:J99999,SUMMARY!A60&amp;"*")</f>
        <v>0</v>
      </c>
      <c r="AB60" s="10">
        <f>SUMIFS('PLAN BUDGET SAMI-TF'!BN12:BN99999,'PLAN BUDGET SAMI-TF'!D12:D99999,SUMMARY!D60,'PLAN BUDGET SAMI-TF'!J12:J99999,SUMMARY!A60&amp;"*")</f>
        <v>0</v>
      </c>
      <c r="AC60" s="10">
        <f t="shared" si="4"/>
        <v>1</v>
      </c>
      <c r="AD60" s="10">
        <f t="shared" si="5"/>
        <v>0</v>
      </c>
      <c r="AE60" s="16"/>
      <c r="AF60" s="10">
        <v>0</v>
      </c>
      <c r="AG60" s="10">
        <v>0</v>
      </c>
      <c r="AH60" s="20">
        <f t="shared" si="6"/>
        <v>1</v>
      </c>
      <c r="AI60" s="20">
        <f t="shared" si="7"/>
        <v>1</v>
      </c>
      <c r="AJ60" s="67" t="s">
        <v>863</v>
      </c>
    </row>
    <row r="61" spans="1:36" x14ac:dyDescent="0.35">
      <c r="A61" s="7" t="s">
        <v>498</v>
      </c>
      <c r="B61" s="7"/>
      <c r="C61" s="7"/>
      <c r="D61" s="7" t="s">
        <v>544</v>
      </c>
      <c r="E61" s="10">
        <f>SUMIFS('PLAN BUDGET SAMI-TF'!AN12:AN99999,'PLAN BUDGET SAMI-TF'!D12:D99999,SUMMARY!D61,'PLAN BUDGET SAMI-TF'!J12:J99999,SUMMARY!A61&amp;"*")</f>
        <v>2</v>
      </c>
      <c r="F61" s="10">
        <f>SUMIFS('PLAN BUDGET SAMI-TF'!AO12:AO99999,'PLAN BUDGET SAMI-TF'!D12:D99999,SUMMARY!D61,'PLAN BUDGET SAMI-TF'!J12:J99999,SUMMARY!A61&amp;"*")</f>
        <v>0</v>
      </c>
      <c r="G61" s="10">
        <f>SUMIFS('PLAN BUDGET SAMI-TF'!AP12:AP99999,'PLAN BUDGET SAMI-TF'!D12:D99999,SUMMARY!D61,'PLAN BUDGET SAMI-TF'!J12:J99999,SUMMARY!A61&amp;"*")</f>
        <v>0</v>
      </c>
      <c r="H61" s="10">
        <f>SUMIFS('PLAN BUDGET SAMI-TF'!AQ12:AQ99999,'PLAN BUDGET SAMI-TF'!D12:D99999,SUMMARY!D61,'PLAN BUDGET SAMI-TF'!J12:J99999,SUMMARY!A61&amp;"*")</f>
        <v>0</v>
      </c>
      <c r="I61" s="10">
        <f>SUMIFS('PLAN BUDGET SAMI-TF'!AR12:AR99999,'PLAN BUDGET SAMI-TF'!D12:D99999,SUMMARY!D61,'PLAN BUDGET SAMI-TF'!J12:J99999,SUMMARY!A61&amp;"*")</f>
        <v>0</v>
      </c>
      <c r="J61" s="10">
        <f>SUMIFS('PLAN BUDGET SAMI-TF'!AS12:AS99999,'PLAN BUDGET SAMI-TF'!D12:D99999,SUMMARY!D61,'PLAN BUDGET SAMI-TF'!J12:J99999,SUMMARY!A61&amp;"*")</f>
        <v>0</v>
      </c>
      <c r="K61" s="10">
        <f>SUMIFS('PLAN BUDGET SAMI-TF'!AT12:AT99999,'PLAN BUDGET SAMI-TF'!D12:D99999,SUMMARY!D61,'PLAN BUDGET SAMI-TF'!J12:J99999,SUMMARY!A61&amp;"*")</f>
        <v>0</v>
      </c>
      <c r="L61" s="10">
        <f>SUMIFS('PLAN BUDGET SAMI-TF'!AU12:AU99999,'PLAN BUDGET SAMI-TF'!D12:D99999,SUMMARY!D61,'PLAN BUDGET SAMI-TF'!J12:J99999,SUMMARY!A61&amp;"*")</f>
        <v>0</v>
      </c>
      <c r="M61" s="10">
        <f>SUMIFS('PLAN BUDGET SAMI-TF'!AV12:AV99999,'PLAN BUDGET SAMI-TF'!D12:D99999,SUMMARY!D61,'PLAN BUDGET SAMI-TF'!J12:J99999,SUMMARY!A61&amp;"*")</f>
        <v>0</v>
      </c>
      <c r="N61" s="10">
        <f>SUMIFS('PLAN BUDGET SAMI-TF'!AW12:AW99999,'PLAN BUDGET SAMI-TF'!D12:D99999,SUMMARY!D61,'PLAN BUDGET SAMI-TF'!J12:J99999,SUMMARY!A61&amp;"*")</f>
        <v>0</v>
      </c>
      <c r="O61" s="10">
        <f>SUMIFS('PLAN BUDGET SAMI-TF'!AX12:AX99999,'PLAN BUDGET SAMI-TF'!D12:D99999,SUMMARY!D61,'PLAN BUDGET SAMI-TF'!J12:J99999,SUMMARY!A61&amp;"*")</f>
        <v>0</v>
      </c>
      <c r="P61" s="10">
        <f>SUMIFS('PLAN BUDGET SAMI-TF'!AY12:AY99999,'PLAN BUDGET SAMI-TF'!D12:D99999,SUMMARY!D61,'PLAN BUDGET SAMI-TF'!J12:J99999,SUMMARY!A61&amp;"*")</f>
        <v>0</v>
      </c>
      <c r="Q61" s="10">
        <f>SUMIFS('PLAN BUDGET SAMI-TF'!BC12:BC99999,'PLAN BUDGET SAMI-TF'!D12:D99999,SUMMARY!D61,'PLAN BUDGET SAMI-TF'!J12:J99999,SUMMARY!A61&amp;"*")</f>
        <v>0</v>
      </c>
      <c r="R61" s="10">
        <f>SUMIFS('PLAN BUDGET SAMI-TF'!BD12:BD99999,'PLAN BUDGET SAMI-TF'!D12:D99999,SUMMARY!D61,'PLAN BUDGET SAMI-TF'!J12:J99999,SUMMARY!A61&amp;"*")</f>
        <v>0</v>
      </c>
      <c r="S61" s="10">
        <f>SUMIFS('PLAN BUDGET SAMI-TF'!BE12:BE99999,'PLAN BUDGET SAMI-TF'!D12:D99999,SUMMARY!D61,'PLAN BUDGET SAMI-TF'!J12:J99999,SUMMARY!A61&amp;"*")</f>
        <v>0</v>
      </c>
      <c r="T61" s="10">
        <f>SUMIFS('PLAN BUDGET SAMI-TF'!BF12:BF99999,'PLAN BUDGET SAMI-TF'!D12:D99999,SUMMARY!D61,'PLAN BUDGET SAMI-TF'!J12:J99999,SUMMARY!A61&amp;"*")</f>
        <v>0</v>
      </c>
      <c r="U61" s="10">
        <f>SUMIFS('PLAN BUDGET SAMI-TF'!BG12:BG99999,'PLAN BUDGET SAMI-TF'!D12:D99999,SUMMARY!D61,'PLAN BUDGET SAMI-TF'!J12:J99999,SUMMARY!A61&amp;"*")</f>
        <v>0</v>
      </c>
      <c r="V61" s="10">
        <f>SUMIFS('PLAN BUDGET SAMI-TF'!BH12:BH99999,'PLAN BUDGET SAMI-TF'!D12:D99999,SUMMARY!D61,'PLAN BUDGET SAMI-TF'!J12:J99999,SUMMARY!A61&amp;"*")</f>
        <v>0</v>
      </c>
      <c r="W61" s="10">
        <f>SUMIFS('PLAN BUDGET SAMI-TF'!BI12:BI99999,'PLAN BUDGET SAMI-TF'!D12:D99999,SUMMARY!D61,'PLAN BUDGET SAMI-TF'!J12:J99999,SUMMARY!A61&amp;"*")</f>
        <v>0</v>
      </c>
      <c r="X61" s="10">
        <f>SUMIFS('PLAN BUDGET SAMI-TF'!BJ12:BJ99999,'PLAN BUDGET SAMI-TF'!D12:D99999,SUMMARY!D61,'PLAN BUDGET SAMI-TF'!J12:J99999,SUMMARY!A61&amp;"*")</f>
        <v>0</v>
      </c>
      <c r="Y61" s="10">
        <f>SUMIFS('PLAN BUDGET SAMI-TF'!BK12:BK99999,'PLAN BUDGET SAMI-TF'!D12:D99999,SUMMARY!D61,'PLAN BUDGET SAMI-TF'!J12:J99999,SUMMARY!A61&amp;"*")</f>
        <v>0</v>
      </c>
      <c r="Z61" s="10">
        <f>SUMIFS('PLAN BUDGET SAMI-TF'!BL12:BL99999,'PLAN BUDGET SAMI-TF'!D12:D99999,SUMMARY!D61,'PLAN BUDGET SAMI-TF'!J12:J99999,SUMMARY!A61&amp;"*")</f>
        <v>0</v>
      </c>
      <c r="AA61" s="10">
        <f>SUMIFS('PLAN BUDGET SAMI-TF'!BM12:BM99999,'PLAN BUDGET SAMI-TF'!D12:D99999,SUMMARY!D61,'PLAN BUDGET SAMI-TF'!J12:J99999,SUMMARY!A61&amp;"*")</f>
        <v>0</v>
      </c>
      <c r="AB61" s="10">
        <f>SUMIFS('PLAN BUDGET SAMI-TF'!BN12:BN99999,'PLAN BUDGET SAMI-TF'!D12:D99999,SUMMARY!D61,'PLAN BUDGET SAMI-TF'!J12:J99999,SUMMARY!A61&amp;"*")</f>
        <v>0</v>
      </c>
      <c r="AC61" s="10">
        <f t="shared" si="4"/>
        <v>2</v>
      </c>
      <c r="AD61" s="10">
        <f t="shared" si="5"/>
        <v>0</v>
      </c>
      <c r="AE61" s="16"/>
      <c r="AF61" s="10">
        <v>0</v>
      </c>
      <c r="AG61" s="10">
        <v>0</v>
      </c>
      <c r="AH61" s="20">
        <f t="shared" si="6"/>
        <v>1</v>
      </c>
      <c r="AI61" s="20">
        <f t="shared" si="7"/>
        <v>1</v>
      </c>
      <c r="AJ61" s="67" t="s">
        <v>863</v>
      </c>
    </row>
    <row r="62" spans="1:36" x14ac:dyDescent="0.35">
      <c r="A62" s="7" t="s">
        <v>498</v>
      </c>
      <c r="B62" s="7"/>
      <c r="C62" s="7"/>
      <c r="D62" s="7" t="s">
        <v>618</v>
      </c>
      <c r="E62" s="10">
        <f>SUMIFS('PLAN BUDGET SAMI-TF'!AN12:AN99999,'PLAN BUDGET SAMI-TF'!D12:D99999,SUMMARY!D62,'PLAN BUDGET SAMI-TF'!J12:J99999,SUMMARY!A62&amp;"*")</f>
        <v>0</v>
      </c>
      <c r="F62" s="10">
        <f>SUMIFS('PLAN BUDGET SAMI-TF'!AO12:AO99999,'PLAN BUDGET SAMI-TF'!D12:D99999,SUMMARY!D62,'PLAN BUDGET SAMI-TF'!J12:J99999,SUMMARY!A62&amp;"*")</f>
        <v>0</v>
      </c>
      <c r="G62" s="10">
        <f>SUMIFS('PLAN BUDGET SAMI-TF'!AP12:AP99999,'PLAN BUDGET SAMI-TF'!D12:D99999,SUMMARY!D62,'PLAN BUDGET SAMI-TF'!J12:J99999,SUMMARY!A62&amp;"*")</f>
        <v>2</v>
      </c>
      <c r="H62" s="10">
        <f>SUMIFS('PLAN BUDGET SAMI-TF'!AQ12:AQ99999,'PLAN BUDGET SAMI-TF'!D12:D99999,SUMMARY!D62,'PLAN BUDGET SAMI-TF'!J12:J99999,SUMMARY!A62&amp;"*")</f>
        <v>0</v>
      </c>
      <c r="I62" s="10">
        <f>SUMIFS('PLAN BUDGET SAMI-TF'!AR12:AR99999,'PLAN BUDGET SAMI-TF'!D12:D99999,SUMMARY!D62,'PLAN BUDGET SAMI-TF'!J12:J99999,SUMMARY!A62&amp;"*")</f>
        <v>0</v>
      </c>
      <c r="J62" s="10">
        <f>SUMIFS('PLAN BUDGET SAMI-TF'!AS12:AS99999,'PLAN BUDGET SAMI-TF'!D12:D99999,SUMMARY!D62,'PLAN BUDGET SAMI-TF'!J12:J99999,SUMMARY!A62&amp;"*")</f>
        <v>0</v>
      </c>
      <c r="K62" s="10">
        <f>SUMIFS('PLAN BUDGET SAMI-TF'!AT12:AT99999,'PLAN BUDGET SAMI-TF'!D12:D99999,SUMMARY!D62,'PLAN BUDGET SAMI-TF'!J12:J99999,SUMMARY!A62&amp;"*")</f>
        <v>0</v>
      </c>
      <c r="L62" s="10">
        <f>SUMIFS('PLAN BUDGET SAMI-TF'!AU12:AU99999,'PLAN BUDGET SAMI-TF'!D12:D99999,SUMMARY!D62,'PLAN BUDGET SAMI-TF'!J12:J99999,SUMMARY!A62&amp;"*")</f>
        <v>0</v>
      </c>
      <c r="M62" s="10">
        <f>SUMIFS('PLAN BUDGET SAMI-TF'!AV12:AV99999,'PLAN BUDGET SAMI-TF'!D12:D99999,SUMMARY!D62,'PLAN BUDGET SAMI-TF'!J12:J99999,SUMMARY!A62&amp;"*")</f>
        <v>0</v>
      </c>
      <c r="N62" s="10">
        <f>SUMIFS('PLAN BUDGET SAMI-TF'!AW12:AW99999,'PLAN BUDGET SAMI-TF'!D12:D99999,SUMMARY!D62,'PLAN BUDGET SAMI-TF'!J12:J99999,SUMMARY!A62&amp;"*")</f>
        <v>0</v>
      </c>
      <c r="O62" s="10">
        <f>SUMIFS('PLAN BUDGET SAMI-TF'!AX12:AX99999,'PLAN BUDGET SAMI-TF'!D12:D99999,SUMMARY!D62,'PLAN BUDGET SAMI-TF'!J12:J99999,SUMMARY!A62&amp;"*")</f>
        <v>0</v>
      </c>
      <c r="P62" s="10">
        <f>SUMIFS('PLAN BUDGET SAMI-TF'!AY12:AY99999,'PLAN BUDGET SAMI-TF'!D12:D99999,SUMMARY!D62,'PLAN BUDGET SAMI-TF'!J12:J99999,SUMMARY!A62&amp;"*")</f>
        <v>0</v>
      </c>
      <c r="Q62" s="10">
        <f>SUMIFS('PLAN BUDGET SAMI-TF'!BC12:BC99999,'PLAN BUDGET SAMI-TF'!D12:D99999,SUMMARY!D62,'PLAN BUDGET SAMI-TF'!J12:J99999,SUMMARY!A62&amp;"*")</f>
        <v>0</v>
      </c>
      <c r="R62" s="10">
        <f>SUMIFS('PLAN BUDGET SAMI-TF'!BD12:BD99999,'PLAN BUDGET SAMI-TF'!D12:D99999,SUMMARY!D62,'PLAN BUDGET SAMI-TF'!J12:J99999,SUMMARY!A62&amp;"*")</f>
        <v>0</v>
      </c>
      <c r="S62" s="10">
        <f>SUMIFS('PLAN BUDGET SAMI-TF'!BE12:BE99999,'PLAN BUDGET SAMI-TF'!D12:D99999,SUMMARY!D62,'PLAN BUDGET SAMI-TF'!J12:J99999,SUMMARY!A62&amp;"*")</f>
        <v>765.89064853848004</v>
      </c>
      <c r="T62" s="10">
        <f>SUMIFS('PLAN BUDGET SAMI-TF'!BF12:BF99999,'PLAN BUDGET SAMI-TF'!D12:D99999,SUMMARY!D62,'PLAN BUDGET SAMI-TF'!J12:J99999,SUMMARY!A62&amp;"*")</f>
        <v>0</v>
      </c>
      <c r="U62" s="10">
        <f>SUMIFS('PLAN BUDGET SAMI-TF'!BG12:BG99999,'PLAN BUDGET SAMI-TF'!D12:D99999,SUMMARY!D62,'PLAN BUDGET SAMI-TF'!J12:J99999,SUMMARY!A62&amp;"*")</f>
        <v>0</v>
      </c>
      <c r="V62" s="10">
        <f>SUMIFS('PLAN BUDGET SAMI-TF'!BH12:BH99999,'PLAN BUDGET SAMI-TF'!D12:D99999,SUMMARY!D62,'PLAN BUDGET SAMI-TF'!J12:J99999,SUMMARY!A62&amp;"*")</f>
        <v>0</v>
      </c>
      <c r="W62" s="10">
        <f>SUMIFS('PLAN BUDGET SAMI-TF'!BI12:BI99999,'PLAN BUDGET SAMI-TF'!D12:D99999,SUMMARY!D62,'PLAN BUDGET SAMI-TF'!J12:J99999,SUMMARY!A62&amp;"*")</f>
        <v>0</v>
      </c>
      <c r="X62" s="10">
        <f>SUMIFS('PLAN BUDGET SAMI-TF'!BJ12:BJ99999,'PLAN BUDGET SAMI-TF'!D12:D99999,SUMMARY!D62,'PLAN BUDGET SAMI-TF'!J12:J99999,SUMMARY!A62&amp;"*")</f>
        <v>0</v>
      </c>
      <c r="Y62" s="10">
        <f>SUMIFS('PLAN BUDGET SAMI-TF'!BK12:BK99999,'PLAN BUDGET SAMI-TF'!D12:D99999,SUMMARY!D62,'PLAN BUDGET SAMI-TF'!J12:J99999,SUMMARY!A62&amp;"*")</f>
        <v>0</v>
      </c>
      <c r="Z62" s="10">
        <f>SUMIFS('PLAN BUDGET SAMI-TF'!BL12:BL99999,'PLAN BUDGET SAMI-TF'!D12:D99999,SUMMARY!D62,'PLAN BUDGET SAMI-TF'!J12:J99999,SUMMARY!A62&amp;"*")</f>
        <v>0</v>
      </c>
      <c r="AA62" s="10">
        <f>SUMIFS('PLAN BUDGET SAMI-TF'!BM12:BM99999,'PLAN BUDGET SAMI-TF'!D12:D99999,SUMMARY!D62,'PLAN BUDGET SAMI-TF'!J12:J99999,SUMMARY!A62&amp;"*")</f>
        <v>0</v>
      </c>
      <c r="AB62" s="10">
        <f>SUMIFS('PLAN BUDGET SAMI-TF'!BN12:BN99999,'PLAN BUDGET SAMI-TF'!D12:D99999,SUMMARY!D62,'PLAN BUDGET SAMI-TF'!J12:J99999,SUMMARY!A62&amp;"*")</f>
        <v>0</v>
      </c>
      <c r="AC62" s="10">
        <f t="shared" si="4"/>
        <v>2</v>
      </c>
      <c r="AD62" s="10">
        <f t="shared" si="5"/>
        <v>765.89064853848004</v>
      </c>
      <c r="AE62" s="16"/>
      <c r="AF62" s="10">
        <v>0</v>
      </c>
      <c r="AG62" s="10">
        <v>0</v>
      </c>
      <c r="AH62" s="20">
        <f t="shared" si="6"/>
        <v>1</v>
      </c>
      <c r="AI62" s="20">
        <f t="shared" si="7"/>
        <v>1</v>
      </c>
      <c r="AJ62" s="67" t="s">
        <v>863</v>
      </c>
    </row>
    <row r="63" spans="1:36" x14ac:dyDescent="0.35">
      <c r="A63" s="7" t="s">
        <v>498</v>
      </c>
      <c r="B63" s="7"/>
      <c r="C63" s="7"/>
      <c r="D63" s="7" t="s">
        <v>190</v>
      </c>
      <c r="E63" s="10">
        <f>SUMIFS('PLAN BUDGET SAMI-TF'!AN12:AN99999,'PLAN BUDGET SAMI-TF'!D12:D99999,SUMMARY!D63,'PLAN BUDGET SAMI-TF'!J12:J99999,SUMMARY!A63&amp;"*")</f>
        <v>0</v>
      </c>
      <c r="F63" s="10">
        <f>SUMIFS('PLAN BUDGET SAMI-TF'!AO12:AO99999,'PLAN BUDGET SAMI-TF'!D12:D99999,SUMMARY!D63,'PLAN BUDGET SAMI-TF'!J12:J99999,SUMMARY!A63&amp;"*")</f>
        <v>0</v>
      </c>
      <c r="G63" s="10">
        <f>SUMIFS('PLAN BUDGET SAMI-TF'!AP12:AP99999,'PLAN BUDGET SAMI-TF'!D12:D99999,SUMMARY!D63,'PLAN BUDGET SAMI-TF'!J12:J99999,SUMMARY!A63&amp;"*")</f>
        <v>0</v>
      </c>
      <c r="H63" s="10">
        <f>SUMIFS('PLAN BUDGET SAMI-TF'!AQ12:AQ99999,'PLAN BUDGET SAMI-TF'!D12:D99999,SUMMARY!D63,'PLAN BUDGET SAMI-TF'!J12:J99999,SUMMARY!A63&amp;"*")</f>
        <v>0</v>
      </c>
      <c r="I63" s="10">
        <f>SUMIFS('PLAN BUDGET SAMI-TF'!AR12:AR99999,'PLAN BUDGET SAMI-TF'!D12:D99999,SUMMARY!D63,'PLAN BUDGET SAMI-TF'!J12:J99999,SUMMARY!A63&amp;"*")</f>
        <v>6</v>
      </c>
      <c r="J63" s="10">
        <f>SUMIFS('PLAN BUDGET SAMI-TF'!AS12:AS99999,'PLAN BUDGET SAMI-TF'!D12:D99999,SUMMARY!D63,'PLAN BUDGET SAMI-TF'!J12:J99999,SUMMARY!A63&amp;"*")</f>
        <v>0</v>
      </c>
      <c r="K63" s="10">
        <f>SUMIFS('PLAN BUDGET SAMI-TF'!AT12:AT99999,'PLAN BUDGET SAMI-TF'!D12:D99999,SUMMARY!D63,'PLAN BUDGET SAMI-TF'!J12:J99999,SUMMARY!A63&amp;"*")</f>
        <v>0</v>
      </c>
      <c r="L63" s="10">
        <f>SUMIFS('PLAN BUDGET SAMI-TF'!AU12:AU99999,'PLAN BUDGET SAMI-TF'!D12:D99999,SUMMARY!D63,'PLAN BUDGET SAMI-TF'!J12:J99999,SUMMARY!A63&amp;"*")</f>
        <v>0</v>
      </c>
      <c r="M63" s="10">
        <f>SUMIFS('PLAN BUDGET SAMI-TF'!AV12:AV99999,'PLAN BUDGET SAMI-TF'!D12:D99999,SUMMARY!D63,'PLAN BUDGET SAMI-TF'!J12:J99999,SUMMARY!A63&amp;"*")</f>
        <v>0</v>
      </c>
      <c r="N63" s="10">
        <f>SUMIFS('PLAN BUDGET SAMI-TF'!AW12:AW99999,'PLAN BUDGET SAMI-TF'!D12:D99999,SUMMARY!D63,'PLAN BUDGET SAMI-TF'!J12:J99999,SUMMARY!A63&amp;"*")</f>
        <v>0</v>
      </c>
      <c r="O63" s="10">
        <f>SUMIFS('PLAN BUDGET SAMI-TF'!AX12:AX99999,'PLAN BUDGET SAMI-TF'!D12:D99999,SUMMARY!D63,'PLAN BUDGET SAMI-TF'!J12:J99999,SUMMARY!A63&amp;"*")</f>
        <v>0</v>
      </c>
      <c r="P63" s="10">
        <f>SUMIFS('PLAN BUDGET SAMI-TF'!AY12:AY99999,'PLAN BUDGET SAMI-TF'!D12:D99999,SUMMARY!D63,'PLAN BUDGET SAMI-TF'!J12:J99999,SUMMARY!A63&amp;"*")</f>
        <v>0</v>
      </c>
      <c r="Q63" s="10">
        <f>SUMIFS('PLAN BUDGET SAMI-TF'!BC12:BC99999,'PLAN BUDGET SAMI-TF'!D12:D99999,SUMMARY!D63,'PLAN BUDGET SAMI-TF'!J12:J99999,SUMMARY!A63&amp;"*")</f>
        <v>0</v>
      </c>
      <c r="R63" s="10">
        <f>SUMIFS('PLAN BUDGET SAMI-TF'!BD12:BD99999,'PLAN BUDGET SAMI-TF'!D12:D99999,SUMMARY!D63,'PLAN BUDGET SAMI-TF'!J12:J99999,SUMMARY!A63&amp;"*")</f>
        <v>0</v>
      </c>
      <c r="S63" s="10">
        <f>SUMIFS('PLAN BUDGET SAMI-TF'!BE12:BE99999,'PLAN BUDGET SAMI-TF'!D12:D99999,SUMMARY!D63,'PLAN BUDGET SAMI-TF'!J12:J99999,SUMMARY!A63&amp;"*")</f>
        <v>0</v>
      </c>
      <c r="T63" s="10">
        <f>SUMIFS('PLAN BUDGET SAMI-TF'!BF12:BF99999,'PLAN BUDGET SAMI-TF'!D12:D99999,SUMMARY!D63,'PLAN BUDGET SAMI-TF'!J12:J99999,SUMMARY!A63&amp;"*")</f>
        <v>0</v>
      </c>
      <c r="U63" s="10">
        <f>SUMIFS('PLAN BUDGET SAMI-TF'!BG12:BG99999,'PLAN BUDGET SAMI-TF'!D12:D99999,SUMMARY!D63,'PLAN BUDGET SAMI-TF'!J12:J99999,SUMMARY!A63&amp;"*")</f>
        <v>424.088210347749</v>
      </c>
      <c r="V63" s="10">
        <f>SUMIFS('PLAN BUDGET SAMI-TF'!BH12:BH99999,'PLAN BUDGET SAMI-TF'!D12:D99999,SUMMARY!D63,'PLAN BUDGET SAMI-TF'!J12:J99999,SUMMARY!A63&amp;"*")</f>
        <v>0</v>
      </c>
      <c r="W63" s="10">
        <f>SUMIFS('PLAN BUDGET SAMI-TF'!BI12:BI99999,'PLAN BUDGET SAMI-TF'!D12:D99999,SUMMARY!D63,'PLAN BUDGET SAMI-TF'!J12:J99999,SUMMARY!A63&amp;"*")</f>
        <v>0</v>
      </c>
      <c r="X63" s="10">
        <f>SUMIFS('PLAN BUDGET SAMI-TF'!BJ12:BJ99999,'PLAN BUDGET SAMI-TF'!D12:D99999,SUMMARY!D63,'PLAN BUDGET SAMI-TF'!J12:J99999,SUMMARY!A63&amp;"*")</f>
        <v>0</v>
      </c>
      <c r="Y63" s="10">
        <f>SUMIFS('PLAN BUDGET SAMI-TF'!BK12:BK99999,'PLAN BUDGET SAMI-TF'!D12:D99999,SUMMARY!D63,'PLAN BUDGET SAMI-TF'!J12:J99999,SUMMARY!A63&amp;"*")</f>
        <v>0</v>
      </c>
      <c r="Z63" s="10">
        <f>SUMIFS('PLAN BUDGET SAMI-TF'!BL12:BL99999,'PLAN BUDGET SAMI-TF'!D12:D99999,SUMMARY!D63,'PLAN BUDGET SAMI-TF'!J12:J99999,SUMMARY!A63&amp;"*")</f>
        <v>0</v>
      </c>
      <c r="AA63" s="10">
        <f>SUMIFS('PLAN BUDGET SAMI-TF'!BM12:BM99999,'PLAN BUDGET SAMI-TF'!D12:D99999,SUMMARY!D63,'PLAN BUDGET SAMI-TF'!J12:J99999,SUMMARY!A63&amp;"*")</f>
        <v>0</v>
      </c>
      <c r="AB63" s="10">
        <f>SUMIFS('PLAN BUDGET SAMI-TF'!BN12:BN99999,'PLAN BUDGET SAMI-TF'!D12:D99999,SUMMARY!D63,'PLAN BUDGET SAMI-TF'!J12:J99999,SUMMARY!A63&amp;"*")</f>
        <v>0</v>
      </c>
      <c r="AC63" s="10">
        <f t="shared" si="4"/>
        <v>6</v>
      </c>
      <c r="AD63" s="10">
        <f t="shared" si="5"/>
        <v>424.088210347749</v>
      </c>
      <c r="AE63" s="16"/>
      <c r="AF63" s="10">
        <v>59</v>
      </c>
      <c r="AG63" s="10">
        <v>423.13875913056</v>
      </c>
      <c r="AH63" s="20">
        <f t="shared" si="6"/>
        <v>-0.89830508474576276</v>
      </c>
      <c r="AI63" s="20">
        <f t="shared" si="7"/>
        <v>2.2438294689426912E-3</v>
      </c>
      <c r="AJ63" s="7" t="s">
        <v>874</v>
      </c>
    </row>
    <row r="64" spans="1:36" x14ac:dyDescent="0.35">
      <c r="A64" s="7" t="s">
        <v>498</v>
      </c>
      <c r="B64" s="7"/>
      <c r="C64" s="7"/>
      <c r="D64" s="7" t="s">
        <v>675</v>
      </c>
      <c r="E64" s="10">
        <f>SUMIFS('PLAN BUDGET SAMI-TF'!AN12:AN99999,'PLAN BUDGET SAMI-TF'!D12:D99999,SUMMARY!D64,'PLAN BUDGET SAMI-TF'!J12:J99999,SUMMARY!A64&amp;"*")</f>
        <v>0</v>
      </c>
      <c r="F64" s="10">
        <f>SUMIFS('PLAN BUDGET SAMI-TF'!AO12:AO99999,'PLAN BUDGET SAMI-TF'!D12:D99999,SUMMARY!D64,'PLAN BUDGET SAMI-TF'!J12:J99999,SUMMARY!A64&amp;"*")</f>
        <v>0</v>
      </c>
      <c r="G64" s="10">
        <f>SUMIFS('PLAN BUDGET SAMI-TF'!AP12:AP99999,'PLAN BUDGET SAMI-TF'!D12:D99999,SUMMARY!D64,'PLAN BUDGET SAMI-TF'!J12:J99999,SUMMARY!A64&amp;"*")</f>
        <v>0</v>
      </c>
      <c r="H64" s="10">
        <f>SUMIFS('PLAN BUDGET SAMI-TF'!AQ12:AQ99999,'PLAN BUDGET SAMI-TF'!D12:D99999,SUMMARY!D64,'PLAN BUDGET SAMI-TF'!J12:J99999,SUMMARY!A64&amp;"*")</f>
        <v>0</v>
      </c>
      <c r="I64" s="10">
        <f>SUMIFS('PLAN BUDGET SAMI-TF'!AR12:AR99999,'PLAN BUDGET SAMI-TF'!D12:D99999,SUMMARY!D64,'PLAN BUDGET SAMI-TF'!J12:J99999,SUMMARY!A64&amp;"*")</f>
        <v>3</v>
      </c>
      <c r="J64" s="10">
        <f>SUMIFS('PLAN BUDGET SAMI-TF'!AS12:AS99999,'PLAN BUDGET SAMI-TF'!D12:D99999,SUMMARY!D64,'PLAN BUDGET SAMI-TF'!J12:J99999,SUMMARY!A64&amp;"*")</f>
        <v>0</v>
      </c>
      <c r="K64" s="10">
        <f>SUMIFS('PLAN BUDGET SAMI-TF'!AT12:AT99999,'PLAN BUDGET SAMI-TF'!D12:D99999,SUMMARY!D64,'PLAN BUDGET SAMI-TF'!J12:J99999,SUMMARY!A64&amp;"*")</f>
        <v>0</v>
      </c>
      <c r="L64" s="10">
        <f>SUMIFS('PLAN BUDGET SAMI-TF'!AU12:AU99999,'PLAN BUDGET SAMI-TF'!D12:D99999,SUMMARY!D64,'PLAN BUDGET SAMI-TF'!J12:J99999,SUMMARY!A64&amp;"*")</f>
        <v>0</v>
      </c>
      <c r="M64" s="10">
        <f>SUMIFS('PLAN BUDGET SAMI-TF'!AV12:AV99999,'PLAN BUDGET SAMI-TF'!D12:D99999,SUMMARY!D64,'PLAN BUDGET SAMI-TF'!J12:J99999,SUMMARY!A64&amp;"*")</f>
        <v>0</v>
      </c>
      <c r="N64" s="10">
        <f>SUMIFS('PLAN BUDGET SAMI-TF'!AW12:AW99999,'PLAN BUDGET SAMI-TF'!D12:D99999,SUMMARY!D64,'PLAN BUDGET SAMI-TF'!J12:J99999,SUMMARY!A64&amp;"*")</f>
        <v>0</v>
      </c>
      <c r="O64" s="10">
        <f>SUMIFS('PLAN BUDGET SAMI-TF'!AX12:AX99999,'PLAN BUDGET SAMI-TF'!D12:D99999,SUMMARY!D64,'PLAN BUDGET SAMI-TF'!J12:J99999,SUMMARY!A64&amp;"*")</f>
        <v>0</v>
      </c>
      <c r="P64" s="10">
        <f>SUMIFS('PLAN BUDGET SAMI-TF'!AY12:AY99999,'PLAN BUDGET SAMI-TF'!D12:D99999,SUMMARY!D64,'PLAN BUDGET SAMI-TF'!J12:J99999,SUMMARY!A64&amp;"*")</f>
        <v>0</v>
      </c>
      <c r="Q64" s="10">
        <f>SUMIFS('PLAN BUDGET SAMI-TF'!BC12:BC99999,'PLAN BUDGET SAMI-TF'!D12:D99999,SUMMARY!D64,'PLAN BUDGET SAMI-TF'!J12:J99999,SUMMARY!A64&amp;"*")</f>
        <v>0</v>
      </c>
      <c r="R64" s="10">
        <f>SUMIFS('PLAN BUDGET SAMI-TF'!BD12:BD99999,'PLAN BUDGET SAMI-TF'!D12:D99999,SUMMARY!D64,'PLAN BUDGET SAMI-TF'!J12:J99999,SUMMARY!A64&amp;"*")</f>
        <v>0</v>
      </c>
      <c r="S64" s="10">
        <f>SUMIFS('PLAN BUDGET SAMI-TF'!BE12:BE99999,'PLAN BUDGET SAMI-TF'!D12:D99999,SUMMARY!D64,'PLAN BUDGET SAMI-TF'!J12:J99999,SUMMARY!A64&amp;"*")</f>
        <v>0</v>
      </c>
      <c r="T64" s="10">
        <f>SUMIFS('PLAN BUDGET SAMI-TF'!BF12:BF99999,'PLAN BUDGET SAMI-TF'!D12:D99999,SUMMARY!D64,'PLAN BUDGET SAMI-TF'!J12:J99999,SUMMARY!A64&amp;"*")</f>
        <v>0</v>
      </c>
      <c r="U64" s="10">
        <f>SUMIFS('PLAN BUDGET SAMI-TF'!BG12:BG99999,'PLAN BUDGET SAMI-TF'!D12:D99999,SUMMARY!D64,'PLAN BUDGET SAMI-TF'!J12:J99999,SUMMARY!A64&amp;"*")</f>
        <v>47.472560859822998</v>
      </c>
      <c r="V64" s="10">
        <f>SUMIFS('PLAN BUDGET SAMI-TF'!BH12:BH99999,'PLAN BUDGET SAMI-TF'!D12:D99999,SUMMARY!D64,'PLAN BUDGET SAMI-TF'!J12:J99999,SUMMARY!A64&amp;"*")</f>
        <v>0</v>
      </c>
      <c r="W64" s="10">
        <f>SUMIFS('PLAN BUDGET SAMI-TF'!BI12:BI99999,'PLAN BUDGET SAMI-TF'!D12:D99999,SUMMARY!D64,'PLAN BUDGET SAMI-TF'!J12:J99999,SUMMARY!A64&amp;"*")</f>
        <v>0</v>
      </c>
      <c r="X64" s="10">
        <f>SUMIFS('PLAN BUDGET SAMI-TF'!BJ12:BJ99999,'PLAN BUDGET SAMI-TF'!D12:D99999,SUMMARY!D64,'PLAN BUDGET SAMI-TF'!J12:J99999,SUMMARY!A64&amp;"*")</f>
        <v>0</v>
      </c>
      <c r="Y64" s="10">
        <f>SUMIFS('PLAN BUDGET SAMI-TF'!BK12:BK99999,'PLAN BUDGET SAMI-TF'!D12:D99999,SUMMARY!D64,'PLAN BUDGET SAMI-TF'!J12:J99999,SUMMARY!A64&amp;"*")</f>
        <v>0</v>
      </c>
      <c r="Z64" s="10">
        <f>SUMIFS('PLAN BUDGET SAMI-TF'!BL12:BL99999,'PLAN BUDGET SAMI-TF'!D12:D99999,SUMMARY!D64,'PLAN BUDGET SAMI-TF'!J12:J99999,SUMMARY!A64&amp;"*")</f>
        <v>0</v>
      </c>
      <c r="AA64" s="10">
        <f>SUMIFS('PLAN BUDGET SAMI-TF'!BM12:BM99999,'PLAN BUDGET SAMI-TF'!D12:D99999,SUMMARY!D64,'PLAN BUDGET SAMI-TF'!J12:J99999,SUMMARY!A64&amp;"*")</f>
        <v>0</v>
      </c>
      <c r="AB64" s="10">
        <f>SUMIFS('PLAN BUDGET SAMI-TF'!BN12:BN99999,'PLAN BUDGET SAMI-TF'!D12:D99999,SUMMARY!D64,'PLAN BUDGET SAMI-TF'!J12:J99999,SUMMARY!A64&amp;"*")</f>
        <v>0</v>
      </c>
      <c r="AC64" s="10">
        <f t="shared" si="4"/>
        <v>3</v>
      </c>
      <c r="AD64" s="10">
        <f t="shared" si="5"/>
        <v>47.472560859822998</v>
      </c>
      <c r="AE64" s="16"/>
      <c r="AF64" s="10">
        <v>0</v>
      </c>
      <c r="AG64" s="10">
        <v>0</v>
      </c>
      <c r="AH64" s="20">
        <f t="shared" si="6"/>
        <v>1</v>
      </c>
      <c r="AI64" s="20">
        <f t="shared" si="7"/>
        <v>1</v>
      </c>
      <c r="AJ64" s="67" t="s">
        <v>863</v>
      </c>
    </row>
    <row r="65" spans="1:36" x14ac:dyDescent="0.35">
      <c r="A65" s="7" t="s">
        <v>498</v>
      </c>
      <c r="B65" s="7"/>
      <c r="C65" s="7"/>
      <c r="D65" s="7" t="s">
        <v>580</v>
      </c>
      <c r="E65" s="10">
        <f>SUMIFS('PLAN BUDGET SAMI-TF'!AN12:AN99999,'PLAN BUDGET SAMI-TF'!D12:D99999,SUMMARY!D65,'PLAN BUDGET SAMI-TF'!J12:J99999,SUMMARY!A65&amp;"*")</f>
        <v>5</v>
      </c>
      <c r="F65" s="10">
        <f>SUMIFS('PLAN BUDGET SAMI-TF'!AO12:AO99999,'PLAN BUDGET SAMI-TF'!D12:D99999,SUMMARY!D65,'PLAN BUDGET SAMI-TF'!J12:J99999,SUMMARY!A65&amp;"*")</f>
        <v>0</v>
      </c>
      <c r="G65" s="10">
        <f>SUMIFS('PLAN BUDGET SAMI-TF'!AP12:AP99999,'PLAN BUDGET SAMI-TF'!D12:D99999,SUMMARY!D65,'PLAN BUDGET SAMI-TF'!J12:J99999,SUMMARY!A65&amp;"*")</f>
        <v>0</v>
      </c>
      <c r="H65" s="10">
        <f>SUMIFS('PLAN BUDGET SAMI-TF'!AQ12:AQ99999,'PLAN BUDGET SAMI-TF'!D12:D99999,SUMMARY!D65,'PLAN BUDGET SAMI-TF'!J12:J99999,SUMMARY!A65&amp;"*")</f>
        <v>0</v>
      </c>
      <c r="I65" s="10">
        <f>SUMIFS('PLAN BUDGET SAMI-TF'!AR12:AR99999,'PLAN BUDGET SAMI-TF'!D12:D99999,SUMMARY!D65,'PLAN BUDGET SAMI-TF'!J12:J99999,SUMMARY!A65&amp;"*")</f>
        <v>0</v>
      </c>
      <c r="J65" s="10">
        <f>SUMIFS('PLAN BUDGET SAMI-TF'!AS12:AS99999,'PLAN BUDGET SAMI-TF'!D12:D99999,SUMMARY!D65,'PLAN BUDGET SAMI-TF'!J12:J99999,SUMMARY!A65&amp;"*")</f>
        <v>0</v>
      </c>
      <c r="K65" s="10">
        <f>SUMIFS('PLAN BUDGET SAMI-TF'!AT12:AT99999,'PLAN BUDGET SAMI-TF'!D12:D99999,SUMMARY!D65,'PLAN BUDGET SAMI-TF'!J12:J99999,SUMMARY!A65&amp;"*")</f>
        <v>0</v>
      </c>
      <c r="L65" s="10">
        <f>SUMIFS('PLAN BUDGET SAMI-TF'!AU12:AU99999,'PLAN BUDGET SAMI-TF'!D12:D99999,SUMMARY!D65,'PLAN BUDGET SAMI-TF'!J12:J99999,SUMMARY!A65&amp;"*")</f>
        <v>0</v>
      </c>
      <c r="M65" s="10">
        <f>SUMIFS('PLAN BUDGET SAMI-TF'!AV12:AV99999,'PLAN BUDGET SAMI-TF'!D12:D99999,SUMMARY!D65,'PLAN BUDGET SAMI-TF'!J12:J99999,SUMMARY!A65&amp;"*")</f>
        <v>0</v>
      </c>
      <c r="N65" s="10">
        <f>SUMIFS('PLAN BUDGET SAMI-TF'!AW12:AW99999,'PLAN BUDGET SAMI-TF'!D12:D99999,SUMMARY!D65,'PLAN BUDGET SAMI-TF'!J12:J99999,SUMMARY!A65&amp;"*")</f>
        <v>0</v>
      </c>
      <c r="O65" s="10">
        <f>SUMIFS('PLAN BUDGET SAMI-TF'!AX12:AX99999,'PLAN BUDGET SAMI-TF'!D12:D99999,SUMMARY!D65,'PLAN BUDGET SAMI-TF'!J12:J99999,SUMMARY!A65&amp;"*")</f>
        <v>0</v>
      </c>
      <c r="P65" s="10">
        <f>SUMIFS('PLAN BUDGET SAMI-TF'!AY12:AY99999,'PLAN BUDGET SAMI-TF'!D12:D99999,SUMMARY!D65,'PLAN BUDGET SAMI-TF'!J12:J99999,SUMMARY!A65&amp;"*")</f>
        <v>0</v>
      </c>
      <c r="Q65" s="10">
        <f>SUMIFS('PLAN BUDGET SAMI-TF'!BC12:BC99999,'PLAN BUDGET SAMI-TF'!D12:D99999,SUMMARY!D65,'PLAN BUDGET SAMI-TF'!J12:J99999,SUMMARY!A65&amp;"*")</f>
        <v>417.75853556644</v>
      </c>
      <c r="R65" s="10">
        <f>SUMIFS('PLAN BUDGET SAMI-TF'!BD12:BD99999,'PLAN BUDGET SAMI-TF'!D12:D99999,SUMMARY!D65,'PLAN BUDGET SAMI-TF'!J12:J99999,SUMMARY!A65&amp;"*")</f>
        <v>0</v>
      </c>
      <c r="S65" s="10">
        <f>SUMIFS('PLAN BUDGET SAMI-TF'!BE12:BE99999,'PLAN BUDGET SAMI-TF'!D12:D99999,SUMMARY!D65,'PLAN BUDGET SAMI-TF'!J12:J99999,SUMMARY!A65&amp;"*")</f>
        <v>0</v>
      </c>
      <c r="T65" s="10">
        <f>SUMIFS('PLAN BUDGET SAMI-TF'!BF12:BF99999,'PLAN BUDGET SAMI-TF'!D12:D99999,SUMMARY!D65,'PLAN BUDGET SAMI-TF'!J12:J99999,SUMMARY!A65&amp;"*")</f>
        <v>0</v>
      </c>
      <c r="U65" s="10">
        <f>SUMIFS('PLAN BUDGET SAMI-TF'!BG12:BG99999,'PLAN BUDGET SAMI-TF'!D12:D99999,SUMMARY!D65,'PLAN BUDGET SAMI-TF'!J12:J99999,SUMMARY!A65&amp;"*")</f>
        <v>0</v>
      </c>
      <c r="V65" s="10">
        <f>SUMIFS('PLAN BUDGET SAMI-TF'!BH12:BH99999,'PLAN BUDGET SAMI-TF'!D12:D99999,SUMMARY!D65,'PLAN BUDGET SAMI-TF'!J12:J99999,SUMMARY!A65&amp;"*")</f>
        <v>0</v>
      </c>
      <c r="W65" s="10">
        <f>SUMIFS('PLAN BUDGET SAMI-TF'!BI12:BI99999,'PLAN BUDGET SAMI-TF'!D12:D99999,SUMMARY!D65,'PLAN BUDGET SAMI-TF'!J12:J99999,SUMMARY!A65&amp;"*")</f>
        <v>0</v>
      </c>
      <c r="X65" s="10">
        <f>SUMIFS('PLAN BUDGET SAMI-TF'!BJ12:BJ99999,'PLAN BUDGET SAMI-TF'!D12:D99999,SUMMARY!D65,'PLAN BUDGET SAMI-TF'!J12:J99999,SUMMARY!A65&amp;"*")</f>
        <v>0</v>
      </c>
      <c r="Y65" s="10">
        <f>SUMIFS('PLAN BUDGET SAMI-TF'!BK12:BK99999,'PLAN BUDGET SAMI-TF'!D12:D99999,SUMMARY!D65,'PLAN BUDGET SAMI-TF'!J12:J99999,SUMMARY!A65&amp;"*")</f>
        <v>0</v>
      </c>
      <c r="Z65" s="10">
        <f>SUMIFS('PLAN BUDGET SAMI-TF'!BL12:BL99999,'PLAN BUDGET SAMI-TF'!D12:D99999,SUMMARY!D65,'PLAN BUDGET SAMI-TF'!J12:J99999,SUMMARY!A65&amp;"*")</f>
        <v>0</v>
      </c>
      <c r="AA65" s="10">
        <f>SUMIFS('PLAN BUDGET SAMI-TF'!BM12:BM99999,'PLAN BUDGET SAMI-TF'!D12:D99999,SUMMARY!D65,'PLAN BUDGET SAMI-TF'!J12:J99999,SUMMARY!A65&amp;"*")</f>
        <v>0</v>
      </c>
      <c r="AB65" s="10">
        <f>SUMIFS('PLAN BUDGET SAMI-TF'!BN12:BN99999,'PLAN BUDGET SAMI-TF'!D12:D99999,SUMMARY!D65,'PLAN BUDGET SAMI-TF'!J12:J99999,SUMMARY!A65&amp;"*")</f>
        <v>0</v>
      </c>
      <c r="AC65" s="10">
        <f t="shared" si="4"/>
        <v>5</v>
      </c>
      <c r="AD65" s="10">
        <f t="shared" si="5"/>
        <v>417.75853556644</v>
      </c>
      <c r="AE65" s="16"/>
      <c r="AF65" s="10">
        <v>0</v>
      </c>
      <c r="AG65" s="10">
        <v>0</v>
      </c>
      <c r="AH65" s="20">
        <f t="shared" si="6"/>
        <v>1</v>
      </c>
      <c r="AI65" s="20">
        <f t="shared" si="7"/>
        <v>1</v>
      </c>
      <c r="AJ65" s="67" t="s">
        <v>863</v>
      </c>
    </row>
    <row r="66" spans="1:36" x14ac:dyDescent="0.35">
      <c r="A66" s="7" t="s">
        <v>498</v>
      </c>
      <c r="B66" s="7"/>
      <c r="C66" s="7"/>
      <c r="D66" s="7" t="s">
        <v>583</v>
      </c>
      <c r="E66" s="10">
        <f>SUMIFS('PLAN BUDGET SAMI-TF'!AN12:AN99999,'PLAN BUDGET SAMI-TF'!D12:D99999,SUMMARY!D66,'PLAN BUDGET SAMI-TF'!J12:J99999,SUMMARY!A66&amp;"*")</f>
        <v>0</v>
      </c>
      <c r="F66" s="10">
        <f>SUMIFS('PLAN BUDGET SAMI-TF'!AO12:AO99999,'PLAN BUDGET SAMI-TF'!D12:D99999,SUMMARY!D66,'PLAN BUDGET SAMI-TF'!J12:J99999,SUMMARY!A66&amp;"*")</f>
        <v>0</v>
      </c>
      <c r="G66" s="10">
        <f>SUMIFS('PLAN BUDGET SAMI-TF'!AP12:AP99999,'PLAN BUDGET SAMI-TF'!D12:D99999,SUMMARY!D66,'PLAN BUDGET SAMI-TF'!J12:J99999,SUMMARY!A66&amp;"*")</f>
        <v>0</v>
      </c>
      <c r="H66" s="10">
        <f>SUMIFS('PLAN BUDGET SAMI-TF'!AQ12:AQ99999,'PLAN BUDGET SAMI-TF'!D12:D99999,SUMMARY!D66,'PLAN BUDGET SAMI-TF'!J12:J99999,SUMMARY!A66&amp;"*")</f>
        <v>1</v>
      </c>
      <c r="I66" s="10">
        <f>SUMIFS('PLAN BUDGET SAMI-TF'!AR12:AR99999,'PLAN BUDGET SAMI-TF'!D12:D99999,SUMMARY!D66,'PLAN BUDGET SAMI-TF'!J12:J99999,SUMMARY!A66&amp;"*")</f>
        <v>0</v>
      </c>
      <c r="J66" s="10">
        <f>SUMIFS('PLAN BUDGET SAMI-TF'!AS12:AS99999,'PLAN BUDGET SAMI-TF'!D12:D99999,SUMMARY!D66,'PLAN BUDGET SAMI-TF'!J12:J99999,SUMMARY!A66&amp;"*")</f>
        <v>0</v>
      </c>
      <c r="K66" s="10">
        <f>SUMIFS('PLAN BUDGET SAMI-TF'!AT12:AT99999,'PLAN BUDGET SAMI-TF'!D12:D99999,SUMMARY!D66,'PLAN BUDGET SAMI-TF'!J12:J99999,SUMMARY!A66&amp;"*")</f>
        <v>0</v>
      </c>
      <c r="L66" s="10">
        <f>SUMIFS('PLAN BUDGET SAMI-TF'!AU12:AU99999,'PLAN BUDGET SAMI-TF'!D12:D99999,SUMMARY!D66,'PLAN BUDGET SAMI-TF'!J12:J99999,SUMMARY!A66&amp;"*")</f>
        <v>0</v>
      </c>
      <c r="M66" s="10">
        <f>SUMIFS('PLAN BUDGET SAMI-TF'!AV12:AV99999,'PLAN BUDGET SAMI-TF'!D12:D99999,SUMMARY!D66,'PLAN BUDGET SAMI-TF'!J12:J99999,SUMMARY!A66&amp;"*")</f>
        <v>0</v>
      </c>
      <c r="N66" s="10">
        <f>SUMIFS('PLAN BUDGET SAMI-TF'!AW12:AW99999,'PLAN BUDGET SAMI-TF'!D12:D99999,SUMMARY!D66,'PLAN BUDGET SAMI-TF'!J12:J99999,SUMMARY!A66&amp;"*")</f>
        <v>0</v>
      </c>
      <c r="O66" s="10">
        <f>SUMIFS('PLAN BUDGET SAMI-TF'!AX12:AX99999,'PLAN BUDGET SAMI-TF'!D12:D99999,SUMMARY!D66,'PLAN BUDGET SAMI-TF'!J12:J99999,SUMMARY!A66&amp;"*")</f>
        <v>0</v>
      </c>
      <c r="P66" s="10">
        <f>SUMIFS('PLAN BUDGET SAMI-TF'!AY12:AY99999,'PLAN BUDGET SAMI-TF'!D12:D99999,SUMMARY!D66,'PLAN BUDGET SAMI-TF'!J12:J99999,SUMMARY!A66&amp;"*")</f>
        <v>0</v>
      </c>
      <c r="Q66" s="10">
        <f>SUMIFS('PLAN BUDGET SAMI-TF'!BC12:BC99999,'PLAN BUDGET SAMI-TF'!D12:D99999,SUMMARY!D66,'PLAN BUDGET SAMI-TF'!J12:J99999,SUMMARY!A66&amp;"*")</f>
        <v>0</v>
      </c>
      <c r="R66" s="10">
        <f>SUMIFS('PLAN BUDGET SAMI-TF'!BD12:BD99999,'PLAN BUDGET SAMI-TF'!D12:D99999,SUMMARY!D66,'PLAN BUDGET SAMI-TF'!J12:J99999,SUMMARY!A66&amp;"*")</f>
        <v>0</v>
      </c>
      <c r="S66" s="10">
        <f>SUMIFS('PLAN BUDGET SAMI-TF'!BE12:BE99999,'PLAN BUDGET SAMI-TF'!D12:D99999,SUMMARY!D66,'PLAN BUDGET SAMI-TF'!J12:J99999,SUMMARY!A66&amp;"*")</f>
        <v>0</v>
      </c>
      <c r="T66" s="10">
        <f>SUMIFS('PLAN BUDGET SAMI-TF'!BF12:BF99999,'PLAN BUDGET SAMI-TF'!D12:D99999,SUMMARY!D66,'PLAN BUDGET SAMI-TF'!J12:J99999,SUMMARY!A66&amp;"*")</f>
        <v>278.50569037763</v>
      </c>
      <c r="U66" s="10">
        <f>SUMIFS('PLAN BUDGET SAMI-TF'!BG12:BG99999,'PLAN BUDGET SAMI-TF'!D12:D99999,SUMMARY!D66,'PLAN BUDGET SAMI-TF'!J12:J99999,SUMMARY!A66&amp;"*")</f>
        <v>0</v>
      </c>
      <c r="V66" s="10">
        <f>SUMIFS('PLAN BUDGET SAMI-TF'!BH12:BH99999,'PLAN BUDGET SAMI-TF'!D12:D99999,SUMMARY!D66,'PLAN BUDGET SAMI-TF'!J12:J99999,SUMMARY!A66&amp;"*")</f>
        <v>0</v>
      </c>
      <c r="W66" s="10">
        <f>SUMIFS('PLAN BUDGET SAMI-TF'!BI12:BI99999,'PLAN BUDGET SAMI-TF'!D12:D99999,SUMMARY!D66,'PLAN BUDGET SAMI-TF'!J12:J99999,SUMMARY!A66&amp;"*")</f>
        <v>0</v>
      </c>
      <c r="X66" s="10">
        <f>SUMIFS('PLAN BUDGET SAMI-TF'!BJ12:BJ99999,'PLAN BUDGET SAMI-TF'!D12:D99999,SUMMARY!D66,'PLAN BUDGET SAMI-TF'!J12:J99999,SUMMARY!A66&amp;"*")</f>
        <v>0</v>
      </c>
      <c r="Y66" s="10">
        <f>SUMIFS('PLAN BUDGET SAMI-TF'!BK12:BK99999,'PLAN BUDGET SAMI-TF'!D12:D99999,SUMMARY!D66,'PLAN BUDGET SAMI-TF'!J12:J99999,SUMMARY!A66&amp;"*")</f>
        <v>0</v>
      </c>
      <c r="Z66" s="10">
        <f>SUMIFS('PLAN BUDGET SAMI-TF'!BL12:BL99999,'PLAN BUDGET SAMI-TF'!D12:D99999,SUMMARY!D66,'PLAN BUDGET SAMI-TF'!J12:J99999,SUMMARY!A66&amp;"*")</f>
        <v>0</v>
      </c>
      <c r="AA66" s="10">
        <f>SUMIFS('PLAN BUDGET SAMI-TF'!BM12:BM99999,'PLAN BUDGET SAMI-TF'!D12:D99999,SUMMARY!D66,'PLAN BUDGET SAMI-TF'!J12:J99999,SUMMARY!A66&amp;"*")</f>
        <v>0</v>
      </c>
      <c r="AB66" s="10">
        <f>SUMIFS('PLAN BUDGET SAMI-TF'!BN12:BN99999,'PLAN BUDGET SAMI-TF'!D12:D99999,SUMMARY!D66,'PLAN BUDGET SAMI-TF'!J12:J99999,SUMMARY!A66&amp;"*")</f>
        <v>0</v>
      </c>
      <c r="AC66" s="10">
        <f t="shared" si="4"/>
        <v>1</v>
      </c>
      <c r="AD66" s="10">
        <f t="shared" si="5"/>
        <v>278.50569037763</v>
      </c>
      <c r="AE66" s="16"/>
      <c r="AF66" s="10">
        <v>0</v>
      </c>
      <c r="AG66" s="10">
        <v>0</v>
      </c>
      <c r="AH66" s="20">
        <f t="shared" si="6"/>
        <v>1</v>
      </c>
      <c r="AI66" s="20">
        <f t="shared" si="7"/>
        <v>1</v>
      </c>
      <c r="AJ66" s="67" t="s">
        <v>863</v>
      </c>
    </row>
    <row r="67" spans="1:36" x14ac:dyDescent="0.35">
      <c r="A67" s="7" t="s">
        <v>498</v>
      </c>
      <c r="B67" s="7"/>
      <c r="C67" s="7"/>
      <c r="D67" s="7" t="s">
        <v>600</v>
      </c>
      <c r="E67" s="10">
        <f>SUMIFS('PLAN BUDGET SAMI-TF'!AN12:AN99999,'PLAN BUDGET SAMI-TF'!D12:D99999,SUMMARY!D67,'PLAN BUDGET SAMI-TF'!J12:J99999,SUMMARY!A67&amp;"*")</f>
        <v>0</v>
      </c>
      <c r="F67" s="10">
        <f>SUMIFS('PLAN BUDGET SAMI-TF'!AO12:AO99999,'PLAN BUDGET SAMI-TF'!D12:D99999,SUMMARY!D67,'PLAN BUDGET SAMI-TF'!J12:J99999,SUMMARY!A67&amp;"*")</f>
        <v>0</v>
      </c>
      <c r="G67" s="10">
        <f>SUMIFS('PLAN BUDGET SAMI-TF'!AP12:AP99999,'PLAN BUDGET SAMI-TF'!D12:D99999,SUMMARY!D67,'PLAN BUDGET SAMI-TF'!J12:J99999,SUMMARY!A67&amp;"*")</f>
        <v>13</v>
      </c>
      <c r="H67" s="10">
        <f>SUMIFS('PLAN BUDGET SAMI-TF'!AQ12:AQ99999,'PLAN BUDGET SAMI-TF'!D12:D99999,SUMMARY!D67,'PLAN BUDGET SAMI-TF'!J12:J99999,SUMMARY!A67&amp;"*")</f>
        <v>0</v>
      </c>
      <c r="I67" s="10">
        <f>SUMIFS('PLAN BUDGET SAMI-TF'!AR12:AR99999,'PLAN BUDGET SAMI-TF'!D12:D99999,SUMMARY!D67,'PLAN BUDGET SAMI-TF'!J12:J99999,SUMMARY!A67&amp;"*")</f>
        <v>1</v>
      </c>
      <c r="J67" s="10">
        <f>SUMIFS('PLAN BUDGET SAMI-TF'!AS12:AS99999,'PLAN BUDGET SAMI-TF'!D12:D99999,SUMMARY!D67,'PLAN BUDGET SAMI-TF'!J12:J99999,SUMMARY!A67&amp;"*")</f>
        <v>2</v>
      </c>
      <c r="K67" s="10">
        <f>SUMIFS('PLAN BUDGET SAMI-TF'!AT12:AT99999,'PLAN BUDGET SAMI-TF'!D12:D99999,SUMMARY!D67,'PLAN BUDGET SAMI-TF'!J12:J99999,SUMMARY!A67&amp;"*")</f>
        <v>0</v>
      </c>
      <c r="L67" s="10">
        <f>SUMIFS('PLAN BUDGET SAMI-TF'!AU12:AU99999,'PLAN BUDGET SAMI-TF'!D12:D99999,SUMMARY!D67,'PLAN BUDGET SAMI-TF'!J12:J99999,SUMMARY!A67&amp;"*")</f>
        <v>0</v>
      </c>
      <c r="M67" s="10">
        <f>SUMIFS('PLAN BUDGET SAMI-TF'!AV12:AV99999,'PLAN BUDGET SAMI-TF'!D12:D99999,SUMMARY!D67,'PLAN BUDGET SAMI-TF'!J12:J99999,SUMMARY!A67&amp;"*")</f>
        <v>0</v>
      </c>
      <c r="N67" s="10">
        <f>SUMIFS('PLAN BUDGET SAMI-TF'!AW12:AW99999,'PLAN BUDGET SAMI-TF'!D12:D99999,SUMMARY!D67,'PLAN BUDGET SAMI-TF'!J12:J99999,SUMMARY!A67&amp;"*")</f>
        <v>0</v>
      </c>
      <c r="O67" s="10">
        <f>SUMIFS('PLAN BUDGET SAMI-TF'!AX12:AX99999,'PLAN BUDGET SAMI-TF'!D12:D99999,SUMMARY!D67,'PLAN BUDGET SAMI-TF'!J12:J99999,SUMMARY!A67&amp;"*")</f>
        <v>0</v>
      </c>
      <c r="P67" s="10">
        <f>SUMIFS('PLAN BUDGET SAMI-TF'!AY12:AY99999,'PLAN BUDGET SAMI-TF'!D12:D99999,SUMMARY!D67,'PLAN BUDGET SAMI-TF'!J12:J99999,SUMMARY!A67&amp;"*")</f>
        <v>0</v>
      </c>
      <c r="Q67" s="10">
        <f>SUMIFS('PLAN BUDGET SAMI-TF'!BC12:BC99999,'PLAN BUDGET SAMI-TF'!D12:D99999,SUMMARY!D67,'PLAN BUDGET SAMI-TF'!J12:J99999,SUMMARY!A67&amp;"*")</f>
        <v>0</v>
      </c>
      <c r="R67" s="10">
        <f>SUMIFS('PLAN BUDGET SAMI-TF'!BD12:BD99999,'PLAN BUDGET SAMI-TF'!D12:D99999,SUMMARY!D67,'PLAN BUDGET SAMI-TF'!J12:J99999,SUMMARY!A67&amp;"*")</f>
        <v>0</v>
      </c>
      <c r="S67" s="10">
        <f>SUMIFS('PLAN BUDGET SAMI-TF'!BE12:BE99999,'PLAN BUDGET SAMI-TF'!D12:D99999,SUMMARY!D67,'PLAN BUDGET SAMI-TF'!J12:J99999,SUMMARY!A67&amp;"*")</f>
        <v>1239.3503221804528</v>
      </c>
      <c r="T67" s="10">
        <f>SUMIFS('PLAN BUDGET SAMI-TF'!BF12:BF99999,'PLAN BUDGET SAMI-TF'!D12:D99999,SUMMARY!D67,'PLAN BUDGET SAMI-TF'!J12:J99999,SUMMARY!A67&amp;"*")</f>
        <v>0</v>
      </c>
      <c r="U67" s="10">
        <f>SUMIFS('PLAN BUDGET SAMI-TF'!BG12:BG99999,'PLAN BUDGET SAMI-TF'!D12:D99999,SUMMARY!D67,'PLAN BUDGET SAMI-TF'!J12:J99999,SUMMARY!A67&amp;"*")</f>
        <v>69.626422594407003</v>
      </c>
      <c r="V67" s="10">
        <f>SUMIFS('PLAN BUDGET SAMI-TF'!BH12:BH99999,'PLAN BUDGET SAMI-TF'!D12:D99999,SUMMARY!D67,'PLAN BUDGET SAMI-TF'!J12:J99999,SUMMARY!A67&amp;"*")</f>
        <v>278.50569037763</v>
      </c>
      <c r="W67" s="10">
        <f>SUMIFS('PLAN BUDGET SAMI-TF'!BI12:BI99999,'PLAN BUDGET SAMI-TF'!D12:D99999,SUMMARY!D67,'PLAN BUDGET SAMI-TF'!J12:J99999,SUMMARY!A67&amp;"*")</f>
        <v>0</v>
      </c>
      <c r="X67" s="10">
        <f>SUMIFS('PLAN BUDGET SAMI-TF'!BJ12:BJ99999,'PLAN BUDGET SAMI-TF'!D12:D99999,SUMMARY!D67,'PLAN BUDGET SAMI-TF'!J12:J99999,SUMMARY!A67&amp;"*")</f>
        <v>0</v>
      </c>
      <c r="Y67" s="10">
        <f>SUMIFS('PLAN BUDGET SAMI-TF'!BK12:BK99999,'PLAN BUDGET SAMI-TF'!D12:D99999,SUMMARY!D67,'PLAN BUDGET SAMI-TF'!J12:J99999,SUMMARY!A67&amp;"*")</f>
        <v>0</v>
      </c>
      <c r="Z67" s="10">
        <f>SUMIFS('PLAN BUDGET SAMI-TF'!BL12:BL99999,'PLAN BUDGET SAMI-TF'!D12:D99999,SUMMARY!D67,'PLAN BUDGET SAMI-TF'!J12:J99999,SUMMARY!A67&amp;"*")</f>
        <v>0</v>
      </c>
      <c r="AA67" s="10">
        <f>SUMIFS('PLAN BUDGET SAMI-TF'!BM12:BM99999,'PLAN BUDGET SAMI-TF'!D12:D99999,SUMMARY!D67,'PLAN BUDGET SAMI-TF'!J12:J99999,SUMMARY!A67&amp;"*")</f>
        <v>0</v>
      </c>
      <c r="AB67" s="10">
        <f>SUMIFS('PLAN BUDGET SAMI-TF'!BN12:BN99999,'PLAN BUDGET SAMI-TF'!D12:D99999,SUMMARY!D67,'PLAN BUDGET SAMI-TF'!J12:J99999,SUMMARY!A67&amp;"*")</f>
        <v>0</v>
      </c>
      <c r="AC67" s="10">
        <f t="shared" si="4"/>
        <v>16</v>
      </c>
      <c r="AD67" s="10">
        <f t="shared" si="5"/>
        <v>1587.4824351524899</v>
      </c>
      <c r="AE67" s="16"/>
      <c r="AF67" s="10">
        <v>0</v>
      </c>
      <c r="AG67" s="10">
        <v>0</v>
      </c>
      <c r="AH67" s="20">
        <f t="shared" si="6"/>
        <v>1</v>
      </c>
      <c r="AI67" s="20">
        <f t="shared" si="7"/>
        <v>1</v>
      </c>
      <c r="AJ67" s="67" t="s">
        <v>863</v>
      </c>
    </row>
    <row r="68" spans="1:36" x14ac:dyDescent="0.35">
      <c r="A68" s="7" t="s">
        <v>498</v>
      </c>
      <c r="B68" s="7"/>
      <c r="C68" s="7"/>
      <c r="D68" s="7" t="s">
        <v>556</v>
      </c>
      <c r="E68" s="10">
        <f>SUMIFS('PLAN BUDGET SAMI-TF'!AN12:AN99999,'PLAN BUDGET SAMI-TF'!D12:D99999,SUMMARY!D68,'PLAN BUDGET SAMI-TF'!J12:J99999,SUMMARY!A68&amp;"*")</f>
        <v>0</v>
      </c>
      <c r="F68" s="10">
        <f>SUMIFS('PLAN BUDGET SAMI-TF'!AO12:AO99999,'PLAN BUDGET SAMI-TF'!D12:D99999,SUMMARY!D68,'PLAN BUDGET SAMI-TF'!J12:J99999,SUMMARY!A68&amp;"*")</f>
        <v>1</v>
      </c>
      <c r="G68" s="10">
        <f>SUMIFS('PLAN BUDGET SAMI-TF'!AP12:AP99999,'PLAN BUDGET SAMI-TF'!D12:D99999,SUMMARY!D68,'PLAN BUDGET SAMI-TF'!J12:J99999,SUMMARY!A68&amp;"*")</f>
        <v>0</v>
      </c>
      <c r="H68" s="10">
        <f>SUMIFS('PLAN BUDGET SAMI-TF'!AQ12:AQ99999,'PLAN BUDGET SAMI-TF'!D12:D99999,SUMMARY!D68,'PLAN BUDGET SAMI-TF'!J12:J99999,SUMMARY!A68&amp;"*")</f>
        <v>0</v>
      </c>
      <c r="I68" s="10">
        <f>SUMIFS('PLAN BUDGET SAMI-TF'!AR12:AR99999,'PLAN BUDGET SAMI-TF'!D12:D99999,SUMMARY!D68,'PLAN BUDGET SAMI-TF'!J12:J99999,SUMMARY!A68&amp;"*")</f>
        <v>0</v>
      </c>
      <c r="J68" s="10">
        <f>SUMIFS('PLAN BUDGET SAMI-TF'!AS12:AS99999,'PLAN BUDGET SAMI-TF'!D12:D99999,SUMMARY!D68,'PLAN BUDGET SAMI-TF'!J12:J99999,SUMMARY!A68&amp;"*")</f>
        <v>0</v>
      </c>
      <c r="K68" s="10">
        <f>SUMIFS('PLAN BUDGET SAMI-TF'!AT12:AT99999,'PLAN BUDGET SAMI-TF'!D12:D99999,SUMMARY!D68,'PLAN BUDGET SAMI-TF'!J12:J99999,SUMMARY!A68&amp;"*")</f>
        <v>0</v>
      </c>
      <c r="L68" s="10">
        <f>SUMIFS('PLAN BUDGET SAMI-TF'!AU12:AU99999,'PLAN BUDGET SAMI-TF'!D12:D99999,SUMMARY!D68,'PLAN BUDGET SAMI-TF'!J12:J99999,SUMMARY!A68&amp;"*")</f>
        <v>0</v>
      </c>
      <c r="M68" s="10">
        <f>SUMIFS('PLAN BUDGET SAMI-TF'!AV12:AV99999,'PLAN BUDGET SAMI-TF'!D12:D99999,SUMMARY!D68,'PLAN BUDGET SAMI-TF'!J12:J99999,SUMMARY!A68&amp;"*")</f>
        <v>0</v>
      </c>
      <c r="N68" s="10">
        <f>SUMIFS('PLAN BUDGET SAMI-TF'!AW12:AW99999,'PLAN BUDGET SAMI-TF'!D12:D99999,SUMMARY!D68,'PLAN BUDGET SAMI-TF'!J12:J99999,SUMMARY!A68&amp;"*")</f>
        <v>0</v>
      </c>
      <c r="O68" s="10">
        <f>SUMIFS('PLAN BUDGET SAMI-TF'!AX12:AX99999,'PLAN BUDGET SAMI-TF'!D12:D99999,SUMMARY!D68,'PLAN BUDGET SAMI-TF'!J12:J99999,SUMMARY!A68&amp;"*")</f>
        <v>0</v>
      </c>
      <c r="P68" s="10">
        <f>SUMIFS('PLAN BUDGET SAMI-TF'!AY12:AY99999,'PLAN BUDGET SAMI-TF'!D12:D99999,SUMMARY!D68,'PLAN BUDGET SAMI-TF'!J12:J99999,SUMMARY!A68&amp;"*")</f>
        <v>0</v>
      </c>
      <c r="Q68" s="10">
        <f>SUMIFS('PLAN BUDGET SAMI-TF'!BC12:BC99999,'PLAN BUDGET SAMI-TF'!D12:D99999,SUMMARY!D68,'PLAN BUDGET SAMI-TF'!J12:J99999,SUMMARY!A68&amp;"*")</f>
        <v>0</v>
      </c>
      <c r="R68" s="10">
        <f>SUMIFS('PLAN BUDGET SAMI-TF'!BD12:BD99999,'PLAN BUDGET SAMI-TF'!D12:D99999,SUMMARY!D68,'PLAN BUDGET SAMI-TF'!J12:J99999,SUMMARY!A68&amp;"*")</f>
        <v>417.75853556644</v>
      </c>
      <c r="S68" s="10">
        <f>SUMIFS('PLAN BUDGET SAMI-TF'!BE12:BE99999,'PLAN BUDGET SAMI-TF'!D12:D99999,SUMMARY!D68,'PLAN BUDGET SAMI-TF'!J12:J99999,SUMMARY!A68&amp;"*")</f>
        <v>0</v>
      </c>
      <c r="T68" s="10">
        <f>SUMIFS('PLAN BUDGET SAMI-TF'!BF12:BF99999,'PLAN BUDGET SAMI-TF'!D12:D99999,SUMMARY!D68,'PLAN BUDGET SAMI-TF'!J12:J99999,SUMMARY!A68&amp;"*")</f>
        <v>0</v>
      </c>
      <c r="U68" s="10">
        <f>SUMIFS('PLAN BUDGET SAMI-TF'!BG12:BG99999,'PLAN BUDGET SAMI-TF'!D12:D99999,SUMMARY!D68,'PLAN BUDGET SAMI-TF'!J12:J99999,SUMMARY!A68&amp;"*")</f>
        <v>0</v>
      </c>
      <c r="V68" s="10">
        <f>SUMIFS('PLAN BUDGET SAMI-TF'!BH12:BH99999,'PLAN BUDGET SAMI-TF'!D12:D99999,SUMMARY!D68,'PLAN BUDGET SAMI-TF'!J12:J99999,SUMMARY!A68&amp;"*")</f>
        <v>0</v>
      </c>
      <c r="W68" s="10">
        <f>SUMIFS('PLAN BUDGET SAMI-TF'!BI12:BI99999,'PLAN BUDGET SAMI-TF'!D12:D99999,SUMMARY!D68,'PLAN BUDGET SAMI-TF'!J12:J99999,SUMMARY!A68&amp;"*")</f>
        <v>0</v>
      </c>
      <c r="X68" s="10">
        <f>SUMIFS('PLAN BUDGET SAMI-TF'!BJ12:BJ99999,'PLAN BUDGET SAMI-TF'!D12:D99999,SUMMARY!D68,'PLAN BUDGET SAMI-TF'!J12:J99999,SUMMARY!A68&amp;"*")</f>
        <v>0</v>
      </c>
      <c r="Y68" s="10">
        <f>SUMIFS('PLAN BUDGET SAMI-TF'!BK12:BK99999,'PLAN BUDGET SAMI-TF'!D12:D99999,SUMMARY!D68,'PLAN BUDGET SAMI-TF'!J12:J99999,SUMMARY!A68&amp;"*")</f>
        <v>0</v>
      </c>
      <c r="Z68" s="10">
        <f>SUMIFS('PLAN BUDGET SAMI-TF'!BL12:BL99999,'PLAN BUDGET SAMI-TF'!D12:D99999,SUMMARY!D68,'PLAN BUDGET SAMI-TF'!J12:J99999,SUMMARY!A68&amp;"*")</f>
        <v>0</v>
      </c>
      <c r="AA68" s="10">
        <f>SUMIFS('PLAN BUDGET SAMI-TF'!BM12:BM99999,'PLAN BUDGET SAMI-TF'!D12:D99999,SUMMARY!D68,'PLAN BUDGET SAMI-TF'!J12:J99999,SUMMARY!A68&amp;"*")</f>
        <v>0</v>
      </c>
      <c r="AB68" s="10">
        <f>SUMIFS('PLAN BUDGET SAMI-TF'!BN12:BN99999,'PLAN BUDGET SAMI-TF'!D12:D99999,SUMMARY!D68,'PLAN BUDGET SAMI-TF'!J12:J99999,SUMMARY!A68&amp;"*")</f>
        <v>0</v>
      </c>
      <c r="AC68" s="10">
        <f t="shared" si="4"/>
        <v>1</v>
      </c>
      <c r="AD68" s="10">
        <f t="shared" si="5"/>
        <v>417.75853556644</v>
      </c>
      <c r="AE68" s="16"/>
      <c r="AF68" s="10">
        <v>0</v>
      </c>
      <c r="AG68" s="10">
        <v>0</v>
      </c>
      <c r="AH68" s="20">
        <f t="shared" si="6"/>
        <v>1</v>
      </c>
      <c r="AI68" s="20">
        <f t="shared" si="7"/>
        <v>1</v>
      </c>
      <c r="AJ68" s="67" t="s">
        <v>863</v>
      </c>
    </row>
    <row r="69" spans="1:36" x14ac:dyDescent="0.35">
      <c r="A69" s="7" t="s">
        <v>498</v>
      </c>
      <c r="B69" s="7"/>
      <c r="C69" s="7"/>
      <c r="D69" s="7" t="s">
        <v>515</v>
      </c>
      <c r="E69" s="10">
        <f>SUMIFS('PLAN BUDGET SAMI-TF'!AN12:AN99999,'PLAN BUDGET SAMI-TF'!D12:D99999,SUMMARY!D69,'PLAN BUDGET SAMI-TF'!J12:J99999,SUMMARY!A69&amp;"*")</f>
        <v>0</v>
      </c>
      <c r="F69" s="10">
        <f>SUMIFS('PLAN BUDGET SAMI-TF'!AO12:AO99999,'PLAN BUDGET SAMI-TF'!D12:D99999,SUMMARY!D69,'PLAN BUDGET SAMI-TF'!J12:J99999,SUMMARY!A69&amp;"*")</f>
        <v>2</v>
      </c>
      <c r="G69" s="10">
        <f>SUMIFS('PLAN BUDGET SAMI-TF'!AP12:AP99999,'PLAN BUDGET SAMI-TF'!D12:D99999,SUMMARY!D69,'PLAN BUDGET SAMI-TF'!J12:J99999,SUMMARY!A69&amp;"*")</f>
        <v>0</v>
      </c>
      <c r="H69" s="10">
        <f>SUMIFS('PLAN BUDGET SAMI-TF'!AQ12:AQ99999,'PLAN BUDGET SAMI-TF'!D12:D99999,SUMMARY!D69,'PLAN BUDGET SAMI-TF'!J12:J99999,SUMMARY!A69&amp;"*")</f>
        <v>0</v>
      </c>
      <c r="I69" s="10">
        <f>SUMIFS('PLAN BUDGET SAMI-TF'!AR12:AR99999,'PLAN BUDGET SAMI-TF'!D12:D99999,SUMMARY!D69,'PLAN BUDGET SAMI-TF'!J12:J99999,SUMMARY!A69&amp;"*")</f>
        <v>0</v>
      </c>
      <c r="J69" s="10">
        <f>SUMIFS('PLAN BUDGET SAMI-TF'!AS12:AS99999,'PLAN BUDGET SAMI-TF'!D12:D99999,SUMMARY!D69,'PLAN BUDGET SAMI-TF'!J12:J99999,SUMMARY!A69&amp;"*")</f>
        <v>0</v>
      </c>
      <c r="K69" s="10">
        <f>SUMIFS('PLAN BUDGET SAMI-TF'!AT12:AT99999,'PLAN BUDGET SAMI-TF'!D12:D99999,SUMMARY!D69,'PLAN BUDGET SAMI-TF'!J12:J99999,SUMMARY!A69&amp;"*")</f>
        <v>0</v>
      </c>
      <c r="L69" s="10">
        <f>SUMIFS('PLAN BUDGET SAMI-TF'!AU12:AU99999,'PLAN BUDGET SAMI-TF'!D12:D99999,SUMMARY!D69,'PLAN BUDGET SAMI-TF'!J12:J99999,SUMMARY!A69&amp;"*")</f>
        <v>0</v>
      </c>
      <c r="M69" s="10">
        <f>SUMIFS('PLAN BUDGET SAMI-TF'!AV12:AV99999,'PLAN BUDGET SAMI-TF'!D12:D99999,SUMMARY!D69,'PLAN BUDGET SAMI-TF'!J12:J99999,SUMMARY!A69&amp;"*")</f>
        <v>0</v>
      </c>
      <c r="N69" s="10">
        <f>SUMIFS('PLAN BUDGET SAMI-TF'!AW12:AW99999,'PLAN BUDGET SAMI-TF'!D12:D99999,SUMMARY!D69,'PLAN BUDGET SAMI-TF'!J12:J99999,SUMMARY!A69&amp;"*")</f>
        <v>0</v>
      </c>
      <c r="O69" s="10">
        <f>SUMIFS('PLAN BUDGET SAMI-TF'!AX12:AX99999,'PLAN BUDGET SAMI-TF'!D12:D99999,SUMMARY!D69,'PLAN BUDGET SAMI-TF'!J12:J99999,SUMMARY!A69&amp;"*")</f>
        <v>0</v>
      </c>
      <c r="P69" s="10">
        <f>SUMIFS('PLAN BUDGET SAMI-TF'!AY12:AY99999,'PLAN BUDGET SAMI-TF'!D12:D99999,SUMMARY!D69,'PLAN BUDGET SAMI-TF'!J12:J99999,SUMMARY!A69&amp;"*")</f>
        <v>0</v>
      </c>
      <c r="Q69" s="10">
        <f>SUMIFS('PLAN BUDGET SAMI-TF'!BC12:BC99999,'PLAN BUDGET SAMI-TF'!D12:D99999,SUMMARY!D69,'PLAN BUDGET SAMI-TF'!J12:J99999,SUMMARY!A69&amp;"*")</f>
        <v>0</v>
      </c>
      <c r="R69" s="10">
        <f>SUMIFS('PLAN BUDGET SAMI-TF'!BD12:BD99999,'PLAN BUDGET SAMI-TF'!D12:D99999,SUMMARY!D69,'PLAN BUDGET SAMI-TF'!J12:J99999,SUMMARY!A69&amp;"*")</f>
        <v>0</v>
      </c>
      <c r="S69" s="10">
        <f>SUMIFS('PLAN BUDGET SAMI-TF'!BE12:BE99999,'PLAN BUDGET SAMI-TF'!D12:D99999,SUMMARY!D69,'PLAN BUDGET SAMI-TF'!J12:J99999,SUMMARY!A69&amp;"*")</f>
        <v>0</v>
      </c>
      <c r="T69" s="10">
        <f>SUMIFS('PLAN BUDGET SAMI-TF'!BF12:BF99999,'PLAN BUDGET SAMI-TF'!D12:D99999,SUMMARY!D69,'PLAN BUDGET SAMI-TF'!J12:J99999,SUMMARY!A69&amp;"*")</f>
        <v>0</v>
      </c>
      <c r="U69" s="10">
        <f>SUMIFS('PLAN BUDGET SAMI-TF'!BG12:BG99999,'PLAN BUDGET SAMI-TF'!D12:D99999,SUMMARY!D69,'PLAN BUDGET SAMI-TF'!J12:J99999,SUMMARY!A69&amp;"*")</f>
        <v>0</v>
      </c>
      <c r="V69" s="10">
        <f>SUMIFS('PLAN BUDGET SAMI-TF'!BH12:BH99999,'PLAN BUDGET SAMI-TF'!D12:D99999,SUMMARY!D69,'PLAN BUDGET SAMI-TF'!J12:J99999,SUMMARY!A69&amp;"*")</f>
        <v>0</v>
      </c>
      <c r="W69" s="10">
        <f>SUMIFS('PLAN BUDGET SAMI-TF'!BI12:BI99999,'PLAN BUDGET SAMI-TF'!D12:D99999,SUMMARY!D69,'PLAN BUDGET SAMI-TF'!J12:J99999,SUMMARY!A69&amp;"*")</f>
        <v>0</v>
      </c>
      <c r="X69" s="10">
        <f>SUMIFS('PLAN BUDGET SAMI-TF'!BJ12:BJ99999,'PLAN BUDGET SAMI-TF'!D12:D99999,SUMMARY!D69,'PLAN BUDGET SAMI-TF'!J12:J99999,SUMMARY!A69&amp;"*")</f>
        <v>0</v>
      </c>
      <c r="Y69" s="10">
        <f>SUMIFS('PLAN BUDGET SAMI-TF'!BK12:BK99999,'PLAN BUDGET SAMI-TF'!D12:D99999,SUMMARY!D69,'PLAN BUDGET SAMI-TF'!J12:J99999,SUMMARY!A69&amp;"*")</f>
        <v>0</v>
      </c>
      <c r="Z69" s="10">
        <f>SUMIFS('PLAN BUDGET SAMI-TF'!BL12:BL99999,'PLAN BUDGET SAMI-TF'!D12:D99999,SUMMARY!D69,'PLAN BUDGET SAMI-TF'!J12:J99999,SUMMARY!A69&amp;"*")</f>
        <v>0</v>
      </c>
      <c r="AA69" s="10">
        <f>SUMIFS('PLAN BUDGET SAMI-TF'!BM12:BM99999,'PLAN BUDGET SAMI-TF'!D12:D99999,SUMMARY!D69,'PLAN BUDGET SAMI-TF'!J12:J99999,SUMMARY!A69&amp;"*")</f>
        <v>0</v>
      </c>
      <c r="AB69" s="10">
        <f>SUMIFS('PLAN BUDGET SAMI-TF'!BN12:BN99999,'PLAN BUDGET SAMI-TF'!D12:D99999,SUMMARY!D69,'PLAN BUDGET SAMI-TF'!J12:J99999,SUMMARY!A69&amp;"*")</f>
        <v>0</v>
      </c>
      <c r="AC69" s="10">
        <f t="shared" si="4"/>
        <v>2</v>
      </c>
      <c r="AD69" s="10">
        <f t="shared" si="5"/>
        <v>0</v>
      </c>
      <c r="AE69" s="16"/>
      <c r="AF69" s="10">
        <v>0</v>
      </c>
      <c r="AG69" s="10">
        <v>0</v>
      </c>
      <c r="AH69" s="20">
        <f t="shared" si="6"/>
        <v>1</v>
      </c>
      <c r="AI69" s="20">
        <f t="shared" si="7"/>
        <v>1</v>
      </c>
      <c r="AJ69" s="67" t="s">
        <v>863</v>
      </c>
    </row>
    <row r="70" spans="1:36" x14ac:dyDescent="0.35">
      <c r="A70" s="7" t="s">
        <v>498</v>
      </c>
      <c r="B70" s="7"/>
      <c r="C70" s="7"/>
      <c r="D70" s="7" t="s">
        <v>610</v>
      </c>
      <c r="E70" s="10">
        <f>SUMIFS('PLAN BUDGET SAMI-TF'!AN12:AN99999,'PLAN BUDGET SAMI-TF'!D12:D99999,SUMMARY!D70,'PLAN BUDGET SAMI-TF'!J12:J99999,SUMMARY!A70&amp;"*")</f>
        <v>0</v>
      </c>
      <c r="F70" s="10">
        <f>SUMIFS('PLAN BUDGET SAMI-TF'!AO12:AO99999,'PLAN BUDGET SAMI-TF'!D12:D99999,SUMMARY!D70,'PLAN BUDGET SAMI-TF'!J12:J99999,SUMMARY!A70&amp;"*")</f>
        <v>3</v>
      </c>
      <c r="G70" s="10">
        <f>SUMIFS('PLAN BUDGET SAMI-TF'!AP12:AP99999,'PLAN BUDGET SAMI-TF'!D12:D99999,SUMMARY!D70,'PLAN BUDGET SAMI-TF'!J12:J99999,SUMMARY!A70&amp;"*")</f>
        <v>0</v>
      </c>
      <c r="H70" s="10">
        <f>SUMIFS('PLAN BUDGET SAMI-TF'!AQ12:AQ99999,'PLAN BUDGET SAMI-TF'!D12:D99999,SUMMARY!D70,'PLAN BUDGET SAMI-TF'!J12:J99999,SUMMARY!A70&amp;"*")</f>
        <v>0</v>
      </c>
      <c r="I70" s="10">
        <f>SUMIFS('PLAN BUDGET SAMI-TF'!AR12:AR99999,'PLAN BUDGET SAMI-TF'!D12:D99999,SUMMARY!D70,'PLAN BUDGET SAMI-TF'!J12:J99999,SUMMARY!A70&amp;"*")</f>
        <v>0</v>
      </c>
      <c r="J70" s="10">
        <f>SUMIFS('PLAN BUDGET SAMI-TF'!AS12:AS99999,'PLAN BUDGET SAMI-TF'!D12:D99999,SUMMARY!D70,'PLAN BUDGET SAMI-TF'!J12:J99999,SUMMARY!A70&amp;"*")</f>
        <v>0</v>
      </c>
      <c r="K70" s="10">
        <f>SUMIFS('PLAN BUDGET SAMI-TF'!AT12:AT99999,'PLAN BUDGET SAMI-TF'!D12:D99999,SUMMARY!D70,'PLAN BUDGET SAMI-TF'!J12:J99999,SUMMARY!A70&amp;"*")</f>
        <v>0</v>
      </c>
      <c r="L70" s="10">
        <f>SUMIFS('PLAN BUDGET SAMI-TF'!AU12:AU99999,'PLAN BUDGET SAMI-TF'!D12:D99999,SUMMARY!D70,'PLAN BUDGET SAMI-TF'!J12:J99999,SUMMARY!A70&amp;"*")</f>
        <v>0</v>
      </c>
      <c r="M70" s="10">
        <f>SUMIFS('PLAN BUDGET SAMI-TF'!AV12:AV99999,'PLAN BUDGET SAMI-TF'!D12:D99999,SUMMARY!D70,'PLAN BUDGET SAMI-TF'!J12:J99999,SUMMARY!A70&amp;"*")</f>
        <v>0</v>
      </c>
      <c r="N70" s="10">
        <f>SUMIFS('PLAN BUDGET SAMI-TF'!AW12:AW99999,'PLAN BUDGET SAMI-TF'!D12:D99999,SUMMARY!D70,'PLAN BUDGET SAMI-TF'!J12:J99999,SUMMARY!A70&amp;"*")</f>
        <v>0</v>
      </c>
      <c r="O70" s="10">
        <f>SUMIFS('PLAN BUDGET SAMI-TF'!AX12:AX99999,'PLAN BUDGET SAMI-TF'!D12:D99999,SUMMARY!D70,'PLAN BUDGET SAMI-TF'!J12:J99999,SUMMARY!A70&amp;"*")</f>
        <v>0</v>
      </c>
      <c r="P70" s="10">
        <f>SUMIFS('PLAN BUDGET SAMI-TF'!AY12:AY99999,'PLAN BUDGET SAMI-TF'!D12:D99999,SUMMARY!D70,'PLAN BUDGET SAMI-TF'!J12:J99999,SUMMARY!A70&amp;"*")</f>
        <v>0</v>
      </c>
      <c r="Q70" s="10">
        <f>SUMIFS('PLAN BUDGET SAMI-TF'!BC12:BC99999,'PLAN BUDGET SAMI-TF'!D12:D99999,SUMMARY!D70,'PLAN BUDGET SAMI-TF'!J12:J99999,SUMMARY!A70&amp;"*")</f>
        <v>0</v>
      </c>
      <c r="R70" s="10">
        <f>SUMIFS('PLAN BUDGET SAMI-TF'!BD12:BD99999,'PLAN BUDGET SAMI-TF'!D12:D99999,SUMMARY!D70,'PLAN BUDGET SAMI-TF'!J12:J99999,SUMMARY!A70&amp;"*")</f>
        <v>208.87926778322</v>
      </c>
      <c r="S70" s="10">
        <f>SUMIFS('PLAN BUDGET SAMI-TF'!BE12:BE99999,'PLAN BUDGET SAMI-TF'!D12:D99999,SUMMARY!D70,'PLAN BUDGET SAMI-TF'!J12:J99999,SUMMARY!A70&amp;"*")</f>
        <v>0</v>
      </c>
      <c r="T70" s="10">
        <f>SUMIFS('PLAN BUDGET SAMI-TF'!BF12:BF99999,'PLAN BUDGET SAMI-TF'!D12:D99999,SUMMARY!D70,'PLAN BUDGET SAMI-TF'!J12:J99999,SUMMARY!A70&amp;"*")</f>
        <v>0</v>
      </c>
      <c r="U70" s="10">
        <f>SUMIFS('PLAN BUDGET SAMI-TF'!BG12:BG99999,'PLAN BUDGET SAMI-TF'!D12:D99999,SUMMARY!D70,'PLAN BUDGET SAMI-TF'!J12:J99999,SUMMARY!A70&amp;"*")</f>
        <v>0</v>
      </c>
      <c r="V70" s="10">
        <f>SUMIFS('PLAN BUDGET SAMI-TF'!BH12:BH99999,'PLAN BUDGET SAMI-TF'!D12:D99999,SUMMARY!D70,'PLAN BUDGET SAMI-TF'!J12:J99999,SUMMARY!A70&amp;"*")</f>
        <v>0</v>
      </c>
      <c r="W70" s="10">
        <f>SUMIFS('PLAN BUDGET SAMI-TF'!BI12:BI99999,'PLAN BUDGET SAMI-TF'!D12:D99999,SUMMARY!D70,'PLAN BUDGET SAMI-TF'!J12:J99999,SUMMARY!A70&amp;"*")</f>
        <v>0</v>
      </c>
      <c r="X70" s="10">
        <f>SUMIFS('PLAN BUDGET SAMI-TF'!BJ12:BJ99999,'PLAN BUDGET SAMI-TF'!D12:D99999,SUMMARY!D70,'PLAN BUDGET SAMI-TF'!J12:J99999,SUMMARY!A70&amp;"*")</f>
        <v>0</v>
      </c>
      <c r="Y70" s="10">
        <f>SUMIFS('PLAN BUDGET SAMI-TF'!BK12:BK99999,'PLAN BUDGET SAMI-TF'!D12:D99999,SUMMARY!D70,'PLAN BUDGET SAMI-TF'!J12:J99999,SUMMARY!A70&amp;"*")</f>
        <v>0</v>
      </c>
      <c r="Z70" s="10">
        <f>SUMIFS('PLAN BUDGET SAMI-TF'!BL12:BL99999,'PLAN BUDGET SAMI-TF'!D12:D99999,SUMMARY!D70,'PLAN BUDGET SAMI-TF'!J12:J99999,SUMMARY!A70&amp;"*")</f>
        <v>0</v>
      </c>
      <c r="AA70" s="10">
        <f>SUMIFS('PLAN BUDGET SAMI-TF'!BM12:BM99999,'PLAN BUDGET SAMI-TF'!D12:D99999,SUMMARY!D70,'PLAN BUDGET SAMI-TF'!J12:J99999,SUMMARY!A70&amp;"*")</f>
        <v>0</v>
      </c>
      <c r="AB70" s="10">
        <f>SUMIFS('PLAN BUDGET SAMI-TF'!BN12:BN99999,'PLAN BUDGET SAMI-TF'!D12:D99999,SUMMARY!D70,'PLAN BUDGET SAMI-TF'!J12:J99999,SUMMARY!A70&amp;"*")</f>
        <v>0</v>
      </c>
      <c r="AC70" s="10">
        <f t="shared" si="4"/>
        <v>3</v>
      </c>
      <c r="AD70" s="10">
        <f t="shared" si="5"/>
        <v>208.87926778322</v>
      </c>
      <c r="AE70" s="16"/>
      <c r="AF70" s="10">
        <v>0</v>
      </c>
      <c r="AG70" s="10">
        <v>0</v>
      </c>
      <c r="AH70" s="20">
        <f t="shared" si="6"/>
        <v>1</v>
      </c>
      <c r="AI70" s="20">
        <f t="shared" si="7"/>
        <v>1</v>
      </c>
      <c r="AJ70" s="67" t="s">
        <v>863</v>
      </c>
    </row>
    <row r="71" spans="1:36" x14ac:dyDescent="0.35">
      <c r="A71" s="7" t="s">
        <v>498</v>
      </c>
      <c r="B71" s="7"/>
      <c r="C71" s="7"/>
      <c r="D71" s="7" t="s">
        <v>589</v>
      </c>
      <c r="E71" s="10">
        <f>SUMIFS('PLAN BUDGET SAMI-TF'!AN12:AN99999,'PLAN BUDGET SAMI-TF'!D12:D99999,SUMMARY!D71,'PLAN BUDGET SAMI-TF'!J12:J99999,SUMMARY!A71&amp;"*")</f>
        <v>0</v>
      </c>
      <c r="F71" s="10">
        <f>SUMIFS('PLAN BUDGET SAMI-TF'!AO12:AO99999,'PLAN BUDGET SAMI-TF'!D12:D99999,SUMMARY!D71,'PLAN BUDGET SAMI-TF'!J12:J99999,SUMMARY!A71&amp;"*")</f>
        <v>1</v>
      </c>
      <c r="G71" s="10">
        <f>SUMIFS('PLAN BUDGET SAMI-TF'!AP12:AP99999,'PLAN BUDGET SAMI-TF'!D12:D99999,SUMMARY!D71,'PLAN BUDGET SAMI-TF'!J12:J99999,SUMMARY!A71&amp;"*")</f>
        <v>0</v>
      </c>
      <c r="H71" s="10">
        <f>SUMIFS('PLAN BUDGET SAMI-TF'!AQ12:AQ99999,'PLAN BUDGET SAMI-TF'!D12:D99999,SUMMARY!D71,'PLAN BUDGET SAMI-TF'!J12:J99999,SUMMARY!A71&amp;"*")</f>
        <v>1</v>
      </c>
      <c r="I71" s="10">
        <f>SUMIFS('PLAN BUDGET SAMI-TF'!AR12:AR99999,'PLAN BUDGET SAMI-TF'!D12:D99999,SUMMARY!D71,'PLAN BUDGET SAMI-TF'!J12:J99999,SUMMARY!A71&amp;"*")</f>
        <v>0</v>
      </c>
      <c r="J71" s="10">
        <f>SUMIFS('PLAN BUDGET SAMI-TF'!AS12:AS99999,'PLAN BUDGET SAMI-TF'!D12:D99999,SUMMARY!D71,'PLAN BUDGET SAMI-TF'!J12:J99999,SUMMARY!A71&amp;"*")</f>
        <v>0</v>
      </c>
      <c r="K71" s="10">
        <f>SUMIFS('PLAN BUDGET SAMI-TF'!AT12:AT99999,'PLAN BUDGET SAMI-TF'!D12:D99999,SUMMARY!D71,'PLAN BUDGET SAMI-TF'!J12:J99999,SUMMARY!A71&amp;"*")</f>
        <v>0</v>
      </c>
      <c r="L71" s="10">
        <f>SUMIFS('PLAN BUDGET SAMI-TF'!AU12:AU99999,'PLAN BUDGET SAMI-TF'!D12:D99999,SUMMARY!D71,'PLAN BUDGET SAMI-TF'!J12:J99999,SUMMARY!A71&amp;"*")</f>
        <v>0</v>
      </c>
      <c r="M71" s="10">
        <f>SUMIFS('PLAN BUDGET SAMI-TF'!AV12:AV99999,'PLAN BUDGET SAMI-TF'!D12:D99999,SUMMARY!D71,'PLAN BUDGET SAMI-TF'!J12:J99999,SUMMARY!A71&amp;"*")</f>
        <v>0</v>
      </c>
      <c r="N71" s="10">
        <f>SUMIFS('PLAN BUDGET SAMI-TF'!AW12:AW99999,'PLAN BUDGET SAMI-TF'!D12:D99999,SUMMARY!D71,'PLAN BUDGET SAMI-TF'!J12:J99999,SUMMARY!A71&amp;"*")</f>
        <v>0</v>
      </c>
      <c r="O71" s="10">
        <f>SUMIFS('PLAN BUDGET SAMI-TF'!AX12:AX99999,'PLAN BUDGET SAMI-TF'!D12:D99999,SUMMARY!D71,'PLAN BUDGET SAMI-TF'!J12:J99999,SUMMARY!A71&amp;"*")</f>
        <v>0</v>
      </c>
      <c r="P71" s="10">
        <f>SUMIFS('PLAN BUDGET SAMI-TF'!AY12:AY99999,'PLAN BUDGET SAMI-TF'!D12:D99999,SUMMARY!D71,'PLAN BUDGET SAMI-TF'!J12:J99999,SUMMARY!A71&amp;"*")</f>
        <v>0</v>
      </c>
      <c r="Q71" s="10">
        <f>SUMIFS('PLAN BUDGET SAMI-TF'!BC12:BC99999,'PLAN BUDGET SAMI-TF'!D12:D99999,SUMMARY!D71,'PLAN BUDGET SAMI-TF'!J12:J99999,SUMMARY!A71&amp;"*")</f>
        <v>0</v>
      </c>
      <c r="R71" s="10">
        <f>SUMIFS('PLAN BUDGET SAMI-TF'!BD12:BD99999,'PLAN BUDGET SAMI-TF'!D12:D99999,SUMMARY!D71,'PLAN BUDGET SAMI-TF'!J12:J99999,SUMMARY!A71&amp;"*")</f>
        <v>215.84191004266</v>
      </c>
      <c r="S71" s="10">
        <f>SUMIFS('PLAN BUDGET SAMI-TF'!BE12:BE99999,'PLAN BUDGET SAMI-TF'!D12:D99999,SUMMARY!D71,'PLAN BUDGET SAMI-TF'!J12:J99999,SUMMARY!A71&amp;"*")</f>
        <v>0</v>
      </c>
      <c r="T71" s="10">
        <f>SUMIFS('PLAN BUDGET SAMI-TF'!BF12:BF99999,'PLAN BUDGET SAMI-TF'!D12:D99999,SUMMARY!D71,'PLAN BUDGET SAMI-TF'!J12:J99999,SUMMARY!A71&amp;"*")</f>
        <v>215.84191004266</v>
      </c>
      <c r="U71" s="10">
        <f>SUMIFS('PLAN BUDGET SAMI-TF'!BG12:BG99999,'PLAN BUDGET SAMI-TF'!D12:D99999,SUMMARY!D71,'PLAN BUDGET SAMI-TF'!J12:J99999,SUMMARY!A71&amp;"*")</f>
        <v>0</v>
      </c>
      <c r="V71" s="10">
        <f>SUMIFS('PLAN BUDGET SAMI-TF'!BH12:BH99999,'PLAN BUDGET SAMI-TF'!D12:D99999,SUMMARY!D71,'PLAN BUDGET SAMI-TF'!J12:J99999,SUMMARY!A71&amp;"*")</f>
        <v>0</v>
      </c>
      <c r="W71" s="10">
        <f>SUMIFS('PLAN BUDGET SAMI-TF'!BI12:BI99999,'PLAN BUDGET SAMI-TF'!D12:D99999,SUMMARY!D71,'PLAN BUDGET SAMI-TF'!J12:J99999,SUMMARY!A71&amp;"*")</f>
        <v>0</v>
      </c>
      <c r="X71" s="10">
        <f>SUMIFS('PLAN BUDGET SAMI-TF'!BJ12:BJ99999,'PLAN BUDGET SAMI-TF'!D12:D99999,SUMMARY!D71,'PLAN BUDGET SAMI-TF'!J12:J99999,SUMMARY!A71&amp;"*")</f>
        <v>0</v>
      </c>
      <c r="Y71" s="10">
        <f>SUMIFS('PLAN BUDGET SAMI-TF'!BK12:BK99999,'PLAN BUDGET SAMI-TF'!D12:D99999,SUMMARY!D71,'PLAN BUDGET SAMI-TF'!J12:J99999,SUMMARY!A71&amp;"*")</f>
        <v>0</v>
      </c>
      <c r="Z71" s="10">
        <f>SUMIFS('PLAN BUDGET SAMI-TF'!BL12:BL99999,'PLAN BUDGET SAMI-TF'!D12:D99999,SUMMARY!D71,'PLAN BUDGET SAMI-TF'!J12:J99999,SUMMARY!A71&amp;"*")</f>
        <v>0</v>
      </c>
      <c r="AA71" s="10">
        <f>SUMIFS('PLAN BUDGET SAMI-TF'!BM12:BM99999,'PLAN BUDGET SAMI-TF'!D12:D99999,SUMMARY!D71,'PLAN BUDGET SAMI-TF'!J12:J99999,SUMMARY!A71&amp;"*")</f>
        <v>0</v>
      </c>
      <c r="AB71" s="10">
        <f>SUMIFS('PLAN BUDGET SAMI-TF'!BN12:BN99999,'PLAN BUDGET SAMI-TF'!D12:D99999,SUMMARY!D71,'PLAN BUDGET SAMI-TF'!J12:J99999,SUMMARY!A71&amp;"*")</f>
        <v>0</v>
      </c>
      <c r="AC71" s="10">
        <f t="shared" si="4"/>
        <v>2</v>
      </c>
      <c r="AD71" s="10">
        <f t="shared" si="5"/>
        <v>431.68382008532001</v>
      </c>
      <c r="AE71" s="16"/>
      <c r="AF71" s="10">
        <v>0</v>
      </c>
      <c r="AG71" s="10">
        <v>0</v>
      </c>
      <c r="AH71" s="20">
        <f t="shared" si="6"/>
        <v>1</v>
      </c>
      <c r="AI71" s="20">
        <f t="shared" si="7"/>
        <v>1</v>
      </c>
      <c r="AJ71" s="67" t="s">
        <v>863</v>
      </c>
    </row>
    <row r="72" spans="1:36" x14ac:dyDescent="0.35">
      <c r="A72" s="7" t="s">
        <v>498</v>
      </c>
      <c r="B72" s="7"/>
      <c r="C72" s="7"/>
      <c r="D72" s="7" t="s">
        <v>507</v>
      </c>
      <c r="E72" s="10">
        <f>SUMIFS('PLAN BUDGET SAMI-TF'!AN12:AN99999,'PLAN BUDGET SAMI-TF'!D12:D99999,SUMMARY!D72,'PLAN BUDGET SAMI-TF'!J12:J99999,SUMMARY!A72&amp;"*")</f>
        <v>0</v>
      </c>
      <c r="F72" s="10">
        <f>SUMIFS('PLAN BUDGET SAMI-TF'!AO12:AO99999,'PLAN BUDGET SAMI-TF'!D12:D99999,SUMMARY!D72,'PLAN BUDGET SAMI-TF'!J12:J99999,SUMMARY!A72&amp;"*")</f>
        <v>1</v>
      </c>
      <c r="G72" s="10">
        <f>SUMIFS('PLAN BUDGET SAMI-TF'!AP12:AP99999,'PLAN BUDGET SAMI-TF'!D12:D99999,SUMMARY!D72,'PLAN BUDGET SAMI-TF'!J12:J99999,SUMMARY!A72&amp;"*")</f>
        <v>1</v>
      </c>
      <c r="H72" s="10">
        <f>SUMIFS('PLAN BUDGET SAMI-TF'!AQ12:AQ99999,'PLAN BUDGET SAMI-TF'!D12:D99999,SUMMARY!D72,'PLAN BUDGET SAMI-TF'!J12:J99999,SUMMARY!A72&amp;"*")</f>
        <v>0</v>
      </c>
      <c r="I72" s="10">
        <f>SUMIFS('PLAN BUDGET SAMI-TF'!AR12:AR99999,'PLAN BUDGET SAMI-TF'!D12:D99999,SUMMARY!D72,'PLAN BUDGET SAMI-TF'!J12:J99999,SUMMARY!A72&amp;"*")</f>
        <v>0</v>
      </c>
      <c r="J72" s="10">
        <f>SUMIFS('PLAN BUDGET SAMI-TF'!AS12:AS99999,'PLAN BUDGET SAMI-TF'!D12:D99999,SUMMARY!D72,'PLAN BUDGET SAMI-TF'!J12:J99999,SUMMARY!A72&amp;"*")</f>
        <v>0</v>
      </c>
      <c r="K72" s="10">
        <f>SUMIFS('PLAN BUDGET SAMI-TF'!AT12:AT99999,'PLAN BUDGET SAMI-TF'!D12:D99999,SUMMARY!D72,'PLAN BUDGET SAMI-TF'!J12:J99999,SUMMARY!A72&amp;"*")</f>
        <v>0</v>
      </c>
      <c r="L72" s="10">
        <f>SUMIFS('PLAN BUDGET SAMI-TF'!AU12:AU99999,'PLAN BUDGET SAMI-TF'!D12:D99999,SUMMARY!D72,'PLAN BUDGET SAMI-TF'!J12:J99999,SUMMARY!A72&amp;"*")</f>
        <v>0</v>
      </c>
      <c r="M72" s="10">
        <f>SUMIFS('PLAN BUDGET SAMI-TF'!AV12:AV99999,'PLAN BUDGET SAMI-TF'!D12:D99999,SUMMARY!D72,'PLAN BUDGET SAMI-TF'!J12:J99999,SUMMARY!A72&amp;"*")</f>
        <v>0</v>
      </c>
      <c r="N72" s="10">
        <f>SUMIFS('PLAN BUDGET SAMI-TF'!AW12:AW99999,'PLAN BUDGET SAMI-TF'!D12:D99999,SUMMARY!D72,'PLAN BUDGET SAMI-TF'!J12:J99999,SUMMARY!A72&amp;"*")</f>
        <v>0</v>
      </c>
      <c r="O72" s="10">
        <f>SUMIFS('PLAN BUDGET SAMI-TF'!AX12:AX99999,'PLAN BUDGET SAMI-TF'!D12:D99999,SUMMARY!D72,'PLAN BUDGET SAMI-TF'!J12:J99999,SUMMARY!A72&amp;"*")</f>
        <v>0</v>
      </c>
      <c r="P72" s="10">
        <f>SUMIFS('PLAN BUDGET SAMI-TF'!AY12:AY99999,'PLAN BUDGET SAMI-TF'!D12:D99999,SUMMARY!D72,'PLAN BUDGET SAMI-TF'!J12:J99999,SUMMARY!A72&amp;"*")</f>
        <v>0</v>
      </c>
      <c r="Q72" s="10">
        <f>SUMIFS('PLAN BUDGET SAMI-TF'!BC12:BC99999,'PLAN BUDGET SAMI-TF'!D12:D99999,SUMMARY!D72,'PLAN BUDGET SAMI-TF'!J12:J99999,SUMMARY!A72&amp;"*")</f>
        <v>0</v>
      </c>
      <c r="R72" s="10">
        <f>SUMIFS('PLAN BUDGET SAMI-TF'!BD12:BD99999,'PLAN BUDGET SAMI-TF'!D12:D99999,SUMMARY!D72,'PLAN BUDGET SAMI-TF'!J12:J99999,SUMMARY!A72&amp;"*")</f>
        <v>919.06877824617004</v>
      </c>
      <c r="S72" s="10">
        <f>SUMIFS('PLAN BUDGET SAMI-TF'!BE12:BE99999,'PLAN BUDGET SAMI-TF'!D12:D99999,SUMMARY!D72,'PLAN BUDGET SAMI-TF'!J12:J99999,SUMMARY!A72&amp;"*")</f>
        <v>919.06877824617004</v>
      </c>
      <c r="T72" s="10">
        <f>SUMIFS('PLAN BUDGET SAMI-TF'!BF12:BF99999,'PLAN BUDGET SAMI-TF'!D12:D99999,SUMMARY!D72,'PLAN BUDGET SAMI-TF'!J12:J99999,SUMMARY!A72&amp;"*")</f>
        <v>0</v>
      </c>
      <c r="U72" s="10">
        <f>SUMIFS('PLAN BUDGET SAMI-TF'!BG12:BG99999,'PLAN BUDGET SAMI-TF'!D12:D99999,SUMMARY!D72,'PLAN BUDGET SAMI-TF'!J12:J99999,SUMMARY!A72&amp;"*")</f>
        <v>0</v>
      </c>
      <c r="V72" s="10">
        <f>SUMIFS('PLAN BUDGET SAMI-TF'!BH12:BH99999,'PLAN BUDGET SAMI-TF'!D12:D99999,SUMMARY!D72,'PLAN BUDGET SAMI-TF'!J12:J99999,SUMMARY!A72&amp;"*")</f>
        <v>0</v>
      </c>
      <c r="W72" s="10">
        <f>SUMIFS('PLAN BUDGET SAMI-TF'!BI12:BI99999,'PLAN BUDGET SAMI-TF'!D12:D99999,SUMMARY!D72,'PLAN BUDGET SAMI-TF'!J12:J99999,SUMMARY!A72&amp;"*")</f>
        <v>0</v>
      </c>
      <c r="X72" s="10">
        <f>SUMIFS('PLAN BUDGET SAMI-TF'!BJ12:BJ99999,'PLAN BUDGET SAMI-TF'!D12:D99999,SUMMARY!D72,'PLAN BUDGET SAMI-TF'!J12:J99999,SUMMARY!A72&amp;"*")</f>
        <v>0</v>
      </c>
      <c r="Y72" s="10">
        <f>SUMIFS('PLAN BUDGET SAMI-TF'!BK12:BK99999,'PLAN BUDGET SAMI-TF'!D12:D99999,SUMMARY!D72,'PLAN BUDGET SAMI-TF'!J12:J99999,SUMMARY!A72&amp;"*")</f>
        <v>0</v>
      </c>
      <c r="Z72" s="10">
        <f>SUMIFS('PLAN BUDGET SAMI-TF'!BL12:BL99999,'PLAN BUDGET SAMI-TF'!D12:D99999,SUMMARY!D72,'PLAN BUDGET SAMI-TF'!J12:J99999,SUMMARY!A72&amp;"*")</f>
        <v>0</v>
      </c>
      <c r="AA72" s="10">
        <f>SUMIFS('PLAN BUDGET SAMI-TF'!BM12:BM99999,'PLAN BUDGET SAMI-TF'!D12:D99999,SUMMARY!D72,'PLAN BUDGET SAMI-TF'!J12:J99999,SUMMARY!A72&amp;"*")</f>
        <v>0</v>
      </c>
      <c r="AB72" s="10">
        <f>SUMIFS('PLAN BUDGET SAMI-TF'!BN12:BN99999,'PLAN BUDGET SAMI-TF'!D12:D99999,SUMMARY!D72,'PLAN BUDGET SAMI-TF'!J12:J99999,SUMMARY!A72&amp;"*")</f>
        <v>0</v>
      </c>
      <c r="AC72" s="10">
        <f t="shared" si="4"/>
        <v>2</v>
      </c>
      <c r="AD72" s="10">
        <f t="shared" si="5"/>
        <v>1838.1375564923401</v>
      </c>
      <c r="AE72" s="16"/>
      <c r="AF72" s="10">
        <v>0</v>
      </c>
      <c r="AG72" s="10">
        <v>0</v>
      </c>
      <c r="AH72" s="20">
        <f t="shared" si="6"/>
        <v>1</v>
      </c>
      <c r="AI72" s="20">
        <f t="shared" si="7"/>
        <v>1</v>
      </c>
      <c r="AJ72" s="67" t="s">
        <v>863</v>
      </c>
    </row>
    <row r="73" spans="1:36" x14ac:dyDescent="0.35">
      <c r="A73" s="7" t="s">
        <v>498</v>
      </c>
      <c r="B73" s="7"/>
      <c r="C73" s="7"/>
      <c r="D73" s="7" t="s">
        <v>563</v>
      </c>
      <c r="E73" s="10">
        <f>SUMIFS('PLAN BUDGET SAMI-TF'!AN12:AN99999,'PLAN BUDGET SAMI-TF'!D12:D99999,SUMMARY!D73,'PLAN BUDGET SAMI-TF'!J12:J99999,SUMMARY!A73&amp;"*")</f>
        <v>0</v>
      </c>
      <c r="F73" s="10">
        <f>SUMIFS('PLAN BUDGET SAMI-TF'!AO12:AO99999,'PLAN BUDGET SAMI-TF'!D12:D99999,SUMMARY!D73,'PLAN BUDGET SAMI-TF'!J12:J99999,SUMMARY!A73&amp;"*")</f>
        <v>5</v>
      </c>
      <c r="G73" s="10">
        <f>SUMIFS('PLAN BUDGET SAMI-TF'!AP12:AP99999,'PLAN BUDGET SAMI-TF'!D12:D99999,SUMMARY!D73,'PLAN BUDGET SAMI-TF'!J12:J99999,SUMMARY!A73&amp;"*")</f>
        <v>0</v>
      </c>
      <c r="H73" s="10">
        <f>SUMIFS('PLAN BUDGET SAMI-TF'!AQ12:AQ99999,'PLAN BUDGET SAMI-TF'!D12:D99999,SUMMARY!D73,'PLAN BUDGET SAMI-TF'!J12:J99999,SUMMARY!A73&amp;"*")</f>
        <v>0</v>
      </c>
      <c r="I73" s="10">
        <f>SUMIFS('PLAN BUDGET SAMI-TF'!AR12:AR99999,'PLAN BUDGET SAMI-TF'!D12:D99999,SUMMARY!D73,'PLAN BUDGET SAMI-TF'!J12:J99999,SUMMARY!A73&amp;"*")</f>
        <v>0</v>
      </c>
      <c r="J73" s="10">
        <f>SUMIFS('PLAN BUDGET SAMI-TF'!AS12:AS99999,'PLAN BUDGET SAMI-TF'!D12:D99999,SUMMARY!D73,'PLAN BUDGET SAMI-TF'!J12:J99999,SUMMARY!A73&amp;"*")</f>
        <v>0</v>
      </c>
      <c r="K73" s="10">
        <f>SUMIFS('PLAN BUDGET SAMI-TF'!AT12:AT99999,'PLAN BUDGET SAMI-TF'!D12:D99999,SUMMARY!D73,'PLAN BUDGET SAMI-TF'!J12:J99999,SUMMARY!A73&amp;"*")</f>
        <v>0</v>
      </c>
      <c r="L73" s="10">
        <f>SUMIFS('PLAN BUDGET SAMI-TF'!AU12:AU99999,'PLAN BUDGET SAMI-TF'!D12:D99999,SUMMARY!D73,'PLAN BUDGET SAMI-TF'!J12:J99999,SUMMARY!A73&amp;"*")</f>
        <v>0</v>
      </c>
      <c r="M73" s="10">
        <f>SUMIFS('PLAN BUDGET SAMI-TF'!AV12:AV99999,'PLAN BUDGET SAMI-TF'!D12:D99999,SUMMARY!D73,'PLAN BUDGET SAMI-TF'!J12:J99999,SUMMARY!A73&amp;"*")</f>
        <v>0</v>
      </c>
      <c r="N73" s="10">
        <f>SUMIFS('PLAN BUDGET SAMI-TF'!AW12:AW99999,'PLAN BUDGET SAMI-TF'!D12:D99999,SUMMARY!D73,'PLAN BUDGET SAMI-TF'!J12:J99999,SUMMARY!A73&amp;"*")</f>
        <v>0</v>
      </c>
      <c r="O73" s="10">
        <f>SUMIFS('PLAN BUDGET SAMI-TF'!AX12:AX99999,'PLAN BUDGET SAMI-TF'!D12:D99999,SUMMARY!D73,'PLAN BUDGET SAMI-TF'!J12:J99999,SUMMARY!A73&amp;"*")</f>
        <v>0</v>
      </c>
      <c r="P73" s="10">
        <f>SUMIFS('PLAN BUDGET SAMI-TF'!AY12:AY99999,'PLAN BUDGET SAMI-TF'!D12:D99999,SUMMARY!D73,'PLAN BUDGET SAMI-TF'!J12:J99999,SUMMARY!A73&amp;"*")</f>
        <v>0</v>
      </c>
      <c r="Q73" s="10">
        <f>SUMIFS('PLAN BUDGET SAMI-TF'!BC12:BC99999,'PLAN BUDGET SAMI-TF'!D12:D99999,SUMMARY!D73,'PLAN BUDGET SAMI-TF'!J12:J99999,SUMMARY!A73&amp;"*")</f>
        <v>0</v>
      </c>
      <c r="R73" s="10">
        <f>SUMIFS('PLAN BUDGET SAMI-TF'!BD12:BD99999,'PLAN BUDGET SAMI-TF'!D12:D99999,SUMMARY!D73,'PLAN BUDGET SAMI-TF'!J12:J99999,SUMMARY!A73&amp;"*")</f>
        <v>696.26422594406995</v>
      </c>
      <c r="S73" s="10">
        <f>SUMIFS('PLAN BUDGET SAMI-TF'!BE12:BE99999,'PLAN BUDGET SAMI-TF'!D12:D99999,SUMMARY!D73,'PLAN BUDGET SAMI-TF'!J12:J99999,SUMMARY!A73&amp;"*")</f>
        <v>0</v>
      </c>
      <c r="T73" s="10">
        <f>SUMIFS('PLAN BUDGET SAMI-TF'!BF12:BF99999,'PLAN BUDGET SAMI-TF'!D12:D99999,SUMMARY!D73,'PLAN BUDGET SAMI-TF'!J12:J99999,SUMMARY!A73&amp;"*")</f>
        <v>0</v>
      </c>
      <c r="U73" s="10">
        <f>SUMIFS('PLAN BUDGET SAMI-TF'!BG12:BG99999,'PLAN BUDGET SAMI-TF'!D12:D99999,SUMMARY!D73,'PLAN BUDGET SAMI-TF'!J12:J99999,SUMMARY!A73&amp;"*")</f>
        <v>0</v>
      </c>
      <c r="V73" s="10">
        <f>SUMIFS('PLAN BUDGET SAMI-TF'!BH12:BH99999,'PLAN BUDGET SAMI-TF'!D12:D99999,SUMMARY!D73,'PLAN BUDGET SAMI-TF'!J12:J99999,SUMMARY!A73&amp;"*")</f>
        <v>0</v>
      </c>
      <c r="W73" s="10">
        <f>SUMIFS('PLAN BUDGET SAMI-TF'!BI12:BI99999,'PLAN BUDGET SAMI-TF'!D12:D99999,SUMMARY!D73,'PLAN BUDGET SAMI-TF'!J12:J99999,SUMMARY!A73&amp;"*")</f>
        <v>0</v>
      </c>
      <c r="X73" s="10">
        <f>SUMIFS('PLAN BUDGET SAMI-TF'!BJ12:BJ99999,'PLAN BUDGET SAMI-TF'!D12:D99999,SUMMARY!D73,'PLAN BUDGET SAMI-TF'!J12:J99999,SUMMARY!A73&amp;"*")</f>
        <v>0</v>
      </c>
      <c r="Y73" s="10">
        <f>SUMIFS('PLAN BUDGET SAMI-TF'!BK12:BK99999,'PLAN BUDGET SAMI-TF'!D12:D99999,SUMMARY!D73,'PLAN BUDGET SAMI-TF'!J12:J99999,SUMMARY!A73&amp;"*")</f>
        <v>0</v>
      </c>
      <c r="Z73" s="10">
        <f>SUMIFS('PLAN BUDGET SAMI-TF'!BL12:BL99999,'PLAN BUDGET SAMI-TF'!D12:D99999,SUMMARY!D73,'PLAN BUDGET SAMI-TF'!J12:J99999,SUMMARY!A73&amp;"*")</f>
        <v>0</v>
      </c>
      <c r="AA73" s="10">
        <f>SUMIFS('PLAN BUDGET SAMI-TF'!BM12:BM99999,'PLAN BUDGET SAMI-TF'!D12:D99999,SUMMARY!D73,'PLAN BUDGET SAMI-TF'!J12:J99999,SUMMARY!A73&amp;"*")</f>
        <v>0</v>
      </c>
      <c r="AB73" s="10">
        <f>SUMIFS('PLAN BUDGET SAMI-TF'!BN12:BN99999,'PLAN BUDGET SAMI-TF'!D12:D99999,SUMMARY!D73,'PLAN BUDGET SAMI-TF'!J12:J99999,SUMMARY!A73&amp;"*")</f>
        <v>0</v>
      </c>
      <c r="AC73" s="10">
        <f t="shared" ref="AC73:AC104" si="8">SUM(E73:P73)</f>
        <v>5</v>
      </c>
      <c r="AD73" s="10">
        <f t="shared" ref="AD73:AD104" si="9">SUM(Q73:AB73)</f>
        <v>696.26422594406995</v>
      </c>
      <c r="AE73" s="16"/>
      <c r="AF73" s="10">
        <v>0</v>
      </c>
      <c r="AG73" s="10">
        <v>0</v>
      </c>
      <c r="AH73" s="20">
        <f t="shared" ref="AH73:AH104" si="10">IFERROR((AC73-AF73)/AF73,1)</f>
        <v>1</v>
      </c>
      <c r="AI73" s="20">
        <f t="shared" ref="AI73:AI104" si="11">IFERROR((AD73-AG73)/AG73,1)</f>
        <v>1</v>
      </c>
      <c r="AJ73" s="67" t="s">
        <v>863</v>
      </c>
    </row>
    <row r="74" spans="1:36" x14ac:dyDescent="0.35">
      <c r="A74" s="7" t="s">
        <v>498</v>
      </c>
      <c r="B74" s="7"/>
      <c r="C74" s="7"/>
      <c r="D74" s="7" t="s">
        <v>627</v>
      </c>
      <c r="E74" s="10">
        <f>SUMIFS('PLAN BUDGET SAMI-TF'!AN12:AN99999,'PLAN BUDGET SAMI-TF'!D12:D99999,SUMMARY!D74,'PLAN BUDGET SAMI-TF'!J12:J99999,SUMMARY!A74&amp;"*")</f>
        <v>0</v>
      </c>
      <c r="F74" s="10">
        <f>SUMIFS('PLAN BUDGET SAMI-TF'!AO12:AO99999,'PLAN BUDGET SAMI-TF'!D12:D99999,SUMMARY!D74,'PLAN BUDGET SAMI-TF'!J12:J99999,SUMMARY!A74&amp;"*")</f>
        <v>0</v>
      </c>
      <c r="G74" s="10">
        <f>SUMIFS('PLAN BUDGET SAMI-TF'!AP12:AP99999,'PLAN BUDGET SAMI-TF'!D12:D99999,SUMMARY!D74,'PLAN BUDGET SAMI-TF'!J12:J99999,SUMMARY!A74&amp;"*")</f>
        <v>2</v>
      </c>
      <c r="H74" s="10">
        <f>SUMIFS('PLAN BUDGET SAMI-TF'!AQ12:AQ99999,'PLAN BUDGET SAMI-TF'!D12:D99999,SUMMARY!D74,'PLAN BUDGET SAMI-TF'!J12:J99999,SUMMARY!A74&amp;"*")</f>
        <v>0</v>
      </c>
      <c r="I74" s="10">
        <f>SUMIFS('PLAN BUDGET SAMI-TF'!AR12:AR99999,'PLAN BUDGET SAMI-TF'!D12:D99999,SUMMARY!D74,'PLAN BUDGET SAMI-TF'!J12:J99999,SUMMARY!A74&amp;"*")</f>
        <v>2</v>
      </c>
      <c r="J74" s="10">
        <f>SUMIFS('PLAN BUDGET SAMI-TF'!AS12:AS99999,'PLAN BUDGET SAMI-TF'!D12:D99999,SUMMARY!D74,'PLAN BUDGET SAMI-TF'!J12:J99999,SUMMARY!A74&amp;"*")</f>
        <v>0</v>
      </c>
      <c r="K74" s="10">
        <f>SUMIFS('PLAN BUDGET SAMI-TF'!AT12:AT99999,'PLAN BUDGET SAMI-TF'!D12:D99999,SUMMARY!D74,'PLAN BUDGET SAMI-TF'!J12:J99999,SUMMARY!A74&amp;"*")</f>
        <v>0</v>
      </c>
      <c r="L74" s="10">
        <f>SUMIFS('PLAN BUDGET SAMI-TF'!AU12:AU99999,'PLAN BUDGET SAMI-TF'!D12:D99999,SUMMARY!D74,'PLAN BUDGET SAMI-TF'!J12:J99999,SUMMARY!A74&amp;"*")</f>
        <v>0</v>
      </c>
      <c r="M74" s="10">
        <f>SUMIFS('PLAN BUDGET SAMI-TF'!AV12:AV99999,'PLAN BUDGET SAMI-TF'!D12:D99999,SUMMARY!D74,'PLAN BUDGET SAMI-TF'!J12:J99999,SUMMARY!A74&amp;"*")</f>
        <v>0</v>
      </c>
      <c r="N74" s="10">
        <f>SUMIFS('PLAN BUDGET SAMI-TF'!AW12:AW99999,'PLAN BUDGET SAMI-TF'!D12:D99999,SUMMARY!D74,'PLAN BUDGET SAMI-TF'!J12:J99999,SUMMARY!A74&amp;"*")</f>
        <v>0</v>
      </c>
      <c r="O74" s="10">
        <f>SUMIFS('PLAN BUDGET SAMI-TF'!AX12:AX99999,'PLAN BUDGET SAMI-TF'!D12:D99999,SUMMARY!D74,'PLAN BUDGET SAMI-TF'!J12:J99999,SUMMARY!A74&amp;"*")</f>
        <v>0</v>
      </c>
      <c r="P74" s="10">
        <f>SUMIFS('PLAN BUDGET SAMI-TF'!AY12:AY99999,'PLAN BUDGET SAMI-TF'!D12:D99999,SUMMARY!D74,'PLAN BUDGET SAMI-TF'!J12:J99999,SUMMARY!A74&amp;"*")</f>
        <v>0</v>
      </c>
      <c r="Q74" s="10">
        <f>SUMIFS('PLAN BUDGET SAMI-TF'!BC12:BC99999,'PLAN BUDGET SAMI-TF'!D12:D99999,SUMMARY!D74,'PLAN BUDGET SAMI-TF'!J12:J99999,SUMMARY!A74&amp;"*")</f>
        <v>0</v>
      </c>
      <c r="R74" s="10">
        <f>SUMIFS('PLAN BUDGET SAMI-TF'!BD12:BD99999,'PLAN BUDGET SAMI-TF'!D12:D99999,SUMMARY!D74,'PLAN BUDGET SAMI-TF'!J12:J99999,SUMMARY!A74&amp;"*")</f>
        <v>0</v>
      </c>
      <c r="S74" s="10">
        <f>SUMIFS('PLAN BUDGET SAMI-TF'!BE12:BE99999,'PLAN BUDGET SAMI-TF'!D12:D99999,SUMMARY!D74,'PLAN BUDGET SAMI-TF'!J12:J99999,SUMMARY!A74&amp;"*")</f>
        <v>48.738495816084999</v>
      </c>
      <c r="T74" s="10">
        <f>SUMIFS('PLAN BUDGET SAMI-TF'!BF12:BF99999,'PLAN BUDGET SAMI-TF'!D12:D99999,SUMMARY!D74,'PLAN BUDGET SAMI-TF'!J12:J99999,SUMMARY!A74&amp;"*")</f>
        <v>0</v>
      </c>
      <c r="U74" s="10">
        <f>SUMIFS('PLAN BUDGET SAMI-TF'!BG12:BG99999,'PLAN BUDGET SAMI-TF'!D12:D99999,SUMMARY!D74,'PLAN BUDGET SAMI-TF'!J12:J99999,SUMMARY!A74&amp;"*")</f>
        <v>48.738495816084999</v>
      </c>
      <c r="V74" s="10">
        <f>SUMIFS('PLAN BUDGET SAMI-TF'!BH12:BH99999,'PLAN BUDGET SAMI-TF'!D12:D99999,SUMMARY!D74,'PLAN BUDGET SAMI-TF'!J12:J99999,SUMMARY!A74&amp;"*")</f>
        <v>0</v>
      </c>
      <c r="W74" s="10">
        <f>SUMIFS('PLAN BUDGET SAMI-TF'!BI12:BI99999,'PLAN BUDGET SAMI-TF'!D12:D99999,SUMMARY!D74,'PLAN BUDGET SAMI-TF'!J12:J99999,SUMMARY!A74&amp;"*")</f>
        <v>0</v>
      </c>
      <c r="X74" s="10">
        <f>SUMIFS('PLAN BUDGET SAMI-TF'!BJ12:BJ99999,'PLAN BUDGET SAMI-TF'!D12:D99999,SUMMARY!D74,'PLAN BUDGET SAMI-TF'!J12:J99999,SUMMARY!A74&amp;"*")</f>
        <v>0</v>
      </c>
      <c r="Y74" s="10">
        <f>SUMIFS('PLAN BUDGET SAMI-TF'!BK12:BK99999,'PLAN BUDGET SAMI-TF'!D12:D99999,SUMMARY!D74,'PLAN BUDGET SAMI-TF'!J12:J99999,SUMMARY!A74&amp;"*")</f>
        <v>0</v>
      </c>
      <c r="Z74" s="10">
        <f>SUMIFS('PLAN BUDGET SAMI-TF'!BL12:BL99999,'PLAN BUDGET SAMI-TF'!D12:D99999,SUMMARY!D74,'PLAN BUDGET SAMI-TF'!J12:J99999,SUMMARY!A74&amp;"*")</f>
        <v>0</v>
      </c>
      <c r="AA74" s="10">
        <f>SUMIFS('PLAN BUDGET SAMI-TF'!BM12:BM99999,'PLAN BUDGET SAMI-TF'!D12:D99999,SUMMARY!D74,'PLAN BUDGET SAMI-TF'!J12:J99999,SUMMARY!A74&amp;"*")</f>
        <v>0</v>
      </c>
      <c r="AB74" s="10">
        <f>SUMIFS('PLAN BUDGET SAMI-TF'!BN12:BN99999,'PLAN BUDGET SAMI-TF'!D12:D99999,SUMMARY!D74,'PLAN BUDGET SAMI-TF'!J12:J99999,SUMMARY!A74&amp;"*")</f>
        <v>0</v>
      </c>
      <c r="AC74" s="10">
        <f t="shared" si="8"/>
        <v>4</v>
      </c>
      <c r="AD74" s="10">
        <f t="shared" si="9"/>
        <v>97.476991632169998</v>
      </c>
      <c r="AE74" s="16"/>
      <c r="AF74" s="10">
        <v>0</v>
      </c>
      <c r="AG74" s="10">
        <v>0</v>
      </c>
      <c r="AH74" s="20">
        <f t="shared" si="10"/>
        <v>1</v>
      </c>
      <c r="AI74" s="20">
        <f t="shared" si="11"/>
        <v>1</v>
      </c>
      <c r="AJ74" s="67" t="s">
        <v>863</v>
      </c>
    </row>
    <row r="75" spans="1:36" x14ac:dyDescent="0.35">
      <c r="A75" s="7" t="s">
        <v>498</v>
      </c>
      <c r="B75" s="7"/>
      <c r="C75" s="7"/>
      <c r="D75" s="7" t="s">
        <v>636</v>
      </c>
      <c r="E75" s="10">
        <f>SUMIFS('PLAN BUDGET SAMI-TF'!AN12:AN99999,'PLAN BUDGET SAMI-TF'!D12:D99999,SUMMARY!D75,'PLAN BUDGET SAMI-TF'!J12:J99999,SUMMARY!A75&amp;"*")</f>
        <v>0</v>
      </c>
      <c r="F75" s="10">
        <f>SUMIFS('PLAN BUDGET SAMI-TF'!AO12:AO99999,'PLAN BUDGET SAMI-TF'!D12:D99999,SUMMARY!D75,'PLAN BUDGET SAMI-TF'!J12:J99999,SUMMARY!A75&amp;"*")</f>
        <v>8</v>
      </c>
      <c r="G75" s="10">
        <f>SUMIFS('PLAN BUDGET SAMI-TF'!AP12:AP99999,'PLAN BUDGET SAMI-TF'!D12:D99999,SUMMARY!D75,'PLAN BUDGET SAMI-TF'!J12:J99999,SUMMARY!A75&amp;"*")</f>
        <v>0</v>
      </c>
      <c r="H75" s="10">
        <f>SUMIFS('PLAN BUDGET SAMI-TF'!AQ12:AQ99999,'PLAN BUDGET SAMI-TF'!D12:D99999,SUMMARY!D75,'PLAN BUDGET SAMI-TF'!J12:J99999,SUMMARY!A75&amp;"*")</f>
        <v>0</v>
      </c>
      <c r="I75" s="10">
        <f>SUMIFS('PLAN BUDGET SAMI-TF'!AR12:AR99999,'PLAN BUDGET SAMI-TF'!D12:D99999,SUMMARY!D75,'PLAN BUDGET SAMI-TF'!J12:J99999,SUMMARY!A75&amp;"*")</f>
        <v>0</v>
      </c>
      <c r="J75" s="10">
        <f>SUMIFS('PLAN BUDGET SAMI-TF'!AS12:AS99999,'PLAN BUDGET SAMI-TF'!D12:D99999,SUMMARY!D75,'PLAN BUDGET SAMI-TF'!J12:J99999,SUMMARY!A75&amp;"*")</f>
        <v>0</v>
      </c>
      <c r="K75" s="10">
        <f>SUMIFS('PLAN BUDGET SAMI-TF'!AT12:AT99999,'PLAN BUDGET SAMI-TF'!D12:D99999,SUMMARY!D75,'PLAN BUDGET SAMI-TF'!J12:J99999,SUMMARY!A75&amp;"*")</f>
        <v>0</v>
      </c>
      <c r="L75" s="10">
        <f>SUMIFS('PLAN BUDGET SAMI-TF'!AU12:AU99999,'PLAN BUDGET SAMI-TF'!D12:D99999,SUMMARY!D75,'PLAN BUDGET SAMI-TF'!J12:J99999,SUMMARY!A75&amp;"*")</f>
        <v>0</v>
      </c>
      <c r="M75" s="10">
        <f>SUMIFS('PLAN BUDGET SAMI-TF'!AV12:AV99999,'PLAN BUDGET SAMI-TF'!D12:D99999,SUMMARY!D75,'PLAN BUDGET SAMI-TF'!J12:J99999,SUMMARY!A75&amp;"*")</f>
        <v>0</v>
      </c>
      <c r="N75" s="10">
        <f>SUMIFS('PLAN BUDGET SAMI-TF'!AW12:AW99999,'PLAN BUDGET SAMI-TF'!D12:D99999,SUMMARY!D75,'PLAN BUDGET SAMI-TF'!J12:J99999,SUMMARY!A75&amp;"*")</f>
        <v>0</v>
      </c>
      <c r="O75" s="10">
        <f>SUMIFS('PLAN BUDGET SAMI-TF'!AX12:AX99999,'PLAN BUDGET SAMI-TF'!D12:D99999,SUMMARY!D75,'PLAN BUDGET SAMI-TF'!J12:J99999,SUMMARY!A75&amp;"*")</f>
        <v>0</v>
      </c>
      <c r="P75" s="10">
        <f>SUMIFS('PLAN BUDGET SAMI-TF'!AY12:AY99999,'PLAN BUDGET SAMI-TF'!D12:D99999,SUMMARY!D75,'PLAN BUDGET SAMI-TF'!J12:J99999,SUMMARY!A75&amp;"*")</f>
        <v>0</v>
      </c>
      <c r="Q75" s="10">
        <f>SUMIFS('PLAN BUDGET SAMI-TF'!BC12:BC99999,'PLAN BUDGET SAMI-TF'!D12:D99999,SUMMARY!D75,'PLAN BUDGET SAMI-TF'!J12:J99999,SUMMARY!A75&amp;"*")</f>
        <v>0</v>
      </c>
      <c r="R75" s="10">
        <f>SUMIFS('PLAN BUDGET SAMI-TF'!BD12:BD99999,'PLAN BUDGET SAMI-TF'!D12:D99999,SUMMARY!D75,'PLAN BUDGET SAMI-TF'!J12:J99999,SUMMARY!A75&amp;"*")</f>
        <v>389.90796652867999</v>
      </c>
      <c r="S75" s="10">
        <f>SUMIFS('PLAN BUDGET SAMI-TF'!BE12:BE99999,'PLAN BUDGET SAMI-TF'!D12:D99999,SUMMARY!D75,'PLAN BUDGET SAMI-TF'!J12:J99999,SUMMARY!A75&amp;"*")</f>
        <v>0</v>
      </c>
      <c r="T75" s="10">
        <f>SUMIFS('PLAN BUDGET SAMI-TF'!BF12:BF99999,'PLAN BUDGET SAMI-TF'!D12:D99999,SUMMARY!D75,'PLAN BUDGET SAMI-TF'!J12:J99999,SUMMARY!A75&amp;"*")</f>
        <v>0</v>
      </c>
      <c r="U75" s="10">
        <f>SUMIFS('PLAN BUDGET SAMI-TF'!BG12:BG99999,'PLAN BUDGET SAMI-TF'!D12:D99999,SUMMARY!D75,'PLAN BUDGET SAMI-TF'!J12:J99999,SUMMARY!A75&amp;"*")</f>
        <v>0</v>
      </c>
      <c r="V75" s="10">
        <f>SUMIFS('PLAN BUDGET SAMI-TF'!BH12:BH99999,'PLAN BUDGET SAMI-TF'!D12:D99999,SUMMARY!D75,'PLAN BUDGET SAMI-TF'!J12:J99999,SUMMARY!A75&amp;"*")</f>
        <v>0</v>
      </c>
      <c r="W75" s="10">
        <f>SUMIFS('PLAN BUDGET SAMI-TF'!BI12:BI99999,'PLAN BUDGET SAMI-TF'!D12:D99999,SUMMARY!D75,'PLAN BUDGET SAMI-TF'!J12:J99999,SUMMARY!A75&amp;"*")</f>
        <v>0</v>
      </c>
      <c r="X75" s="10">
        <f>SUMIFS('PLAN BUDGET SAMI-TF'!BJ12:BJ99999,'PLAN BUDGET SAMI-TF'!D12:D99999,SUMMARY!D75,'PLAN BUDGET SAMI-TF'!J12:J99999,SUMMARY!A75&amp;"*")</f>
        <v>0</v>
      </c>
      <c r="Y75" s="10">
        <f>SUMIFS('PLAN BUDGET SAMI-TF'!BK12:BK99999,'PLAN BUDGET SAMI-TF'!D12:D99999,SUMMARY!D75,'PLAN BUDGET SAMI-TF'!J12:J99999,SUMMARY!A75&amp;"*")</f>
        <v>0</v>
      </c>
      <c r="Z75" s="10">
        <f>SUMIFS('PLAN BUDGET SAMI-TF'!BL12:BL99999,'PLAN BUDGET SAMI-TF'!D12:D99999,SUMMARY!D75,'PLAN BUDGET SAMI-TF'!J12:J99999,SUMMARY!A75&amp;"*")</f>
        <v>0</v>
      </c>
      <c r="AA75" s="10">
        <f>SUMIFS('PLAN BUDGET SAMI-TF'!BM12:BM99999,'PLAN BUDGET SAMI-TF'!D12:D99999,SUMMARY!D75,'PLAN BUDGET SAMI-TF'!J12:J99999,SUMMARY!A75&amp;"*")</f>
        <v>0</v>
      </c>
      <c r="AB75" s="10">
        <f>SUMIFS('PLAN BUDGET SAMI-TF'!BN12:BN99999,'PLAN BUDGET SAMI-TF'!D12:D99999,SUMMARY!D75,'PLAN BUDGET SAMI-TF'!J12:J99999,SUMMARY!A75&amp;"*")</f>
        <v>0</v>
      </c>
      <c r="AC75" s="10">
        <f t="shared" si="8"/>
        <v>8</v>
      </c>
      <c r="AD75" s="10">
        <f t="shared" si="9"/>
        <v>389.90796652867999</v>
      </c>
      <c r="AE75" s="16"/>
      <c r="AF75" s="10">
        <v>0</v>
      </c>
      <c r="AG75" s="10">
        <v>0</v>
      </c>
      <c r="AH75" s="20">
        <f t="shared" si="10"/>
        <v>1</v>
      </c>
      <c r="AI75" s="20">
        <f t="shared" si="11"/>
        <v>1</v>
      </c>
      <c r="AJ75" s="67" t="s">
        <v>863</v>
      </c>
    </row>
    <row r="76" spans="1:36" x14ac:dyDescent="0.35">
      <c r="A76" s="7" t="s">
        <v>498</v>
      </c>
      <c r="B76" s="7"/>
      <c r="C76" s="7"/>
      <c r="D76" s="7" t="s">
        <v>214</v>
      </c>
      <c r="E76" s="10">
        <f>SUMIFS('PLAN BUDGET SAMI-TF'!AN12:AN99999,'PLAN BUDGET SAMI-TF'!D12:D99999,SUMMARY!D76,'PLAN BUDGET SAMI-TF'!J12:J99999,SUMMARY!A76&amp;"*")</f>
        <v>0</v>
      </c>
      <c r="F76" s="10">
        <f>SUMIFS('PLAN BUDGET SAMI-TF'!AO12:AO99999,'PLAN BUDGET SAMI-TF'!D12:D99999,SUMMARY!D76,'PLAN BUDGET SAMI-TF'!J12:J99999,SUMMARY!A76&amp;"*")</f>
        <v>1</v>
      </c>
      <c r="G76" s="10">
        <f>SUMIFS('PLAN BUDGET SAMI-TF'!AP12:AP99999,'PLAN BUDGET SAMI-TF'!D12:D99999,SUMMARY!D76,'PLAN BUDGET SAMI-TF'!J12:J99999,SUMMARY!A76&amp;"*")</f>
        <v>1</v>
      </c>
      <c r="H76" s="10">
        <f>SUMIFS('PLAN BUDGET SAMI-TF'!AQ12:AQ99999,'PLAN BUDGET SAMI-TF'!D12:D99999,SUMMARY!D76,'PLAN BUDGET SAMI-TF'!J12:J99999,SUMMARY!A76&amp;"*")</f>
        <v>0</v>
      </c>
      <c r="I76" s="10">
        <f>SUMIFS('PLAN BUDGET SAMI-TF'!AR12:AR99999,'PLAN BUDGET SAMI-TF'!D12:D99999,SUMMARY!D76,'PLAN BUDGET SAMI-TF'!J12:J99999,SUMMARY!A76&amp;"*")</f>
        <v>0</v>
      </c>
      <c r="J76" s="10">
        <f>SUMIFS('PLAN BUDGET SAMI-TF'!AS12:AS99999,'PLAN BUDGET SAMI-TF'!D12:D99999,SUMMARY!D76,'PLAN BUDGET SAMI-TF'!J12:J99999,SUMMARY!A76&amp;"*")</f>
        <v>0</v>
      </c>
      <c r="K76" s="10">
        <f>SUMIFS('PLAN BUDGET SAMI-TF'!AT12:AT99999,'PLAN BUDGET SAMI-TF'!D12:D99999,SUMMARY!D76,'PLAN BUDGET SAMI-TF'!J12:J99999,SUMMARY!A76&amp;"*")</f>
        <v>0</v>
      </c>
      <c r="L76" s="10">
        <f>SUMIFS('PLAN BUDGET SAMI-TF'!AU12:AU99999,'PLAN BUDGET SAMI-TF'!D12:D99999,SUMMARY!D76,'PLAN BUDGET SAMI-TF'!J12:J99999,SUMMARY!A76&amp;"*")</f>
        <v>0</v>
      </c>
      <c r="M76" s="10">
        <f>SUMIFS('PLAN BUDGET SAMI-TF'!AV12:AV99999,'PLAN BUDGET SAMI-TF'!D12:D99999,SUMMARY!D76,'PLAN BUDGET SAMI-TF'!J12:J99999,SUMMARY!A76&amp;"*")</f>
        <v>0</v>
      </c>
      <c r="N76" s="10">
        <f>SUMIFS('PLAN BUDGET SAMI-TF'!AW12:AW99999,'PLAN BUDGET SAMI-TF'!D12:D99999,SUMMARY!D76,'PLAN BUDGET SAMI-TF'!J12:J99999,SUMMARY!A76&amp;"*")</f>
        <v>0</v>
      </c>
      <c r="O76" s="10">
        <f>SUMIFS('PLAN BUDGET SAMI-TF'!AX12:AX99999,'PLAN BUDGET SAMI-TF'!D12:D99999,SUMMARY!D76,'PLAN BUDGET SAMI-TF'!J12:J99999,SUMMARY!A76&amp;"*")</f>
        <v>0</v>
      </c>
      <c r="P76" s="10">
        <f>SUMIFS('PLAN BUDGET SAMI-TF'!AY12:AY99999,'PLAN BUDGET SAMI-TF'!D12:D99999,SUMMARY!D76,'PLAN BUDGET SAMI-TF'!J12:J99999,SUMMARY!A76&amp;"*")</f>
        <v>0</v>
      </c>
      <c r="Q76" s="10">
        <f>SUMIFS('PLAN BUDGET SAMI-TF'!BC12:BC99999,'PLAN BUDGET SAMI-TF'!D12:D99999,SUMMARY!D76,'PLAN BUDGET SAMI-TF'!J12:J99999,SUMMARY!A76&amp;"*")</f>
        <v>0</v>
      </c>
      <c r="R76" s="10">
        <f>SUMIFS('PLAN BUDGET SAMI-TF'!BD12:BD99999,'PLAN BUDGET SAMI-TF'!D12:D99999,SUMMARY!D76,'PLAN BUDGET SAMI-TF'!J12:J99999,SUMMARY!A76&amp;"*")</f>
        <v>5.4115554542808004</v>
      </c>
      <c r="S76" s="10">
        <f>SUMIFS('PLAN BUDGET SAMI-TF'!BE12:BE99999,'PLAN BUDGET SAMI-TF'!D12:D99999,SUMMARY!D76,'PLAN BUDGET SAMI-TF'!J12:J99999,SUMMARY!A76&amp;"*")</f>
        <v>21.425695947742</v>
      </c>
      <c r="T76" s="10">
        <f>SUMIFS('PLAN BUDGET SAMI-TF'!BF12:BF99999,'PLAN BUDGET SAMI-TF'!D12:D99999,SUMMARY!D76,'PLAN BUDGET SAMI-TF'!J12:J99999,SUMMARY!A76&amp;"*")</f>
        <v>0</v>
      </c>
      <c r="U76" s="10">
        <f>SUMIFS('PLAN BUDGET SAMI-TF'!BG12:BG99999,'PLAN BUDGET SAMI-TF'!D12:D99999,SUMMARY!D76,'PLAN BUDGET SAMI-TF'!J12:J99999,SUMMARY!A76&amp;"*")</f>
        <v>0</v>
      </c>
      <c r="V76" s="10">
        <f>SUMIFS('PLAN BUDGET SAMI-TF'!BH12:BH99999,'PLAN BUDGET SAMI-TF'!D12:D99999,SUMMARY!D76,'PLAN BUDGET SAMI-TF'!J12:J99999,SUMMARY!A76&amp;"*")</f>
        <v>0</v>
      </c>
      <c r="W76" s="10">
        <f>SUMIFS('PLAN BUDGET SAMI-TF'!BI12:BI99999,'PLAN BUDGET SAMI-TF'!D12:D99999,SUMMARY!D76,'PLAN BUDGET SAMI-TF'!J12:J99999,SUMMARY!A76&amp;"*")</f>
        <v>0</v>
      </c>
      <c r="X76" s="10">
        <f>SUMIFS('PLAN BUDGET SAMI-TF'!BJ12:BJ99999,'PLAN BUDGET SAMI-TF'!D12:D99999,SUMMARY!D76,'PLAN BUDGET SAMI-TF'!J12:J99999,SUMMARY!A76&amp;"*")</f>
        <v>0</v>
      </c>
      <c r="Y76" s="10">
        <f>SUMIFS('PLAN BUDGET SAMI-TF'!BK12:BK99999,'PLAN BUDGET SAMI-TF'!D12:D99999,SUMMARY!D76,'PLAN BUDGET SAMI-TF'!J12:J99999,SUMMARY!A76&amp;"*")</f>
        <v>0</v>
      </c>
      <c r="Z76" s="10">
        <f>SUMIFS('PLAN BUDGET SAMI-TF'!BL12:BL99999,'PLAN BUDGET SAMI-TF'!D12:D99999,SUMMARY!D76,'PLAN BUDGET SAMI-TF'!J12:J99999,SUMMARY!A76&amp;"*")</f>
        <v>0</v>
      </c>
      <c r="AA76" s="10">
        <f>SUMIFS('PLAN BUDGET SAMI-TF'!BM12:BM99999,'PLAN BUDGET SAMI-TF'!D12:D99999,SUMMARY!D76,'PLAN BUDGET SAMI-TF'!J12:J99999,SUMMARY!A76&amp;"*")</f>
        <v>0</v>
      </c>
      <c r="AB76" s="10">
        <f>SUMIFS('PLAN BUDGET SAMI-TF'!BN12:BN99999,'PLAN BUDGET SAMI-TF'!D12:D99999,SUMMARY!D76,'PLAN BUDGET SAMI-TF'!J12:J99999,SUMMARY!A76&amp;"*")</f>
        <v>0</v>
      </c>
      <c r="AC76" s="10">
        <f t="shared" si="8"/>
        <v>2</v>
      </c>
      <c r="AD76" s="10">
        <f t="shared" si="9"/>
        <v>26.837251402022801</v>
      </c>
      <c r="AE76" s="16"/>
      <c r="AF76" s="10">
        <v>0</v>
      </c>
      <c r="AG76" s="10">
        <v>0</v>
      </c>
      <c r="AH76" s="20">
        <f t="shared" si="10"/>
        <v>1</v>
      </c>
      <c r="AI76" s="20">
        <f t="shared" si="11"/>
        <v>1</v>
      </c>
      <c r="AJ76" s="67" t="s">
        <v>863</v>
      </c>
    </row>
    <row r="77" spans="1:36" x14ac:dyDescent="0.35">
      <c r="A77" s="7" t="s">
        <v>498</v>
      </c>
      <c r="B77" s="7"/>
      <c r="C77" s="7"/>
      <c r="D77" s="7" t="s">
        <v>575</v>
      </c>
      <c r="E77" s="10">
        <f>SUMIFS('PLAN BUDGET SAMI-TF'!AN12:AN99999,'PLAN BUDGET SAMI-TF'!D12:D99999,SUMMARY!D77,'PLAN BUDGET SAMI-TF'!J12:J99999,SUMMARY!A77&amp;"*")</f>
        <v>0</v>
      </c>
      <c r="F77" s="10">
        <f>SUMIFS('PLAN BUDGET SAMI-TF'!AO12:AO99999,'PLAN BUDGET SAMI-TF'!D12:D99999,SUMMARY!D77,'PLAN BUDGET SAMI-TF'!J12:J99999,SUMMARY!A77&amp;"*")</f>
        <v>1</v>
      </c>
      <c r="G77" s="10">
        <f>SUMIFS('PLAN BUDGET SAMI-TF'!AP12:AP99999,'PLAN BUDGET SAMI-TF'!D12:D99999,SUMMARY!D77,'PLAN BUDGET SAMI-TF'!J12:J99999,SUMMARY!A77&amp;"*")</f>
        <v>0</v>
      </c>
      <c r="H77" s="10">
        <f>SUMIFS('PLAN BUDGET SAMI-TF'!AQ12:AQ99999,'PLAN BUDGET SAMI-TF'!D12:D99999,SUMMARY!D77,'PLAN BUDGET SAMI-TF'!J12:J99999,SUMMARY!A77&amp;"*")</f>
        <v>0</v>
      </c>
      <c r="I77" s="10">
        <f>SUMIFS('PLAN BUDGET SAMI-TF'!AR12:AR99999,'PLAN BUDGET SAMI-TF'!D12:D99999,SUMMARY!D77,'PLAN BUDGET SAMI-TF'!J12:J99999,SUMMARY!A77&amp;"*")</f>
        <v>0</v>
      </c>
      <c r="J77" s="10">
        <f>SUMIFS('PLAN BUDGET SAMI-TF'!AS12:AS99999,'PLAN BUDGET SAMI-TF'!D12:D99999,SUMMARY!D77,'PLAN BUDGET SAMI-TF'!J12:J99999,SUMMARY!A77&amp;"*")</f>
        <v>0</v>
      </c>
      <c r="K77" s="10">
        <f>SUMIFS('PLAN BUDGET SAMI-TF'!AT12:AT99999,'PLAN BUDGET SAMI-TF'!D12:D99999,SUMMARY!D77,'PLAN BUDGET SAMI-TF'!J12:J99999,SUMMARY!A77&amp;"*")</f>
        <v>0</v>
      </c>
      <c r="L77" s="10">
        <f>SUMIFS('PLAN BUDGET SAMI-TF'!AU12:AU99999,'PLAN BUDGET SAMI-TF'!D12:D99999,SUMMARY!D77,'PLAN BUDGET SAMI-TF'!J12:J99999,SUMMARY!A77&amp;"*")</f>
        <v>0</v>
      </c>
      <c r="M77" s="10">
        <f>SUMIFS('PLAN BUDGET SAMI-TF'!AV12:AV99999,'PLAN BUDGET SAMI-TF'!D12:D99999,SUMMARY!D77,'PLAN BUDGET SAMI-TF'!J12:J99999,SUMMARY!A77&amp;"*")</f>
        <v>0</v>
      </c>
      <c r="N77" s="10">
        <f>SUMIFS('PLAN BUDGET SAMI-TF'!AW12:AW99999,'PLAN BUDGET SAMI-TF'!D12:D99999,SUMMARY!D77,'PLAN BUDGET SAMI-TF'!J12:J99999,SUMMARY!A77&amp;"*")</f>
        <v>0</v>
      </c>
      <c r="O77" s="10">
        <f>SUMIFS('PLAN BUDGET SAMI-TF'!AX12:AX99999,'PLAN BUDGET SAMI-TF'!D12:D99999,SUMMARY!D77,'PLAN BUDGET SAMI-TF'!J12:J99999,SUMMARY!A77&amp;"*")</f>
        <v>0</v>
      </c>
      <c r="P77" s="10">
        <f>SUMIFS('PLAN BUDGET SAMI-TF'!AY12:AY99999,'PLAN BUDGET SAMI-TF'!D12:D99999,SUMMARY!D77,'PLAN BUDGET SAMI-TF'!J12:J99999,SUMMARY!A77&amp;"*")</f>
        <v>0</v>
      </c>
      <c r="Q77" s="10">
        <f>SUMIFS('PLAN BUDGET SAMI-TF'!BC12:BC99999,'PLAN BUDGET SAMI-TF'!D12:D99999,SUMMARY!D77,'PLAN BUDGET SAMI-TF'!J12:J99999,SUMMARY!A77&amp;"*")</f>
        <v>0</v>
      </c>
      <c r="R77" s="10">
        <f>SUMIFS('PLAN BUDGET SAMI-TF'!BD12:BD99999,'PLAN BUDGET SAMI-TF'!D12:D99999,SUMMARY!D77,'PLAN BUDGET SAMI-TF'!J12:J99999,SUMMARY!A77&amp;"*")</f>
        <v>487.38495816084998</v>
      </c>
      <c r="S77" s="10">
        <f>SUMIFS('PLAN BUDGET SAMI-TF'!BE12:BE99999,'PLAN BUDGET SAMI-TF'!D12:D99999,SUMMARY!D77,'PLAN BUDGET SAMI-TF'!J12:J99999,SUMMARY!A77&amp;"*")</f>
        <v>0</v>
      </c>
      <c r="T77" s="10">
        <f>SUMIFS('PLAN BUDGET SAMI-TF'!BF12:BF99999,'PLAN BUDGET SAMI-TF'!D12:D99999,SUMMARY!D77,'PLAN BUDGET SAMI-TF'!J12:J99999,SUMMARY!A77&amp;"*")</f>
        <v>0</v>
      </c>
      <c r="U77" s="10">
        <f>SUMIFS('PLAN BUDGET SAMI-TF'!BG12:BG99999,'PLAN BUDGET SAMI-TF'!D12:D99999,SUMMARY!D77,'PLAN BUDGET SAMI-TF'!J12:J99999,SUMMARY!A77&amp;"*")</f>
        <v>0</v>
      </c>
      <c r="V77" s="10">
        <f>SUMIFS('PLAN BUDGET SAMI-TF'!BH12:BH99999,'PLAN BUDGET SAMI-TF'!D12:D99999,SUMMARY!D77,'PLAN BUDGET SAMI-TF'!J12:J99999,SUMMARY!A77&amp;"*")</f>
        <v>0</v>
      </c>
      <c r="W77" s="10">
        <f>SUMIFS('PLAN BUDGET SAMI-TF'!BI12:BI99999,'PLAN BUDGET SAMI-TF'!D12:D99999,SUMMARY!D77,'PLAN BUDGET SAMI-TF'!J12:J99999,SUMMARY!A77&amp;"*")</f>
        <v>0</v>
      </c>
      <c r="X77" s="10">
        <f>SUMIFS('PLAN BUDGET SAMI-TF'!BJ12:BJ99999,'PLAN BUDGET SAMI-TF'!D12:D99999,SUMMARY!D77,'PLAN BUDGET SAMI-TF'!J12:J99999,SUMMARY!A77&amp;"*")</f>
        <v>0</v>
      </c>
      <c r="Y77" s="10">
        <f>SUMIFS('PLAN BUDGET SAMI-TF'!BK12:BK99999,'PLAN BUDGET SAMI-TF'!D12:D99999,SUMMARY!D77,'PLAN BUDGET SAMI-TF'!J12:J99999,SUMMARY!A77&amp;"*")</f>
        <v>0</v>
      </c>
      <c r="Z77" s="10">
        <f>SUMIFS('PLAN BUDGET SAMI-TF'!BL12:BL99999,'PLAN BUDGET SAMI-TF'!D12:D99999,SUMMARY!D77,'PLAN BUDGET SAMI-TF'!J12:J99999,SUMMARY!A77&amp;"*")</f>
        <v>0</v>
      </c>
      <c r="AA77" s="10">
        <f>SUMIFS('PLAN BUDGET SAMI-TF'!BM12:BM99999,'PLAN BUDGET SAMI-TF'!D12:D99999,SUMMARY!D77,'PLAN BUDGET SAMI-TF'!J12:J99999,SUMMARY!A77&amp;"*")</f>
        <v>0</v>
      </c>
      <c r="AB77" s="10">
        <f>SUMIFS('PLAN BUDGET SAMI-TF'!BN12:BN99999,'PLAN BUDGET SAMI-TF'!D12:D99999,SUMMARY!D77,'PLAN BUDGET SAMI-TF'!J12:J99999,SUMMARY!A77&amp;"*")</f>
        <v>0</v>
      </c>
      <c r="AC77" s="10">
        <f t="shared" si="8"/>
        <v>1</v>
      </c>
      <c r="AD77" s="10">
        <f t="shared" si="9"/>
        <v>487.38495816084998</v>
      </c>
      <c r="AE77" s="16"/>
      <c r="AF77" s="10">
        <v>0</v>
      </c>
      <c r="AG77" s="10">
        <v>0</v>
      </c>
      <c r="AH77" s="20">
        <f t="shared" si="10"/>
        <v>1</v>
      </c>
      <c r="AI77" s="20">
        <f t="shared" si="11"/>
        <v>1</v>
      </c>
      <c r="AJ77" s="67" t="s">
        <v>863</v>
      </c>
    </row>
    <row r="78" spans="1:36" x14ac:dyDescent="0.35">
      <c r="A78" s="7" t="s">
        <v>498</v>
      </c>
      <c r="B78" s="7"/>
      <c r="C78" s="7"/>
      <c r="D78" s="7" t="s">
        <v>699</v>
      </c>
      <c r="E78" s="10">
        <f>SUMIFS('PLAN BUDGET SAMI-TF'!AN12:AN99999,'PLAN BUDGET SAMI-TF'!D12:D99999,SUMMARY!D78,'PLAN BUDGET SAMI-TF'!J12:J99999,SUMMARY!A78&amp;"*")</f>
        <v>1</v>
      </c>
      <c r="F78" s="10">
        <f>SUMIFS('PLAN BUDGET SAMI-TF'!AO12:AO99999,'PLAN BUDGET SAMI-TF'!D12:D99999,SUMMARY!D78,'PLAN BUDGET SAMI-TF'!J12:J99999,SUMMARY!A78&amp;"*")</f>
        <v>0</v>
      </c>
      <c r="G78" s="10">
        <f>SUMIFS('PLAN BUDGET SAMI-TF'!AP12:AP99999,'PLAN BUDGET SAMI-TF'!D12:D99999,SUMMARY!D78,'PLAN BUDGET SAMI-TF'!J12:J99999,SUMMARY!A78&amp;"*")</f>
        <v>0</v>
      </c>
      <c r="H78" s="10">
        <f>SUMIFS('PLAN BUDGET SAMI-TF'!AQ12:AQ99999,'PLAN BUDGET SAMI-TF'!D12:D99999,SUMMARY!D78,'PLAN BUDGET SAMI-TF'!J12:J99999,SUMMARY!A78&amp;"*")</f>
        <v>0</v>
      </c>
      <c r="I78" s="10">
        <f>SUMIFS('PLAN BUDGET SAMI-TF'!AR12:AR99999,'PLAN BUDGET SAMI-TF'!D12:D99999,SUMMARY!D78,'PLAN BUDGET SAMI-TF'!J12:J99999,SUMMARY!A78&amp;"*")</f>
        <v>0</v>
      </c>
      <c r="J78" s="10">
        <f>SUMIFS('PLAN BUDGET SAMI-TF'!AS12:AS99999,'PLAN BUDGET SAMI-TF'!D12:D99999,SUMMARY!D78,'PLAN BUDGET SAMI-TF'!J12:J99999,SUMMARY!A78&amp;"*")</f>
        <v>0</v>
      </c>
      <c r="K78" s="10">
        <f>SUMIFS('PLAN BUDGET SAMI-TF'!AT12:AT99999,'PLAN BUDGET SAMI-TF'!D12:D99999,SUMMARY!D78,'PLAN BUDGET SAMI-TF'!J12:J99999,SUMMARY!A78&amp;"*")</f>
        <v>0</v>
      </c>
      <c r="L78" s="10">
        <f>SUMIFS('PLAN BUDGET SAMI-TF'!AU12:AU99999,'PLAN BUDGET SAMI-TF'!D12:D99999,SUMMARY!D78,'PLAN BUDGET SAMI-TF'!J12:J99999,SUMMARY!A78&amp;"*")</f>
        <v>0</v>
      </c>
      <c r="M78" s="10">
        <f>SUMIFS('PLAN BUDGET SAMI-TF'!AV12:AV99999,'PLAN BUDGET SAMI-TF'!D12:D99999,SUMMARY!D78,'PLAN BUDGET SAMI-TF'!J12:J99999,SUMMARY!A78&amp;"*")</f>
        <v>0</v>
      </c>
      <c r="N78" s="10">
        <f>SUMIFS('PLAN BUDGET SAMI-TF'!AW12:AW99999,'PLAN BUDGET SAMI-TF'!D12:D99999,SUMMARY!D78,'PLAN BUDGET SAMI-TF'!J12:J99999,SUMMARY!A78&amp;"*")</f>
        <v>0</v>
      </c>
      <c r="O78" s="10">
        <f>SUMIFS('PLAN BUDGET SAMI-TF'!AX12:AX99999,'PLAN BUDGET SAMI-TF'!D12:D99999,SUMMARY!D78,'PLAN BUDGET SAMI-TF'!J12:J99999,SUMMARY!A78&amp;"*")</f>
        <v>0</v>
      </c>
      <c r="P78" s="10">
        <f>SUMIFS('PLAN BUDGET SAMI-TF'!AY12:AY99999,'PLAN BUDGET SAMI-TF'!D12:D99999,SUMMARY!D78,'PLAN BUDGET SAMI-TF'!J12:J99999,SUMMARY!A78&amp;"*")</f>
        <v>0</v>
      </c>
      <c r="Q78" s="10">
        <f>SUMIFS('PLAN BUDGET SAMI-TF'!BC12:BC99999,'PLAN BUDGET SAMI-TF'!D12:D99999,SUMMARY!D78,'PLAN BUDGET SAMI-TF'!J12:J99999,SUMMARY!A78&amp;"*")</f>
        <v>0</v>
      </c>
      <c r="R78" s="10">
        <f>SUMIFS('PLAN BUDGET SAMI-TF'!BD12:BD99999,'PLAN BUDGET SAMI-TF'!D12:D99999,SUMMARY!D78,'PLAN BUDGET SAMI-TF'!J12:J99999,SUMMARY!A78&amp;"*")</f>
        <v>0</v>
      </c>
      <c r="S78" s="10">
        <f>SUMIFS('PLAN BUDGET SAMI-TF'!BE12:BE99999,'PLAN BUDGET SAMI-TF'!D12:D99999,SUMMARY!D78,'PLAN BUDGET SAMI-TF'!J12:J99999,SUMMARY!A78&amp;"*")</f>
        <v>0</v>
      </c>
      <c r="T78" s="10">
        <f>SUMIFS('PLAN BUDGET SAMI-TF'!BF12:BF99999,'PLAN BUDGET SAMI-TF'!D12:D99999,SUMMARY!D78,'PLAN BUDGET SAMI-TF'!J12:J99999,SUMMARY!A78&amp;"*")</f>
        <v>0</v>
      </c>
      <c r="U78" s="10">
        <f>SUMIFS('PLAN BUDGET SAMI-TF'!BG12:BG99999,'PLAN BUDGET SAMI-TF'!D12:D99999,SUMMARY!D78,'PLAN BUDGET SAMI-TF'!J12:J99999,SUMMARY!A78&amp;"*")</f>
        <v>0</v>
      </c>
      <c r="V78" s="10">
        <f>SUMIFS('PLAN BUDGET SAMI-TF'!BH12:BH99999,'PLAN BUDGET SAMI-TF'!D12:D99999,SUMMARY!D78,'PLAN BUDGET SAMI-TF'!J12:J99999,SUMMARY!A78&amp;"*")</f>
        <v>0</v>
      </c>
      <c r="W78" s="10">
        <f>SUMIFS('PLAN BUDGET SAMI-TF'!BI12:BI99999,'PLAN BUDGET SAMI-TF'!D12:D99999,SUMMARY!D78,'PLAN BUDGET SAMI-TF'!J12:J99999,SUMMARY!A78&amp;"*")</f>
        <v>0</v>
      </c>
      <c r="X78" s="10">
        <f>SUMIFS('PLAN BUDGET SAMI-TF'!BJ12:BJ99999,'PLAN BUDGET SAMI-TF'!D12:D99999,SUMMARY!D78,'PLAN BUDGET SAMI-TF'!J12:J99999,SUMMARY!A78&amp;"*")</f>
        <v>0</v>
      </c>
      <c r="Y78" s="10">
        <f>SUMIFS('PLAN BUDGET SAMI-TF'!BK12:BK99999,'PLAN BUDGET SAMI-TF'!D12:D99999,SUMMARY!D78,'PLAN BUDGET SAMI-TF'!J12:J99999,SUMMARY!A78&amp;"*")</f>
        <v>0</v>
      </c>
      <c r="Z78" s="10">
        <f>SUMIFS('PLAN BUDGET SAMI-TF'!BL12:BL99999,'PLAN BUDGET SAMI-TF'!D12:D99999,SUMMARY!D78,'PLAN BUDGET SAMI-TF'!J12:J99999,SUMMARY!A78&amp;"*")</f>
        <v>0</v>
      </c>
      <c r="AA78" s="10">
        <f>SUMIFS('PLAN BUDGET SAMI-TF'!BM12:BM99999,'PLAN BUDGET SAMI-TF'!D12:D99999,SUMMARY!D78,'PLAN BUDGET SAMI-TF'!J12:J99999,SUMMARY!A78&amp;"*")</f>
        <v>0</v>
      </c>
      <c r="AB78" s="10">
        <f>SUMIFS('PLAN BUDGET SAMI-TF'!BN12:BN99999,'PLAN BUDGET SAMI-TF'!D12:D99999,SUMMARY!D78,'PLAN BUDGET SAMI-TF'!J12:J99999,SUMMARY!A78&amp;"*")</f>
        <v>0</v>
      </c>
      <c r="AC78" s="10">
        <f t="shared" si="8"/>
        <v>1</v>
      </c>
      <c r="AD78" s="10">
        <f t="shared" si="9"/>
        <v>0</v>
      </c>
      <c r="AE78" s="16"/>
      <c r="AF78" s="10">
        <v>0</v>
      </c>
      <c r="AG78" s="10">
        <v>0</v>
      </c>
      <c r="AH78" s="20">
        <f t="shared" si="10"/>
        <v>1</v>
      </c>
      <c r="AI78" s="20">
        <f t="shared" si="11"/>
        <v>1</v>
      </c>
      <c r="AJ78" s="67" t="s">
        <v>863</v>
      </c>
    </row>
    <row r="79" spans="1:36" x14ac:dyDescent="0.35">
      <c r="A79" s="7" t="s">
        <v>498</v>
      </c>
      <c r="B79" s="7"/>
      <c r="C79" s="7"/>
      <c r="D79" s="7" t="s">
        <v>633</v>
      </c>
      <c r="E79" s="10">
        <f>SUMIFS('PLAN BUDGET SAMI-TF'!AN12:AN99999,'PLAN BUDGET SAMI-TF'!D12:D99999,SUMMARY!D79,'PLAN BUDGET SAMI-TF'!J12:J99999,SUMMARY!A79&amp;"*")</f>
        <v>0</v>
      </c>
      <c r="F79" s="10">
        <f>SUMIFS('PLAN BUDGET SAMI-TF'!AO12:AO99999,'PLAN BUDGET SAMI-TF'!D12:D99999,SUMMARY!D79,'PLAN BUDGET SAMI-TF'!J12:J99999,SUMMARY!A79&amp;"*")</f>
        <v>2</v>
      </c>
      <c r="G79" s="10">
        <f>SUMIFS('PLAN BUDGET SAMI-TF'!AP12:AP99999,'PLAN BUDGET SAMI-TF'!D12:D99999,SUMMARY!D79,'PLAN BUDGET SAMI-TF'!J12:J99999,SUMMARY!A79&amp;"*")</f>
        <v>0</v>
      </c>
      <c r="H79" s="10">
        <f>SUMIFS('PLAN BUDGET SAMI-TF'!AQ12:AQ99999,'PLAN BUDGET SAMI-TF'!D12:D99999,SUMMARY!D79,'PLAN BUDGET SAMI-TF'!J12:J99999,SUMMARY!A79&amp;"*")</f>
        <v>0</v>
      </c>
      <c r="I79" s="10">
        <f>SUMIFS('PLAN BUDGET SAMI-TF'!AR12:AR99999,'PLAN BUDGET SAMI-TF'!D12:D99999,SUMMARY!D79,'PLAN BUDGET SAMI-TF'!J12:J99999,SUMMARY!A79&amp;"*")</f>
        <v>0</v>
      </c>
      <c r="J79" s="10">
        <f>SUMIFS('PLAN BUDGET SAMI-TF'!AS12:AS99999,'PLAN BUDGET SAMI-TF'!D12:D99999,SUMMARY!D79,'PLAN BUDGET SAMI-TF'!J12:J99999,SUMMARY!A79&amp;"*")</f>
        <v>0</v>
      </c>
      <c r="K79" s="10">
        <f>SUMIFS('PLAN BUDGET SAMI-TF'!AT12:AT99999,'PLAN BUDGET SAMI-TF'!D12:D99999,SUMMARY!D79,'PLAN BUDGET SAMI-TF'!J12:J99999,SUMMARY!A79&amp;"*")</f>
        <v>0</v>
      </c>
      <c r="L79" s="10">
        <f>SUMIFS('PLAN BUDGET SAMI-TF'!AU12:AU99999,'PLAN BUDGET SAMI-TF'!D12:D99999,SUMMARY!D79,'PLAN BUDGET SAMI-TF'!J12:J99999,SUMMARY!A79&amp;"*")</f>
        <v>0</v>
      </c>
      <c r="M79" s="10">
        <f>SUMIFS('PLAN BUDGET SAMI-TF'!AV12:AV99999,'PLAN BUDGET SAMI-TF'!D12:D99999,SUMMARY!D79,'PLAN BUDGET SAMI-TF'!J12:J99999,SUMMARY!A79&amp;"*")</f>
        <v>0</v>
      </c>
      <c r="N79" s="10">
        <f>SUMIFS('PLAN BUDGET SAMI-TF'!AW12:AW99999,'PLAN BUDGET SAMI-TF'!D12:D99999,SUMMARY!D79,'PLAN BUDGET SAMI-TF'!J12:J99999,SUMMARY!A79&amp;"*")</f>
        <v>0</v>
      </c>
      <c r="O79" s="10">
        <f>SUMIFS('PLAN BUDGET SAMI-TF'!AX12:AX99999,'PLAN BUDGET SAMI-TF'!D12:D99999,SUMMARY!D79,'PLAN BUDGET SAMI-TF'!J12:J99999,SUMMARY!A79&amp;"*")</f>
        <v>0</v>
      </c>
      <c r="P79" s="10">
        <f>SUMIFS('PLAN BUDGET SAMI-TF'!AY12:AY99999,'PLAN BUDGET SAMI-TF'!D12:D99999,SUMMARY!D79,'PLAN BUDGET SAMI-TF'!J12:J99999,SUMMARY!A79&amp;"*")</f>
        <v>0</v>
      </c>
      <c r="Q79" s="10">
        <f>SUMIFS('PLAN BUDGET SAMI-TF'!BC12:BC99999,'PLAN BUDGET SAMI-TF'!D12:D99999,SUMMARY!D79,'PLAN BUDGET SAMI-TF'!J12:J99999,SUMMARY!A79&amp;"*")</f>
        <v>0</v>
      </c>
      <c r="R79" s="10">
        <f>SUMIFS('PLAN BUDGET SAMI-TF'!BD12:BD99999,'PLAN BUDGET SAMI-TF'!D12:D99999,SUMMARY!D79,'PLAN BUDGET SAMI-TF'!J12:J99999,SUMMARY!A79&amp;"*")</f>
        <v>104.43963389161</v>
      </c>
      <c r="S79" s="10">
        <f>SUMIFS('PLAN BUDGET SAMI-TF'!BE12:BE99999,'PLAN BUDGET SAMI-TF'!D12:D99999,SUMMARY!D79,'PLAN BUDGET SAMI-TF'!J12:J99999,SUMMARY!A79&amp;"*")</f>
        <v>0</v>
      </c>
      <c r="T79" s="10">
        <f>SUMIFS('PLAN BUDGET SAMI-TF'!BF12:BF99999,'PLAN BUDGET SAMI-TF'!D12:D99999,SUMMARY!D79,'PLAN BUDGET SAMI-TF'!J12:J99999,SUMMARY!A79&amp;"*")</f>
        <v>0</v>
      </c>
      <c r="U79" s="10">
        <f>SUMIFS('PLAN BUDGET SAMI-TF'!BG12:BG99999,'PLAN BUDGET SAMI-TF'!D12:D99999,SUMMARY!D79,'PLAN BUDGET SAMI-TF'!J12:J99999,SUMMARY!A79&amp;"*")</f>
        <v>0</v>
      </c>
      <c r="V79" s="10">
        <f>SUMIFS('PLAN BUDGET SAMI-TF'!BH12:BH99999,'PLAN BUDGET SAMI-TF'!D12:D99999,SUMMARY!D79,'PLAN BUDGET SAMI-TF'!J12:J99999,SUMMARY!A79&amp;"*")</f>
        <v>0</v>
      </c>
      <c r="W79" s="10">
        <f>SUMIFS('PLAN BUDGET SAMI-TF'!BI12:BI99999,'PLAN BUDGET SAMI-TF'!D12:D99999,SUMMARY!D79,'PLAN BUDGET SAMI-TF'!J12:J99999,SUMMARY!A79&amp;"*")</f>
        <v>0</v>
      </c>
      <c r="X79" s="10">
        <f>SUMIFS('PLAN BUDGET SAMI-TF'!BJ12:BJ99999,'PLAN BUDGET SAMI-TF'!D12:D99999,SUMMARY!D79,'PLAN BUDGET SAMI-TF'!J12:J99999,SUMMARY!A79&amp;"*")</f>
        <v>0</v>
      </c>
      <c r="Y79" s="10">
        <f>SUMIFS('PLAN BUDGET SAMI-TF'!BK12:BK99999,'PLAN BUDGET SAMI-TF'!D12:D99999,SUMMARY!D79,'PLAN BUDGET SAMI-TF'!J12:J99999,SUMMARY!A79&amp;"*")</f>
        <v>0</v>
      </c>
      <c r="Z79" s="10">
        <f>SUMIFS('PLAN BUDGET SAMI-TF'!BL12:BL99999,'PLAN BUDGET SAMI-TF'!D12:D99999,SUMMARY!D79,'PLAN BUDGET SAMI-TF'!J12:J99999,SUMMARY!A79&amp;"*")</f>
        <v>0</v>
      </c>
      <c r="AA79" s="10">
        <f>SUMIFS('PLAN BUDGET SAMI-TF'!BM12:BM99999,'PLAN BUDGET SAMI-TF'!D12:D99999,SUMMARY!D79,'PLAN BUDGET SAMI-TF'!J12:J99999,SUMMARY!A79&amp;"*")</f>
        <v>0</v>
      </c>
      <c r="AB79" s="10">
        <f>SUMIFS('PLAN BUDGET SAMI-TF'!BN12:BN99999,'PLAN BUDGET SAMI-TF'!D12:D99999,SUMMARY!D79,'PLAN BUDGET SAMI-TF'!J12:J99999,SUMMARY!A79&amp;"*")</f>
        <v>0</v>
      </c>
      <c r="AC79" s="10">
        <f t="shared" si="8"/>
        <v>2</v>
      </c>
      <c r="AD79" s="10">
        <f t="shared" si="9"/>
        <v>104.43963389161</v>
      </c>
      <c r="AE79" s="16"/>
      <c r="AF79" s="10">
        <v>0</v>
      </c>
      <c r="AG79" s="10">
        <v>0</v>
      </c>
      <c r="AH79" s="20">
        <f t="shared" si="10"/>
        <v>1</v>
      </c>
      <c r="AI79" s="20">
        <f t="shared" si="11"/>
        <v>1</v>
      </c>
      <c r="AJ79" s="67" t="s">
        <v>863</v>
      </c>
    </row>
    <row r="80" spans="1:36" x14ac:dyDescent="0.35">
      <c r="A80" s="7" t="s">
        <v>498</v>
      </c>
      <c r="B80" s="7"/>
      <c r="C80" s="7"/>
      <c r="D80" s="7" t="s">
        <v>665</v>
      </c>
      <c r="E80" s="10">
        <f>SUMIFS('PLAN BUDGET SAMI-TF'!AN12:AN99999,'PLAN BUDGET SAMI-TF'!D12:D99999,SUMMARY!D80,'PLAN BUDGET SAMI-TF'!J12:J99999,SUMMARY!A80&amp;"*")</f>
        <v>0</v>
      </c>
      <c r="F80" s="10">
        <f>SUMIFS('PLAN BUDGET SAMI-TF'!AO12:AO99999,'PLAN BUDGET SAMI-TF'!D12:D99999,SUMMARY!D80,'PLAN BUDGET SAMI-TF'!J12:J99999,SUMMARY!A80&amp;"*")</f>
        <v>0</v>
      </c>
      <c r="G80" s="10">
        <f>SUMIFS('PLAN BUDGET SAMI-TF'!AP12:AP99999,'PLAN BUDGET SAMI-TF'!D12:D99999,SUMMARY!D80,'PLAN BUDGET SAMI-TF'!J12:J99999,SUMMARY!A80&amp;"*")</f>
        <v>0</v>
      </c>
      <c r="H80" s="10">
        <f>SUMIFS('PLAN BUDGET SAMI-TF'!AQ12:AQ99999,'PLAN BUDGET SAMI-TF'!D12:D99999,SUMMARY!D80,'PLAN BUDGET SAMI-TF'!J12:J99999,SUMMARY!A80&amp;"*")</f>
        <v>0</v>
      </c>
      <c r="I80" s="10">
        <f>SUMIFS('PLAN BUDGET SAMI-TF'!AR12:AR99999,'PLAN BUDGET SAMI-TF'!D12:D99999,SUMMARY!D80,'PLAN BUDGET SAMI-TF'!J12:J99999,SUMMARY!A80&amp;"*")</f>
        <v>1</v>
      </c>
      <c r="J80" s="10">
        <f>SUMIFS('PLAN BUDGET SAMI-TF'!AS12:AS99999,'PLAN BUDGET SAMI-TF'!D12:D99999,SUMMARY!D80,'PLAN BUDGET SAMI-TF'!J12:J99999,SUMMARY!A80&amp;"*")</f>
        <v>0</v>
      </c>
      <c r="K80" s="10">
        <f>SUMIFS('PLAN BUDGET SAMI-TF'!AT12:AT99999,'PLAN BUDGET SAMI-TF'!D12:D99999,SUMMARY!D80,'PLAN BUDGET SAMI-TF'!J12:J99999,SUMMARY!A80&amp;"*")</f>
        <v>0</v>
      </c>
      <c r="L80" s="10">
        <f>SUMIFS('PLAN BUDGET SAMI-TF'!AU12:AU99999,'PLAN BUDGET SAMI-TF'!D12:D99999,SUMMARY!D80,'PLAN BUDGET SAMI-TF'!J12:J99999,SUMMARY!A80&amp;"*")</f>
        <v>0</v>
      </c>
      <c r="M80" s="10">
        <f>SUMIFS('PLAN BUDGET SAMI-TF'!AV12:AV99999,'PLAN BUDGET SAMI-TF'!D12:D99999,SUMMARY!D80,'PLAN BUDGET SAMI-TF'!J12:J99999,SUMMARY!A80&amp;"*")</f>
        <v>0</v>
      </c>
      <c r="N80" s="10">
        <f>SUMIFS('PLAN BUDGET SAMI-TF'!AW12:AW99999,'PLAN BUDGET SAMI-TF'!D12:D99999,SUMMARY!D80,'PLAN BUDGET SAMI-TF'!J12:J99999,SUMMARY!A80&amp;"*")</f>
        <v>0</v>
      </c>
      <c r="O80" s="10">
        <f>SUMIFS('PLAN BUDGET SAMI-TF'!AX12:AX99999,'PLAN BUDGET SAMI-TF'!D12:D99999,SUMMARY!D80,'PLAN BUDGET SAMI-TF'!J12:J99999,SUMMARY!A80&amp;"*")</f>
        <v>0</v>
      </c>
      <c r="P80" s="10">
        <f>SUMIFS('PLAN BUDGET SAMI-TF'!AY12:AY99999,'PLAN BUDGET SAMI-TF'!D12:D99999,SUMMARY!D80,'PLAN BUDGET SAMI-TF'!J12:J99999,SUMMARY!A80&amp;"*")</f>
        <v>0</v>
      </c>
      <c r="Q80" s="10">
        <f>SUMIFS('PLAN BUDGET SAMI-TF'!BC12:BC99999,'PLAN BUDGET SAMI-TF'!D12:D99999,SUMMARY!D80,'PLAN BUDGET SAMI-TF'!J12:J99999,SUMMARY!A80&amp;"*")</f>
        <v>0</v>
      </c>
      <c r="R80" s="10">
        <f>SUMIFS('PLAN BUDGET SAMI-TF'!BD12:BD99999,'PLAN BUDGET SAMI-TF'!D12:D99999,SUMMARY!D80,'PLAN BUDGET SAMI-TF'!J12:J99999,SUMMARY!A80&amp;"*")</f>
        <v>0</v>
      </c>
      <c r="S80" s="10">
        <f>SUMIFS('PLAN BUDGET SAMI-TF'!BE12:BE99999,'PLAN BUDGET SAMI-TF'!D12:D99999,SUMMARY!D80,'PLAN BUDGET SAMI-TF'!J12:J99999,SUMMARY!A80&amp;"*")</f>
        <v>0</v>
      </c>
      <c r="T80" s="10">
        <f>SUMIFS('PLAN BUDGET SAMI-TF'!BF12:BF99999,'PLAN BUDGET SAMI-TF'!D12:D99999,SUMMARY!D80,'PLAN BUDGET SAMI-TF'!J12:J99999,SUMMARY!A80&amp;"*")</f>
        <v>0</v>
      </c>
      <c r="U80" s="10">
        <f>SUMIFS('PLAN BUDGET SAMI-TF'!BG12:BG99999,'PLAN BUDGET SAMI-TF'!D12:D99999,SUMMARY!D80,'PLAN BUDGET SAMI-TF'!J12:J99999,SUMMARY!A80&amp;"*")</f>
        <v>0</v>
      </c>
      <c r="V80" s="10">
        <f>SUMIFS('PLAN BUDGET SAMI-TF'!BH12:BH99999,'PLAN BUDGET SAMI-TF'!D12:D99999,SUMMARY!D80,'PLAN BUDGET SAMI-TF'!J12:J99999,SUMMARY!A80&amp;"*")</f>
        <v>0</v>
      </c>
      <c r="W80" s="10">
        <f>SUMIFS('PLAN BUDGET SAMI-TF'!BI12:BI99999,'PLAN BUDGET SAMI-TF'!D12:D99999,SUMMARY!D80,'PLAN BUDGET SAMI-TF'!J12:J99999,SUMMARY!A80&amp;"*")</f>
        <v>0</v>
      </c>
      <c r="X80" s="10">
        <f>SUMIFS('PLAN BUDGET SAMI-TF'!BJ12:BJ99999,'PLAN BUDGET SAMI-TF'!D12:D99999,SUMMARY!D80,'PLAN BUDGET SAMI-TF'!J12:J99999,SUMMARY!A80&amp;"*")</f>
        <v>0</v>
      </c>
      <c r="Y80" s="10">
        <f>SUMIFS('PLAN BUDGET SAMI-TF'!BK12:BK99999,'PLAN BUDGET SAMI-TF'!D12:D99999,SUMMARY!D80,'PLAN BUDGET SAMI-TF'!J12:J99999,SUMMARY!A80&amp;"*")</f>
        <v>0</v>
      </c>
      <c r="Z80" s="10">
        <f>SUMIFS('PLAN BUDGET SAMI-TF'!BL12:BL99999,'PLAN BUDGET SAMI-TF'!D12:D99999,SUMMARY!D80,'PLAN BUDGET SAMI-TF'!J12:J99999,SUMMARY!A80&amp;"*")</f>
        <v>0</v>
      </c>
      <c r="AA80" s="10">
        <f>SUMIFS('PLAN BUDGET SAMI-TF'!BM12:BM99999,'PLAN BUDGET SAMI-TF'!D12:D99999,SUMMARY!D80,'PLAN BUDGET SAMI-TF'!J12:J99999,SUMMARY!A80&amp;"*")</f>
        <v>0</v>
      </c>
      <c r="AB80" s="10">
        <f>SUMIFS('PLAN BUDGET SAMI-TF'!BN12:BN99999,'PLAN BUDGET SAMI-TF'!D12:D99999,SUMMARY!D80,'PLAN BUDGET SAMI-TF'!J12:J99999,SUMMARY!A80&amp;"*")</f>
        <v>0</v>
      </c>
      <c r="AC80" s="10">
        <f t="shared" si="8"/>
        <v>1</v>
      </c>
      <c r="AD80" s="10">
        <f t="shared" si="9"/>
        <v>0</v>
      </c>
      <c r="AE80" s="16"/>
      <c r="AF80" s="10">
        <v>0</v>
      </c>
      <c r="AG80" s="10">
        <v>0</v>
      </c>
      <c r="AH80" s="20">
        <f t="shared" si="10"/>
        <v>1</v>
      </c>
      <c r="AI80" s="20">
        <f t="shared" si="11"/>
        <v>1</v>
      </c>
      <c r="AJ80" s="67" t="s">
        <v>863</v>
      </c>
    </row>
    <row r="81" spans="1:36" x14ac:dyDescent="0.35">
      <c r="A81" s="7" t="s">
        <v>498</v>
      </c>
      <c r="B81" s="7"/>
      <c r="C81" s="7"/>
      <c r="D81" s="7" t="s">
        <v>147</v>
      </c>
      <c r="E81" s="10">
        <f>SUMIFS('PLAN BUDGET SAMI-TF'!AN12:AN99999,'PLAN BUDGET SAMI-TF'!D12:D99999,SUMMARY!D81,'PLAN BUDGET SAMI-TF'!J12:J99999,SUMMARY!A81&amp;"*")</f>
        <v>0</v>
      </c>
      <c r="F81" s="10">
        <f>SUMIFS('PLAN BUDGET SAMI-TF'!AO12:AO99999,'PLAN BUDGET SAMI-TF'!D12:D99999,SUMMARY!D81,'PLAN BUDGET SAMI-TF'!J12:J99999,SUMMARY!A81&amp;"*")</f>
        <v>0</v>
      </c>
      <c r="G81" s="10">
        <f>SUMIFS('PLAN BUDGET SAMI-TF'!AP12:AP99999,'PLAN BUDGET SAMI-TF'!D12:D99999,SUMMARY!D81,'PLAN BUDGET SAMI-TF'!J12:J99999,SUMMARY!A81&amp;"*")</f>
        <v>0</v>
      </c>
      <c r="H81" s="10">
        <f>SUMIFS('PLAN BUDGET SAMI-TF'!AQ12:AQ99999,'PLAN BUDGET SAMI-TF'!D12:D99999,SUMMARY!D81,'PLAN BUDGET SAMI-TF'!J12:J99999,SUMMARY!A81&amp;"*")</f>
        <v>0</v>
      </c>
      <c r="I81" s="10">
        <f>SUMIFS('PLAN BUDGET SAMI-TF'!AR12:AR99999,'PLAN BUDGET SAMI-TF'!D12:D99999,SUMMARY!D81,'PLAN BUDGET SAMI-TF'!J12:J99999,SUMMARY!A81&amp;"*")</f>
        <v>8</v>
      </c>
      <c r="J81" s="10">
        <f>SUMIFS('PLAN BUDGET SAMI-TF'!AS12:AS99999,'PLAN BUDGET SAMI-TF'!D12:D99999,SUMMARY!D81,'PLAN BUDGET SAMI-TF'!J12:J99999,SUMMARY!A81&amp;"*")</f>
        <v>0</v>
      </c>
      <c r="K81" s="10">
        <f>SUMIFS('PLAN BUDGET SAMI-TF'!AT12:AT99999,'PLAN BUDGET SAMI-TF'!D12:D99999,SUMMARY!D81,'PLAN BUDGET SAMI-TF'!J12:J99999,SUMMARY!A81&amp;"*")</f>
        <v>0</v>
      </c>
      <c r="L81" s="10">
        <f>SUMIFS('PLAN BUDGET SAMI-TF'!AU12:AU99999,'PLAN BUDGET SAMI-TF'!D12:D99999,SUMMARY!D81,'PLAN BUDGET SAMI-TF'!J12:J99999,SUMMARY!A81&amp;"*")</f>
        <v>0</v>
      </c>
      <c r="M81" s="10">
        <f>SUMIFS('PLAN BUDGET SAMI-TF'!AV12:AV99999,'PLAN BUDGET SAMI-TF'!D12:D99999,SUMMARY!D81,'PLAN BUDGET SAMI-TF'!J12:J99999,SUMMARY!A81&amp;"*")</f>
        <v>0</v>
      </c>
      <c r="N81" s="10">
        <f>SUMIFS('PLAN BUDGET SAMI-TF'!AW12:AW99999,'PLAN BUDGET SAMI-TF'!D12:D99999,SUMMARY!D81,'PLAN BUDGET SAMI-TF'!J12:J99999,SUMMARY!A81&amp;"*")</f>
        <v>0</v>
      </c>
      <c r="O81" s="10">
        <f>SUMIFS('PLAN BUDGET SAMI-TF'!AX12:AX99999,'PLAN BUDGET SAMI-TF'!D12:D99999,SUMMARY!D81,'PLAN BUDGET SAMI-TF'!J12:J99999,SUMMARY!A81&amp;"*")</f>
        <v>0</v>
      </c>
      <c r="P81" s="10">
        <f>SUMIFS('PLAN BUDGET SAMI-TF'!AY12:AY99999,'PLAN BUDGET SAMI-TF'!D12:D99999,SUMMARY!D81,'PLAN BUDGET SAMI-TF'!J12:J99999,SUMMARY!A81&amp;"*")</f>
        <v>0</v>
      </c>
      <c r="Q81" s="10">
        <f>SUMIFS('PLAN BUDGET SAMI-TF'!BC12:BC99999,'PLAN BUDGET SAMI-TF'!D12:D99999,SUMMARY!D81,'PLAN BUDGET SAMI-TF'!J12:J99999,SUMMARY!A81&amp;"*")</f>
        <v>0</v>
      </c>
      <c r="R81" s="10">
        <f>SUMIFS('PLAN BUDGET SAMI-TF'!BD12:BD99999,'PLAN BUDGET SAMI-TF'!D12:D99999,SUMMARY!D81,'PLAN BUDGET SAMI-TF'!J12:J99999,SUMMARY!A81&amp;"*")</f>
        <v>0</v>
      </c>
      <c r="S81" s="10">
        <f>SUMIFS('PLAN BUDGET SAMI-TF'!BE12:BE99999,'PLAN BUDGET SAMI-TF'!D12:D99999,SUMMARY!D81,'PLAN BUDGET SAMI-TF'!J12:J99999,SUMMARY!A81&amp;"*")</f>
        <v>0</v>
      </c>
      <c r="T81" s="10">
        <f>SUMIFS('PLAN BUDGET SAMI-TF'!BF12:BF99999,'PLAN BUDGET SAMI-TF'!D12:D99999,SUMMARY!D81,'PLAN BUDGET SAMI-TF'!J12:J99999,SUMMARY!A81&amp;"*")</f>
        <v>0</v>
      </c>
      <c r="U81" s="10">
        <f>SUMIFS('PLAN BUDGET SAMI-TF'!BG12:BG99999,'PLAN BUDGET SAMI-TF'!D12:D99999,SUMMARY!D81,'PLAN BUDGET SAMI-TF'!J12:J99999,SUMMARY!A81&amp;"*")</f>
        <v>16.4571544314053</v>
      </c>
      <c r="V81" s="10">
        <f>SUMIFS('PLAN BUDGET SAMI-TF'!BH12:BH99999,'PLAN BUDGET SAMI-TF'!D12:D99999,SUMMARY!D81,'PLAN BUDGET SAMI-TF'!J12:J99999,SUMMARY!A81&amp;"*")</f>
        <v>0</v>
      </c>
      <c r="W81" s="10">
        <f>SUMIFS('PLAN BUDGET SAMI-TF'!BI12:BI99999,'PLAN BUDGET SAMI-TF'!D12:D99999,SUMMARY!D81,'PLAN BUDGET SAMI-TF'!J12:J99999,SUMMARY!A81&amp;"*")</f>
        <v>0</v>
      </c>
      <c r="X81" s="10">
        <f>SUMIFS('PLAN BUDGET SAMI-TF'!BJ12:BJ99999,'PLAN BUDGET SAMI-TF'!D12:D99999,SUMMARY!D81,'PLAN BUDGET SAMI-TF'!J12:J99999,SUMMARY!A81&amp;"*")</f>
        <v>0</v>
      </c>
      <c r="Y81" s="10">
        <f>SUMIFS('PLAN BUDGET SAMI-TF'!BK12:BK99999,'PLAN BUDGET SAMI-TF'!D12:D99999,SUMMARY!D81,'PLAN BUDGET SAMI-TF'!J12:J99999,SUMMARY!A81&amp;"*")</f>
        <v>0</v>
      </c>
      <c r="Z81" s="10">
        <f>SUMIFS('PLAN BUDGET SAMI-TF'!BL12:BL99999,'PLAN BUDGET SAMI-TF'!D12:D99999,SUMMARY!D81,'PLAN BUDGET SAMI-TF'!J12:J99999,SUMMARY!A81&amp;"*")</f>
        <v>0</v>
      </c>
      <c r="AA81" s="10">
        <f>SUMIFS('PLAN BUDGET SAMI-TF'!BM12:BM99999,'PLAN BUDGET SAMI-TF'!D12:D99999,SUMMARY!D81,'PLAN BUDGET SAMI-TF'!J12:J99999,SUMMARY!A81&amp;"*")</f>
        <v>0</v>
      </c>
      <c r="AB81" s="10">
        <f>SUMIFS('PLAN BUDGET SAMI-TF'!BN12:BN99999,'PLAN BUDGET SAMI-TF'!D12:D99999,SUMMARY!D81,'PLAN BUDGET SAMI-TF'!J12:J99999,SUMMARY!A81&amp;"*")</f>
        <v>0</v>
      </c>
      <c r="AC81" s="10">
        <f t="shared" si="8"/>
        <v>8</v>
      </c>
      <c r="AD81" s="10">
        <f t="shared" si="9"/>
        <v>16.4571544314053</v>
      </c>
      <c r="AE81" s="16"/>
      <c r="AF81" s="10">
        <v>87</v>
      </c>
      <c r="AG81" s="10">
        <v>1458.0061334295001</v>
      </c>
      <c r="AH81" s="20">
        <f t="shared" si="10"/>
        <v>-0.90804597701149425</v>
      </c>
      <c r="AI81" s="20">
        <f t="shared" si="11"/>
        <v>-0.98871256159074239</v>
      </c>
      <c r="AJ81" s="7" t="s">
        <v>874</v>
      </c>
    </row>
    <row r="82" spans="1:36" x14ac:dyDescent="0.35">
      <c r="A82" s="7" t="s">
        <v>498</v>
      </c>
      <c r="B82" s="7"/>
      <c r="C82" s="7"/>
      <c r="D82" s="7" t="s">
        <v>503</v>
      </c>
      <c r="E82" s="10">
        <f>SUMIFS('PLAN BUDGET SAMI-TF'!AN12:AN99999,'PLAN BUDGET SAMI-TF'!D12:D99999,SUMMARY!D82,'PLAN BUDGET SAMI-TF'!J12:J99999,SUMMARY!A82&amp;"*")</f>
        <v>1</v>
      </c>
      <c r="F82" s="10">
        <f>SUMIFS('PLAN BUDGET SAMI-TF'!AO12:AO99999,'PLAN BUDGET SAMI-TF'!D12:D99999,SUMMARY!D82,'PLAN BUDGET SAMI-TF'!J12:J99999,SUMMARY!A82&amp;"*")</f>
        <v>0</v>
      </c>
      <c r="G82" s="10">
        <f>SUMIFS('PLAN BUDGET SAMI-TF'!AP12:AP99999,'PLAN BUDGET SAMI-TF'!D12:D99999,SUMMARY!D82,'PLAN BUDGET SAMI-TF'!J12:J99999,SUMMARY!A82&amp;"*")</f>
        <v>0</v>
      </c>
      <c r="H82" s="10">
        <f>SUMIFS('PLAN BUDGET SAMI-TF'!AQ12:AQ99999,'PLAN BUDGET SAMI-TF'!D12:D99999,SUMMARY!D82,'PLAN BUDGET SAMI-TF'!J12:J99999,SUMMARY!A82&amp;"*")</f>
        <v>0</v>
      </c>
      <c r="I82" s="10">
        <f>SUMIFS('PLAN BUDGET SAMI-TF'!AR12:AR99999,'PLAN BUDGET SAMI-TF'!D12:D99999,SUMMARY!D82,'PLAN BUDGET SAMI-TF'!J12:J99999,SUMMARY!A82&amp;"*")</f>
        <v>0</v>
      </c>
      <c r="J82" s="10">
        <f>SUMIFS('PLAN BUDGET SAMI-TF'!AS12:AS99999,'PLAN BUDGET SAMI-TF'!D12:D99999,SUMMARY!D82,'PLAN BUDGET SAMI-TF'!J12:J99999,SUMMARY!A82&amp;"*")</f>
        <v>0</v>
      </c>
      <c r="K82" s="10">
        <f>SUMIFS('PLAN BUDGET SAMI-TF'!AT12:AT99999,'PLAN BUDGET SAMI-TF'!D12:D99999,SUMMARY!D82,'PLAN BUDGET SAMI-TF'!J12:J99999,SUMMARY!A82&amp;"*")</f>
        <v>0</v>
      </c>
      <c r="L82" s="10">
        <f>SUMIFS('PLAN BUDGET SAMI-TF'!AU12:AU99999,'PLAN BUDGET SAMI-TF'!D12:D99999,SUMMARY!D82,'PLAN BUDGET SAMI-TF'!J12:J99999,SUMMARY!A82&amp;"*")</f>
        <v>0</v>
      </c>
      <c r="M82" s="10">
        <f>SUMIFS('PLAN BUDGET SAMI-TF'!AV12:AV99999,'PLAN BUDGET SAMI-TF'!D12:D99999,SUMMARY!D82,'PLAN BUDGET SAMI-TF'!J12:J99999,SUMMARY!A82&amp;"*")</f>
        <v>0</v>
      </c>
      <c r="N82" s="10">
        <f>SUMIFS('PLAN BUDGET SAMI-TF'!AW12:AW99999,'PLAN BUDGET SAMI-TF'!D12:D99999,SUMMARY!D82,'PLAN BUDGET SAMI-TF'!J12:J99999,SUMMARY!A82&amp;"*")</f>
        <v>0</v>
      </c>
      <c r="O82" s="10">
        <f>SUMIFS('PLAN BUDGET SAMI-TF'!AX12:AX99999,'PLAN BUDGET SAMI-TF'!D12:D99999,SUMMARY!D82,'PLAN BUDGET SAMI-TF'!J12:J99999,SUMMARY!A82&amp;"*")</f>
        <v>0</v>
      </c>
      <c r="P82" s="10">
        <f>SUMIFS('PLAN BUDGET SAMI-TF'!AY12:AY99999,'PLAN BUDGET SAMI-TF'!D12:D99999,SUMMARY!D82,'PLAN BUDGET SAMI-TF'!J12:J99999,SUMMARY!A82&amp;"*")</f>
        <v>0</v>
      </c>
      <c r="Q82" s="10">
        <f>SUMIFS('PLAN BUDGET SAMI-TF'!BC12:BC99999,'PLAN BUDGET SAMI-TF'!D12:D99999,SUMMARY!D82,'PLAN BUDGET SAMI-TF'!J12:J99999,SUMMARY!A82&amp;"*")</f>
        <v>0</v>
      </c>
      <c r="R82" s="10">
        <f>SUMIFS('PLAN BUDGET SAMI-TF'!BD12:BD99999,'PLAN BUDGET SAMI-TF'!D12:D99999,SUMMARY!D82,'PLAN BUDGET SAMI-TF'!J12:J99999,SUMMARY!A82&amp;"*")</f>
        <v>0</v>
      </c>
      <c r="S82" s="10">
        <f>SUMIFS('PLAN BUDGET SAMI-TF'!BE12:BE99999,'PLAN BUDGET SAMI-TF'!D12:D99999,SUMMARY!D82,'PLAN BUDGET SAMI-TF'!J12:J99999,SUMMARY!A82&amp;"*")</f>
        <v>0</v>
      </c>
      <c r="T82" s="10">
        <f>SUMIFS('PLAN BUDGET SAMI-TF'!BF12:BF99999,'PLAN BUDGET SAMI-TF'!D12:D99999,SUMMARY!D82,'PLAN BUDGET SAMI-TF'!J12:J99999,SUMMARY!A82&amp;"*")</f>
        <v>0</v>
      </c>
      <c r="U82" s="10">
        <f>SUMIFS('PLAN BUDGET SAMI-TF'!BG12:BG99999,'PLAN BUDGET SAMI-TF'!D12:D99999,SUMMARY!D82,'PLAN BUDGET SAMI-TF'!J12:J99999,SUMMARY!A82&amp;"*")</f>
        <v>0</v>
      </c>
      <c r="V82" s="10">
        <f>SUMIFS('PLAN BUDGET SAMI-TF'!BH12:BH99999,'PLAN BUDGET SAMI-TF'!D12:D99999,SUMMARY!D82,'PLAN BUDGET SAMI-TF'!J12:J99999,SUMMARY!A82&amp;"*")</f>
        <v>0</v>
      </c>
      <c r="W82" s="10">
        <f>SUMIFS('PLAN BUDGET SAMI-TF'!BI12:BI99999,'PLAN BUDGET SAMI-TF'!D12:D99999,SUMMARY!D82,'PLAN BUDGET SAMI-TF'!J12:J99999,SUMMARY!A82&amp;"*")</f>
        <v>0</v>
      </c>
      <c r="X82" s="10">
        <f>SUMIFS('PLAN BUDGET SAMI-TF'!BJ12:BJ99999,'PLAN BUDGET SAMI-TF'!D12:D99999,SUMMARY!D82,'PLAN BUDGET SAMI-TF'!J12:J99999,SUMMARY!A82&amp;"*")</f>
        <v>0</v>
      </c>
      <c r="Y82" s="10">
        <f>SUMIFS('PLAN BUDGET SAMI-TF'!BK12:BK99999,'PLAN BUDGET SAMI-TF'!D12:D99999,SUMMARY!D82,'PLAN BUDGET SAMI-TF'!J12:J99999,SUMMARY!A82&amp;"*")</f>
        <v>0</v>
      </c>
      <c r="Z82" s="10">
        <f>SUMIFS('PLAN BUDGET SAMI-TF'!BL12:BL99999,'PLAN BUDGET SAMI-TF'!D12:D99999,SUMMARY!D82,'PLAN BUDGET SAMI-TF'!J12:J99999,SUMMARY!A82&amp;"*")</f>
        <v>0</v>
      </c>
      <c r="AA82" s="10">
        <f>SUMIFS('PLAN BUDGET SAMI-TF'!BM12:BM99999,'PLAN BUDGET SAMI-TF'!D12:D99999,SUMMARY!D82,'PLAN BUDGET SAMI-TF'!J12:J99999,SUMMARY!A82&amp;"*")</f>
        <v>0</v>
      </c>
      <c r="AB82" s="10">
        <f>SUMIFS('PLAN BUDGET SAMI-TF'!BN12:BN99999,'PLAN BUDGET SAMI-TF'!D12:D99999,SUMMARY!D82,'PLAN BUDGET SAMI-TF'!J12:J99999,SUMMARY!A82&amp;"*")</f>
        <v>0</v>
      </c>
      <c r="AC82" s="10">
        <f t="shared" si="8"/>
        <v>1</v>
      </c>
      <c r="AD82" s="10">
        <f t="shared" si="9"/>
        <v>0</v>
      </c>
      <c r="AE82" s="16"/>
      <c r="AF82" s="10">
        <v>0</v>
      </c>
      <c r="AG82" s="10">
        <v>0</v>
      </c>
      <c r="AH82" s="20">
        <f t="shared" si="10"/>
        <v>1</v>
      </c>
      <c r="AI82" s="20">
        <f t="shared" si="11"/>
        <v>1</v>
      </c>
      <c r="AJ82" s="67" t="s">
        <v>863</v>
      </c>
    </row>
    <row r="83" spans="1:36" x14ac:dyDescent="0.35">
      <c r="A83" s="7" t="s">
        <v>498</v>
      </c>
      <c r="B83" s="7"/>
      <c r="C83" s="7"/>
      <c r="D83" s="7" t="s">
        <v>607</v>
      </c>
      <c r="E83" s="10">
        <f>SUMIFS('PLAN BUDGET SAMI-TF'!AN12:AN99999,'PLAN BUDGET SAMI-TF'!D12:D99999,SUMMARY!D83,'PLAN BUDGET SAMI-TF'!J12:J99999,SUMMARY!A83&amp;"*")</f>
        <v>0</v>
      </c>
      <c r="F83" s="10">
        <f>SUMIFS('PLAN BUDGET SAMI-TF'!AO12:AO99999,'PLAN BUDGET SAMI-TF'!D12:D99999,SUMMARY!D83,'PLAN BUDGET SAMI-TF'!J12:J99999,SUMMARY!A83&amp;"*")</f>
        <v>1</v>
      </c>
      <c r="G83" s="10">
        <f>SUMIFS('PLAN BUDGET SAMI-TF'!AP12:AP99999,'PLAN BUDGET SAMI-TF'!D12:D99999,SUMMARY!D83,'PLAN BUDGET SAMI-TF'!J12:J99999,SUMMARY!A83&amp;"*")</f>
        <v>1</v>
      </c>
      <c r="H83" s="10">
        <f>SUMIFS('PLAN BUDGET SAMI-TF'!AQ12:AQ99999,'PLAN BUDGET SAMI-TF'!D12:D99999,SUMMARY!D83,'PLAN BUDGET SAMI-TF'!J12:J99999,SUMMARY!A83&amp;"*")</f>
        <v>1</v>
      </c>
      <c r="I83" s="10">
        <f>SUMIFS('PLAN BUDGET SAMI-TF'!AR12:AR99999,'PLAN BUDGET SAMI-TF'!D12:D99999,SUMMARY!D83,'PLAN BUDGET SAMI-TF'!J12:J99999,SUMMARY!A83&amp;"*")</f>
        <v>0</v>
      </c>
      <c r="J83" s="10">
        <f>SUMIFS('PLAN BUDGET SAMI-TF'!AS12:AS99999,'PLAN BUDGET SAMI-TF'!D12:D99999,SUMMARY!D83,'PLAN BUDGET SAMI-TF'!J12:J99999,SUMMARY!A83&amp;"*")</f>
        <v>0</v>
      </c>
      <c r="K83" s="10">
        <f>SUMIFS('PLAN BUDGET SAMI-TF'!AT12:AT99999,'PLAN BUDGET SAMI-TF'!D12:D99999,SUMMARY!D83,'PLAN BUDGET SAMI-TF'!J12:J99999,SUMMARY!A83&amp;"*")</f>
        <v>0</v>
      </c>
      <c r="L83" s="10">
        <f>SUMIFS('PLAN BUDGET SAMI-TF'!AU12:AU99999,'PLAN BUDGET SAMI-TF'!D12:D99999,SUMMARY!D83,'PLAN BUDGET SAMI-TF'!J12:J99999,SUMMARY!A83&amp;"*")</f>
        <v>0</v>
      </c>
      <c r="M83" s="10">
        <f>SUMIFS('PLAN BUDGET SAMI-TF'!AV12:AV99999,'PLAN BUDGET SAMI-TF'!D12:D99999,SUMMARY!D83,'PLAN BUDGET SAMI-TF'!J12:J99999,SUMMARY!A83&amp;"*")</f>
        <v>0</v>
      </c>
      <c r="N83" s="10">
        <f>SUMIFS('PLAN BUDGET SAMI-TF'!AW12:AW99999,'PLAN BUDGET SAMI-TF'!D12:D99999,SUMMARY!D83,'PLAN BUDGET SAMI-TF'!J12:J99999,SUMMARY!A83&amp;"*")</f>
        <v>0</v>
      </c>
      <c r="O83" s="10">
        <f>SUMIFS('PLAN BUDGET SAMI-TF'!AX12:AX99999,'PLAN BUDGET SAMI-TF'!D12:D99999,SUMMARY!D83,'PLAN BUDGET SAMI-TF'!J12:J99999,SUMMARY!A83&amp;"*")</f>
        <v>0</v>
      </c>
      <c r="P83" s="10">
        <f>SUMIFS('PLAN BUDGET SAMI-TF'!AY12:AY99999,'PLAN BUDGET SAMI-TF'!D12:D99999,SUMMARY!D83,'PLAN BUDGET SAMI-TF'!J12:J99999,SUMMARY!A83&amp;"*")</f>
        <v>0</v>
      </c>
      <c r="Q83" s="10">
        <f>SUMIFS('PLAN BUDGET SAMI-TF'!BC12:BC99999,'PLAN BUDGET SAMI-TF'!D12:D99999,SUMMARY!D83,'PLAN BUDGET SAMI-TF'!J12:J99999,SUMMARY!A83&amp;"*")</f>
        <v>0</v>
      </c>
      <c r="R83" s="10">
        <f>SUMIFS('PLAN BUDGET SAMI-TF'!BD12:BD99999,'PLAN BUDGET SAMI-TF'!D12:D99999,SUMMARY!D83,'PLAN BUDGET SAMI-TF'!J12:J99999,SUMMARY!A83&amp;"*")</f>
        <v>41.775853556644002</v>
      </c>
      <c r="S83" s="10">
        <f>SUMIFS('PLAN BUDGET SAMI-TF'!BE12:BE99999,'PLAN BUDGET SAMI-TF'!D12:D99999,SUMMARY!D83,'PLAN BUDGET SAMI-TF'!J12:J99999,SUMMARY!A83&amp;"*")</f>
        <v>41.775853556644002</v>
      </c>
      <c r="T83" s="10">
        <f>SUMIFS('PLAN BUDGET SAMI-TF'!BF12:BF99999,'PLAN BUDGET SAMI-TF'!D12:D99999,SUMMARY!D83,'PLAN BUDGET SAMI-TF'!J12:J99999,SUMMARY!A83&amp;"*")</f>
        <v>41.775853556644002</v>
      </c>
      <c r="U83" s="10">
        <f>SUMIFS('PLAN BUDGET SAMI-TF'!BG12:BG99999,'PLAN BUDGET SAMI-TF'!D12:D99999,SUMMARY!D83,'PLAN BUDGET SAMI-TF'!J12:J99999,SUMMARY!A83&amp;"*")</f>
        <v>0</v>
      </c>
      <c r="V83" s="10">
        <f>SUMIFS('PLAN BUDGET SAMI-TF'!BH12:BH99999,'PLAN BUDGET SAMI-TF'!D12:D99999,SUMMARY!D83,'PLAN BUDGET SAMI-TF'!J12:J99999,SUMMARY!A83&amp;"*")</f>
        <v>0</v>
      </c>
      <c r="W83" s="10">
        <f>SUMIFS('PLAN BUDGET SAMI-TF'!BI12:BI99999,'PLAN BUDGET SAMI-TF'!D12:D99999,SUMMARY!D83,'PLAN BUDGET SAMI-TF'!J12:J99999,SUMMARY!A83&amp;"*")</f>
        <v>0</v>
      </c>
      <c r="X83" s="10">
        <f>SUMIFS('PLAN BUDGET SAMI-TF'!BJ12:BJ99999,'PLAN BUDGET SAMI-TF'!D12:D99999,SUMMARY!D83,'PLAN BUDGET SAMI-TF'!J12:J99999,SUMMARY!A83&amp;"*")</f>
        <v>0</v>
      </c>
      <c r="Y83" s="10">
        <f>SUMIFS('PLAN BUDGET SAMI-TF'!BK12:BK99999,'PLAN BUDGET SAMI-TF'!D12:D99999,SUMMARY!D83,'PLAN BUDGET SAMI-TF'!J12:J99999,SUMMARY!A83&amp;"*")</f>
        <v>0</v>
      </c>
      <c r="Z83" s="10">
        <f>SUMIFS('PLAN BUDGET SAMI-TF'!BL12:BL99999,'PLAN BUDGET SAMI-TF'!D12:D99999,SUMMARY!D83,'PLAN BUDGET SAMI-TF'!J12:J99999,SUMMARY!A83&amp;"*")</f>
        <v>0</v>
      </c>
      <c r="AA83" s="10">
        <f>SUMIFS('PLAN BUDGET SAMI-TF'!BM12:BM99999,'PLAN BUDGET SAMI-TF'!D12:D99999,SUMMARY!D83,'PLAN BUDGET SAMI-TF'!J12:J99999,SUMMARY!A83&amp;"*")</f>
        <v>0</v>
      </c>
      <c r="AB83" s="10">
        <f>SUMIFS('PLAN BUDGET SAMI-TF'!BN12:BN99999,'PLAN BUDGET SAMI-TF'!D12:D99999,SUMMARY!D83,'PLAN BUDGET SAMI-TF'!J12:J99999,SUMMARY!A83&amp;"*")</f>
        <v>0</v>
      </c>
      <c r="AC83" s="10">
        <f t="shared" si="8"/>
        <v>3</v>
      </c>
      <c r="AD83" s="10">
        <f t="shared" si="9"/>
        <v>125.32756066993201</v>
      </c>
      <c r="AE83" s="16"/>
      <c r="AF83" s="10">
        <v>0</v>
      </c>
      <c r="AG83" s="10">
        <v>0</v>
      </c>
      <c r="AH83" s="20">
        <f t="shared" si="10"/>
        <v>1</v>
      </c>
      <c r="AI83" s="20">
        <f t="shared" si="11"/>
        <v>1</v>
      </c>
      <c r="AJ83" s="67" t="s">
        <v>863</v>
      </c>
    </row>
    <row r="84" spans="1:36" x14ac:dyDescent="0.35">
      <c r="A84" s="7" t="s">
        <v>498</v>
      </c>
      <c r="B84" s="7"/>
      <c r="C84" s="7"/>
      <c r="D84" s="7" t="s">
        <v>640</v>
      </c>
      <c r="E84" s="10">
        <f>SUMIFS('PLAN BUDGET SAMI-TF'!AN12:AN99999,'PLAN BUDGET SAMI-TF'!D12:D99999,SUMMARY!D84,'PLAN BUDGET SAMI-TF'!J12:J99999,SUMMARY!A84&amp;"*")</f>
        <v>0</v>
      </c>
      <c r="F84" s="10">
        <f>SUMIFS('PLAN BUDGET SAMI-TF'!AO12:AO99999,'PLAN BUDGET SAMI-TF'!D12:D99999,SUMMARY!D84,'PLAN BUDGET SAMI-TF'!J12:J99999,SUMMARY!A84&amp;"*")</f>
        <v>0</v>
      </c>
      <c r="G84" s="10">
        <f>SUMIFS('PLAN BUDGET SAMI-TF'!AP12:AP99999,'PLAN BUDGET SAMI-TF'!D12:D99999,SUMMARY!D84,'PLAN BUDGET SAMI-TF'!J12:J99999,SUMMARY!A84&amp;"*")</f>
        <v>6</v>
      </c>
      <c r="H84" s="10">
        <f>SUMIFS('PLAN BUDGET SAMI-TF'!AQ12:AQ99999,'PLAN BUDGET SAMI-TF'!D12:D99999,SUMMARY!D84,'PLAN BUDGET SAMI-TF'!J12:J99999,SUMMARY!A84&amp;"*")</f>
        <v>0</v>
      </c>
      <c r="I84" s="10">
        <f>SUMIFS('PLAN BUDGET SAMI-TF'!AR12:AR99999,'PLAN BUDGET SAMI-TF'!D12:D99999,SUMMARY!D84,'PLAN BUDGET SAMI-TF'!J12:J99999,SUMMARY!A84&amp;"*")</f>
        <v>0</v>
      </c>
      <c r="J84" s="10">
        <f>SUMIFS('PLAN BUDGET SAMI-TF'!AS12:AS99999,'PLAN BUDGET SAMI-TF'!D12:D99999,SUMMARY!D84,'PLAN BUDGET SAMI-TF'!J12:J99999,SUMMARY!A84&amp;"*")</f>
        <v>6</v>
      </c>
      <c r="K84" s="10">
        <f>SUMIFS('PLAN BUDGET SAMI-TF'!AT12:AT99999,'PLAN BUDGET SAMI-TF'!D12:D99999,SUMMARY!D84,'PLAN BUDGET SAMI-TF'!J12:J99999,SUMMARY!A84&amp;"*")</f>
        <v>0</v>
      </c>
      <c r="L84" s="10">
        <f>SUMIFS('PLAN BUDGET SAMI-TF'!AU12:AU99999,'PLAN BUDGET SAMI-TF'!D12:D99999,SUMMARY!D84,'PLAN BUDGET SAMI-TF'!J12:J99999,SUMMARY!A84&amp;"*")</f>
        <v>0</v>
      </c>
      <c r="M84" s="10">
        <f>SUMIFS('PLAN BUDGET SAMI-TF'!AV12:AV99999,'PLAN BUDGET SAMI-TF'!D12:D99999,SUMMARY!D84,'PLAN BUDGET SAMI-TF'!J12:J99999,SUMMARY!A84&amp;"*")</f>
        <v>0</v>
      </c>
      <c r="N84" s="10">
        <f>SUMIFS('PLAN BUDGET SAMI-TF'!AW12:AW99999,'PLAN BUDGET SAMI-TF'!D12:D99999,SUMMARY!D84,'PLAN BUDGET SAMI-TF'!J12:J99999,SUMMARY!A84&amp;"*")</f>
        <v>0</v>
      </c>
      <c r="O84" s="10">
        <f>SUMIFS('PLAN BUDGET SAMI-TF'!AX12:AX99999,'PLAN BUDGET SAMI-TF'!D12:D99999,SUMMARY!D84,'PLAN BUDGET SAMI-TF'!J12:J99999,SUMMARY!A84&amp;"*")</f>
        <v>0</v>
      </c>
      <c r="P84" s="10">
        <f>SUMIFS('PLAN BUDGET SAMI-TF'!AY12:AY99999,'PLAN BUDGET SAMI-TF'!D12:D99999,SUMMARY!D84,'PLAN BUDGET SAMI-TF'!J12:J99999,SUMMARY!A84&amp;"*")</f>
        <v>0</v>
      </c>
      <c r="Q84" s="10">
        <f>SUMIFS('PLAN BUDGET SAMI-TF'!BC12:BC99999,'PLAN BUDGET SAMI-TF'!D12:D99999,SUMMARY!D84,'PLAN BUDGET SAMI-TF'!J12:J99999,SUMMARY!A84&amp;"*")</f>
        <v>0</v>
      </c>
      <c r="R84" s="10">
        <f>SUMIFS('PLAN BUDGET SAMI-TF'!BD12:BD99999,'PLAN BUDGET SAMI-TF'!D12:D99999,SUMMARY!D84,'PLAN BUDGET SAMI-TF'!J12:J99999,SUMMARY!A84&amp;"*")</f>
        <v>0</v>
      </c>
      <c r="S84" s="10">
        <f>SUMIFS('PLAN BUDGET SAMI-TF'!BE12:BE99999,'PLAN BUDGET SAMI-TF'!D12:D99999,SUMMARY!D84,'PLAN BUDGET SAMI-TF'!J12:J99999,SUMMARY!A84&amp;"*")</f>
        <v>778.54999810109996</v>
      </c>
      <c r="T84" s="10">
        <f>SUMIFS('PLAN BUDGET SAMI-TF'!BF12:BF99999,'PLAN BUDGET SAMI-TF'!D12:D99999,SUMMARY!D84,'PLAN BUDGET SAMI-TF'!J12:J99999,SUMMARY!A84&amp;"*")</f>
        <v>0</v>
      </c>
      <c r="U84" s="10">
        <f>SUMIFS('PLAN BUDGET SAMI-TF'!BG12:BG99999,'PLAN BUDGET SAMI-TF'!D12:D99999,SUMMARY!D84,'PLAN BUDGET SAMI-TF'!J12:J99999,SUMMARY!A84&amp;"*")</f>
        <v>0</v>
      </c>
      <c r="V84" s="10">
        <f>SUMIFS('PLAN BUDGET SAMI-TF'!BH12:BH99999,'PLAN BUDGET SAMI-TF'!D12:D99999,SUMMARY!D84,'PLAN BUDGET SAMI-TF'!J12:J99999,SUMMARY!A84&amp;"*")</f>
        <v>778.54999810109996</v>
      </c>
      <c r="W84" s="10">
        <f>SUMIFS('PLAN BUDGET SAMI-TF'!BI12:BI99999,'PLAN BUDGET SAMI-TF'!D12:D99999,SUMMARY!D84,'PLAN BUDGET SAMI-TF'!J12:J99999,SUMMARY!A84&amp;"*")</f>
        <v>0</v>
      </c>
      <c r="X84" s="10">
        <f>SUMIFS('PLAN BUDGET SAMI-TF'!BJ12:BJ99999,'PLAN BUDGET SAMI-TF'!D12:D99999,SUMMARY!D84,'PLAN BUDGET SAMI-TF'!J12:J99999,SUMMARY!A84&amp;"*")</f>
        <v>0</v>
      </c>
      <c r="Y84" s="10">
        <f>SUMIFS('PLAN BUDGET SAMI-TF'!BK12:BK99999,'PLAN BUDGET SAMI-TF'!D12:D99999,SUMMARY!D84,'PLAN BUDGET SAMI-TF'!J12:J99999,SUMMARY!A84&amp;"*")</f>
        <v>0</v>
      </c>
      <c r="Z84" s="10">
        <f>SUMIFS('PLAN BUDGET SAMI-TF'!BL12:BL99999,'PLAN BUDGET SAMI-TF'!D12:D99999,SUMMARY!D84,'PLAN BUDGET SAMI-TF'!J12:J99999,SUMMARY!A84&amp;"*")</f>
        <v>0</v>
      </c>
      <c r="AA84" s="10">
        <f>SUMIFS('PLAN BUDGET SAMI-TF'!BM12:BM99999,'PLAN BUDGET SAMI-TF'!D12:D99999,SUMMARY!D84,'PLAN BUDGET SAMI-TF'!J12:J99999,SUMMARY!A84&amp;"*")</f>
        <v>0</v>
      </c>
      <c r="AB84" s="10">
        <f>SUMIFS('PLAN BUDGET SAMI-TF'!BN12:BN99999,'PLAN BUDGET SAMI-TF'!D12:D99999,SUMMARY!D84,'PLAN BUDGET SAMI-TF'!J12:J99999,SUMMARY!A84&amp;"*")</f>
        <v>0</v>
      </c>
      <c r="AC84" s="10">
        <f t="shared" si="8"/>
        <v>12</v>
      </c>
      <c r="AD84" s="10">
        <f t="shared" si="9"/>
        <v>1557.0999962021999</v>
      </c>
      <c r="AE84" s="16"/>
      <c r="AF84" s="10">
        <v>0</v>
      </c>
      <c r="AG84" s="10">
        <v>0</v>
      </c>
      <c r="AH84" s="20">
        <f t="shared" si="10"/>
        <v>1</v>
      </c>
      <c r="AI84" s="20">
        <f t="shared" si="11"/>
        <v>1</v>
      </c>
      <c r="AJ84" s="67" t="s">
        <v>863</v>
      </c>
    </row>
    <row r="85" spans="1:36" x14ac:dyDescent="0.35">
      <c r="A85" s="7" t="s">
        <v>498</v>
      </c>
      <c r="B85" s="7"/>
      <c r="C85" s="7"/>
      <c r="D85" s="7" t="s">
        <v>655</v>
      </c>
      <c r="E85" s="10">
        <f>SUMIFS('PLAN BUDGET SAMI-TF'!AN12:AN99999,'PLAN BUDGET SAMI-TF'!D12:D99999,SUMMARY!D85,'PLAN BUDGET SAMI-TF'!J12:J99999,SUMMARY!A85&amp;"*")</f>
        <v>0</v>
      </c>
      <c r="F85" s="10">
        <f>SUMIFS('PLAN BUDGET SAMI-TF'!AO12:AO99999,'PLAN BUDGET SAMI-TF'!D12:D99999,SUMMARY!D85,'PLAN BUDGET SAMI-TF'!J12:J99999,SUMMARY!A85&amp;"*")</f>
        <v>0</v>
      </c>
      <c r="G85" s="10">
        <f>SUMIFS('PLAN BUDGET SAMI-TF'!AP12:AP99999,'PLAN BUDGET SAMI-TF'!D12:D99999,SUMMARY!D85,'PLAN BUDGET SAMI-TF'!J12:J99999,SUMMARY!A85&amp;"*")</f>
        <v>0</v>
      </c>
      <c r="H85" s="10">
        <f>SUMIFS('PLAN BUDGET SAMI-TF'!AQ12:AQ99999,'PLAN BUDGET SAMI-TF'!D12:D99999,SUMMARY!D85,'PLAN BUDGET SAMI-TF'!J12:J99999,SUMMARY!A85&amp;"*")</f>
        <v>0</v>
      </c>
      <c r="I85" s="10">
        <f>SUMIFS('PLAN BUDGET SAMI-TF'!AR12:AR99999,'PLAN BUDGET SAMI-TF'!D12:D99999,SUMMARY!D85,'PLAN BUDGET SAMI-TF'!J12:J99999,SUMMARY!A85&amp;"*")</f>
        <v>3</v>
      </c>
      <c r="J85" s="10">
        <f>SUMIFS('PLAN BUDGET SAMI-TF'!AS12:AS99999,'PLAN BUDGET SAMI-TF'!D12:D99999,SUMMARY!D85,'PLAN BUDGET SAMI-TF'!J12:J99999,SUMMARY!A85&amp;"*")</f>
        <v>0</v>
      </c>
      <c r="K85" s="10">
        <f>SUMIFS('PLAN BUDGET SAMI-TF'!AT12:AT99999,'PLAN BUDGET SAMI-TF'!D12:D99999,SUMMARY!D85,'PLAN BUDGET SAMI-TF'!J12:J99999,SUMMARY!A85&amp;"*")</f>
        <v>0</v>
      </c>
      <c r="L85" s="10">
        <f>SUMIFS('PLAN BUDGET SAMI-TF'!AU12:AU99999,'PLAN BUDGET SAMI-TF'!D12:D99999,SUMMARY!D85,'PLAN BUDGET SAMI-TF'!J12:J99999,SUMMARY!A85&amp;"*")</f>
        <v>0</v>
      </c>
      <c r="M85" s="10">
        <f>SUMIFS('PLAN BUDGET SAMI-TF'!AV12:AV99999,'PLAN BUDGET SAMI-TF'!D12:D99999,SUMMARY!D85,'PLAN BUDGET SAMI-TF'!J12:J99999,SUMMARY!A85&amp;"*")</f>
        <v>0</v>
      </c>
      <c r="N85" s="10">
        <f>SUMIFS('PLAN BUDGET SAMI-TF'!AW12:AW99999,'PLAN BUDGET SAMI-TF'!D12:D99999,SUMMARY!D85,'PLAN BUDGET SAMI-TF'!J12:J99999,SUMMARY!A85&amp;"*")</f>
        <v>0</v>
      </c>
      <c r="O85" s="10">
        <f>SUMIFS('PLAN BUDGET SAMI-TF'!AX12:AX99999,'PLAN BUDGET SAMI-TF'!D12:D99999,SUMMARY!D85,'PLAN BUDGET SAMI-TF'!J12:J99999,SUMMARY!A85&amp;"*")</f>
        <v>0</v>
      </c>
      <c r="P85" s="10">
        <f>SUMIFS('PLAN BUDGET SAMI-TF'!AY12:AY99999,'PLAN BUDGET SAMI-TF'!D12:D99999,SUMMARY!D85,'PLAN BUDGET SAMI-TF'!J12:J99999,SUMMARY!A85&amp;"*")</f>
        <v>0</v>
      </c>
      <c r="Q85" s="10">
        <f>SUMIFS('PLAN BUDGET SAMI-TF'!BC12:BC99999,'PLAN BUDGET SAMI-TF'!D12:D99999,SUMMARY!D85,'PLAN BUDGET SAMI-TF'!J12:J99999,SUMMARY!A85&amp;"*")</f>
        <v>0</v>
      </c>
      <c r="R85" s="10">
        <f>SUMIFS('PLAN BUDGET SAMI-TF'!BD12:BD99999,'PLAN BUDGET SAMI-TF'!D12:D99999,SUMMARY!D85,'PLAN BUDGET SAMI-TF'!J12:J99999,SUMMARY!A85&amp;"*")</f>
        <v>0</v>
      </c>
      <c r="S85" s="10">
        <f>SUMIFS('PLAN BUDGET SAMI-TF'!BE12:BE99999,'PLAN BUDGET SAMI-TF'!D12:D99999,SUMMARY!D85,'PLAN BUDGET SAMI-TF'!J12:J99999,SUMMARY!A85&amp;"*")</f>
        <v>0</v>
      </c>
      <c r="T85" s="10">
        <f>SUMIFS('PLAN BUDGET SAMI-TF'!BF12:BF99999,'PLAN BUDGET SAMI-TF'!D12:D99999,SUMMARY!D85,'PLAN BUDGET SAMI-TF'!J12:J99999,SUMMARY!A85&amp;"*")</f>
        <v>0</v>
      </c>
      <c r="U85" s="10">
        <f>SUMIFS('PLAN BUDGET SAMI-TF'!BG12:BG99999,'PLAN BUDGET SAMI-TF'!D12:D99999,SUMMARY!D85,'PLAN BUDGET SAMI-TF'!J12:J99999,SUMMARY!A85&amp;"*")</f>
        <v>3.7978048687857</v>
      </c>
      <c r="V85" s="10">
        <f>SUMIFS('PLAN BUDGET SAMI-TF'!BH12:BH99999,'PLAN BUDGET SAMI-TF'!D12:D99999,SUMMARY!D85,'PLAN BUDGET SAMI-TF'!J12:J99999,SUMMARY!A85&amp;"*")</f>
        <v>0</v>
      </c>
      <c r="W85" s="10">
        <f>SUMIFS('PLAN BUDGET SAMI-TF'!BI12:BI99999,'PLAN BUDGET SAMI-TF'!D12:D99999,SUMMARY!D85,'PLAN BUDGET SAMI-TF'!J12:J99999,SUMMARY!A85&amp;"*")</f>
        <v>0</v>
      </c>
      <c r="X85" s="10">
        <f>SUMIFS('PLAN BUDGET SAMI-TF'!BJ12:BJ99999,'PLAN BUDGET SAMI-TF'!D12:D99999,SUMMARY!D85,'PLAN BUDGET SAMI-TF'!J12:J99999,SUMMARY!A85&amp;"*")</f>
        <v>0</v>
      </c>
      <c r="Y85" s="10">
        <f>SUMIFS('PLAN BUDGET SAMI-TF'!BK12:BK99999,'PLAN BUDGET SAMI-TF'!D12:D99999,SUMMARY!D85,'PLAN BUDGET SAMI-TF'!J12:J99999,SUMMARY!A85&amp;"*")</f>
        <v>0</v>
      </c>
      <c r="Z85" s="10">
        <f>SUMIFS('PLAN BUDGET SAMI-TF'!BL12:BL99999,'PLAN BUDGET SAMI-TF'!D12:D99999,SUMMARY!D85,'PLAN BUDGET SAMI-TF'!J12:J99999,SUMMARY!A85&amp;"*")</f>
        <v>0</v>
      </c>
      <c r="AA85" s="10">
        <f>SUMIFS('PLAN BUDGET SAMI-TF'!BM12:BM99999,'PLAN BUDGET SAMI-TF'!D12:D99999,SUMMARY!D85,'PLAN BUDGET SAMI-TF'!J12:J99999,SUMMARY!A85&amp;"*")</f>
        <v>0</v>
      </c>
      <c r="AB85" s="10">
        <f>SUMIFS('PLAN BUDGET SAMI-TF'!BN12:BN99999,'PLAN BUDGET SAMI-TF'!D12:D99999,SUMMARY!D85,'PLAN BUDGET SAMI-TF'!J12:J99999,SUMMARY!A85&amp;"*")</f>
        <v>0</v>
      </c>
      <c r="AC85" s="10">
        <f t="shared" si="8"/>
        <v>3</v>
      </c>
      <c r="AD85" s="10">
        <f t="shared" si="9"/>
        <v>3.7978048687857</v>
      </c>
      <c r="AE85" s="16"/>
      <c r="AF85" s="10">
        <v>0</v>
      </c>
      <c r="AG85" s="10">
        <v>0</v>
      </c>
      <c r="AH85" s="20">
        <f t="shared" si="10"/>
        <v>1</v>
      </c>
      <c r="AI85" s="20">
        <f t="shared" si="11"/>
        <v>1</v>
      </c>
      <c r="AJ85" s="67" t="s">
        <v>863</v>
      </c>
    </row>
    <row r="86" spans="1:36" x14ac:dyDescent="0.35">
      <c r="A86" s="7" t="s">
        <v>498</v>
      </c>
      <c r="B86" s="7"/>
      <c r="C86" s="7"/>
      <c r="D86" s="7" t="s">
        <v>518</v>
      </c>
      <c r="E86" s="10">
        <f>SUMIFS('PLAN BUDGET SAMI-TF'!AN12:AN99999,'PLAN BUDGET SAMI-TF'!D12:D99999,SUMMARY!D86,'PLAN BUDGET SAMI-TF'!J12:J99999,SUMMARY!A86&amp;"*")</f>
        <v>0</v>
      </c>
      <c r="F86" s="10">
        <f>SUMIFS('PLAN BUDGET SAMI-TF'!AO12:AO99999,'PLAN BUDGET SAMI-TF'!D12:D99999,SUMMARY!D86,'PLAN BUDGET SAMI-TF'!J12:J99999,SUMMARY!A86&amp;"*")</f>
        <v>1</v>
      </c>
      <c r="G86" s="10">
        <f>SUMIFS('PLAN BUDGET SAMI-TF'!AP12:AP99999,'PLAN BUDGET SAMI-TF'!D12:D99999,SUMMARY!D86,'PLAN BUDGET SAMI-TF'!J12:J99999,SUMMARY!A86&amp;"*")</f>
        <v>0</v>
      </c>
      <c r="H86" s="10">
        <f>SUMIFS('PLAN BUDGET SAMI-TF'!AQ12:AQ99999,'PLAN BUDGET SAMI-TF'!D12:D99999,SUMMARY!D86,'PLAN BUDGET SAMI-TF'!J12:J99999,SUMMARY!A86&amp;"*")</f>
        <v>0</v>
      </c>
      <c r="I86" s="10">
        <f>SUMIFS('PLAN BUDGET SAMI-TF'!AR12:AR99999,'PLAN BUDGET SAMI-TF'!D12:D99999,SUMMARY!D86,'PLAN BUDGET SAMI-TF'!J12:J99999,SUMMARY!A86&amp;"*")</f>
        <v>0</v>
      </c>
      <c r="J86" s="10">
        <f>SUMIFS('PLAN BUDGET SAMI-TF'!AS12:AS99999,'PLAN BUDGET SAMI-TF'!D12:D99999,SUMMARY!D86,'PLAN BUDGET SAMI-TF'!J12:J99999,SUMMARY!A86&amp;"*")</f>
        <v>0</v>
      </c>
      <c r="K86" s="10">
        <f>SUMIFS('PLAN BUDGET SAMI-TF'!AT12:AT99999,'PLAN BUDGET SAMI-TF'!D12:D99999,SUMMARY!D86,'PLAN BUDGET SAMI-TF'!J12:J99999,SUMMARY!A86&amp;"*")</f>
        <v>0</v>
      </c>
      <c r="L86" s="10">
        <f>SUMIFS('PLAN BUDGET SAMI-TF'!AU12:AU99999,'PLAN BUDGET SAMI-TF'!D12:D99999,SUMMARY!D86,'PLAN BUDGET SAMI-TF'!J12:J99999,SUMMARY!A86&amp;"*")</f>
        <v>0</v>
      </c>
      <c r="M86" s="10">
        <f>SUMIFS('PLAN BUDGET SAMI-TF'!AV12:AV99999,'PLAN BUDGET SAMI-TF'!D12:D99999,SUMMARY!D86,'PLAN BUDGET SAMI-TF'!J12:J99999,SUMMARY!A86&amp;"*")</f>
        <v>0</v>
      </c>
      <c r="N86" s="10">
        <f>SUMIFS('PLAN BUDGET SAMI-TF'!AW12:AW99999,'PLAN BUDGET SAMI-TF'!D12:D99999,SUMMARY!D86,'PLAN BUDGET SAMI-TF'!J12:J99999,SUMMARY!A86&amp;"*")</f>
        <v>0</v>
      </c>
      <c r="O86" s="10">
        <f>SUMIFS('PLAN BUDGET SAMI-TF'!AX12:AX99999,'PLAN BUDGET SAMI-TF'!D12:D99999,SUMMARY!D86,'PLAN BUDGET SAMI-TF'!J12:J99999,SUMMARY!A86&amp;"*")</f>
        <v>0</v>
      </c>
      <c r="P86" s="10">
        <f>SUMIFS('PLAN BUDGET SAMI-TF'!AY12:AY99999,'PLAN BUDGET SAMI-TF'!D12:D99999,SUMMARY!D86,'PLAN BUDGET SAMI-TF'!J12:J99999,SUMMARY!A86&amp;"*")</f>
        <v>0</v>
      </c>
      <c r="Q86" s="10">
        <f>SUMIFS('PLAN BUDGET SAMI-TF'!BC12:BC99999,'PLAN BUDGET SAMI-TF'!D12:D99999,SUMMARY!D86,'PLAN BUDGET SAMI-TF'!J12:J99999,SUMMARY!A86&amp;"*")</f>
        <v>0</v>
      </c>
      <c r="R86" s="10">
        <f>SUMIFS('PLAN BUDGET SAMI-TF'!BD12:BD99999,'PLAN BUDGET SAMI-TF'!D12:D99999,SUMMARY!D86,'PLAN BUDGET SAMI-TF'!J12:J99999,SUMMARY!A86&amp;"*")</f>
        <v>104.43963389161</v>
      </c>
      <c r="S86" s="10">
        <f>SUMIFS('PLAN BUDGET SAMI-TF'!BE12:BE99999,'PLAN BUDGET SAMI-TF'!D12:D99999,SUMMARY!D86,'PLAN BUDGET SAMI-TF'!J12:J99999,SUMMARY!A86&amp;"*")</f>
        <v>0</v>
      </c>
      <c r="T86" s="10">
        <f>SUMIFS('PLAN BUDGET SAMI-TF'!BF12:BF99999,'PLAN BUDGET SAMI-TF'!D12:D99999,SUMMARY!D86,'PLAN BUDGET SAMI-TF'!J12:J99999,SUMMARY!A86&amp;"*")</f>
        <v>0</v>
      </c>
      <c r="U86" s="10">
        <f>SUMIFS('PLAN BUDGET SAMI-TF'!BG12:BG99999,'PLAN BUDGET SAMI-TF'!D12:D99999,SUMMARY!D86,'PLAN BUDGET SAMI-TF'!J12:J99999,SUMMARY!A86&amp;"*")</f>
        <v>0</v>
      </c>
      <c r="V86" s="10">
        <f>SUMIFS('PLAN BUDGET SAMI-TF'!BH12:BH99999,'PLAN BUDGET SAMI-TF'!D12:D99999,SUMMARY!D86,'PLAN BUDGET SAMI-TF'!J12:J99999,SUMMARY!A86&amp;"*")</f>
        <v>0</v>
      </c>
      <c r="W86" s="10">
        <f>SUMIFS('PLAN BUDGET SAMI-TF'!BI12:BI99999,'PLAN BUDGET SAMI-TF'!D12:D99999,SUMMARY!D86,'PLAN BUDGET SAMI-TF'!J12:J99999,SUMMARY!A86&amp;"*")</f>
        <v>0</v>
      </c>
      <c r="X86" s="10">
        <f>SUMIFS('PLAN BUDGET SAMI-TF'!BJ12:BJ99999,'PLAN BUDGET SAMI-TF'!D12:D99999,SUMMARY!D86,'PLAN BUDGET SAMI-TF'!J12:J99999,SUMMARY!A86&amp;"*")</f>
        <v>0</v>
      </c>
      <c r="Y86" s="10">
        <f>SUMIFS('PLAN BUDGET SAMI-TF'!BK12:BK99999,'PLAN BUDGET SAMI-TF'!D12:D99999,SUMMARY!D86,'PLAN BUDGET SAMI-TF'!J12:J99999,SUMMARY!A86&amp;"*")</f>
        <v>0</v>
      </c>
      <c r="Z86" s="10">
        <f>SUMIFS('PLAN BUDGET SAMI-TF'!BL12:BL99999,'PLAN BUDGET SAMI-TF'!D12:D99999,SUMMARY!D86,'PLAN BUDGET SAMI-TF'!J12:J99999,SUMMARY!A86&amp;"*")</f>
        <v>0</v>
      </c>
      <c r="AA86" s="10">
        <f>SUMIFS('PLAN BUDGET SAMI-TF'!BM12:BM99999,'PLAN BUDGET SAMI-TF'!D12:D99999,SUMMARY!D86,'PLAN BUDGET SAMI-TF'!J12:J99999,SUMMARY!A86&amp;"*")</f>
        <v>0</v>
      </c>
      <c r="AB86" s="10">
        <f>SUMIFS('PLAN BUDGET SAMI-TF'!BN12:BN99999,'PLAN BUDGET SAMI-TF'!D12:D99999,SUMMARY!D86,'PLAN BUDGET SAMI-TF'!J12:J99999,SUMMARY!A86&amp;"*")</f>
        <v>0</v>
      </c>
      <c r="AC86" s="10">
        <f t="shared" si="8"/>
        <v>1</v>
      </c>
      <c r="AD86" s="10">
        <f t="shared" si="9"/>
        <v>104.43963389161</v>
      </c>
      <c r="AE86" s="16"/>
      <c r="AF86" s="10">
        <v>0</v>
      </c>
      <c r="AG86" s="10">
        <v>0</v>
      </c>
      <c r="AH86" s="20">
        <f t="shared" si="10"/>
        <v>1</v>
      </c>
      <c r="AI86" s="20">
        <f t="shared" si="11"/>
        <v>1</v>
      </c>
      <c r="AJ86" s="67" t="s">
        <v>863</v>
      </c>
    </row>
    <row r="87" spans="1:36" x14ac:dyDescent="0.35">
      <c r="A87" s="7" t="s">
        <v>498</v>
      </c>
      <c r="B87" s="7"/>
      <c r="C87" s="7"/>
      <c r="D87" s="7" t="s">
        <v>526</v>
      </c>
      <c r="E87" s="10">
        <f>SUMIFS('PLAN BUDGET SAMI-TF'!AN12:AN99999,'PLAN BUDGET SAMI-TF'!D12:D99999,SUMMARY!D87,'PLAN BUDGET SAMI-TF'!J12:J99999,SUMMARY!A87&amp;"*")</f>
        <v>0</v>
      </c>
      <c r="F87" s="10">
        <f>SUMIFS('PLAN BUDGET SAMI-TF'!AO12:AO99999,'PLAN BUDGET SAMI-TF'!D12:D99999,SUMMARY!D87,'PLAN BUDGET SAMI-TF'!J12:J99999,SUMMARY!A87&amp;"*")</f>
        <v>2</v>
      </c>
      <c r="G87" s="10">
        <f>SUMIFS('PLAN BUDGET SAMI-TF'!AP12:AP99999,'PLAN BUDGET SAMI-TF'!D12:D99999,SUMMARY!D87,'PLAN BUDGET SAMI-TF'!J12:J99999,SUMMARY!A87&amp;"*")</f>
        <v>0</v>
      </c>
      <c r="H87" s="10">
        <f>SUMIFS('PLAN BUDGET SAMI-TF'!AQ12:AQ99999,'PLAN BUDGET SAMI-TF'!D12:D99999,SUMMARY!D87,'PLAN BUDGET SAMI-TF'!J12:J99999,SUMMARY!A87&amp;"*")</f>
        <v>0</v>
      </c>
      <c r="I87" s="10">
        <f>SUMIFS('PLAN BUDGET SAMI-TF'!AR12:AR99999,'PLAN BUDGET SAMI-TF'!D12:D99999,SUMMARY!D87,'PLAN BUDGET SAMI-TF'!J12:J99999,SUMMARY!A87&amp;"*")</f>
        <v>0</v>
      </c>
      <c r="J87" s="10">
        <f>SUMIFS('PLAN BUDGET SAMI-TF'!AS12:AS99999,'PLAN BUDGET SAMI-TF'!D12:D99999,SUMMARY!D87,'PLAN BUDGET SAMI-TF'!J12:J99999,SUMMARY!A87&amp;"*")</f>
        <v>0</v>
      </c>
      <c r="K87" s="10">
        <f>SUMIFS('PLAN BUDGET SAMI-TF'!AT12:AT99999,'PLAN BUDGET SAMI-TF'!D12:D99999,SUMMARY!D87,'PLAN BUDGET SAMI-TF'!J12:J99999,SUMMARY!A87&amp;"*")</f>
        <v>0</v>
      </c>
      <c r="L87" s="10">
        <f>SUMIFS('PLAN BUDGET SAMI-TF'!AU12:AU99999,'PLAN BUDGET SAMI-TF'!D12:D99999,SUMMARY!D87,'PLAN BUDGET SAMI-TF'!J12:J99999,SUMMARY!A87&amp;"*")</f>
        <v>0</v>
      </c>
      <c r="M87" s="10">
        <f>SUMIFS('PLAN BUDGET SAMI-TF'!AV12:AV99999,'PLAN BUDGET SAMI-TF'!D12:D99999,SUMMARY!D87,'PLAN BUDGET SAMI-TF'!J12:J99999,SUMMARY!A87&amp;"*")</f>
        <v>0</v>
      </c>
      <c r="N87" s="10">
        <f>SUMIFS('PLAN BUDGET SAMI-TF'!AW12:AW99999,'PLAN BUDGET SAMI-TF'!D12:D99999,SUMMARY!D87,'PLAN BUDGET SAMI-TF'!J12:J99999,SUMMARY!A87&amp;"*")</f>
        <v>0</v>
      </c>
      <c r="O87" s="10">
        <f>SUMIFS('PLAN BUDGET SAMI-TF'!AX12:AX99999,'PLAN BUDGET SAMI-TF'!D12:D99999,SUMMARY!D87,'PLAN BUDGET SAMI-TF'!J12:J99999,SUMMARY!A87&amp;"*")</f>
        <v>0</v>
      </c>
      <c r="P87" s="10">
        <f>SUMIFS('PLAN BUDGET SAMI-TF'!AY12:AY99999,'PLAN BUDGET SAMI-TF'!D12:D99999,SUMMARY!D87,'PLAN BUDGET SAMI-TF'!J12:J99999,SUMMARY!A87&amp;"*")</f>
        <v>0</v>
      </c>
      <c r="Q87" s="10">
        <f>SUMIFS('PLAN BUDGET SAMI-TF'!BC12:BC99999,'PLAN BUDGET SAMI-TF'!D12:D99999,SUMMARY!D87,'PLAN BUDGET SAMI-TF'!J12:J99999,SUMMARY!A87&amp;"*")</f>
        <v>0</v>
      </c>
      <c r="R87" s="10">
        <f>SUMIFS('PLAN BUDGET SAMI-TF'!BD12:BD99999,'PLAN BUDGET SAMI-TF'!D12:D99999,SUMMARY!D87,'PLAN BUDGET SAMI-TF'!J12:J99999,SUMMARY!A87&amp;"*")</f>
        <v>208.87926778322</v>
      </c>
      <c r="S87" s="10">
        <f>SUMIFS('PLAN BUDGET SAMI-TF'!BE12:BE99999,'PLAN BUDGET SAMI-TF'!D12:D99999,SUMMARY!D87,'PLAN BUDGET SAMI-TF'!J12:J99999,SUMMARY!A87&amp;"*")</f>
        <v>0</v>
      </c>
      <c r="T87" s="10">
        <f>SUMIFS('PLAN BUDGET SAMI-TF'!BF12:BF99999,'PLAN BUDGET SAMI-TF'!D12:D99999,SUMMARY!D87,'PLAN BUDGET SAMI-TF'!J12:J99999,SUMMARY!A87&amp;"*")</f>
        <v>0</v>
      </c>
      <c r="U87" s="10">
        <f>SUMIFS('PLAN BUDGET SAMI-TF'!BG12:BG99999,'PLAN BUDGET SAMI-TF'!D12:D99999,SUMMARY!D87,'PLAN BUDGET SAMI-TF'!J12:J99999,SUMMARY!A87&amp;"*")</f>
        <v>0</v>
      </c>
      <c r="V87" s="10">
        <f>SUMIFS('PLAN BUDGET SAMI-TF'!BH12:BH99999,'PLAN BUDGET SAMI-TF'!D12:D99999,SUMMARY!D87,'PLAN BUDGET SAMI-TF'!J12:J99999,SUMMARY!A87&amp;"*")</f>
        <v>0</v>
      </c>
      <c r="W87" s="10">
        <f>SUMIFS('PLAN BUDGET SAMI-TF'!BI12:BI99999,'PLAN BUDGET SAMI-TF'!D12:D99999,SUMMARY!D87,'PLAN BUDGET SAMI-TF'!J12:J99999,SUMMARY!A87&amp;"*")</f>
        <v>0</v>
      </c>
      <c r="X87" s="10">
        <f>SUMIFS('PLAN BUDGET SAMI-TF'!BJ12:BJ99999,'PLAN BUDGET SAMI-TF'!D12:D99999,SUMMARY!D87,'PLAN BUDGET SAMI-TF'!J12:J99999,SUMMARY!A87&amp;"*")</f>
        <v>0</v>
      </c>
      <c r="Y87" s="10">
        <f>SUMIFS('PLAN BUDGET SAMI-TF'!BK12:BK99999,'PLAN BUDGET SAMI-TF'!D12:D99999,SUMMARY!D87,'PLAN BUDGET SAMI-TF'!J12:J99999,SUMMARY!A87&amp;"*")</f>
        <v>0</v>
      </c>
      <c r="Z87" s="10">
        <f>SUMIFS('PLAN BUDGET SAMI-TF'!BL12:BL99999,'PLAN BUDGET SAMI-TF'!D12:D99999,SUMMARY!D87,'PLAN BUDGET SAMI-TF'!J12:J99999,SUMMARY!A87&amp;"*")</f>
        <v>0</v>
      </c>
      <c r="AA87" s="10">
        <f>SUMIFS('PLAN BUDGET SAMI-TF'!BM12:BM99999,'PLAN BUDGET SAMI-TF'!D12:D99999,SUMMARY!D87,'PLAN BUDGET SAMI-TF'!J12:J99999,SUMMARY!A87&amp;"*")</f>
        <v>0</v>
      </c>
      <c r="AB87" s="10">
        <f>SUMIFS('PLAN BUDGET SAMI-TF'!BN12:BN99999,'PLAN BUDGET SAMI-TF'!D12:D99999,SUMMARY!D87,'PLAN BUDGET SAMI-TF'!J12:J99999,SUMMARY!A87&amp;"*")</f>
        <v>0</v>
      </c>
      <c r="AC87" s="10">
        <f t="shared" si="8"/>
        <v>2</v>
      </c>
      <c r="AD87" s="10">
        <f t="shared" si="9"/>
        <v>208.87926778322</v>
      </c>
      <c r="AE87" s="16"/>
      <c r="AF87" s="10">
        <v>0</v>
      </c>
      <c r="AG87" s="10">
        <v>0</v>
      </c>
      <c r="AH87" s="20">
        <f t="shared" si="10"/>
        <v>1</v>
      </c>
      <c r="AI87" s="20">
        <f t="shared" si="11"/>
        <v>1</v>
      </c>
      <c r="AJ87" s="67" t="s">
        <v>863</v>
      </c>
    </row>
    <row r="88" spans="1:36" x14ac:dyDescent="0.35">
      <c r="A88" s="7" t="s">
        <v>498</v>
      </c>
      <c r="B88" s="7"/>
      <c r="C88" s="7"/>
      <c r="D88" s="7" t="s">
        <v>595</v>
      </c>
      <c r="E88" s="10">
        <f>SUMIFS('PLAN BUDGET SAMI-TF'!AN12:AN99999,'PLAN BUDGET SAMI-TF'!D12:D99999,SUMMARY!D88,'PLAN BUDGET SAMI-TF'!J12:J99999,SUMMARY!A88&amp;"*")</f>
        <v>0</v>
      </c>
      <c r="F88" s="10">
        <f>SUMIFS('PLAN BUDGET SAMI-TF'!AO12:AO99999,'PLAN BUDGET SAMI-TF'!D12:D99999,SUMMARY!D88,'PLAN BUDGET SAMI-TF'!J12:J99999,SUMMARY!A88&amp;"*")</f>
        <v>1</v>
      </c>
      <c r="G88" s="10">
        <f>SUMIFS('PLAN BUDGET SAMI-TF'!AP12:AP99999,'PLAN BUDGET SAMI-TF'!D12:D99999,SUMMARY!D88,'PLAN BUDGET SAMI-TF'!J12:J99999,SUMMARY!A88&amp;"*")</f>
        <v>0</v>
      </c>
      <c r="H88" s="10">
        <f>SUMIFS('PLAN BUDGET SAMI-TF'!AQ12:AQ99999,'PLAN BUDGET SAMI-TF'!D12:D99999,SUMMARY!D88,'PLAN BUDGET SAMI-TF'!J12:J99999,SUMMARY!A88&amp;"*")</f>
        <v>0</v>
      </c>
      <c r="I88" s="10">
        <f>SUMIFS('PLAN BUDGET SAMI-TF'!AR12:AR99999,'PLAN BUDGET SAMI-TF'!D12:D99999,SUMMARY!D88,'PLAN BUDGET SAMI-TF'!J12:J99999,SUMMARY!A88&amp;"*")</f>
        <v>0</v>
      </c>
      <c r="J88" s="10">
        <f>SUMIFS('PLAN BUDGET SAMI-TF'!AS12:AS99999,'PLAN BUDGET SAMI-TF'!D12:D99999,SUMMARY!D88,'PLAN BUDGET SAMI-TF'!J12:J99999,SUMMARY!A88&amp;"*")</f>
        <v>0</v>
      </c>
      <c r="K88" s="10">
        <f>SUMIFS('PLAN BUDGET SAMI-TF'!AT12:AT99999,'PLAN BUDGET SAMI-TF'!D12:D99999,SUMMARY!D88,'PLAN BUDGET SAMI-TF'!J12:J99999,SUMMARY!A88&amp;"*")</f>
        <v>0</v>
      </c>
      <c r="L88" s="10">
        <f>SUMIFS('PLAN BUDGET SAMI-TF'!AU12:AU99999,'PLAN BUDGET SAMI-TF'!D12:D99999,SUMMARY!D88,'PLAN BUDGET SAMI-TF'!J12:J99999,SUMMARY!A88&amp;"*")</f>
        <v>0</v>
      </c>
      <c r="M88" s="10">
        <f>SUMIFS('PLAN BUDGET SAMI-TF'!AV12:AV99999,'PLAN BUDGET SAMI-TF'!D12:D99999,SUMMARY!D88,'PLAN BUDGET SAMI-TF'!J12:J99999,SUMMARY!A88&amp;"*")</f>
        <v>0</v>
      </c>
      <c r="N88" s="10">
        <f>SUMIFS('PLAN BUDGET SAMI-TF'!AW12:AW99999,'PLAN BUDGET SAMI-TF'!D12:D99999,SUMMARY!D88,'PLAN BUDGET SAMI-TF'!J12:J99999,SUMMARY!A88&amp;"*")</f>
        <v>0</v>
      </c>
      <c r="O88" s="10">
        <f>SUMIFS('PLAN BUDGET SAMI-TF'!AX12:AX99999,'PLAN BUDGET SAMI-TF'!D12:D99999,SUMMARY!D88,'PLAN BUDGET SAMI-TF'!J12:J99999,SUMMARY!A88&amp;"*")</f>
        <v>0</v>
      </c>
      <c r="P88" s="10">
        <f>SUMIFS('PLAN BUDGET SAMI-TF'!AY12:AY99999,'PLAN BUDGET SAMI-TF'!D12:D99999,SUMMARY!D88,'PLAN BUDGET SAMI-TF'!J12:J99999,SUMMARY!A88&amp;"*")</f>
        <v>0</v>
      </c>
      <c r="Q88" s="10">
        <f>SUMIFS('PLAN BUDGET SAMI-TF'!BC12:BC99999,'PLAN BUDGET SAMI-TF'!D12:D99999,SUMMARY!D88,'PLAN BUDGET SAMI-TF'!J12:J99999,SUMMARY!A88&amp;"*")</f>
        <v>0</v>
      </c>
      <c r="R88" s="10">
        <f>SUMIFS('PLAN BUDGET SAMI-TF'!BD12:BD99999,'PLAN BUDGET SAMI-TF'!D12:D99999,SUMMARY!D88,'PLAN BUDGET SAMI-TF'!J12:J99999,SUMMARY!A88&amp;"*")</f>
        <v>59.182459205245998</v>
      </c>
      <c r="S88" s="10">
        <f>SUMIFS('PLAN BUDGET SAMI-TF'!BE12:BE99999,'PLAN BUDGET SAMI-TF'!D12:D99999,SUMMARY!D88,'PLAN BUDGET SAMI-TF'!J12:J99999,SUMMARY!A88&amp;"*")</f>
        <v>0</v>
      </c>
      <c r="T88" s="10">
        <f>SUMIFS('PLAN BUDGET SAMI-TF'!BF12:BF99999,'PLAN BUDGET SAMI-TF'!D12:D99999,SUMMARY!D88,'PLAN BUDGET SAMI-TF'!J12:J99999,SUMMARY!A88&amp;"*")</f>
        <v>0</v>
      </c>
      <c r="U88" s="10">
        <f>SUMIFS('PLAN BUDGET SAMI-TF'!BG12:BG99999,'PLAN BUDGET SAMI-TF'!D12:D99999,SUMMARY!D88,'PLAN BUDGET SAMI-TF'!J12:J99999,SUMMARY!A88&amp;"*")</f>
        <v>0</v>
      </c>
      <c r="V88" s="10">
        <f>SUMIFS('PLAN BUDGET SAMI-TF'!BH12:BH99999,'PLAN BUDGET SAMI-TF'!D12:D99999,SUMMARY!D88,'PLAN BUDGET SAMI-TF'!J12:J99999,SUMMARY!A88&amp;"*")</f>
        <v>0</v>
      </c>
      <c r="W88" s="10">
        <f>SUMIFS('PLAN BUDGET SAMI-TF'!BI12:BI99999,'PLAN BUDGET SAMI-TF'!D12:D99999,SUMMARY!D88,'PLAN BUDGET SAMI-TF'!J12:J99999,SUMMARY!A88&amp;"*")</f>
        <v>0</v>
      </c>
      <c r="X88" s="10">
        <f>SUMIFS('PLAN BUDGET SAMI-TF'!BJ12:BJ99999,'PLAN BUDGET SAMI-TF'!D12:D99999,SUMMARY!D88,'PLAN BUDGET SAMI-TF'!J12:J99999,SUMMARY!A88&amp;"*")</f>
        <v>0</v>
      </c>
      <c r="Y88" s="10">
        <f>SUMIFS('PLAN BUDGET SAMI-TF'!BK12:BK99999,'PLAN BUDGET SAMI-TF'!D12:D99999,SUMMARY!D88,'PLAN BUDGET SAMI-TF'!J12:J99999,SUMMARY!A88&amp;"*")</f>
        <v>0</v>
      </c>
      <c r="Z88" s="10">
        <f>SUMIFS('PLAN BUDGET SAMI-TF'!BL12:BL99999,'PLAN BUDGET SAMI-TF'!D12:D99999,SUMMARY!D88,'PLAN BUDGET SAMI-TF'!J12:J99999,SUMMARY!A88&amp;"*")</f>
        <v>0</v>
      </c>
      <c r="AA88" s="10">
        <f>SUMIFS('PLAN BUDGET SAMI-TF'!BM12:BM99999,'PLAN BUDGET SAMI-TF'!D12:D99999,SUMMARY!D88,'PLAN BUDGET SAMI-TF'!J12:J99999,SUMMARY!A88&amp;"*")</f>
        <v>0</v>
      </c>
      <c r="AB88" s="10">
        <f>SUMIFS('PLAN BUDGET SAMI-TF'!BN12:BN99999,'PLAN BUDGET SAMI-TF'!D12:D99999,SUMMARY!D88,'PLAN BUDGET SAMI-TF'!J12:J99999,SUMMARY!A88&amp;"*")</f>
        <v>0</v>
      </c>
      <c r="AC88" s="10">
        <f t="shared" si="8"/>
        <v>1</v>
      </c>
      <c r="AD88" s="10">
        <f t="shared" si="9"/>
        <v>59.182459205245998</v>
      </c>
      <c r="AE88" s="16"/>
      <c r="AF88" s="10">
        <v>0</v>
      </c>
      <c r="AG88" s="10">
        <v>0</v>
      </c>
      <c r="AH88" s="20">
        <f t="shared" si="10"/>
        <v>1</v>
      </c>
      <c r="AI88" s="20">
        <f t="shared" si="11"/>
        <v>1</v>
      </c>
      <c r="AJ88" s="67" t="s">
        <v>863</v>
      </c>
    </row>
    <row r="89" spans="1:36" x14ac:dyDescent="0.35">
      <c r="A89" s="7" t="s">
        <v>498</v>
      </c>
      <c r="B89" s="7"/>
      <c r="C89" s="7"/>
      <c r="D89" s="7" t="s">
        <v>659</v>
      </c>
      <c r="E89" s="10">
        <f>SUMIFS('PLAN BUDGET SAMI-TF'!AN12:AN99999,'PLAN BUDGET SAMI-TF'!D12:D99999,SUMMARY!D89,'PLAN BUDGET SAMI-TF'!J12:J99999,SUMMARY!A89&amp;"*")</f>
        <v>0</v>
      </c>
      <c r="F89" s="10">
        <f>SUMIFS('PLAN BUDGET SAMI-TF'!AO12:AO99999,'PLAN BUDGET SAMI-TF'!D12:D99999,SUMMARY!D89,'PLAN BUDGET SAMI-TF'!J12:J99999,SUMMARY!A89&amp;"*")</f>
        <v>1</v>
      </c>
      <c r="G89" s="10">
        <f>SUMIFS('PLAN BUDGET SAMI-TF'!AP12:AP99999,'PLAN BUDGET SAMI-TF'!D12:D99999,SUMMARY!D89,'PLAN BUDGET SAMI-TF'!J12:J99999,SUMMARY!A89&amp;"*")</f>
        <v>0</v>
      </c>
      <c r="H89" s="10">
        <f>SUMIFS('PLAN BUDGET SAMI-TF'!AQ12:AQ99999,'PLAN BUDGET SAMI-TF'!D12:D99999,SUMMARY!D89,'PLAN BUDGET SAMI-TF'!J12:J99999,SUMMARY!A89&amp;"*")</f>
        <v>0</v>
      </c>
      <c r="I89" s="10">
        <f>SUMIFS('PLAN BUDGET SAMI-TF'!AR12:AR99999,'PLAN BUDGET SAMI-TF'!D12:D99999,SUMMARY!D89,'PLAN BUDGET SAMI-TF'!J12:J99999,SUMMARY!A89&amp;"*")</f>
        <v>1</v>
      </c>
      <c r="J89" s="10">
        <f>SUMIFS('PLAN BUDGET SAMI-TF'!AS12:AS99999,'PLAN BUDGET SAMI-TF'!D12:D99999,SUMMARY!D89,'PLAN BUDGET SAMI-TF'!J12:J99999,SUMMARY!A89&amp;"*")</f>
        <v>0</v>
      </c>
      <c r="K89" s="10">
        <f>SUMIFS('PLAN BUDGET SAMI-TF'!AT12:AT99999,'PLAN BUDGET SAMI-TF'!D12:D99999,SUMMARY!D89,'PLAN BUDGET SAMI-TF'!J12:J99999,SUMMARY!A89&amp;"*")</f>
        <v>0</v>
      </c>
      <c r="L89" s="10">
        <f>SUMIFS('PLAN BUDGET SAMI-TF'!AU12:AU99999,'PLAN BUDGET SAMI-TF'!D12:D99999,SUMMARY!D89,'PLAN BUDGET SAMI-TF'!J12:J99999,SUMMARY!A89&amp;"*")</f>
        <v>0</v>
      </c>
      <c r="M89" s="10">
        <f>SUMIFS('PLAN BUDGET SAMI-TF'!AV12:AV99999,'PLAN BUDGET SAMI-TF'!D12:D99999,SUMMARY!D89,'PLAN BUDGET SAMI-TF'!J12:J99999,SUMMARY!A89&amp;"*")</f>
        <v>0</v>
      </c>
      <c r="N89" s="10">
        <f>SUMIFS('PLAN BUDGET SAMI-TF'!AW12:AW99999,'PLAN BUDGET SAMI-TF'!D12:D99999,SUMMARY!D89,'PLAN BUDGET SAMI-TF'!J12:J99999,SUMMARY!A89&amp;"*")</f>
        <v>0</v>
      </c>
      <c r="O89" s="10">
        <f>SUMIFS('PLAN BUDGET SAMI-TF'!AX12:AX99999,'PLAN BUDGET SAMI-TF'!D12:D99999,SUMMARY!D89,'PLAN BUDGET SAMI-TF'!J12:J99999,SUMMARY!A89&amp;"*")</f>
        <v>0</v>
      </c>
      <c r="P89" s="10">
        <f>SUMIFS('PLAN BUDGET SAMI-TF'!AY12:AY99999,'PLAN BUDGET SAMI-TF'!D12:D99999,SUMMARY!D89,'PLAN BUDGET SAMI-TF'!J12:J99999,SUMMARY!A89&amp;"*")</f>
        <v>0</v>
      </c>
      <c r="Q89" s="10">
        <f>SUMIFS('PLAN BUDGET SAMI-TF'!BC12:BC99999,'PLAN BUDGET SAMI-TF'!D12:D99999,SUMMARY!D89,'PLAN BUDGET SAMI-TF'!J12:J99999,SUMMARY!A89&amp;"*")</f>
        <v>0</v>
      </c>
      <c r="R89" s="10">
        <f>SUMIFS('PLAN BUDGET SAMI-TF'!BD12:BD99999,'PLAN BUDGET SAMI-TF'!D12:D99999,SUMMARY!D89,'PLAN BUDGET SAMI-TF'!J12:J99999,SUMMARY!A89&amp;"*")</f>
        <v>48.738495816084999</v>
      </c>
      <c r="S89" s="10">
        <f>SUMIFS('PLAN BUDGET SAMI-TF'!BE12:BE99999,'PLAN BUDGET SAMI-TF'!D12:D99999,SUMMARY!D89,'PLAN BUDGET SAMI-TF'!J12:J99999,SUMMARY!A89&amp;"*")</f>
        <v>0</v>
      </c>
      <c r="T89" s="10">
        <f>SUMIFS('PLAN BUDGET SAMI-TF'!BF12:BF99999,'PLAN BUDGET SAMI-TF'!D12:D99999,SUMMARY!D89,'PLAN BUDGET SAMI-TF'!J12:J99999,SUMMARY!A89&amp;"*")</f>
        <v>0</v>
      </c>
      <c r="U89" s="10">
        <f>SUMIFS('PLAN BUDGET SAMI-TF'!BG12:BG99999,'PLAN BUDGET SAMI-TF'!D12:D99999,SUMMARY!D89,'PLAN BUDGET SAMI-TF'!J12:J99999,SUMMARY!A89&amp;"*")</f>
        <v>48.738495816084999</v>
      </c>
      <c r="V89" s="10">
        <f>SUMIFS('PLAN BUDGET SAMI-TF'!BH12:BH99999,'PLAN BUDGET SAMI-TF'!D12:D99999,SUMMARY!D89,'PLAN BUDGET SAMI-TF'!J12:J99999,SUMMARY!A89&amp;"*")</f>
        <v>0</v>
      </c>
      <c r="W89" s="10">
        <f>SUMIFS('PLAN BUDGET SAMI-TF'!BI12:BI99999,'PLAN BUDGET SAMI-TF'!D12:D99999,SUMMARY!D89,'PLAN BUDGET SAMI-TF'!J12:J99999,SUMMARY!A89&amp;"*")</f>
        <v>0</v>
      </c>
      <c r="X89" s="10">
        <f>SUMIFS('PLAN BUDGET SAMI-TF'!BJ12:BJ99999,'PLAN BUDGET SAMI-TF'!D12:D99999,SUMMARY!D89,'PLAN BUDGET SAMI-TF'!J12:J99999,SUMMARY!A89&amp;"*")</f>
        <v>0</v>
      </c>
      <c r="Y89" s="10">
        <f>SUMIFS('PLAN BUDGET SAMI-TF'!BK12:BK99999,'PLAN BUDGET SAMI-TF'!D12:D99999,SUMMARY!D89,'PLAN BUDGET SAMI-TF'!J12:J99999,SUMMARY!A89&amp;"*")</f>
        <v>0</v>
      </c>
      <c r="Z89" s="10">
        <f>SUMIFS('PLAN BUDGET SAMI-TF'!BL12:BL99999,'PLAN BUDGET SAMI-TF'!D12:D99999,SUMMARY!D89,'PLAN BUDGET SAMI-TF'!J12:J99999,SUMMARY!A89&amp;"*")</f>
        <v>0</v>
      </c>
      <c r="AA89" s="10">
        <f>SUMIFS('PLAN BUDGET SAMI-TF'!BM12:BM99999,'PLAN BUDGET SAMI-TF'!D12:D99999,SUMMARY!D89,'PLAN BUDGET SAMI-TF'!J12:J99999,SUMMARY!A89&amp;"*")</f>
        <v>0</v>
      </c>
      <c r="AB89" s="10">
        <f>SUMIFS('PLAN BUDGET SAMI-TF'!BN12:BN99999,'PLAN BUDGET SAMI-TF'!D12:D99999,SUMMARY!D89,'PLAN BUDGET SAMI-TF'!J12:J99999,SUMMARY!A89&amp;"*")</f>
        <v>0</v>
      </c>
      <c r="AC89" s="10">
        <f t="shared" si="8"/>
        <v>2</v>
      </c>
      <c r="AD89" s="10">
        <f t="shared" si="9"/>
        <v>97.476991632169998</v>
      </c>
      <c r="AE89" s="16"/>
      <c r="AF89" s="10">
        <v>0</v>
      </c>
      <c r="AG89" s="10">
        <v>0</v>
      </c>
      <c r="AH89" s="20">
        <f t="shared" si="10"/>
        <v>1</v>
      </c>
      <c r="AI89" s="20">
        <f t="shared" si="11"/>
        <v>1</v>
      </c>
      <c r="AJ89" s="67" t="s">
        <v>863</v>
      </c>
    </row>
    <row r="90" spans="1:36" x14ac:dyDescent="0.35">
      <c r="A90" s="7" t="s">
        <v>498</v>
      </c>
      <c r="B90" s="7"/>
      <c r="C90" s="7"/>
      <c r="D90" s="7" t="s">
        <v>521</v>
      </c>
      <c r="E90" s="10">
        <f>SUMIFS('PLAN BUDGET SAMI-TF'!AN12:AN99999,'PLAN BUDGET SAMI-TF'!D12:D99999,SUMMARY!D90,'PLAN BUDGET SAMI-TF'!J12:J99999,SUMMARY!A90&amp;"*")</f>
        <v>0</v>
      </c>
      <c r="F90" s="10">
        <f>SUMIFS('PLAN BUDGET SAMI-TF'!AO12:AO99999,'PLAN BUDGET SAMI-TF'!D12:D99999,SUMMARY!D90,'PLAN BUDGET SAMI-TF'!J12:J99999,SUMMARY!A90&amp;"*")</f>
        <v>2</v>
      </c>
      <c r="G90" s="10">
        <f>SUMIFS('PLAN BUDGET SAMI-TF'!AP12:AP99999,'PLAN BUDGET SAMI-TF'!D12:D99999,SUMMARY!D90,'PLAN BUDGET SAMI-TF'!J12:J99999,SUMMARY!A90&amp;"*")</f>
        <v>2</v>
      </c>
      <c r="H90" s="10">
        <f>SUMIFS('PLAN BUDGET SAMI-TF'!AQ12:AQ99999,'PLAN BUDGET SAMI-TF'!D12:D99999,SUMMARY!D90,'PLAN BUDGET SAMI-TF'!J12:J99999,SUMMARY!A90&amp;"*")</f>
        <v>0</v>
      </c>
      <c r="I90" s="10">
        <f>SUMIFS('PLAN BUDGET SAMI-TF'!AR12:AR99999,'PLAN BUDGET SAMI-TF'!D12:D99999,SUMMARY!D90,'PLAN BUDGET SAMI-TF'!J12:J99999,SUMMARY!A90&amp;"*")</f>
        <v>0</v>
      </c>
      <c r="J90" s="10">
        <f>SUMIFS('PLAN BUDGET SAMI-TF'!AS12:AS99999,'PLAN BUDGET SAMI-TF'!D12:D99999,SUMMARY!D90,'PLAN BUDGET SAMI-TF'!J12:J99999,SUMMARY!A90&amp;"*")</f>
        <v>0</v>
      </c>
      <c r="K90" s="10">
        <f>SUMIFS('PLAN BUDGET SAMI-TF'!AT12:AT99999,'PLAN BUDGET SAMI-TF'!D12:D99999,SUMMARY!D90,'PLAN BUDGET SAMI-TF'!J12:J99999,SUMMARY!A90&amp;"*")</f>
        <v>0</v>
      </c>
      <c r="L90" s="10">
        <f>SUMIFS('PLAN BUDGET SAMI-TF'!AU12:AU99999,'PLAN BUDGET SAMI-TF'!D12:D99999,SUMMARY!D90,'PLAN BUDGET SAMI-TF'!J12:J99999,SUMMARY!A90&amp;"*")</f>
        <v>0</v>
      </c>
      <c r="M90" s="10">
        <f>SUMIFS('PLAN BUDGET SAMI-TF'!AV12:AV99999,'PLAN BUDGET SAMI-TF'!D12:D99999,SUMMARY!D90,'PLAN BUDGET SAMI-TF'!J12:J99999,SUMMARY!A90&amp;"*")</f>
        <v>0</v>
      </c>
      <c r="N90" s="10">
        <f>SUMIFS('PLAN BUDGET SAMI-TF'!AW12:AW99999,'PLAN BUDGET SAMI-TF'!D12:D99999,SUMMARY!D90,'PLAN BUDGET SAMI-TF'!J12:J99999,SUMMARY!A90&amp;"*")</f>
        <v>0</v>
      </c>
      <c r="O90" s="10">
        <f>SUMIFS('PLAN BUDGET SAMI-TF'!AX12:AX99999,'PLAN BUDGET SAMI-TF'!D12:D99999,SUMMARY!D90,'PLAN BUDGET SAMI-TF'!J12:J99999,SUMMARY!A90&amp;"*")</f>
        <v>0</v>
      </c>
      <c r="P90" s="10">
        <f>SUMIFS('PLAN BUDGET SAMI-TF'!AY12:AY99999,'PLAN BUDGET SAMI-TF'!D12:D99999,SUMMARY!D90,'PLAN BUDGET SAMI-TF'!J12:J99999,SUMMARY!A90&amp;"*")</f>
        <v>0</v>
      </c>
      <c r="Q90" s="10">
        <f>SUMIFS('PLAN BUDGET SAMI-TF'!BC12:BC99999,'PLAN BUDGET SAMI-TF'!D12:D99999,SUMMARY!D90,'PLAN BUDGET SAMI-TF'!J12:J99999,SUMMARY!A90&amp;"*")</f>
        <v>0</v>
      </c>
      <c r="R90" s="10">
        <f>SUMIFS('PLAN BUDGET SAMI-TF'!BD12:BD99999,'PLAN BUDGET SAMI-TF'!D12:D99999,SUMMARY!D90,'PLAN BUDGET SAMI-TF'!J12:J99999,SUMMARY!A90&amp;"*")</f>
        <v>1796.3617029356999</v>
      </c>
      <c r="S90" s="10">
        <f>SUMIFS('PLAN BUDGET SAMI-TF'!BE12:BE99999,'PLAN BUDGET SAMI-TF'!D12:D99999,SUMMARY!D90,'PLAN BUDGET SAMI-TF'!J12:J99999,SUMMARY!A90&amp;"*")</f>
        <v>1796.3617029356999</v>
      </c>
      <c r="T90" s="10">
        <f>SUMIFS('PLAN BUDGET SAMI-TF'!BF12:BF99999,'PLAN BUDGET SAMI-TF'!D12:D99999,SUMMARY!D90,'PLAN BUDGET SAMI-TF'!J12:J99999,SUMMARY!A90&amp;"*")</f>
        <v>0</v>
      </c>
      <c r="U90" s="10">
        <f>SUMIFS('PLAN BUDGET SAMI-TF'!BG12:BG99999,'PLAN BUDGET SAMI-TF'!D12:D99999,SUMMARY!D90,'PLAN BUDGET SAMI-TF'!J12:J99999,SUMMARY!A90&amp;"*")</f>
        <v>0</v>
      </c>
      <c r="V90" s="10">
        <f>SUMIFS('PLAN BUDGET SAMI-TF'!BH12:BH99999,'PLAN BUDGET SAMI-TF'!D12:D99999,SUMMARY!D90,'PLAN BUDGET SAMI-TF'!J12:J99999,SUMMARY!A90&amp;"*")</f>
        <v>0</v>
      </c>
      <c r="W90" s="10">
        <f>SUMIFS('PLAN BUDGET SAMI-TF'!BI12:BI99999,'PLAN BUDGET SAMI-TF'!D12:D99999,SUMMARY!D90,'PLAN BUDGET SAMI-TF'!J12:J99999,SUMMARY!A90&amp;"*")</f>
        <v>0</v>
      </c>
      <c r="X90" s="10">
        <f>SUMIFS('PLAN BUDGET SAMI-TF'!BJ12:BJ99999,'PLAN BUDGET SAMI-TF'!D12:D99999,SUMMARY!D90,'PLAN BUDGET SAMI-TF'!J12:J99999,SUMMARY!A90&amp;"*")</f>
        <v>0</v>
      </c>
      <c r="Y90" s="10">
        <f>SUMIFS('PLAN BUDGET SAMI-TF'!BK12:BK99999,'PLAN BUDGET SAMI-TF'!D12:D99999,SUMMARY!D90,'PLAN BUDGET SAMI-TF'!J12:J99999,SUMMARY!A90&amp;"*")</f>
        <v>0</v>
      </c>
      <c r="Z90" s="10">
        <f>SUMIFS('PLAN BUDGET SAMI-TF'!BL12:BL99999,'PLAN BUDGET SAMI-TF'!D12:D99999,SUMMARY!D90,'PLAN BUDGET SAMI-TF'!J12:J99999,SUMMARY!A90&amp;"*")</f>
        <v>0</v>
      </c>
      <c r="AA90" s="10">
        <f>SUMIFS('PLAN BUDGET SAMI-TF'!BM12:BM99999,'PLAN BUDGET SAMI-TF'!D12:D99999,SUMMARY!D90,'PLAN BUDGET SAMI-TF'!J12:J99999,SUMMARY!A90&amp;"*")</f>
        <v>0</v>
      </c>
      <c r="AB90" s="10">
        <f>SUMIFS('PLAN BUDGET SAMI-TF'!BN12:BN99999,'PLAN BUDGET SAMI-TF'!D12:D99999,SUMMARY!D90,'PLAN BUDGET SAMI-TF'!J12:J99999,SUMMARY!A90&amp;"*")</f>
        <v>0</v>
      </c>
      <c r="AC90" s="10">
        <f t="shared" si="8"/>
        <v>4</v>
      </c>
      <c r="AD90" s="10">
        <f t="shared" si="9"/>
        <v>3592.7234058713998</v>
      </c>
      <c r="AE90" s="16"/>
      <c r="AF90" s="10">
        <v>0</v>
      </c>
      <c r="AG90" s="10">
        <v>0</v>
      </c>
      <c r="AH90" s="20">
        <f t="shared" si="10"/>
        <v>1</v>
      </c>
      <c r="AI90" s="20">
        <f t="shared" si="11"/>
        <v>1</v>
      </c>
      <c r="AJ90" s="67" t="s">
        <v>863</v>
      </c>
    </row>
    <row r="91" spans="1:36" x14ac:dyDescent="0.35">
      <c r="A91" s="7" t="s">
        <v>498</v>
      </c>
      <c r="B91" s="7"/>
      <c r="C91" s="7"/>
      <c r="D91" s="7" t="s">
        <v>630</v>
      </c>
      <c r="E91" s="10">
        <f>SUMIFS('PLAN BUDGET SAMI-TF'!AN12:AN99999,'PLAN BUDGET SAMI-TF'!D12:D99999,SUMMARY!D91,'PLAN BUDGET SAMI-TF'!J12:J99999,SUMMARY!A91&amp;"*")</f>
        <v>0</v>
      </c>
      <c r="F91" s="10">
        <f>SUMIFS('PLAN BUDGET SAMI-TF'!AO12:AO99999,'PLAN BUDGET SAMI-TF'!D12:D99999,SUMMARY!D91,'PLAN BUDGET SAMI-TF'!J12:J99999,SUMMARY!A91&amp;"*")</f>
        <v>0</v>
      </c>
      <c r="G91" s="10">
        <f>SUMIFS('PLAN BUDGET SAMI-TF'!AP12:AP99999,'PLAN BUDGET SAMI-TF'!D12:D99999,SUMMARY!D91,'PLAN BUDGET SAMI-TF'!J12:J99999,SUMMARY!A91&amp;"*")</f>
        <v>5</v>
      </c>
      <c r="H91" s="10">
        <f>SUMIFS('PLAN BUDGET SAMI-TF'!AQ12:AQ99999,'PLAN BUDGET SAMI-TF'!D12:D99999,SUMMARY!D91,'PLAN BUDGET SAMI-TF'!J12:J99999,SUMMARY!A91&amp;"*")</f>
        <v>0</v>
      </c>
      <c r="I91" s="10">
        <f>SUMIFS('PLAN BUDGET SAMI-TF'!AR12:AR99999,'PLAN BUDGET SAMI-TF'!D12:D99999,SUMMARY!D91,'PLAN BUDGET SAMI-TF'!J12:J99999,SUMMARY!A91&amp;"*")</f>
        <v>0</v>
      </c>
      <c r="J91" s="10">
        <f>SUMIFS('PLAN BUDGET SAMI-TF'!AS12:AS99999,'PLAN BUDGET SAMI-TF'!D12:D99999,SUMMARY!D91,'PLAN BUDGET SAMI-TF'!J12:J99999,SUMMARY!A91&amp;"*")</f>
        <v>0</v>
      </c>
      <c r="K91" s="10">
        <f>SUMIFS('PLAN BUDGET SAMI-TF'!AT12:AT99999,'PLAN BUDGET SAMI-TF'!D12:D99999,SUMMARY!D91,'PLAN BUDGET SAMI-TF'!J12:J99999,SUMMARY!A91&amp;"*")</f>
        <v>0</v>
      </c>
      <c r="L91" s="10">
        <f>SUMIFS('PLAN BUDGET SAMI-TF'!AU12:AU99999,'PLAN BUDGET SAMI-TF'!D12:D99999,SUMMARY!D91,'PLAN BUDGET SAMI-TF'!J12:J99999,SUMMARY!A91&amp;"*")</f>
        <v>0</v>
      </c>
      <c r="M91" s="10">
        <f>SUMIFS('PLAN BUDGET SAMI-TF'!AV12:AV99999,'PLAN BUDGET SAMI-TF'!D12:D99999,SUMMARY!D91,'PLAN BUDGET SAMI-TF'!J12:J99999,SUMMARY!A91&amp;"*")</f>
        <v>0</v>
      </c>
      <c r="N91" s="10">
        <f>SUMIFS('PLAN BUDGET SAMI-TF'!AW12:AW99999,'PLAN BUDGET SAMI-TF'!D12:D99999,SUMMARY!D91,'PLAN BUDGET SAMI-TF'!J12:J99999,SUMMARY!A91&amp;"*")</f>
        <v>0</v>
      </c>
      <c r="O91" s="10">
        <f>SUMIFS('PLAN BUDGET SAMI-TF'!AX12:AX99999,'PLAN BUDGET SAMI-TF'!D12:D99999,SUMMARY!D91,'PLAN BUDGET SAMI-TF'!J12:J99999,SUMMARY!A91&amp;"*")</f>
        <v>0</v>
      </c>
      <c r="P91" s="10">
        <f>SUMIFS('PLAN BUDGET SAMI-TF'!AY12:AY99999,'PLAN BUDGET SAMI-TF'!D12:D99999,SUMMARY!D91,'PLAN BUDGET SAMI-TF'!J12:J99999,SUMMARY!A91&amp;"*")</f>
        <v>0</v>
      </c>
      <c r="Q91" s="10">
        <f>SUMIFS('PLAN BUDGET SAMI-TF'!BC12:BC99999,'PLAN BUDGET SAMI-TF'!D12:D99999,SUMMARY!D91,'PLAN BUDGET SAMI-TF'!J12:J99999,SUMMARY!A91&amp;"*")</f>
        <v>0</v>
      </c>
      <c r="R91" s="10">
        <f>SUMIFS('PLAN BUDGET SAMI-TF'!BD12:BD99999,'PLAN BUDGET SAMI-TF'!D12:D99999,SUMMARY!D91,'PLAN BUDGET SAMI-TF'!J12:J99999,SUMMARY!A91&amp;"*")</f>
        <v>0</v>
      </c>
      <c r="S91" s="10">
        <f>SUMIFS('PLAN BUDGET SAMI-TF'!BE12:BE99999,'PLAN BUDGET SAMI-TF'!D12:D99999,SUMMARY!D91,'PLAN BUDGET SAMI-TF'!J12:J99999,SUMMARY!A91&amp;"*")</f>
        <v>174.06605648601999</v>
      </c>
      <c r="T91" s="10">
        <f>SUMIFS('PLAN BUDGET SAMI-TF'!BF12:BF99999,'PLAN BUDGET SAMI-TF'!D12:D99999,SUMMARY!D91,'PLAN BUDGET SAMI-TF'!J12:J99999,SUMMARY!A91&amp;"*")</f>
        <v>0</v>
      </c>
      <c r="U91" s="10">
        <f>SUMIFS('PLAN BUDGET SAMI-TF'!BG12:BG99999,'PLAN BUDGET SAMI-TF'!D12:D99999,SUMMARY!D91,'PLAN BUDGET SAMI-TF'!J12:J99999,SUMMARY!A91&amp;"*")</f>
        <v>0</v>
      </c>
      <c r="V91" s="10">
        <f>SUMIFS('PLAN BUDGET SAMI-TF'!BH12:BH99999,'PLAN BUDGET SAMI-TF'!D12:D99999,SUMMARY!D91,'PLAN BUDGET SAMI-TF'!J12:J99999,SUMMARY!A91&amp;"*")</f>
        <v>0</v>
      </c>
      <c r="W91" s="10">
        <f>SUMIFS('PLAN BUDGET SAMI-TF'!BI12:BI99999,'PLAN BUDGET SAMI-TF'!D12:D99999,SUMMARY!D91,'PLAN BUDGET SAMI-TF'!J12:J99999,SUMMARY!A91&amp;"*")</f>
        <v>0</v>
      </c>
      <c r="X91" s="10">
        <f>SUMIFS('PLAN BUDGET SAMI-TF'!BJ12:BJ99999,'PLAN BUDGET SAMI-TF'!D12:D99999,SUMMARY!D91,'PLAN BUDGET SAMI-TF'!J12:J99999,SUMMARY!A91&amp;"*")</f>
        <v>0</v>
      </c>
      <c r="Y91" s="10">
        <f>SUMIFS('PLAN BUDGET SAMI-TF'!BK12:BK99999,'PLAN BUDGET SAMI-TF'!D12:D99999,SUMMARY!D91,'PLAN BUDGET SAMI-TF'!J12:J99999,SUMMARY!A91&amp;"*")</f>
        <v>0</v>
      </c>
      <c r="Z91" s="10">
        <f>SUMIFS('PLAN BUDGET SAMI-TF'!BL12:BL99999,'PLAN BUDGET SAMI-TF'!D12:D99999,SUMMARY!D91,'PLAN BUDGET SAMI-TF'!J12:J99999,SUMMARY!A91&amp;"*")</f>
        <v>0</v>
      </c>
      <c r="AA91" s="10">
        <f>SUMIFS('PLAN BUDGET SAMI-TF'!BM12:BM99999,'PLAN BUDGET SAMI-TF'!D12:D99999,SUMMARY!D91,'PLAN BUDGET SAMI-TF'!J12:J99999,SUMMARY!A91&amp;"*")</f>
        <v>0</v>
      </c>
      <c r="AB91" s="10">
        <f>SUMIFS('PLAN BUDGET SAMI-TF'!BN12:BN99999,'PLAN BUDGET SAMI-TF'!D12:D99999,SUMMARY!D91,'PLAN BUDGET SAMI-TF'!J12:J99999,SUMMARY!A91&amp;"*")</f>
        <v>0</v>
      </c>
      <c r="AC91" s="10">
        <f t="shared" si="8"/>
        <v>5</v>
      </c>
      <c r="AD91" s="10">
        <f t="shared" si="9"/>
        <v>174.06605648601999</v>
      </c>
      <c r="AE91" s="16"/>
      <c r="AF91" s="10">
        <v>0</v>
      </c>
      <c r="AG91" s="10">
        <v>0</v>
      </c>
      <c r="AH91" s="20">
        <f t="shared" si="10"/>
        <v>1</v>
      </c>
      <c r="AI91" s="20">
        <f t="shared" si="11"/>
        <v>1</v>
      </c>
      <c r="AJ91" s="67" t="s">
        <v>863</v>
      </c>
    </row>
    <row r="92" spans="1:36" x14ac:dyDescent="0.35">
      <c r="A92" s="7" t="s">
        <v>498</v>
      </c>
      <c r="B92" s="7"/>
      <c r="C92" s="7"/>
      <c r="D92" s="7" t="s">
        <v>694</v>
      </c>
      <c r="E92" s="10">
        <f>SUMIFS('PLAN BUDGET SAMI-TF'!AN12:AN99999,'PLAN BUDGET SAMI-TF'!D12:D99999,SUMMARY!D92,'PLAN BUDGET SAMI-TF'!J12:J99999,SUMMARY!A92&amp;"*")</f>
        <v>0</v>
      </c>
      <c r="F92" s="10">
        <f>SUMIFS('PLAN BUDGET SAMI-TF'!AO12:AO99999,'PLAN BUDGET SAMI-TF'!D12:D99999,SUMMARY!D92,'PLAN BUDGET SAMI-TF'!J12:J99999,SUMMARY!A92&amp;"*")</f>
        <v>0</v>
      </c>
      <c r="G92" s="10">
        <f>SUMIFS('PLAN BUDGET SAMI-TF'!AP12:AP99999,'PLAN BUDGET SAMI-TF'!D12:D99999,SUMMARY!D92,'PLAN BUDGET SAMI-TF'!J12:J99999,SUMMARY!A92&amp;"*")</f>
        <v>2</v>
      </c>
      <c r="H92" s="10">
        <f>SUMIFS('PLAN BUDGET SAMI-TF'!AQ12:AQ99999,'PLAN BUDGET SAMI-TF'!D12:D99999,SUMMARY!D92,'PLAN BUDGET SAMI-TF'!J12:J99999,SUMMARY!A92&amp;"*")</f>
        <v>0</v>
      </c>
      <c r="I92" s="10">
        <f>SUMIFS('PLAN BUDGET SAMI-TF'!AR12:AR99999,'PLAN BUDGET SAMI-TF'!D12:D99999,SUMMARY!D92,'PLAN BUDGET SAMI-TF'!J12:J99999,SUMMARY!A92&amp;"*")</f>
        <v>0</v>
      </c>
      <c r="J92" s="10">
        <f>SUMIFS('PLAN BUDGET SAMI-TF'!AS12:AS99999,'PLAN BUDGET SAMI-TF'!D12:D99999,SUMMARY!D92,'PLAN BUDGET SAMI-TF'!J12:J99999,SUMMARY!A92&amp;"*")</f>
        <v>0</v>
      </c>
      <c r="K92" s="10">
        <f>SUMIFS('PLAN BUDGET SAMI-TF'!AT12:AT99999,'PLAN BUDGET SAMI-TF'!D12:D99999,SUMMARY!D92,'PLAN BUDGET SAMI-TF'!J12:J99999,SUMMARY!A92&amp;"*")</f>
        <v>0</v>
      </c>
      <c r="L92" s="10">
        <f>SUMIFS('PLAN BUDGET SAMI-TF'!AU12:AU99999,'PLAN BUDGET SAMI-TF'!D12:D99999,SUMMARY!D92,'PLAN BUDGET SAMI-TF'!J12:J99999,SUMMARY!A92&amp;"*")</f>
        <v>0</v>
      </c>
      <c r="M92" s="10">
        <f>SUMIFS('PLAN BUDGET SAMI-TF'!AV12:AV99999,'PLAN BUDGET SAMI-TF'!D12:D99999,SUMMARY!D92,'PLAN BUDGET SAMI-TF'!J12:J99999,SUMMARY!A92&amp;"*")</f>
        <v>0</v>
      </c>
      <c r="N92" s="10">
        <f>SUMIFS('PLAN BUDGET SAMI-TF'!AW12:AW99999,'PLAN BUDGET SAMI-TF'!D12:D99999,SUMMARY!D92,'PLAN BUDGET SAMI-TF'!J12:J99999,SUMMARY!A92&amp;"*")</f>
        <v>0</v>
      </c>
      <c r="O92" s="10">
        <f>SUMIFS('PLAN BUDGET SAMI-TF'!AX12:AX99999,'PLAN BUDGET SAMI-TF'!D12:D99999,SUMMARY!D92,'PLAN BUDGET SAMI-TF'!J12:J99999,SUMMARY!A92&amp;"*")</f>
        <v>0</v>
      </c>
      <c r="P92" s="10">
        <f>SUMIFS('PLAN BUDGET SAMI-TF'!AY12:AY99999,'PLAN BUDGET SAMI-TF'!D12:D99999,SUMMARY!D92,'PLAN BUDGET SAMI-TF'!J12:J99999,SUMMARY!A92&amp;"*")</f>
        <v>0</v>
      </c>
      <c r="Q92" s="10">
        <f>SUMIFS('PLAN BUDGET SAMI-TF'!BC12:BC99999,'PLAN BUDGET SAMI-TF'!D12:D99999,SUMMARY!D92,'PLAN BUDGET SAMI-TF'!J12:J99999,SUMMARY!A92&amp;"*")</f>
        <v>0</v>
      </c>
      <c r="R92" s="10">
        <f>SUMIFS('PLAN BUDGET SAMI-TF'!BD12:BD99999,'PLAN BUDGET SAMI-TF'!D12:D99999,SUMMARY!D92,'PLAN BUDGET SAMI-TF'!J12:J99999,SUMMARY!A92&amp;"*")</f>
        <v>0</v>
      </c>
      <c r="S92" s="10">
        <f>SUMIFS('PLAN BUDGET SAMI-TF'!BE12:BE99999,'PLAN BUDGET SAMI-TF'!D12:D99999,SUMMARY!D92,'PLAN BUDGET SAMI-TF'!J12:J99999,SUMMARY!A92&amp;"*")</f>
        <v>3.7629916574886</v>
      </c>
      <c r="T92" s="10">
        <f>SUMIFS('PLAN BUDGET SAMI-TF'!BF12:BF99999,'PLAN BUDGET SAMI-TF'!D12:D99999,SUMMARY!D92,'PLAN BUDGET SAMI-TF'!J12:J99999,SUMMARY!A92&amp;"*")</f>
        <v>0</v>
      </c>
      <c r="U92" s="10">
        <f>SUMIFS('PLAN BUDGET SAMI-TF'!BG12:BG99999,'PLAN BUDGET SAMI-TF'!D12:D99999,SUMMARY!D92,'PLAN BUDGET SAMI-TF'!J12:J99999,SUMMARY!A92&amp;"*")</f>
        <v>0</v>
      </c>
      <c r="V92" s="10">
        <f>SUMIFS('PLAN BUDGET SAMI-TF'!BH12:BH99999,'PLAN BUDGET SAMI-TF'!D12:D99999,SUMMARY!D92,'PLAN BUDGET SAMI-TF'!J12:J99999,SUMMARY!A92&amp;"*")</f>
        <v>0</v>
      </c>
      <c r="W92" s="10">
        <f>SUMIFS('PLAN BUDGET SAMI-TF'!BI12:BI99999,'PLAN BUDGET SAMI-TF'!D12:D99999,SUMMARY!D92,'PLAN BUDGET SAMI-TF'!J12:J99999,SUMMARY!A92&amp;"*")</f>
        <v>0</v>
      </c>
      <c r="X92" s="10">
        <f>SUMIFS('PLAN BUDGET SAMI-TF'!BJ12:BJ99999,'PLAN BUDGET SAMI-TF'!D12:D99999,SUMMARY!D92,'PLAN BUDGET SAMI-TF'!J12:J99999,SUMMARY!A92&amp;"*")</f>
        <v>0</v>
      </c>
      <c r="Y92" s="10">
        <f>SUMIFS('PLAN BUDGET SAMI-TF'!BK12:BK99999,'PLAN BUDGET SAMI-TF'!D12:D99999,SUMMARY!D92,'PLAN BUDGET SAMI-TF'!J12:J99999,SUMMARY!A92&amp;"*")</f>
        <v>0</v>
      </c>
      <c r="Z92" s="10">
        <f>SUMIFS('PLAN BUDGET SAMI-TF'!BL12:BL99999,'PLAN BUDGET SAMI-TF'!D12:D99999,SUMMARY!D92,'PLAN BUDGET SAMI-TF'!J12:J99999,SUMMARY!A92&amp;"*")</f>
        <v>0</v>
      </c>
      <c r="AA92" s="10">
        <f>SUMIFS('PLAN BUDGET SAMI-TF'!BM12:BM99999,'PLAN BUDGET SAMI-TF'!D12:D99999,SUMMARY!D92,'PLAN BUDGET SAMI-TF'!J12:J99999,SUMMARY!A92&amp;"*")</f>
        <v>0</v>
      </c>
      <c r="AB92" s="10">
        <f>SUMIFS('PLAN BUDGET SAMI-TF'!BN12:BN99999,'PLAN BUDGET SAMI-TF'!D12:D99999,SUMMARY!D92,'PLAN BUDGET SAMI-TF'!J12:J99999,SUMMARY!A92&amp;"*")</f>
        <v>0</v>
      </c>
      <c r="AC92" s="10">
        <f t="shared" si="8"/>
        <v>2</v>
      </c>
      <c r="AD92" s="10">
        <f t="shared" si="9"/>
        <v>3.7629916574886</v>
      </c>
      <c r="AE92" s="16"/>
      <c r="AF92" s="10">
        <v>0</v>
      </c>
      <c r="AG92" s="10">
        <v>0</v>
      </c>
      <c r="AH92" s="20">
        <f t="shared" si="10"/>
        <v>1</v>
      </c>
      <c r="AI92" s="20">
        <f t="shared" si="11"/>
        <v>1</v>
      </c>
      <c r="AJ92" s="67" t="s">
        <v>863</v>
      </c>
    </row>
    <row r="93" spans="1:36" x14ac:dyDescent="0.35">
      <c r="A93" s="7" t="s">
        <v>498</v>
      </c>
      <c r="B93" s="7"/>
      <c r="C93" s="7"/>
      <c r="D93" s="7" t="s">
        <v>572</v>
      </c>
      <c r="E93" s="10">
        <f>SUMIFS('PLAN BUDGET SAMI-TF'!AN12:AN99999,'PLAN BUDGET SAMI-TF'!D12:D99999,SUMMARY!D93,'PLAN BUDGET SAMI-TF'!J12:J99999,SUMMARY!A93&amp;"*")</f>
        <v>0</v>
      </c>
      <c r="F93" s="10">
        <f>SUMIFS('PLAN BUDGET SAMI-TF'!AO12:AO99999,'PLAN BUDGET SAMI-TF'!D12:D99999,SUMMARY!D93,'PLAN BUDGET SAMI-TF'!J12:J99999,SUMMARY!A93&amp;"*")</f>
        <v>0</v>
      </c>
      <c r="G93" s="10">
        <f>SUMIFS('PLAN BUDGET SAMI-TF'!AP12:AP99999,'PLAN BUDGET SAMI-TF'!D12:D99999,SUMMARY!D93,'PLAN BUDGET SAMI-TF'!J12:J99999,SUMMARY!A93&amp;"*")</f>
        <v>2</v>
      </c>
      <c r="H93" s="10">
        <f>SUMIFS('PLAN BUDGET SAMI-TF'!AQ12:AQ99999,'PLAN BUDGET SAMI-TF'!D12:D99999,SUMMARY!D93,'PLAN BUDGET SAMI-TF'!J12:J99999,SUMMARY!A93&amp;"*")</f>
        <v>0</v>
      </c>
      <c r="I93" s="10">
        <f>SUMIFS('PLAN BUDGET SAMI-TF'!AR12:AR99999,'PLAN BUDGET SAMI-TF'!D12:D99999,SUMMARY!D93,'PLAN BUDGET SAMI-TF'!J12:J99999,SUMMARY!A93&amp;"*")</f>
        <v>0</v>
      </c>
      <c r="J93" s="10">
        <f>SUMIFS('PLAN BUDGET SAMI-TF'!AS12:AS99999,'PLAN BUDGET SAMI-TF'!D12:D99999,SUMMARY!D93,'PLAN BUDGET SAMI-TF'!J12:J99999,SUMMARY!A93&amp;"*")</f>
        <v>0</v>
      </c>
      <c r="K93" s="10">
        <f>SUMIFS('PLAN BUDGET SAMI-TF'!AT12:AT99999,'PLAN BUDGET SAMI-TF'!D12:D99999,SUMMARY!D93,'PLAN BUDGET SAMI-TF'!J12:J99999,SUMMARY!A93&amp;"*")</f>
        <v>0</v>
      </c>
      <c r="L93" s="10">
        <f>SUMIFS('PLAN BUDGET SAMI-TF'!AU12:AU99999,'PLAN BUDGET SAMI-TF'!D12:D99999,SUMMARY!D93,'PLAN BUDGET SAMI-TF'!J12:J99999,SUMMARY!A93&amp;"*")</f>
        <v>0</v>
      </c>
      <c r="M93" s="10">
        <f>SUMIFS('PLAN BUDGET SAMI-TF'!AV12:AV99999,'PLAN BUDGET SAMI-TF'!D12:D99999,SUMMARY!D93,'PLAN BUDGET SAMI-TF'!J12:J99999,SUMMARY!A93&amp;"*")</f>
        <v>0</v>
      </c>
      <c r="N93" s="10">
        <f>SUMIFS('PLAN BUDGET SAMI-TF'!AW12:AW99999,'PLAN BUDGET SAMI-TF'!D12:D99999,SUMMARY!D93,'PLAN BUDGET SAMI-TF'!J12:J99999,SUMMARY!A93&amp;"*")</f>
        <v>0</v>
      </c>
      <c r="O93" s="10">
        <f>SUMIFS('PLAN BUDGET SAMI-TF'!AX12:AX99999,'PLAN BUDGET SAMI-TF'!D12:D99999,SUMMARY!D93,'PLAN BUDGET SAMI-TF'!J12:J99999,SUMMARY!A93&amp;"*")</f>
        <v>0</v>
      </c>
      <c r="P93" s="10">
        <f>SUMIFS('PLAN BUDGET SAMI-TF'!AY12:AY99999,'PLAN BUDGET SAMI-TF'!D12:D99999,SUMMARY!D93,'PLAN BUDGET SAMI-TF'!J12:J99999,SUMMARY!A93&amp;"*")</f>
        <v>0</v>
      </c>
      <c r="Q93" s="10">
        <f>SUMIFS('PLAN BUDGET SAMI-TF'!BC12:BC99999,'PLAN BUDGET SAMI-TF'!D12:D99999,SUMMARY!D93,'PLAN BUDGET SAMI-TF'!J12:J99999,SUMMARY!A93&amp;"*")</f>
        <v>0</v>
      </c>
      <c r="R93" s="10">
        <f>SUMIFS('PLAN BUDGET SAMI-TF'!BD12:BD99999,'PLAN BUDGET SAMI-TF'!D12:D99999,SUMMARY!D93,'PLAN BUDGET SAMI-TF'!J12:J99999,SUMMARY!A93&amp;"*")</f>
        <v>0</v>
      </c>
      <c r="S93" s="10">
        <f>SUMIFS('PLAN BUDGET SAMI-TF'!BE12:BE99999,'PLAN BUDGET SAMI-TF'!D12:D99999,SUMMARY!D93,'PLAN BUDGET SAMI-TF'!J12:J99999,SUMMARY!A93&amp;"*")</f>
        <v>55.701138075526003</v>
      </c>
      <c r="T93" s="10">
        <f>SUMIFS('PLAN BUDGET SAMI-TF'!BF12:BF99999,'PLAN BUDGET SAMI-TF'!D12:D99999,SUMMARY!D93,'PLAN BUDGET SAMI-TF'!J12:J99999,SUMMARY!A93&amp;"*")</f>
        <v>0</v>
      </c>
      <c r="U93" s="10">
        <f>SUMIFS('PLAN BUDGET SAMI-TF'!BG12:BG99999,'PLAN BUDGET SAMI-TF'!D12:D99999,SUMMARY!D93,'PLAN BUDGET SAMI-TF'!J12:J99999,SUMMARY!A93&amp;"*")</f>
        <v>0</v>
      </c>
      <c r="V93" s="10">
        <f>SUMIFS('PLAN BUDGET SAMI-TF'!BH12:BH99999,'PLAN BUDGET SAMI-TF'!D12:D99999,SUMMARY!D93,'PLAN BUDGET SAMI-TF'!J12:J99999,SUMMARY!A93&amp;"*")</f>
        <v>0</v>
      </c>
      <c r="W93" s="10">
        <f>SUMIFS('PLAN BUDGET SAMI-TF'!BI12:BI99999,'PLAN BUDGET SAMI-TF'!D12:D99999,SUMMARY!D93,'PLAN BUDGET SAMI-TF'!J12:J99999,SUMMARY!A93&amp;"*")</f>
        <v>0</v>
      </c>
      <c r="X93" s="10">
        <f>SUMIFS('PLAN BUDGET SAMI-TF'!BJ12:BJ99999,'PLAN BUDGET SAMI-TF'!D12:D99999,SUMMARY!D93,'PLAN BUDGET SAMI-TF'!J12:J99999,SUMMARY!A93&amp;"*")</f>
        <v>0</v>
      </c>
      <c r="Y93" s="10">
        <f>SUMIFS('PLAN BUDGET SAMI-TF'!BK12:BK99999,'PLAN BUDGET SAMI-TF'!D12:D99999,SUMMARY!D93,'PLAN BUDGET SAMI-TF'!J12:J99999,SUMMARY!A93&amp;"*")</f>
        <v>0</v>
      </c>
      <c r="Z93" s="10">
        <f>SUMIFS('PLAN BUDGET SAMI-TF'!BL12:BL99999,'PLAN BUDGET SAMI-TF'!D12:D99999,SUMMARY!D93,'PLAN BUDGET SAMI-TF'!J12:J99999,SUMMARY!A93&amp;"*")</f>
        <v>0</v>
      </c>
      <c r="AA93" s="10">
        <f>SUMIFS('PLAN BUDGET SAMI-TF'!BM12:BM99999,'PLAN BUDGET SAMI-TF'!D12:D99999,SUMMARY!D93,'PLAN BUDGET SAMI-TF'!J12:J99999,SUMMARY!A93&amp;"*")</f>
        <v>0</v>
      </c>
      <c r="AB93" s="10">
        <f>SUMIFS('PLAN BUDGET SAMI-TF'!BN12:BN99999,'PLAN BUDGET SAMI-TF'!D12:D99999,SUMMARY!D93,'PLAN BUDGET SAMI-TF'!J12:J99999,SUMMARY!A93&amp;"*")</f>
        <v>0</v>
      </c>
      <c r="AC93" s="10">
        <f t="shared" si="8"/>
        <v>2</v>
      </c>
      <c r="AD93" s="10">
        <f t="shared" si="9"/>
        <v>55.701138075526003</v>
      </c>
      <c r="AE93" s="16"/>
      <c r="AF93" s="10">
        <v>0</v>
      </c>
      <c r="AG93" s="10">
        <v>0</v>
      </c>
      <c r="AH93" s="20">
        <f t="shared" si="10"/>
        <v>1</v>
      </c>
      <c r="AI93" s="20">
        <f t="shared" si="11"/>
        <v>1</v>
      </c>
      <c r="AJ93" s="67" t="s">
        <v>863</v>
      </c>
    </row>
    <row r="94" spans="1:36" x14ac:dyDescent="0.35">
      <c r="A94" s="7" t="s">
        <v>498</v>
      </c>
      <c r="B94" s="7"/>
      <c r="C94" s="7"/>
      <c r="D94" s="7" t="s">
        <v>541</v>
      </c>
      <c r="E94" s="10">
        <f>SUMIFS('PLAN BUDGET SAMI-TF'!AN12:AN99999,'PLAN BUDGET SAMI-TF'!D12:D99999,SUMMARY!D94,'PLAN BUDGET SAMI-TF'!J12:J99999,SUMMARY!A94&amp;"*")</f>
        <v>0</v>
      </c>
      <c r="F94" s="10">
        <f>SUMIFS('PLAN BUDGET SAMI-TF'!AO12:AO99999,'PLAN BUDGET SAMI-TF'!D12:D99999,SUMMARY!D94,'PLAN BUDGET SAMI-TF'!J12:J99999,SUMMARY!A94&amp;"*")</f>
        <v>2</v>
      </c>
      <c r="G94" s="10">
        <f>SUMIFS('PLAN BUDGET SAMI-TF'!AP12:AP99999,'PLAN BUDGET SAMI-TF'!D12:D99999,SUMMARY!D94,'PLAN BUDGET SAMI-TF'!J12:J99999,SUMMARY!A94&amp;"*")</f>
        <v>2</v>
      </c>
      <c r="H94" s="10">
        <f>SUMIFS('PLAN BUDGET SAMI-TF'!AQ12:AQ99999,'PLAN BUDGET SAMI-TF'!D12:D99999,SUMMARY!D94,'PLAN BUDGET SAMI-TF'!J12:J99999,SUMMARY!A94&amp;"*")</f>
        <v>0</v>
      </c>
      <c r="I94" s="10">
        <f>SUMIFS('PLAN BUDGET SAMI-TF'!AR12:AR99999,'PLAN BUDGET SAMI-TF'!D12:D99999,SUMMARY!D94,'PLAN BUDGET SAMI-TF'!J12:J99999,SUMMARY!A94&amp;"*")</f>
        <v>0</v>
      </c>
      <c r="J94" s="10">
        <f>SUMIFS('PLAN BUDGET SAMI-TF'!AS12:AS99999,'PLAN BUDGET SAMI-TF'!D12:D99999,SUMMARY!D94,'PLAN BUDGET SAMI-TF'!J12:J99999,SUMMARY!A94&amp;"*")</f>
        <v>0</v>
      </c>
      <c r="K94" s="10">
        <f>SUMIFS('PLAN BUDGET SAMI-TF'!AT12:AT99999,'PLAN BUDGET SAMI-TF'!D12:D99999,SUMMARY!D94,'PLAN BUDGET SAMI-TF'!J12:J99999,SUMMARY!A94&amp;"*")</f>
        <v>0</v>
      </c>
      <c r="L94" s="10">
        <f>SUMIFS('PLAN BUDGET SAMI-TF'!AU12:AU99999,'PLAN BUDGET SAMI-TF'!D12:D99999,SUMMARY!D94,'PLAN BUDGET SAMI-TF'!J12:J99999,SUMMARY!A94&amp;"*")</f>
        <v>0</v>
      </c>
      <c r="M94" s="10">
        <f>SUMIFS('PLAN BUDGET SAMI-TF'!AV12:AV99999,'PLAN BUDGET SAMI-TF'!D12:D99999,SUMMARY!D94,'PLAN BUDGET SAMI-TF'!J12:J99999,SUMMARY!A94&amp;"*")</f>
        <v>0</v>
      </c>
      <c r="N94" s="10">
        <f>SUMIFS('PLAN BUDGET SAMI-TF'!AW12:AW99999,'PLAN BUDGET SAMI-TF'!D12:D99999,SUMMARY!D94,'PLAN BUDGET SAMI-TF'!J12:J99999,SUMMARY!A94&amp;"*")</f>
        <v>0</v>
      </c>
      <c r="O94" s="10">
        <f>SUMIFS('PLAN BUDGET SAMI-TF'!AX12:AX99999,'PLAN BUDGET SAMI-TF'!D12:D99999,SUMMARY!D94,'PLAN BUDGET SAMI-TF'!J12:J99999,SUMMARY!A94&amp;"*")</f>
        <v>0</v>
      </c>
      <c r="P94" s="10">
        <f>SUMIFS('PLAN BUDGET SAMI-TF'!AY12:AY99999,'PLAN BUDGET SAMI-TF'!D12:D99999,SUMMARY!D94,'PLAN BUDGET SAMI-TF'!J12:J99999,SUMMARY!A94&amp;"*")</f>
        <v>0</v>
      </c>
      <c r="Q94" s="10">
        <f>SUMIFS('PLAN BUDGET SAMI-TF'!BC12:BC99999,'PLAN BUDGET SAMI-TF'!D12:D99999,SUMMARY!D94,'PLAN BUDGET SAMI-TF'!J12:J99999,SUMMARY!A94&amp;"*")</f>
        <v>0</v>
      </c>
      <c r="R94" s="10">
        <f>SUMIFS('PLAN BUDGET SAMI-TF'!BD12:BD99999,'PLAN BUDGET SAMI-TF'!D12:D99999,SUMMARY!D94,'PLAN BUDGET SAMI-TF'!J12:J99999,SUMMARY!A94&amp;"*")</f>
        <v>939.95670502449002</v>
      </c>
      <c r="S94" s="10">
        <f>SUMIFS('PLAN BUDGET SAMI-TF'!BE12:BE99999,'PLAN BUDGET SAMI-TF'!D12:D99999,SUMMARY!D94,'PLAN BUDGET SAMI-TF'!J12:J99999,SUMMARY!A94&amp;"*")</f>
        <v>939.95670502449002</v>
      </c>
      <c r="T94" s="10">
        <f>SUMIFS('PLAN BUDGET SAMI-TF'!BF12:BF99999,'PLAN BUDGET SAMI-TF'!D12:D99999,SUMMARY!D94,'PLAN BUDGET SAMI-TF'!J12:J99999,SUMMARY!A94&amp;"*")</f>
        <v>0</v>
      </c>
      <c r="U94" s="10">
        <f>SUMIFS('PLAN BUDGET SAMI-TF'!BG12:BG99999,'PLAN BUDGET SAMI-TF'!D12:D99999,SUMMARY!D94,'PLAN BUDGET SAMI-TF'!J12:J99999,SUMMARY!A94&amp;"*")</f>
        <v>0</v>
      </c>
      <c r="V94" s="10">
        <f>SUMIFS('PLAN BUDGET SAMI-TF'!BH12:BH99999,'PLAN BUDGET SAMI-TF'!D12:D99999,SUMMARY!D94,'PLAN BUDGET SAMI-TF'!J12:J99999,SUMMARY!A94&amp;"*")</f>
        <v>0</v>
      </c>
      <c r="W94" s="10">
        <f>SUMIFS('PLAN BUDGET SAMI-TF'!BI12:BI99999,'PLAN BUDGET SAMI-TF'!D12:D99999,SUMMARY!D94,'PLAN BUDGET SAMI-TF'!J12:J99999,SUMMARY!A94&amp;"*")</f>
        <v>0</v>
      </c>
      <c r="X94" s="10">
        <f>SUMIFS('PLAN BUDGET SAMI-TF'!BJ12:BJ99999,'PLAN BUDGET SAMI-TF'!D12:D99999,SUMMARY!D94,'PLAN BUDGET SAMI-TF'!J12:J99999,SUMMARY!A94&amp;"*")</f>
        <v>0</v>
      </c>
      <c r="Y94" s="10">
        <f>SUMIFS('PLAN BUDGET SAMI-TF'!BK12:BK99999,'PLAN BUDGET SAMI-TF'!D12:D99999,SUMMARY!D94,'PLAN BUDGET SAMI-TF'!J12:J99999,SUMMARY!A94&amp;"*")</f>
        <v>0</v>
      </c>
      <c r="Z94" s="10">
        <f>SUMIFS('PLAN BUDGET SAMI-TF'!BL12:BL99999,'PLAN BUDGET SAMI-TF'!D12:D99999,SUMMARY!D94,'PLAN BUDGET SAMI-TF'!J12:J99999,SUMMARY!A94&amp;"*")</f>
        <v>0</v>
      </c>
      <c r="AA94" s="10">
        <f>SUMIFS('PLAN BUDGET SAMI-TF'!BM12:BM99999,'PLAN BUDGET SAMI-TF'!D12:D99999,SUMMARY!D94,'PLAN BUDGET SAMI-TF'!J12:J99999,SUMMARY!A94&amp;"*")</f>
        <v>0</v>
      </c>
      <c r="AB94" s="10">
        <f>SUMIFS('PLAN BUDGET SAMI-TF'!BN12:BN99999,'PLAN BUDGET SAMI-TF'!D12:D99999,SUMMARY!D94,'PLAN BUDGET SAMI-TF'!J12:J99999,SUMMARY!A94&amp;"*")</f>
        <v>0</v>
      </c>
      <c r="AC94" s="10">
        <f t="shared" si="8"/>
        <v>4</v>
      </c>
      <c r="AD94" s="10">
        <f t="shared" si="9"/>
        <v>1879.91341004898</v>
      </c>
      <c r="AE94" s="16"/>
      <c r="AF94" s="10">
        <v>0</v>
      </c>
      <c r="AG94" s="10">
        <v>0</v>
      </c>
      <c r="AH94" s="20">
        <f t="shared" si="10"/>
        <v>1</v>
      </c>
      <c r="AI94" s="20">
        <f t="shared" si="11"/>
        <v>1</v>
      </c>
      <c r="AJ94" s="67" t="s">
        <v>863</v>
      </c>
    </row>
    <row r="95" spans="1:36" x14ac:dyDescent="0.35">
      <c r="A95" s="7" t="s">
        <v>498</v>
      </c>
      <c r="B95" s="7"/>
      <c r="C95" s="7"/>
      <c r="D95" s="7" t="s">
        <v>644</v>
      </c>
      <c r="E95" s="10">
        <f>SUMIFS('PLAN BUDGET SAMI-TF'!AN12:AN99999,'PLAN BUDGET SAMI-TF'!D12:D99999,SUMMARY!D95,'PLAN BUDGET SAMI-TF'!J12:J99999,SUMMARY!A95&amp;"*")</f>
        <v>1</v>
      </c>
      <c r="F95" s="10">
        <f>SUMIFS('PLAN BUDGET SAMI-TF'!AO12:AO99999,'PLAN BUDGET SAMI-TF'!D12:D99999,SUMMARY!D95,'PLAN BUDGET SAMI-TF'!J12:J99999,SUMMARY!A95&amp;"*")</f>
        <v>0</v>
      </c>
      <c r="G95" s="10">
        <f>SUMIFS('PLAN BUDGET SAMI-TF'!AP12:AP99999,'PLAN BUDGET SAMI-TF'!D12:D99999,SUMMARY!D95,'PLAN BUDGET SAMI-TF'!J12:J99999,SUMMARY!A95&amp;"*")</f>
        <v>0</v>
      </c>
      <c r="H95" s="10">
        <f>SUMIFS('PLAN BUDGET SAMI-TF'!AQ12:AQ99999,'PLAN BUDGET SAMI-TF'!D12:D99999,SUMMARY!D95,'PLAN BUDGET SAMI-TF'!J12:J99999,SUMMARY!A95&amp;"*")</f>
        <v>0</v>
      </c>
      <c r="I95" s="10">
        <f>SUMIFS('PLAN BUDGET SAMI-TF'!AR12:AR99999,'PLAN BUDGET SAMI-TF'!D12:D99999,SUMMARY!D95,'PLAN BUDGET SAMI-TF'!J12:J99999,SUMMARY!A95&amp;"*")</f>
        <v>0</v>
      </c>
      <c r="J95" s="10">
        <f>SUMIFS('PLAN BUDGET SAMI-TF'!AS12:AS99999,'PLAN BUDGET SAMI-TF'!D12:D99999,SUMMARY!D95,'PLAN BUDGET SAMI-TF'!J12:J99999,SUMMARY!A95&amp;"*")</f>
        <v>0</v>
      </c>
      <c r="K95" s="10">
        <f>SUMIFS('PLAN BUDGET SAMI-TF'!AT12:AT99999,'PLAN BUDGET SAMI-TF'!D12:D99999,SUMMARY!D95,'PLAN BUDGET SAMI-TF'!J12:J99999,SUMMARY!A95&amp;"*")</f>
        <v>0</v>
      </c>
      <c r="L95" s="10">
        <f>SUMIFS('PLAN BUDGET SAMI-TF'!AU12:AU99999,'PLAN BUDGET SAMI-TF'!D12:D99999,SUMMARY!D95,'PLAN BUDGET SAMI-TF'!J12:J99999,SUMMARY!A95&amp;"*")</f>
        <v>0</v>
      </c>
      <c r="M95" s="10">
        <f>SUMIFS('PLAN BUDGET SAMI-TF'!AV12:AV99999,'PLAN BUDGET SAMI-TF'!D12:D99999,SUMMARY!D95,'PLAN BUDGET SAMI-TF'!J12:J99999,SUMMARY!A95&amp;"*")</f>
        <v>0</v>
      </c>
      <c r="N95" s="10">
        <f>SUMIFS('PLAN BUDGET SAMI-TF'!AW12:AW99999,'PLAN BUDGET SAMI-TF'!D12:D99999,SUMMARY!D95,'PLAN BUDGET SAMI-TF'!J12:J99999,SUMMARY!A95&amp;"*")</f>
        <v>0</v>
      </c>
      <c r="O95" s="10">
        <f>SUMIFS('PLAN BUDGET SAMI-TF'!AX12:AX99999,'PLAN BUDGET SAMI-TF'!D12:D99999,SUMMARY!D95,'PLAN BUDGET SAMI-TF'!J12:J99999,SUMMARY!A95&amp;"*")</f>
        <v>0</v>
      </c>
      <c r="P95" s="10">
        <f>SUMIFS('PLAN BUDGET SAMI-TF'!AY12:AY99999,'PLAN BUDGET SAMI-TF'!D12:D99999,SUMMARY!D95,'PLAN BUDGET SAMI-TF'!J12:J99999,SUMMARY!A95&amp;"*")</f>
        <v>0</v>
      </c>
      <c r="Q95" s="10">
        <f>SUMIFS('PLAN BUDGET SAMI-TF'!BC12:BC99999,'PLAN BUDGET SAMI-TF'!D12:D99999,SUMMARY!D95,'PLAN BUDGET SAMI-TF'!J12:J99999,SUMMARY!A95&amp;"*")</f>
        <v>243.69247908041999</v>
      </c>
      <c r="R95" s="10">
        <f>SUMIFS('PLAN BUDGET SAMI-TF'!BD12:BD99999,'PLAN BUDGET SAMI-TF'!D12:D99999,SUMMARY!D95,'PLAN BUDGET SAMI-TF'!J12:J99999,SUMMARY!A95&amp;"*")</f>
        <v>0</v>
      </c>
      <c r="S95" s="10">
        <f>SUMIFS('PLAN BUDGET SAMI-TF'!BE12:BE99999,'PLAN BUDGET SAMI-TF'!D12:D99999,SUMMARY!D95,'PLAN BUDGET SAMI-TF'!J12:J99999,SUMMARY!A95&amp;"*")</f>
        <v>0</v>
      </c>
      <c r="T95" s="10">
        <f>SUMIFS('PLAN BUDGET SAMI-TF'!BF12:BF99999,'PLAN BUDGET SAMI-TF'!D12:D99999,SUMMARY!D95,'PLAN BUDGET SAMI-TF'!J12:J99999,SUMMARY!A95&amp;"*")</f>
        <v>0</v>
      </c>
      <c r="U95" s="10">
        <f>SUMIFS('PLAN BUDGET SAMI-TF'!BG12:BG99999,'PLAN BUDGET SAMI-TF'!D12:D99999,SUMMARY!D95,'PLAN BUDGET SAMI-TF'!J12:J99999,SUMMARY!A95&amp;"*")</f>
        <v>0</v>
      </c>
      <c r="V95" s="10">
        <f>SUMIFS('PLAN BUDGET SAMI-TF'!BH12:BH99999,'PLAN BUDGET SAMI-TF'!D12:D99999,SUMMARY!D95,'PLAN BUDGET SAMI-TF'!J12:J99999,SUMMARY!A95&amp;"*")</f>
        <v>0</v>
      </c>
      <c r="W95" s="10">
        <f>SUMIFS('PLAN BUDGET SAMI-TF'!BI12:BI99999,'PLAN BUDGET SAMI-TF'!D12:D99999,SUMMARY!D95,'PLAN BUDGET SAMI-TF'!J12:J99999,SUMMARY!A95&amp;"*")</f>
        <v>0</v>
      </c>
      <c r="X95" s="10">
        <f>SUMIFS('PLAN BUDGET SAMI-TF'!BJ12:BJ99999,'PLAN BUDGET SAMI-TF'!D12:D99999,SUMMARY!D95,'PLAN BUDGET SAMI-TF'!J12:J99999,SUMMARY!A95&amp;"*")</f>
        <v>0</v>
      </c>
      <c r="Y95" s="10">
        <f>SUMIFS('PLAN BUDGET SAMI-TF'!BK12:BK99999,'PLAN BUDGET SAMI-TF'!D12:D99999,SUMMARY!D95,'PLAN BUDGET SAMI-TF'!J12:J99999,SUMMARY!A95&amp;"*")</f>
        <v>0</v>
      </c>
      <c r="Z95" s="10">
        <f>SUMIFS('PLAN BUDGET SAMI-TF'!BL12:BL99999,'PLAN BUDGET SAMI-TF'!D12:D99999,SUMMARY!D95,'PLAN BUDGET SAMI-TF'!J12:J99999,SUMMARY!A95&amp;"*")</f>
        <v>0</v>
      </c>
      <c r="AA95" s="10">
        <f>SUMIFS('PLAN BUDGET SAMI-TF'!BM12:BM99999,'PLAN BUDGET SAMI-TF'!D12:D99999,SUMMARY!D95,'PLAN BUDGET SAMI-TF'!J12:J99999,SUMMARY!A95&amp;"*")</f>
        <v>0</v>
      </c>
      <c r="AB95" s="10">
        <f>SUMIFS('PLAN BUDGET SAMI-TF'!BN12:BN99999,'PLAN BUDGET SAMI-TF'!D12:D99999,SUMMARY!D95,'PLAN BUDGET SAMI-TF'!J12:J99999,SUMMARY!A95&amp;"*")</f>
        <v>0</v>
      </c>
      <c r="AC95" s="10">
        <f t="shared" si="8"/>
        <v>1</v>
      </c>
      <c r="AD95" s="10">
        <f t="shared" si="9"/>
        <v>243.69247908041999</v>
      </c>
      <c r="AE95" s="16"/>
      <c r="AF95" s="10">
        <v>0</v>
      </c>
      <c r="AG95" s="10">
        <v>0</v>
      </c>
      <c r="AH95" s="20">
        <f t="shared" si="10"/>
        <v>1</v>
      </c>
      <c r="AI95" s="20">
        <f t="shared" si="11"/>
        <v>1</v>
      </c>
      <c r="AJ95" s="67" t="s">
        <v>863</v>
      </c>
    </row>
    <row r="96" spans="1:36" x14ac:dyDescent="0.35">
      <c r="A96" s="7" t="s">
        <v>498</v>
      </c>
      <c r="B96" s="7"/>
      <c r="C96" s="7"/>
      <c r="D96" s="7" t="s">
        <v>685</v>
      </c>
      <c r="E96" s="10">
        <f>SUMIFS('PLAN BUDGET SAMI-TF'!AN12:AN99999,'PLAN BUDGET SAMI-TF'!D12:D99999,SUMMARY!D96,'PLAN BUDGET SAMI-TF'!J12:J99999,SUMMARY!A96&amp;"*")</f>
        <v>3</v>
      </c>
      <c r="F96" s="10">
        <f>SUMIFS('PLAN BUDGET SAMI-TF'!AO12:AO99999,'PLAN BUDGET SAMI-TF'!D12:D99999,SUMMARY!D96,'PLAN BUDGET SAMI-TF'!J12:J99999,SUMMARY!A96&amp;"*")</f>
        <v>0</v>
      </c>
      <c r="G96" s="10">
        <f>SUMIFS('PLAN BUDGET SAMI-TF'!AP12:AP99999,'PLAN BUDGET SAMI-TF'!D12:D99999,SUMMARY!D96,'PLAN BUDGET SAMI-TF'!J12:J99999,SUMMARY!A96&amp;"*")</f>
        <v>0</v>
      </c>
      <c r="H96" s="10">
        <f>SUMIFS('PLAN BUDGET SAMI-TF'!AQ12:AQ99999,'PLAN BUDGET SAMI-TF'!D12:D99999,SUMMARY!D96,'PLAN BUDGET SAMI-TF'!J12:J99999,SUMMARY!A96&amp;"*")</f>
        <v>0</v>
      </c>
      <c r="I96" s="10">
        <f>SUMIFS('PLAN BUDGET SAMI-TF'!AR12:AR99999,'PLAN BUDGET SAMI-TF'!D12:D99999,SUMMARY!D96,'PLAN BUDGET SAMI-TF'!J12:J99999,SUMMARY!A96&amp;"*")</f>
        <v>0</v>
      </c>
      <c r="J96" s="10">
        <f>SUMIFS('PLAN BUDGET SAMI-TF'!AS12:AS99999,'PLAN BUDGET SAMI-TF'!D12:D99999,SUMMARY!D96,'PLAN BUDGET SAMI-TF'!J12:J99999,SUMMARY!A96&amp;"*")</f>
        <v>0</v>
      </c>
      <c r="K96" s="10">
        <f>SUMIFS('PLAN BUDGET SAMI-TF'!AT12:AT99999,'PLAN BUDGET SAMI-TF'!D12:D99999,SUMMARY!D96,'PLAN BUDGET SAMI-TF'!J12:J99999,SUMMARY!A96&amp;"*")</f>
        <v>0</v>
      </c>
      <c r="L96" s="10">
        <f>SUMIFS('PLAN BUDGET SAMI-TF'!AU12:AU99999,'PLAN BUDGET SAMI-TF'!D12:D99999,SUMMARY!D96,'PLAN BUDGET SAMI-TF'!J12:J99999,SUMMARY!A96&amp;"*")</f>
        <v>0</v>
      </c>
      <c r="M96" s="10">
        <f>SUMIFS('PLAN BUDGET SAMI-TF'!AV12:AV99999,'PLAN BUDGET SAMI-TF'!D12:D99999,SUMMARY!D96,'PLAN BUDGET SAMI-TF'!J12:J99999,SUMMARY!A96&amp;"*")</f>
        <v>0</v>
      </c>
      <c r="N96" s="10">
        <f>SUMIFS('PLAN BUDGET SAMI-TF'!AW12:AW99999,'PLAN BUDGET SAMI-TF'!D12:D99999,SUMMARY!D96,'PLAN BUDGET SAMI-TF'!J12:J99999,SUMMARY!A96&amp;"*")</f>
        <v>0</v>
      </c>
      <c r="O96" s="10">
        <f>SUMIFS('PLAN BUDGET SAMI-TF'!AX12:AX99999,'PLAN BUDGET SAMI-TF'!D12:D99999,SUMMARY!D96,'PLAN BUDGET SAMI-TF'!J12:J99999,SUMMARY!A96&amp;"*")</f>
        <v>0</v>
      </c>
      <c r="P96" s="10">
        <f>SUMIFS('PLAN BUDGET SAMI-TF'!AY12:AY99999,'PLAN BUDGET SAMI-TF'!D12:D99999,SUMMARY!D96,'PLAN BUDGET SAMI-TF'!J12:J99999,SUMMARY!A96&amp;"*")</f>
        <v>0</v>
      </c>
      <c r="Q96" s="10">
        <f>SUMIFS('PLAN BUDGET SAMI-TF'!BC12:BC99999,'PLAN BUDGET SAMI-TF'!D12:D99999,SUMMARY!D96,'PLAN BUDGET SAMI-TF'!J12:J99999,SUMMARY!A96&amp;"*")</f>
        <v>1859.0254832707001</v>
      </c>
      <c r="R96" s="10">
        <f>SUMIFS('PLAN BUDGET SAMI-TF'!BD12:BD99999,'PLAN BUDGET SAMI-TF'!D12:D99999,SUMMARY!D96,'PLAN BUDGET SAMI-TF'!J12:J99999,SUMMARY!A96&amp;"*")</f>
        <v>0</v>
      </c>
      <c r="S96" s="10">
        <f>SUMIFS('PLAN BUDGET SAMI-TF'!BE12:BE99999,'PLAN BUDGET SAMI-TF'!D12:D99999,SUMMARY!D96,'PLAN BUDGET SAMI-TF'!J12:J99999,SUMMARY!A96&amp;"*")</f>
        <v>0</v>
      </c>
      <c r="T96" s="10">
        <f>SUMIFS('PLAN BUDGET SAMI-TF'!BF12:BF99999,'PLAN BUDGET SAMI-TF'!D12:D99999,SUMMARY!D96,'PLAN BUDGET SAMI-TF'!J12:J99999,SUMMARY!A96&amp;"*")</f>
        <v>0</v>
      </c>
      <c r="U96" s="10">
        <f>SUMIFS('PLAN BUDGET SAMI-TF'!BG12:BG99999,'PLAN BUDGET SAMI-TF'!D12:D99999,SUMMARY!D96,'PLAN BUDGET SAMI-TF'!J12:J99999,SUMMARY!A96&amp;"*")</f>
        <v>0</v>
      </c>
      <c r="V96" s="10">
        <f>SUMIFS('PLAN BUDGET SAMI-TF'!BH12:BH99999,'PLAN BUDGET SAMI-TF'!D12:D99999,SUMMARY!D96,'PLAN BUDGET SAMI-TF'!J12:J99999,SUMMARY!A96&amp;"*")</f>
        <v>0</v>
      </c>
      <c r="W96" s="10">
        <f>SUMIFS('PLAN BUDGET SAMI-TF'!BI12:BI99999,'PLAN BUDGET SAMI-TF'!D12:D99999,SUMMARY!D96,'PLAN BUDGET SAMI-TF'!J12:J99999,SUMMARY!A96&amp;"*")</f>
        <v>0</v>
      </c>
      <c r="X96" s="10">
        <f>SUMIFS('PLAN BUDGET SAMI-TF'!BJ12:BJ99999,'PLAN BUDGET SAMI-TF'!D12:D99999,SUMMARY!D96,'PLAN BUDGET SAMI-TF'!J12:J99999,SUMMARY!A96&amp;"*")</f>
        <v>0</v>
      </c>
      <c r="Y96" s="10">
        <f>SUMIFS('PLAN BUDGET SAMI-TF'!BK12:BK99999,'PLAN BUDGET SAMI-TF'!D12:D99999,SUMMARY!D96,'PLAN BUDGET SAMI-TF'!J12:J99999,SUMMARY!A96&amp;"*")</f>
        <v>0</v>
      </c>
      <c r="Z96" s="10">
        <f>SUMIFS('PLAN BUDGET SAMI-TF'!BL12:BL99999,'PLAN BUDGET SAMI-TF'!D12:D99999,SUMMARY!D96,'PLAN BUDGET SAMI-TF'!J12:J99999,SUMMARY!A96&amp;"*")</f>
        <v>0</v>
      </c>
      <c r="AA96" s="10">
        <f>SUMIFS('PLAN BUDGET SAMI-TF'!BM12:BM99999,'PLAN BUDGET SAMI-TF'!D12:D99999,SUMMARY!D96,'PLAN BUDGET SAMI-TF'!J12:J99999,SUMMARY!A96&amp;"*")</f>
        <v>0</v>
      </c>
      <c r="AB96" s="10">
        <f>SUMIFS('PLAN BUDGET SAMI-TF'!BN12:BN99999,'PLAN BUDGET SAMI-TF'!D12:D99999,SUMMARY!D96,'PLAN BUDGET SAMI-TF'!J12:J99999,SUMMARY!A96&amp;"*")</f>
        <v>0</v>
      </c>
      <c r="AC96" s="10">
        <f t="shared" si="8"/>
        <v>3</v>
      </c>
      <c r="AD96" s="10">
        <f t="shared" si="9"/>
        <v>1859.0254832707001</v>
      </c>
      <c r="AE96" s="16"/>
      <c r="AF96" s="10">
        <v>0</v>
      </c>
      <c r="AG96" s="10">
        <v>0</v>
      </c>
      <c r="AH96" s="20">
        <f t="shared" si="10"/>
        <v>1</v>
      </c>
      <c r="AI96" s="20">
        <f t="shared" si="11"/>
        <v>1</v>
      </c>
      <c r="AJ96" s="67" t="s">
        <v>863</v>
      </c>
    </row>
    <row r="97" spans="1:36" x14ac:dyDescent="0.35">
      <c r="A97" s="7" t="s">
        <v>498</v>
      </c>
      <c r="B97" s="7"/>
      <c r="C97" s="7"/>
      <c r="D97" s="7" t="s">
        <v>586</v>
      </c>
      <c r="E97" s="10">
        <f>SUMIFS('PLAN BUDGET SAMI-TF'!AN12:AN99999,'PLAN BUDGET SAMI-TF'!D12:D99999,SUMMARY!D97,'PLAN BUDGET SAMI-TF'!J12:J99999,SUMMARY!A97&amp;"*")</f>
        <v>2</v>
      </c>
      <c r="F97" s="10">
        <f>SUMIFS('PLAN BUDGET SAMI-TF'!AO12:AO99999,'PLAN BUDGET SAMI-TF'!D12:D99999,SUMMARY!D97,'PLAN BUDGET SAMI-TF'!J12:J99999,SUMMARY!A97&amp;"*")</f>
        <v>2</v>
      </c>
      <c r="G97" s="10">
        <f>SUMIFS('PLAN BUDGET SAMI-TF'!AP12:AP99999,'PLAN BUDGET SAMI-TF'!D12:D99999,SUMMARY!D97,'PLAN BUDGET SAMI-TF'!J12:J99999,SUMMARY!A97&amp;"*")</f>
        <v>0</v>
      </c>
      <c r="H97" s="10">
        <f>SUMIFS('PLAN BUDGET SAMI-TF'!AQ12:AQ99999,'PLAN BUDGET SAMI-TF'!D12:D99999,SUMMARY!D97,'PLAN BUDGET SAMI-TF'!J12:J99999,SUMMARY!A97&amp;"*")</f>
        <v>0</v>
      </c>
      <c r="I97" s="10">
        <f>SUMIFS('PLAN BUDGET SAMI-TF'!AR12:AR99999,'PLAN BUDGET SAMI-TF'!D12:D99999,SUMMARY!D97,'PLAN BUDGET SAMI-TF'!J12:J99999,SUMMARY!A97&amp;"*")</f>
        <v>0</v>
      </c>
      <c r="J97" s="10">
        <f>SUMIFS('PLAN BUDGET SAMI-TF'!AS12:AS99999,'PLAN BUDGET SAMI-TF'!D12:D99999,SUMMARY!D97,'PLAN BUDGET SAMI-TF'!J12:J99999,SUMMARY!A97&amp;"*")</f>
        <v>0</v>
      </c>
      <c r="K97" s="10">
        <f>SUMIFS('PLAN BUDGET SAMI-TF'!AT12:AT99999,'PLAN BUDGET SAMI-TF'!D12:D99999,SUMMARY!D97,'PLAN BUDGET SAMI-TF'!J12:J99999,SUMMARY!A97&amp;"*")</f>
        <v>0</v>
      </c>
      <c r="L97" s="10">
        <f>SUMIFS('PLAN BUDGET SAMI-TF'!AU12:AU99999,'PLAN BUDGET SAMI-TF'!D12:D99999,SUMMARY!D97,'PLAN BUDGET SAMI-TF'!J12:J99999,SUMMARY!A97&amp;"*")</f>
        <v>0</v>
      </c>
      <c r="M97" s="10">
        <f>SUMIFS('PLAN BUDGET SAMI-TF'!AV12:AV99999,'PLAN BUDGET SAMI-TF'!D12:D99999,SUMMARY!D97,'PLAN BUDGET SAMI-TF'!J12:J99999,SUMMARY!A97&amp;"*")</f>
        <v>0</v>
      </c>
      <c r="N97" s="10">
        <f>SUMIFS('PLAN BUDGET SAMI-TF'!AW12:AW99999,'PLAN BUDGET SAMI-TF'!D12:D99999,SUMMARY!D97,'PLAN BUDGET SAMI-TF'!J12:J99999,SUMMARY!A97&amp;"*")</f>
        <v>0</v>
      </c>
      <c r="O97" s="10">
        <f>SUMIFS('PLAN BUDGET SAMI-TF'!AX12:AX99999,'PLAN BUDGET SAMI-TF'!D12:D99999,SUMMARY!D97,'PLAN BUDGET SAMI-TF'!J12:J99999,SUMMARY!A97&amp;"*")</f>
        <v>0</v>
      </c>
      <c r="P97" s="10">
        <f>SUMIFS('PLAN BUDGET SAMI-TF'!AY12:AY99999,'PLAN BUDGET SAMI-TF'!D12:D99999,SUMMARY!D97,'PLAN BUDGET SAMI-TF'!J12:J99999,SUMMARY!A97&amp;"*")</f>
        <v>0</v>
      </c>
      <c r="Q97" s="10">
        <f>SUMIFS('PLAN BUDGET SAMI-TF'!BC12:BC99999,'PLAN BUDGET SAMI-TF'!D12:D99999,SUMMARY!D97,'PLAN BUDGET SAMI-TF'!J12:J99999,SUMMARY!A97&amp;"*")</f>
        <v>417.75853556644</v>
      </c>
      <c r="R97" s="10">
        <f>SUMIFS('PLAN BUDGET SAMI-TF'!BD12:BD99999,'PLAN BUDGET SAMI-TF'!D12:D99999,SUMMARY!D97,'PLAN BUDGET SAMI-TF'!J12:J99999,SUMMARY!A97&amp;"*")</f>
        <v>417.75853556644</v>
      </c>
      <c r="S97" s="10">
        <f>SUMIFS('PLAN BUDGET SAMI-TF'!BE12:BE99999,'PLAN BUDGET SAMI-TF'!D12:D99999,SUMMARY!D97,'PLAN BUDGET SAMI-TF'!J12:J99999,SUMMARY!A97&amp;"*")</f>
        <v>0</v>
      </c>
      <c r="T97" s="10">
        <f>SUMIFS('PLAN BUDGET SAMI-TF'!BF12:BF99999,'PLAN BUDGET SAMI-TF'!D12:D99999,SUMMARY!D97,'PLAN BUDGET SAMI-TF'!J12:J99999,SUMMARY!A97&amp;"*")</f>
        <v>0</v>
      </c>
      <c r="U97" s="10">
        <f>SUMIFS('PLAN BUDGET SAMI-TF'!BG12:BG99999,'PLAN BUDGET SAMI-TF'!D12:D99999,SUMMARY!D97,'PLAN BUDGET SAMI-TF'!J12:J99999,SUMMARY!A97&amp;"*")</f>
        <v>0</v>
      </c>
      <c r="V97" s="10">
        <f>SUMIFS('PLAN BUDGET SAMI-TF'!BH12:BH99999,'PLAN BUDGET SAMI-TF'!D12:D99999,SUMMARY!D97,'PLAN BUDGET SAMI-TF'!J12:J99999,SUMMARY!A97&amp;"*")</f>
        <v>0</v>
      </c>
      <c r="W97" s="10">
        <f>SUMIFS('PLAN BUDGET SAMI-TF'!BI12:BI99999,'PLAN BUDGET SAMI-TF'!D12:D99999,SUMMARY!D97,'PLAN BUDGET SAMI-TF'!J12:J99999,SUMMARY!A97&amp;"*")</f>
        <v>0</v>
      </c>
      <c r="X97" s="10">
        <f>SUMIFS('PLAN BUDGET SAMI-TF'!BJ12:BJ99999,'PLAN BUDGET SAMI-TF'!D12:D99999,SUMMARY!D97,'PLAN BUDGET SAMI-TF'!J12:J99999,SUMMARY!A97&amp;"*")</f>
        <v>0</v>
      </c>
      <c r="Y97" s="10">
        <f>SUMIFS('PLAN BUDGET SAMI-TF'!BK12:BK99999,'PLAN BUDGET SAMI-TF'!D12:D99999,SUMMARY!D97,'PLAN BUDGET SAMI-TF'!J12:J99999,SUMMARY!A97&amp;"*")</f>
        <v>0</v>
      </c>
      <c r="Z97" s="10">
        <f>SUMIFS('PLAN BUDGET SAMI-TF'!BL12:BL99999,'PLAN BUDGET SAMI-TF'!D12:D99999,SUMMARY!D97,'PLAN BUDGET SAMI-TF'!J12:J99999,SUMMARY!A97&amp;"*")</f>
        <v>0</v>
      </c>
      <c r="AA97" s="10">
        <f>SUMIFS('PLAN BUDGET SAMI-TF'!BM12:BM99999,'PLAN BUDGET SAMI-TF'!D12:D99999,SUMMARY!D97,'PLAN BUDGET SAMI-TF'!J12:J99999,SUMMARY!A97&amp;"*")</f>
        <v>0</v>
      </c>
      <c r="AB97" s="10">
        <f>SUMIFS('PLAN BUDGET SAMI-TF'!BN12:BN99999,'PLAN BUDGET SAMI-TF'!D12:D99999,SUMMARY!D97,'PLAN BUDGET SAMI-TF'!J12:J99999,SUMMARY!A97&amp;"*")</f>
        <v>0</v>
      </c>
      <c r="AC97" s="10">
        <f t="shared" si="8"/>
        <v>4</v>
      </c>
      <c r="AD97" s="10">
        <f t="shared" si="9"/>
        <v>835.51707113288001</v>
      </c>
      <c r="AE97" s="16"/>
      <c r="AF97" s="10">
        <v>0</v>
      </c>
      <c r="AG97" s="10">
        <v>0</v>
      </c>
      <c r="AH97" s="20">
        <f t="shared" si="10"/>
        <v>1</v>
      </c>
      <c r="AI97" s="20">
        <f t="shared" si="11"/>
        <v>1</v>
      </c>
      <c r="AJ97" s="67" t="s">
        <v>863</v>
      </c>
    </row>
    <row r="98" spans="1:36" x14ac:dyDescent="0.35">
      <c r="A98" s="7" t="s">
        <v>498</v>
      </c>
      <c r="B98" s="7"/>
      <c r="C98" s="7"/>
      <c r="D98" s="7" t="s">
        <v>592</v>
      </c>
      <c r="E98" s="10">
        <f>SUMIFS('PLAN BUDGET SAMI-TF'!AN12:AN99999,'PLAN BUDGET SAMI-TF'!D12:D99999,SUMMARY!D98,'PLAN BUDGET SAMI-TF'!J12:J99999,SUMMARY!A98&amp;"*")</f>
        <v>0</v>
      </c>
      <c r="F98" s="10">
        <f>SUMIFS('PLAN BUDGET SAMI-TF'!AO12:AO99999,'PLAN BUDGET SAMI-TF'!D12:D99999,SUMMARY!D98,'PLAN BUDGET SAMI-TF'!J12:J99999,SUMMARY!A98&amp;"*")</f>
        <v>6</v>
      </c>
      <c r="G98" s="10">
        <f>SUMIFS('PLAN BUDGET SAMI-TF'!AP12:AP99999,'PLAN BUDGET SAMI-TF'!D12:D99999,SUMMARY!D98,'PLAN BUDGET SAMI-TF'!J12:J99999,SUMMARY!A98&amp;"*")</f>
        <v>0</v>
      </c>
      <c r="H98" s="10">
        <f>SUMIFS('PLAN BUDGET SAMI-TF'!AQ12:AQ99999,'PLAN BUDGET SAMI-TF'!D12:D99999,SUMMARY!D98,'PLAN BUDGET SAMI-TF'!J12:J99999,SUMMARY!A98&amp;"*")</f>
        <v>0</v>
      </c>
      <c r="I98" s="10">
        <f>SUMIFS('PLAN BUDGET SAMI-TF'!AR12:AR99999,'PLAN BUDGET SAMI-TF'!D12:D99999,SUMMARY!D98,'PLAN BUDGET SAMI-TF'!J12:J99999,SUMMARY!A98&amp;"*")</f>
        <v>2</v>
      </c>
      <c r="J98" s="10">
        <f>SUMIFS('PLAN BUDGET SAMI-TF'!AS12:AS99999,'PLAN BUDGET SAMI-TF'!D12:D99999,SUMMARY!D98,'PLAN BUDGET SAMI-TF'!J12:J99999,SUMMARY!A98&amp;"*")</f>
        <v>0</v>
      </c>
      <c r="K98" s="10">
        <f>SUMIFS('PLAN BUDGET SAMI-TF'!AT12:AT99999,'PLAN BUDGET SAMI-TF'!D12:D99999,SUMMARY!D98,'PLAN BUDGET SAMI-TF'!J12:J99999,SUMMARY!A98&amp;"*")</f>
        <v>0</v>
      </c>
      <c r="L98" s="10">
        <f>SUMIFS('PLAN BUDGET SAMI-TF'!AU12:AU99999,'PLAN BUDGET SAMI-TF'!D12:D99999,SUMMARY!D98,'PLAN BUDGET SAMI-TF'!J12:J99999,SUMMARY!A98&amp;"*")</f>
        <v>0</v>
      </c>
      <c r="M98" s="10">
        <f>SUMIFS('PLAN BUDGET SAMI-TF'!AV12:AV99999,'PLAN BUDGET SAMI-TF'!D12:D99999,SUMMARY!D98,'PLAN BUDGET SAMI-TF'!J12:J99999,SUMMARY!A98&amp;"*")</f>
        <v>0</v>
      </c>
      <c r="N98" s="10">
        <f>SUMIFS('PLAN BUDGET SAMI-TF'!AW12:AW99999,'PLAN BUDGET SAMI-TF'!D12:D99999,SUMMARY!D98,'PLAN BUDGET SAMI-TF'!J12:J99999,SUMMARY!A98&amp;"*")</f>
        <v>0</v>
      </c>
      <c r="O98" s="10">
        <f>SUMIFS('PLAN BUDGET SAMI-TF'!AX12:AX99999,'PLAN BUDGET SAMI-TF'!D12:D99999,SUMMARY!D98,'PLAN BUDGET SAMI-TF'!J12:J99999,SUMMARY!A98&amp;"*")</f>
        <v>0</v>
      </c>
      <c r="P98" s="10">
        <f>SUMIFS('PLAN BUDGET SAMI-TF'!AY12:AY99999,'PLAN BUDGET SAMI-TF'!D12:D99999,SUMMARY!D98,'PLAN BUDGET SAMI-TF'!J12:J99999,SUMMARY!A98&amp;"*")</f>
        <v>0</v>
      </c>
      <c r="Q98" s="10">
        <f>SUMIFS('PLAN BUDGET SAMI-TF'!BC12:BC99999,'PLAN BUDGET SAMI-TF'!D12:D99999,SUMMARY!D98,'PLAN BUDGET SAMI-TF'!J12:J99999,SUMMARY!A98&amp;"*")</f>
        <v>0</v>
      </c>
      <c r="R98" s="10">
        <f>SUMIFS('PLAN BUDGET SAMI-TF'!BD12:BD99999,'PLAN BUDGET SAMI-TF'!D12:D99999,SUMMARY!D98,'PLAN BUDGET SAMI-TF'!J12:J99999,SUMMARY!A98&amp;"*")</f>
        <v>1455.192232223106</v>
      </c>
      <c r="S98" s="10">
        <f>SUMIFS('PLAN BUDGET SAMI-TF'!BE12:BE99999,'PLAN BUDGET SAMI-TF'!D12:D99999,SUMMARY!D98,'PLAN BUDGET SAMI-TF'!J12:J99999,SUMMARY!A98&amp;"*")</f>
        <v>0</v>
      </c>
      <c r="T98" s="10">
        <f>SUMIFS('PLAN BUDGET SAMI-TF'!BF12:BF99999,'PLAN BUDGET SAMI-TF'!D12:D99999,SUMMARY!D98,'PLAN BUDGET SAMI-TF'!J12:J99999,SUMMARY!A98&amp;"*")</f>
        <v>0</v>
      </c>
      <c r="U98" s="10">
        <f>SUMIFS('PLAN BUDGET SAMI-TF'!BG12:BG99999,'PLAN BUDGET SAMI-TF'!D12:D99999,SUMMARY!D98,'PLAN BUDGET SAMI-TF'!J12:J99999,SUMMARY!A98&amp;"*")</f>
        <v>55.701138075526003</v>
      </c>
      <c r="V98" s="10">
        <f>SUMIFS('PLAN BUDGET SAMI-TF'!BH12:BH99999,'PLAN BUDGET SAMI-TF'!D12:D99999,SUMMARY!D98,'PLAN BUDGET SAMI-TF'!J12:J99999,SUMMARY!A98&amp;"*")</f>
        <v>0</v>
      </c>
      <c r="W98" s="10">
        <f>SUMIFS('PLAN BUDGET SAMI-TF'!BI12:BI99999,'PLAN BUDGET SAMI-TF'!D12:D99999,SUMMARY!D98,'PLAN BUDGET SAMI-TF'!J12:J99999,SUMMARY!A98&amp;"*")</f>
        <v>0</v>
      </c>
      <c r="X98" s="10">
        <f>SUMIFS('PLAN BUDGET SAMI-TF'!BJ12:BJ99999,'PLAN BUDGET SAMI-TF'!D12:D99999,SUMMARY!D98,'PLAN BUDGET SAMI-TF'!J12:J99999,SUMMARY!A98&amp;"*")</f>
        <v>0</v>
      </c>
      <c r="Y98" s="10">
        <f>SUMIFS('PLAN BUDGET SAMI-TF'!BK12:BK99999,'PLAN BUDGET SAMI-TF'!D12:D99999,SUMMARY!D98,'PLAN BUDGET SAMI-TF'!J12:J99999,SUMMARY!A98&amp;"*")</f>
        <v>0</v>
      </c>
      <c r="Z98" s="10">
        <f>SUMIFS('PLAN BUDGET SAMI-TF'!BL12:BL99999,'PLAN BUDGET SAMI-TF'!D12:D99999,SUMMARY!D98,'PLAN BUDGET SAMI-TF'!J12:J99999,SUMMARY!A98&amp;"*")</f>
        <v>0</v>
      </c>
      <c r="AA98" s="10">
        <f>SUMIFS('PLAN BUDGET SAMI-TF'!BM12:BM99999,'PLAN BUDGET SAMI-TF'!D12:D99999,SUMMARY!D98,'PLAN BUDGET SAMI-TF'!J12:J99999,SUMMARY!A98&amp;"*")</f>
        <v>0</v>
      </c>
      <c r="AB98" s="10">
        <f>SUMIFS('PLAN BUDGET SAMI-TF'!BN12:BN99999,'PLAN BUDGET SAMI-TF'!D12:D99999,SUMMARY!D98,'PLAN BUDGET SAMI-TF'!J12:J99999,SUMMARY!A98&amp;"*")</f>
        <v>0</v>
      </c>
      <c r="AC98" s="10">
        <f t="shared" si="8"/>
        <v>8</v>
      </c>
      <c r="AD98" s="10">
        <f t="shared" si="9"/>
        <v>1510.8933702986319</v>
      </c>
      <c r="AE98" s="16"/>
      <c r="AF98" s="10">
        <v>0</v>
      </c>
      <c r="AG98" s="10">
        <v>0</v>
      </c>
      <c r="AH98" s="20">
        <f t="shared" si="10"/>
        <v>1</v>
      </c>
      <c r="AI98" s="20">
        <f t="shared" si="11"/>
        <v>1</v>
      </c>
      <c r="AJ98" s="67" t="s">
        <v>863</v>
      </c>
    </row>
    <row r="99" spans="1:36" x14ac:dyDescent="0.35">
      <c r="A99" s="7" t="s">
        <v>498</v>
      </c>
      <c r="B99" s="7"/>
      <c r="C99" s="7"/>
      <c r="D99" s="7" t="s">
        <v>691</v>
      </c>
      <c r="E99" s="10">
        <f>SUMIFS('PLAN BUDGET SAMI-TF'!AN12:AN99999,'PLAN BUDGET SAMI-TF'!D12:D99999,SUMMARY!D99,'PLAN BUDGET SAMI-TF'!J12:J99999,SUMMARY!A99&amp;"*")</f>
        <v>0</v>
      </c>
      <c r="F99" s="10">
        <f>SUMIFS('PLAN BUDGET SAMI-TF'!AO12:AO99999,'PLAN BUDGET SAMI-TF'!D12:D99999,SUMMARY!D99,'PLAN BUDGET SAMI-TF'!J12:J99999,SUMMARY!A99&amp;"*")</f>
        <v>0</v>
      </c>
      <c r="G99" s="10">
        <f>SUMIFS('PLAN BUDGET SAMI-TF'!AP12:AP99999,'PLAN BUDGET SAMI-TF'!D12:D99999,SUMMARY!D99,'PLAN BUDGET SAMI-TF'!J12:J99999,SUMMARY!A99&amp;"*")</f>
        <v>0</v>
      </c>
      <c r="H99" s="10">
        <f>SUMIFS('PLAN BUDGET SAMI-TF'!AQ12:AQ99999,'PLAN BUDGET SAMI-TF'!D12:D99999,SUMMARY!D99,'PLAN BUDGET SAMI-TF'!J12:J99999,SUMMARY!A99&amp;"*")</f>
        <v>3</v>
      </c>
      <c r="I99" s="10">
        <f>SUMIFS('PLAN BUDGET SAMI-TF'!AR12:AR99999,'PLAN BUDGET SAMI-TF'!D12:D99999,SUMMARY!D99,'PLAN BUDGET SAMI-TF'!J12:J99999,SUMMARY!A99&amp;"*")</f>
        <v>0</v>
      </c>
      <c r="J99" s="10">
        <f>SUMIFS('PLAN BUDGET SAMI-TF'!AS12:AS99999,'PLAN BUDGET SAMI-TF'!D12:D99999,SUMMARY!D99,'PLAN BUDGET SAMI-TF'!J12:J99999,SUMMARY!A99&amp;"*")</f>
        <v>0</v>
      </c>
      <c r="K99" s="10">
        <f>SUMIFS('PLAN BUDGET SAMI-TF'!AT12:AT99999,'PLAN BUDGET SAMI-TF'!D12:D99999,SUMMARY!D99,'PLAN BUDGET SAMI-TF'!J12:J99999,SUMMARY!A99&amp;"*")</f>
        <v>0</v>
      </c>
      <c r="L99" s="10">
        <f>SUMIFS('PLAN BUDGET SAMI-TF'!AU12:AU99999,'PLAN BUDGET SAMI-TF'!D12:D99999,SUMMARY!D99,'PLAN BUDGET SAMI-TF'!J12:J99999,SUMMARY!A99&amp;"*")</f>
        <v>0</v>
      </c>
      <c r="M99" s="10">
        <f>SUMIFS('PLAN BUDGET SAMI-TF'!AV12:AV99999,'PLAN BUDGET SAMI-TF'!D12:D99999,SUMMARY!D99,'PLAN BUDGET SAMI-TF'!J12:J99999,SUMMARY!A99&amp;"*")</f>
        <v>0</v>
      </c>
      <c r="N99" s="10">
        <f>SUMIFS('PLAN BUDGET SAMI-TF'!AW12:AW99999,'PLAN BUDGET SAMI-TF'!D12:D99999,SUMMARY!D99,'PLAN BUDGET SAMI-TF'!J12:J99999,SUMMARY!A99&amp;"*")</f>
        <v>0</v>
      </c>
      <c r="O99" s="10">
        <f>SUMIFS('PLAN BUDGET SAMI-TF'!AX12:AX99999,'PLAN BUDGET SAMI-TF'!D12:D99999,SUMMARY!D99,'PLAN BUDGET SAMI-TF'!J12:J99999,SUMMARY!A99&amp;"*")</f>
        <v>0</v>
      </c>
      <c r="P99" s="10">
        <f>SUMIFS('PLAN BUDGET SAMI-TF'!AY12:AY99999,'PLAN BUDGET SAMI-TF'!D12:D99999,SUMMARY!D99,'PLAN BUDGET SAMI-TF'!J12:J99999,SUMMARY!A99&amp;"*")</f>
        <v>0</v>
      </c>
      <c r="Q99" s="10">
        <f>SUMIFS('PLAN BUDGET SAMI-TF'!BC12:BC99999,'PLAN BUDGET SAMI-TF'!D12:D99999,SUMMARY!D99,'PLAN BUDGET SAMI-TF'!J12:J99999,SUMMARY!A99&amp;"*")</f>
        <v>0</v>
      </c>
      <c r="R99" s="10">
        <f>SUMIFS('PLAN BUDGET SAMI-TF'!BD12:BD99999,'PLAN BUDGET SAMI-TF'!D12:D99999,SUMMARY!D99,'PLAN BUDGET SAMI-TF'!J12:J99999,SUMMARY!A99&amp;"*")</f>
        <v>0</v>
      </c>
      <c r="S99" s="10">
        <f>SUMIFS('PLAN BUDGET SAMI-TF'!BE12:BE99999,'PLAN BUDGET SAMI-TF'!D12:D99999,SUMMARY!D99,'PLAN BUDGET SAMI-TF'!J12:J99999,SUMMARY!A99&amp;"*")</f>
        <v>0</v>
      </c>
      <c r="T99" s="10">
        <f>SUMIFS('PLAN BUDGET SAMI-TF'!BF12:BF99999,'PLAN BUDGET SAMI-TF'!D12:D99999,SUMMARY!D99,'PLAN BUDGET SAMI-TF'!J12:J99999,SUMMARY!A99&amp;"*")</f>
        <v>417.75853556644</v>
      </c>
      <c r="U99" s="10">
        <f>SUMIFS('PLAN BUDGET SAMI-TF'!BG12:BG99999,'PLAN BUDGET SAMI-TF'!D12:D99999,SUMMARY!D99,'PLAN BUDGET SAMI-TF'!J12:J99999,SUMMARY!A99&amp;"*")</f>
        <v>0</v>
      </c>
      <c r="V99" s="10">
        <f>SUMIFS('PLAN BUDGET SAMI-TF'!BH12:BH99999,'PLAN BUDGET SAMI-TF'!D12:D99999,SUMMARY!D99,'PLAN BUDGET SAMI-TF'!J12:J99999,SUMMARY!A99&amp;"*")</f>
        <v>0</v>
      </c>
      <c r="W99" s="10">
        <f>SUMIFS('PLAN BUDGET SAMI-TF'!BI12:BI99999,'PLAN BUDGET SAMI-TF'!D12:D99999,SUMMARY!D99,'PLAN BUDGET SAMI-TF'!J12:J99999,SUMMARY!A99&amp;"*")</f>
        <v>0</v>
      </c>
      <c r="X99" s="10">
        <f>SUMIFS('PLAN BUDGET SAMI-TF'!BJ12:BJ99999,'PLAN BUDGET SAMI-TF'!D12:D99999,SUMMARY!D99,'PLAN BUDGET SAMI-TF'!J12:J99999,SUMMARY!A99&amp;"*")</f>
        <v>0</v>
      </c>
      <c r="Y99" s="10">
        <f>SUMIFS('PLAN BUDGET SAMI-TF'!BK12:BK99999,'PLAN BUDGET SAMI-TF'!D12:D99999,SUMMARY!D99,'PLAN BUDGET SAMI-TF'!J12:J99999,SUMMARY!A99&amp;"*")</f>
        <v>0</v>
      </c>
      <c r="Z99" s="10">
        <f>SUMIFS('PLAN BUDGET SAMI-TF'!BL12:BL99999,'PLAN BUDGET SAMI-TF'!D12:D99999,SUMMARY!D99,'PLAN BUDGET SAMI-TF'!J12:J99999,SUMMARY!A99&amp;"*")</f>
        <v>0</v>
      </c>
      <c r="AA99" s="10">
        <f>SUMIFS('PLAN BUDGET SAMI-TF'!BM12:BM99999,'PLAN BUDGET SAMI-TF'!D12:D99999,SUMMARY!D99,'PLAN BUDGET SAMI-TF'!J12:J99999,SUMMARY!A99&amp;"*")</f>
        <v>0</v>
      </c>
      <c r="AB99" s="10">
        <f>SUMIFS('PLAN BUDGET SAMI-TF'!BN12:BN99999,'PLAN BUDGET SAMI-TF'!D12:D99999,SUMMARY!D99,'PLAN BUDGET SAMI-TF'!J12:J99999,SUMMARY!A99&amp;"*")</f>
        <v>0</v>
      </c>
      <c r="AC99" s="10">
        <f t="shared" si="8"/>
        <v>3</v>
      </c>
      <c r="AD99" s="10">
        <f t="shared" si="9"/>
        <v>417.75853556644</v>
      </c>
      <c r="AE99" s="16"/>
      <c r="AF99" s="10">
        <v>0</v>
      </c>
      <c r="AG99" s="10">
        <v>0</v>
      </c>
      <c r="AH99" s="20">
        <f t="shared" si="10"/>
        <v>1</v>
      </c>
      <c r="AI99" s="20">
        <f t="shared" si="11"/>
        <v>1</v>
      </c>
      <c r="AJ99" s="67" t="s">
        <v>863</v>
      </c>
    </row>
    <row r="100" spans="1:36" x14ac:dyDescent="0.35">
      <c r="A100" s="7" t="s">
        <v>498</v>
      </c>
      <c r="B100" s="7"/>
      <c r="C100" s="7"/>
      <c r="D100" s="7" t="s">
        <v>511</v>
      </c>
      <c r="E100" s="10">
        <f>SUMIFS('PLAN BUDGET SAMI-TF'!AN12:AN99999,'PLAN BUDGET SAMI-TF'!D12:D99999,SUMMARY!D100,'PLAN BUDGET SAMI-TF'!J12:J99999,SUMMARY!A100&amp;"*")</f>
        <v>0</v>
      </c>
      <c r="F100" s="10">
        <f>SUMIFS('PLAN BUDGET SAMI-TF'!AO12:AO99999,'PLAN BUDGET SAMI-TF'!D12:D99999,SUMMARY!D100,'PLAN BUDGET SAMI-TF'!J12:J99999,SUMMARY!A100&amp;"*")</f>
        <v>1</v>
      </c>
      <c r="G100" s="10">
        <f>SUMIFS('PLAN BUDGET SAMI-TF'!AP12:AP99999,'PLAN BUDGET SAMI-TF'!D12:D99999,SUMMARY!D100,'PLAN BUDGET SAMI-TF'!J12:J99999,SUMMARY!A100&amp;"*")</f>
        <v>0</v>
      </c>
      <c r="H100" s="10">
        <f>SUMIFS('PLAN BUDGET SAMI-TF'!AQ12:AQ99999,'PLAN BUDGET SAMI-TF'!D12:D99999,SUMMARY!D100,'PLAN BUDGET SAMI-TF'!J12:J99999,SUMMARY!A100&amp;"*")</f>
        <v>0</v>
      </c>
      <c r="I100" s="10">
        <f>SUMIFS('PLAN BUDGET SAMI-TF'!AR12:AR99999,'PLAN BUDGET SAMI-TF'!D12:D99999,SUMMARY!D100,'PLAN BUDGET SAMI-TF'!J12:J99999,SUMMARY!A100&amp;"*")</f>
        <v>0</v>
      </c>
      <c r="J100" s="10">
        <f>SUMIFS('PLAN BUDGET SAMI-TF'!AS12:AS99999,'PLAN BUDGET SAMI-TF'!D12:D99999,SUMMARY!D100,'PLAN BUDGET SAMI-TF'!J12:J99999,SUMMARY!A100&amp;"*")</f>
        <v>0</v>
      </c>
      <c r="K100" s="10">
        <f>SUMIFS('PLAN BUDGET SAMI-TF'!AT12:AT99999,'PLAN BUDGET SAMI-TF'!D12:D99999,SUMMARY!D100,'PLAN BUDGET SAMI-TF'!J12:J99999,SUMMARY!A100&amp;"*")</f>
        <v>0</v>
      </c>
      <c r="L100" s="10">
        <f>SUMIFS('PLAN BUDGET SAMI-TF'!AU12:AU99999,'PLAN BUDGET SAMI-TF'!D12:D99999,SUMMARY!D100,'PLAN BUDGET SAMI-TF'!J12:J99999,SUMMARY!A100&amp;"*")</f>
        <v>0</v>
      </c>
      <c r="M100" s="10">
        <f>SUMIFS('PLAN BUDGET SAMI-TF'!AV12:AV99999,'PLAN BUDGET SAMI-TF'!D12:D99999,SUMMARY!D100,'PLAN BUDGET SAMI-TF'!J12:J99999,SUMMARY!A100&amp;"*")</f>
        <v>0</v>
      </c>
      <c r="N100" s="10">
        <f>SUMIFS('PLAN BUDGET SAMI-TF'!AW12:AW99999,'PLAN BUDGET SAMI-TF'!D12:D99999,SUMMARY!D100,'PLAN BUDGET SAMI-TF'!J12:J99999,SUMMARY!A100&amp;"*")</f>
        <v>0</v>
      </c>
      <c r="O100" s="10">
        <f>SUMIFS('PLAN BUDGET SAMI-TF'!AX12:AX99999,'PLAN BUDGET SAMI-TF'!D12:D99999,SUMMARY!D100,'PLAN BUDGET SAMI-TF'!J12:J99999,SUMMARY!A100&amp;"*")</f>
        <v>0</v>
      </c>
      <c r="P100" s="10">
        <f>SUMIFS('PLAN BUDGET SAMI-TF'!AY12:AY99999,'PLAN BUDGET SAMI-TF'!D12:D99999,SUMMARY!D100,'PLAN BUDGET SAMI-TF'!J12:J99999,SUMMARY!A100&amp;"*")</f>
        <v>0</v>
      </c>
      <c r="Q100" s="10">
        <f>SUMIFS('PLAN BUDGET SAMI-TF'!BC12:BC99999,'PLAN BUDGET SAMI-TF'!D12:D99999,SUMMARY!D100,'PLAN BUDGET SAMI-TF'!J12:J99999,SUMMARY!A100&amp;"*")</f>
        <v>0</v>
      </c>
      <c r="R100" s="10">
        <f>SUMIFS('PLAN BUDGET SAMI-TF'!BD12:BD99999,'PLAN BUDGET SAMI-TF'!D12:D99999,SUMMARY!D100,'PLAN BUDGET SAMI-TF'!J12:J99999,SUMMARY!A100&amp;"*")</f>
        <v>201.91662552378</v>
      </c>
      <c r="S100" s="10">
        <f>SUMIFS('PLAN BUDGET SAMI-TF'!BE12:BE99999,'PLAN BUDGET SAMI-TF'!D12:D99999,SUMMARY!D100,'PLAN BUDGET SAMI-TF'!J12:J99999,SUMMARY!A100&amp;"*")</f>
        <v>0</v>
      </c>
      <c r="T100" s="10">
        <f>SUMIFS('PLAN BUDGET SAMI-TF'!BF12:BF99999,'PLAN BUDGET SAMI-TF'!D12:D99999,SUMMARY!D100,'PLAN BUDGET SAMI-TF'!J12:J99999,SUMMARY!A100&amp;"*")</f>
        <v>0</v>
      </c>
      <c r="U100" s="10">
        <f>SUMIFS('PLAN BUDGET SAMI-TF'!BG12:BG99999,'PLAN BUDGET SAMI-TF'!D12:D99999,SUMMARY!D100,'PLAN BUDGET SAMI-TF'!J12:J99999,SUMMARY!A100&amp;"*")</f>
        <v>0</v>
      </c>
      <c r="V100" s="10">
        <f>SUMIFS('PLAN BUDGET SAMI-TF'!BH12:BH99999,'PLAN BUDGET SAMI-TF'!D12:D99999,SUMMARY!D100,'PLAN BUDGET SAMI-TF'!J12:J99999,SUMMARY!A100&amp;"*")</f>
        <v>0</v>
      </c>
      <c r="W100" s="10">
        <f>SUMIFS('PLAN BUDGET SAMI-TF'!BI12:BI99999,'PLAN BUDGET SAMI-TF'!D12:D99999,SUMMARY!D100,'PLAN BUDGET SAMI-TF'!J12:J99999,SUMMARY!A100&amp;"*")</f>
        <v>0</v>
      </c>
      <c r="X100" s="10">
        <f>SUMIFS('PLAN BUDGET SAMI-TF'!BJ12:BJ99999,'PLAN BUDGET SAMI-TF'!D12:D99999,SUMMARY!D100,'PLAN BUDGET SAMI-TF'!J12:J99999,SUMMARY!A100&amp;"*")</f>
        <v>0</v>
      </c>
      <c r="Y100" s="10">
        <f>SUMIFS('PLAN BUDGET SAMI-TF'!BK12:BK99999,'PLAN BUDGET SAMI-TF'!D12:D99999,SUMMARY!D100,'PLAN BUDGET SAMI-TF'!J12:J99999,SUMMARY!A100&amp;"*")</f>
        <v>0</v>
      </c>
      <c r="Z100" s="10">
        <f>SUMIFS('PLAN BUDGET SAMI-TF'!BL12:BL99999,'PLAN BUDGET SAMI-TF'!D12:D99999,SUMMARY!D100,'PLAN BUDGET SAMI-TF'!J12:J99999,SUMMARY!A100&amp;"*")</f>
        <v>0</v>
      </c>
      <c r="AA100" s="10">
        <f>SUMIFS('PLAN BUDGET SAMI-TF'!BM12:BM99999,'PLAN BUDGET SAMI-TF'!D12:D99999,SUMMARY!D100,'PLAN BUDGET SAMI-TF'!J12:J99999,SUMMARY!A100&amp;"*")</f>
        <v>0</v>
      </c>
      <c r="AB100" s="10">
        <f>SUMIFS('PLAN BUDGET SAMI-TF'!BN12:BN99999,'PLAN BUDGET SAMI-TF'!D12:D99999,SUMMARY!D100,'PLAN BUDGET SAMI-TF'!J12:J99999,SUMMARY!A100&amp;"*")</f>
        <v>0</v>
      </c>
      <c r="AC100" s="10">
        <f t="shared" si="8"/>
        <v>1</v>
      </c>
      <c r="AD100" s="10">
        <f t="shared" si="9"/>
        <v>201.91662552378</v>
      </c>
      <c r="AE100" s="16"/>
      <c r="AF100" s="10">
        <v>0</v>
      </c>
      <c r="AG100" s="10">
        <v>0</v>
      </c>
      <c r="AH100" s="20">
        <f t="shared" si="10"/>
        <v>1</v>
      </c>
      <c r="AI100" s="20">
        <f t="shared" si="11"/>
        <v>1</v>
      </c>
      <c r="AJ100" s="67" t="s">
        <v>863</v>
      </c>
    </row>
    <row r="101" spans="1:36" x14ac:dyDescent="0.35">
      <c r="A101" s="7" t="s">
        <v>498</v>
      </c>
      <c r="B101" s="7"/>
      <c r="C101" s="7"/>
      <c r="D101" s="7" t="s">
        <v>529</v>
      </c>
      <c r="E101" s="10">
        <f>SUMIFS('PLAN BUDGET SAMI-TF'!AN12:AN99999,'PLAN BUDGET SAMI-TF'!D12:D99999,SUMMARY!D101,'PLAN BUDGET SAMI-TF'!J12:J99999,SUMMARY!A101&amp;"*")</f>
        <v>3</v>
      </c>
      <c r="F101" s="10">
        <f>SUMIFS('PLAN BUDGET SAMI-TF'!AO12:AO99999,'PLAN BUDGET SAMI-TF'!D12:D99999,SUMMARY!D101,'PLAN BUDGET SAMI-TF'!J12:J99999,SUMMARY!A101&amp;"*")</f>
        <v>0</v>
      </c>
      <c r="G101" s="10">
        <f>SUMIFS('PLAN BUDGET SAMI-TF'!AP12:AP99999,'PLAN BUDGET SAMI-TF'!D12:D99999,SUMMARY!D101,'PLAN BUDGET SAMI-TF'!J12:J99999,SUMMARY!A101&amp;"*")</f>
        <v>0</v>
      </c>
      <c r="H101" s="10">
        <f>SUMIFS('PLAN BUDGET SAMI-TF'!AQ12:AQ99999,'PLAN BUDGET SAMI-TF'!D12:D99999,SUMMARY!D101,'PLAN BUDGET SAMI-TF'!J12:J99999,SUMMARY!A101&amp;"*")</f>
        <v>0</v>
      </c>
      <c r="I101" s="10">
        <f>SUMIFS('PLAN BUDGET SAMI-TF'!AR12:AR99999,'PLAN BUDGET SAMI-TF'!D12:D99999,SUMMARY!D101,'PLAN BUDGET SAMI-TF'!J12:J99999,SUMMARY!A101&amp;"*")</f>
        <v>0</v>
      </c>
      <c r="J101" s="10">
        <f>SUMIFS('PLAN BUDGET SAMI-TF'!AS12:AS99999,'PLAN BUDGET SAMI-TF'!D12:D99999,SUMMARY!D101,'PLAN BUDGET SAMI-TF'!J12:J99999,SUMMARY!A101&amp;"*")</f>
        <v>0</v>
      </c>
      <c r="K101" s="10">
        <f>SUMIFS('PLAN BUDGET SAMI-TF'!AT12:AT99999,'PLAN BUDGET SAMI-TF'!D12:D99999,SUMMARY!D101,'PLAN BUDGET SAMI-TF'!J12:J99999,SUMMARY!A101&amp;"*")</f>
        <v>0</v>
      </c>
      <c r="L101" s="10">
        <f>SUMIFS('PLAN BUDGET SAMI-TF'!AU12:AU99999,'PLAN BUDGET SAMI-TF'!D12:D99999,SUMMARY!D101,'PLAN BUDGET SAMI-TF'!J12:J99999,SUMMARY!A101&amp;"*")</f>
        <v>0</v>
      </c>
      <c r="M101" s="10">
        <f>SUMIFS('PLAN BUDGET SAMI-TF'!AV12:AV99999,'PLAN BUDGET SAMI-TF'!D12:D99999,SUMMARY!D101,'PLAN BUDGET SAMI-TF'!J12:J99999,SUMMARY!A101&amp;"*")</f>
        <v>0</v>
      </c>
      <c r="N101" s="10">
        <f>SUMIFS('PLAN BUDGET SAMI-TF'!AW12:AW99999,'PLAN BUDGET SAMI-TF'!D12:D99999,SUMMARY!D101,'PLAN BUDGET SAMI-TF'!J12:J99999,SUMMARY!A101&amp;"*")</f>
        <v>0</v>
      </c>
      <c r="O101" s="10">
        <f>SUMIFS('PLAN BUDGET SAMI-TF'!AX12:AX99999,'PLAN BUDGET SAMI-TF'!D12:D99999,SUMMARY!D101,'PLAN BUDGET SAMI-TF'!J12:J99999,SUMMARY!A101&amp;"*")</f>
        <v>0</v>
      </c>
      <c r="P101" s="10">
        <f>SUMIFS('PLAN BUDGET SAMI-TF'!AY12:AY99999,'PLAN BUDGET SAMI-TF'!D12:D99999,SUMMARY!D101,'PLAN BUDGET SAMI-TF'!J12:J99999,SUMMARY!A101&amp;"*")</f>
        <v>0</v>
      </c>
      <c r="Q101" s="10">
        <f>SUMIFS('PLAN BUDGET SAMI-TF'!BC12:BC99999,'PLAN BUDGET SAMI-TF'!D12:D99999,SUMMARY!D101,'PLAN BUDGET SAMI-TF'!J12:J99999,SUMMARY!A101&amp;"*")</f>
        <v>626.63780334965998</v>
      </c>
      <c r="R101" s="10">
        <f>SUMIFS('PLAN BUDGET SAMI-TF'!BD12:BD99999,'PLAN BUDGET SAMI-TF'!D12:D99999,SUMMARY!D101,'PLAN BUDGET SAMI-TF'!J12:J99999,SUMMARY!A101&amp;"*")</f>
        <v>0</v>
      </c>
      <c r="S101" s="10">
        <f>SUMIFS('PLAN BUDGET SAMI-TF'!BE12:BE99999,'PLAN BUDGET SAMI-TF'!D12:D99999,SUMMARY!D101,'PLAN BUDGET SAMI-TF'!J12:J99999,SUMMARY!A101&amp;"*")</f>
        <v>0</v>
      </c>
      <c r="T101" s="10">
        <f>SUMIFS('PLAN BUDGET SAMI-TF'!BF12:BF99999,'PLAN BUDGET SAMI-TF'!D12:D99999,SUMMARY!D101,'PLAN BUDGET SAMI-TF'!J12:J99999,SUMMARY!A101&amp;"*")</f>
        <v>0</v>
      </c>
      <c r="U101" s="10">
        <f>SUMIFS('PLAN BUDGET SAMI-TF'!BG12:BG99999,'PLAN BUDGET SAMI-TF'!D12:D99999,SUMMARY!D101,'PLAN BUDGET SAMI-TF'!J12:J99999,SUMMARY!A101&amp;"*")</f>
        <v>0</v>
      </c>
      <c r="V101" s="10">
        <f>SUMIFS('PLAN BUDGET SAMI-TF'!BH12:BH99999,'PLAN BUDGET SAMI-TF'!D12:D99999,SUMMARY!D101,'PLAN BUDGET SAMI-TF'!J12:J99999,SUMMARY!A101&amp;"*")</f>
        <v>0</v>
      </c>
      <c r="W101" s="10">
        <f>SUMIFS('PLAN BUDGET SAMI-TF'!BI12:BI99999,'PLAN BUDGET SAMI-TF'!D12:D99999,SUMMARY!D101,'PLAN BUDGET SAMI-TF'!J12:J99999,SUMMARY!A101&amp;"*")</f>
        <v>0</v>
      </c>
      <c r="X101" s="10">
        <f>SUMIFS('PLAN BUDGET SAMI-TF'!BJ12:BJ99999,'PLAN BUDGET SAMI-TF'!D12:D99999,SUMMARY!D101,'PLAN BUDGET SAMI-TF'!J12:J99999,SUMMARY!A101&amp;"*")</f>
        <v>0</v>
      </c>
      <c r="Y101" s="10">
        <f>SUMIFS('PLAN BUDGET SAMI-TF'!BK12:BK99999,'PLAN BUDGET SAMI-TF'!D12:D99999,SUMMARY!D101,'PLAN BUDGET SAMI-TF'!J12:J99999,SUMMARY!A101&amp;"*")</f>
        <v>0</v>
      </c>
      <c r="Z101" s="10">
        <f>SUMIFS('PLAN BUDGET SAMI-TF'!BL12:BL99999,'PLAN BUDGET SAMI-TF'!D12:D99999,SUMMARY!D101,'PLAN BUDGET SAMI-TF'!J12:J99999,SUMMARY!A101&amp;"*")</f>
        <v>0</v>
      </c>
      <c r="AA101" s="10">
        <f>SUMIFS('PLAN BUDGET SAMI-TF'!BM12:BM99999,'PLAN BUDGET SAMI-TF'!D12:D99999,SUMMARY!D101,'PLAN BUDGET SAMI-TF'!J12:J99999,SUMMARY!A101&amp;"*")</f>
        <v>0</v>
      </c>
      <c r="AB101" s="10">
        <f>SUMIFS('PLAN BUDGET SAMI-TF'!BN12:BN99999,'PLAN BUDGET SAMI-TF'!D12:D99999,SUMMARY!D101,'PLAN BUDGET SAMI-TF'!J12:J99999,SUMMARY!A101&amp;"*")</f>
        <v>0</v>
      </c>
      <c r="AC101" s="10">
        <f t="shared" si="8"/>
        <v>3</v>
      </c>
      <c r="AD101" s="10">
        <f t="shared" si="9"/>
        <v>626.63780334965998</v>
      </c>
      <c r="AE101" s="16"/>
      <c r="AF101" s="10">
        <v>0</v>
      </c>
      <c r="AG101" s="10">
        <v>0</v>
      </c>
      <c r="AH101" s="20">
        <f t="shared" si="10"/>
        <v>1</v>
      </c>
      <c r="AI101" s="20">
        <f t="shared" si="11"/>
        <v>1</v>
      </c>
      <c r="AJ101" s="67" t="s">
        <v>863</v>
      </c>
    </row>
    <row r="102" spans="1:36" x14ac:dyDescent="0.35">
      <c r="A102" s="7" t="s">
        <v>498</v>
      </c>
      <c r="B102" s="7"/>
      <c r="C102" s="7"/>
      <c r="D102" s="7" t="s">
        <v>648</v>
      </c>
      <c r="E102" s="10">
        <f>SUMIFS('PLAN BUDGET SAMI-TF'!AN12:AN99999,'PLAN BUDGET SAMI-TF'!D12:D99999,SUMMARY!D102,'PLAN BUDGET SAMI-TF'!J12:J99999,SUMMARY!A102&amp;"*")</f>
        <v>0</v>
      </c>
      <c r="F102" s="10">
        <f>SUMIFS('PLAN BUDGET SAMI-TF'!AO12:AO99999,'PLAN BUDGET SAMI-TF'!D12:D99999,SUMMARY!D102,'PLAN BUDGET SAMI-TF'!J12:J99999,SUMMARY!A102&amp;"*")</f>
        <v>1</v>
      </c>
      <c r="G102" s="10">
        <f>SUMIFS('PLAN BUDGET SAMI-TF'!AP12:AP99999,'PLAN BUDGET SAMI-TF'!D12:D99999,SUMMARY!D102,'PLAN BUDGET SAMI-TF'!J12:J99999,SUMMARY!A102&amp;"*")</f>
        <v>0</v>
      </c>
      <c r="H102" s="10">
        <f>SUMIFS('PLAN BUDGET SAMI-TF'!AQ12:AQ99999,'PLAN BUDGET SAMI-TF'!D12:D99999,SUMMARY!D102,'PLAN BUDGET SAMI-TF'!J12:J99999,SUMMARY!A102&amp;"*")</f>
        <v>0</v>
      </c>
      <c r="I102" s="10">
        <f>SUMIFS('PLAN BUDGET SAMI-TF'!AR12:AR99999,'PLAN BUDGET SAMI-TF'!D12:D99999,SUMMARY!D102,'PLAN BUDGET SAMI-TF'!J12:J99999,SUMMARY!A102&amp;"*")</f>
        <v>0</v>
      </c>
      <c r="J102" s="10">
        <f>SUMIFS('PLAN BUDGET SAMI-TF'!AS12:AS99999,'PLAN BUDGET SAMI-TF'!D12:D99999,SUMMARY!D102,'PLAN BUDGET SAMI-TF'!J12:J99999,SUMMARY!A102&amp;"*")</f>
        <v>1</v>
      </c>
      <c r="K102" s="10">
        <f>SUMIFS('PLAN BUDGET SAMI-TF'!AT12:AT99999,'PLAN BUDGET SAMI-TF'!D12:D99999,SUMMARY!D102,'PLAN BUDGET SAMI-TF'!J12:J99999,SUMMARY!A102&amp;"*")</f>
        <v>0</v>
      </c>
      <c r="L102" s="10">
        <f>SUMIFS('PLAN BUDGET SAMI-TF'!AU12:AU99999,'PLAN BUDGET SAMI-TF'!D12:D99999,SUMMARY!D102,'PLAN BUDGET SAMI-TF'!J12:J99999,SUMMARY!A102&amp;"*")</f>
        <v>1</v>
      </c>
      <c r="M102" s="10">
        <f>SUMIFS('PLAN BUDGET SAMI-TF'!AV12:AV99999,'PLAN BUDGET SAMI-TF'!D12:D99999,SUMMARY!D102,'PLAN BUDGET SAMI-TF'!J12:J99999,SUMMARY!A102&amp;"*")</f>
        <v>0</v>
      </c>
      <c r="N102" s="10">
        <f>SUMIFS('PLAN BUDGET SAMI-TF'!AW12:AW99999,'PLAN BUDGET SAMI-TF'!D12:D99999,SUMMARY!D102,'PLAN BUDGET SAMI-TF'!J12:J99999,SUMMARY!A102&amp;"*")</f>
        <v>0</v>
      </c>
      <c r="O102" s="10">
        <f>SUMIFS('PLAN BUDGET SAMI-TF'!AX12:AX99999,'PLAN BUDGET SAMI-TF'!D12:D99999,SUMMARY!D102,'PLAN BUDGET SAMI-TF'!J12:J99999,SUMMARY!A102&amp;"*")</f>
        <v>0</v>
      </c>
      <c r="P102" s="10">
        <f>SUMIFS('PLAN BUDGET SAMI-TF'!AY12:AY99999,'PLAN BUDGET SAMI-TF'!D12:D99999,SUMMARY!D102,'PLAN BUDGET SAMI-TF'!J12:J99999,SUMMARY!A102&amp;"*")</f>
        <v>0</v>
      </c>
      <c r="Q102" s="10">
        <f>SUMIFS('PLAN BUDGET SAMI-TF'!BC12:BC99999,'PLAN BUDGET SAMI-TF'!D12:D99999,SUMMARY!D102,'PLAN BUDGET SAMI-TF'!J12:J99999,SUMMARY!A102&amp;"*")</f>
        <v>0</v>
      </c>
      <c r="R102" s="10">
        <f>SUMIFS('PLAN BUDGET SAMI-TF'!BD12:BD99999,'PLAN BUDGET SAMI-TF'!D12:D99999,SUMMARY!D102,'PLAN BUDGET SAMI-TF'!J12:J99999,SUMMARY!A102&amp;"*")</f>
        <v>34.813211297203999</v>
      </c>
      <c r="S102" s="10">
        <f>SUMIFS('PLAN BUDGET SAMI-TF'!BE12:BE99999,'PLAN BUDGET SAMI-TF'!D12:D99999,SUMMARY!D102,'PLAN BUDGET SAMI-TF'!J12:J99999,SUMMARY!A102&amp;"*")</f>
        <v>0</v>
      </c>
      <c r="T102" s="10">
        <f>SUMIFS('PLAN BUDGET SAMI-TF'!BF12:BF99999,'PLAN BUDGET SAMI-TF'!D12:D99999,SUMMARY!D102,'PLAN BUDGET SAMI-TF'!J12:J99999,SUMMARY!A102&amp;"*")</f>
        <v>0</v>
      </c>
      <c r="U102" s="10">
        <f>SUMIFS('PLAN BUDGET SAMI-TF'!BG12:BG99999,'PLAN BUDGET SAMI-TF'!D12:D99999,SUMMARY!D102,'PLAN BUDGET SAMI-TF'!J12:J99999,SUMMARY!A102&amp;"*")</f>
        <v>0</v>
      </c>
      <c r="V102" s="10">
        <f>SUMIFS('PLAN BUDGET SAMI-TF'!BH12:BH99999,'PLAN BUDGET SAMI-TF'!D12:D99999,SUMMARY!D102,'PLAN BUDGET SAMI-TF'!J12:J99999,SUMMARY!A102&amp;"*")</f>
        <v>34.813211297203999</v>
      </c>
      <c r="W102" s="10">
        <f>SUMIFS('PLAN BUDGET SAMI-TF'!BI12:BI99999,'PLAN BUDGET SAMI-TF'!D12:D99999,SUMMARY!D102,'PLAN BUDGET SAMI-TF'!J12:J99999,SUMMARY!A102&amp;"*")</f>
        <v>0</v>
      </c>
      <c r="X102" s="10">
        <f>SUMIFS('PLAN BUDGET SAMI-TF'!BJ12:BJ99999,'PLAN BUDGET SAMI-TF'!D12:D99999,SUMMARY!D102,'PLAN BUDGET SAMI-TF'!J12:J99999,SUMMARY!A102&amp;"*")</f>
        <v>34.813211297203999</v>
      </c>
      <c r="Y102" s="10">
        <f>SUMIFS('PLAN BUDGET SAMI-TF'!BK12:BK99999,'PLAN BUDGET SAMI-TF'!D12:D99999,SUMMARY!D102,'PLAN BUDGET SAMI-TF'!J12:J99999,SUMMARY!A102&amp;"*")</f>
        <v>0</v>
      </c>
      <c r="Z102" s="10">
        <f>SUMIFS('PLAN BUDGET SAMI-TF'!BL12:BL99999,'PLAN BUDGET SAMI-TF'!D12:D99999,SUMMARY!D102,'PLAN BUDGET SAMI-TF'!J12:J99999,SUMMARY!A102&amp;"*")</f>
        <v>0</v>
      </c>
      <c r="AA102" s="10">
        <f>SUMIFS('PLAN BUDGET SAMI-TF'!BM12:BM99999,'PLAN BUDGET SAMI-TF'!D12:D99999,SUMMARY!D102,'PLAN BUDGET SAMI-TF'!J12:J99999,SUMMARY!A102&amp;"*")</f>
        <v>0</v>
      </c>
      <c r="AB102" s="10">
        <f>SUMIFS('PLAN BUDGET SAMI-TF'!BN12:BN99999,'PLAN BUDGET SAMI-TF'!D12:D99999,SUMMARY!D102,'PLAN BUDGET SAMI-TF'!J12:J99999,SUMMARY!A102&amp;"*")</f>
        <v>0</v>
      </c>
      <c r="AC102" s="10">
        <f t="shared" si="8"/>
        <v>3</v>
      </c>
      <c r="AD102" s="10">
        <f t="shared" si="9"/>
        <v>104.439633891612</v>
      </c>
      <c r="AE102" s="16"/>
      <c r="AF102" s="10">
        <v>0</v>
      </c>
      <c r="AG102" s="10">
        <v>0</v>
      </c>
      <c r="AH102" s="20">
        <f t="shared" si="10"/>
        <v>1</v>
      </c>
      <c r="AI102" s="20">
        <f t="shared" si="11"/>
        <v>1</v>
      </c>
      <c r="AJ102" s="67" t="s">
        <v>863</v>
      </c>
    </row>
    <row r="103" spans="1:36" x14ac:dyDescent="0.35">
      <c r="A103" s="7" t="s">
        <v>498</v>
      </c>
      <c r="B103" s="7"/>
      <c r="C103" s="7"/>
      <c r="D103" s="7" t="s">
        <v>559</v>
      </c>
      <c r="E103" s="10">
        <f>SUMIFS('PLAN BUDGET SAMI-TF'!AN12:AN99999,'PLAN BUDGET SAMI-TF'!D12:D99999,SUMMARY!D103,'PLAN BUDGET SAMI-TF'!J12:J99999,SUMMARY!A103&amp;"*")</f>
        <v>0</v>
      </c>
      <c r="F103" s="10">
        <f>SUMIFS('PLAN BUDGET SAMI-TF'!AO12:AO99999,'PLAN BUDGET SAMI-TF'!D12:D99999,SUMMARY!D103,'PLAN BUDGET SAMI-TF'!J12:J99999,SUMMARY!A103&amp;"*")</f>
        <v>1</v>
      </c>
      <c r="G103" s="10">
        <f>SUMIFS('PLAN BUDGET SAMI-TF'!AP12:AP99999,'PLAN BUDGET SAMI-TF'!D12:D99999,SUMMARY!D103,'PLAN BUDGET SAMI-TF'!J12:J99999,SUMMARY!A103&amp;"*")</f>
        <v>0</v>
      </c>
      <c r="H103" s="10">
        <f>SUMIFS('PLAN BUDGET SAMI-TF'!AQ12:AQ99999,'PLAN BUDGET SAMI-TF'!D12:D99999,SUMMARY!D103,'PLAN BUDGET SAMI-TF'!J12:J99999,SUMMARY!A103&amp;"*")</f>
        <v>0</v>
      </c>
      <c r="I103" s="10">
        <f>SUMIFS('PLAN BUDGET SAMI-TF'!AR12:AR99999,'PLAN BUDGET SAMI-TF'!D12:D99999,SUMMARY!D103,'PLAN BUDGET SAMI-TF'!J12:J99999,SUMMARY!A103&amp;"*")</f>
        <v>0</v>
      </c>
      <c r="J103" s="10">
        <f>SUMIFS('PLAN BUDGET SAMI-TF'!AS12:AS99999,'PLAN BUDGET SAMI-TF'!D12:D99999,SUMMARY!D103,'PLAN BUDGET SAMI-TF'!J12:J99999,SUMMARY!A103&amp;"*")</f>
        <v>0</v>
      </c>
      <c r="K103" s="10">
        <f>SUMIFS('PLAN BUDGET SAMI-TF'!AT12:AT99999,'PLAN BUDGET SAMI-TF'!D12:D99999,SUMMARY!D103,'PLAN BUDGET SAMI-TF'!J12:J99999,SUMMARY!A103&amp;"*")</f>
        <v>0</v>
      </c>
      <c r="L103" s="10">
        <f>SUMIFS('PLAN BUDGET SAMI-TF'!AU12:AU99999,'PLAN BUDGET SAMI-TF'!D12:D99999,SUMMARY!D103,'PLAN BUDGET SAMI-TF'!J12:J99999,SUMMARY!A103&amp;"*")</f>
        <v>0</v>
      </c>
      <c r="M103" s="10">
        <f>SUMIFS('PLAN BUDGET SAMI-TF'!AV12:AV99999,'PLAN BUDGET SAMI-TF'!D12:D99999,SUMMARY!D103,'PLAN BUDGET SAMI-TF'!J12:J99999,SUMMARY!A103&amp;"*")</f>
        <v>0</v>
      </c>
      <c r="N103" s="10">
        <f>SUMIFS('PLAN BUDGET SAMI-TF'!AW12:AW99999,'PLAN BUDGET SAMI-TF'!D12:D99999,SUMMARY!D103,'PLAN BUDGET SAMI-TF'!J12:J99999,SUMMARY!A103&amp;"*")</f>
        <v>0</v>
      </c>
      <c r="O103" s="10">
        <f>SUMIFS('PLAN BUDGET SAMI-TF'!AX12:AX99999,'PLAN BUDGET SAMI-TF'!D12:D99999,SUMMARY!D103,'PLAN BUDGET SAMI-TF'!J12:J99999,SUMMARY!A103&amp;"*")</f>
        <v>0</v>
      </c>
      <c r="P103" s="10">
        <f>SUMIFS('PLAN BUDGET SAMI-TF'!AY12:AY99999,'PLAN BUDGET SAMI-TF'!D12:D99999,SUMMARY!D103,'PLAN BUDGET SAMI-TF'!J12:J99999,SUMMARY!A103&amp;"*")</f>
        <v>0</v>
      </c>
      <c r="Q103" s="10">
        <f>SUMIFS('PLAN BUDGET SAMI-TF'!BC12:BC99999,'PLAN BUDGET SAMI-TF'!D12:D99999,SUMMARY!D103,'PLAN BUDGET SAMI-TF'!J12:J99999,SUMMARY!A103&amp;"*")</f>
        <v>0</v>
      </c>
      <c r="R103" s="10">
        <f>SUMIFS('PLAN BUDGET SAMI-TF'!BD12:BD99999,'PLAN BUDGET SAMI-TF'!D12:D99999,SUMMARY!D103,'PLAN BUDGET SAMI-TF'!J12:J99999,SUMMARY!A103&amp;"*")</f>
        <v>348.13211297203998</v>
      </c>
      <c r="S103" s="10">
        <f>SUMIFS('PLAN BUDGET SAMI-TF'!BE12:BE99999,'PLAN BUDGET SAMI-TF'!D12:D99999,SUMMARY!D103,'PLAN BUDGET SAMI-TF'!J12:J99999,SUMMARY!A103&amp;"*")</f>
        <v>0</v>
      </c>
      <c r="T103" s="10">
        <f>SUMIFS('PLAN BUDGET SAMI-TF'!BF12:BF99999,'PLAN BUDGET SAMI-TF'!D12:D99999,SUMMARY!D103,'PLAN BUDGET SAMI-TF'!J12:J99999,SUMMARY!A103&amp;"*")</f>
        <v>0</v>
      </c>
      <c r="U103" s="10">
        <f>SUMIFS('PLAN BUDGET SAMI-TF'!BG12:BG99999,'PLAN BUDGET SAMI-TF'!D12:D99999,SUMMARY!D103,'PLAN BUDGET SAMI-TF'!J12:J99999,SUMMARY!A103&amp;"*")</f>
        <v>0</v>
      </c>
      <c r="V103" s="10">
        <f>SUMIFS('PLAN BUDGET SAMI-TF'!BH12:BH99999,'PLAN BUDGET SAMI-TF'!D12:D99999,SUMMARY!D103,'PLAN BUDGET SAMI-TF'!J12:J99999,SUMMARY!A103&amp;"*")</f>
        <v>0</v>
      </c>
      <c r="W103" s="10">
        <f>SUMIFS('PLAN BUDGET SAMI-TF'!BI12:BI99999,'PLAN BUDGET SAMI-TF'!D12:D99999,SUMMARY!D103,'PLAN BUDGET SAMI-TF'!J12:J99999,SUMMARY!A103&amp;"*")</f>
        <v>0</v>
      </c>
      <c r="X103" s="10">
        <f>SUMIFS('PLAN BUDGET SAMI-TF'!BJ12:BJ99999,'PLAN BUDGET SAMI-TF'!D12:D99999,SUMMARY!D103,'PLAN BUDGET SAMI-TF'!J12:J99999,SUMMARY!A103&amp;"*")</f>
        <v>0</v>
      </c>
      <c r="Y103" s="10">
        <f>SUMIFS('PLAN BUDGET SAMI-TF'!BK12:BK99999,'PLAN BUDGET SAMI-TF'!D12:D99999,SUMMARY!D103,'PLAN BUDGET SAMI-TF'!J12:J99999,SUMMARY!A103&amp;"*")</f>
        <v>0</v>
      </c>
      <c r="Z103" s="10">
        <f>SUMIFS('PLAN BUDGET SAMI-TF'!BL12:BL99999,'PLAN BUDGET SAMI-TF'!D12:D99999,SUMMARY!D103,'PLAN BUDGET SAMI-TF'!J12:J99999,SUMMARY!A103&amp;"*")</f>
        <v>0</v>
      </c>
      <c r="AA103" s="10">
        <f>SUMIFS('PLAN BUDGET SAMI-TF'!BM12:BM99999,'PLAN BUDGET SAMI-TF'!D12:D99999,SUMMARY!D103,'PLAN BUDGET SAMI-TF'!J12:J99999,SUMMARY!A103&amp;"*")</f>
        <v>0</v>
      </c>
      <c r="AB103" s="10">
        <f>SUMIFS('PLAN BUDGET SAMI-TF'!BN12:BN99999,'PLAN BUDGET SAMI-TF'!D12:D99999,SUMMARY!D103,'PLAN BUDGET SAMI-TF'!J12:J99999,SUMMARY!A103&amp;"*")</f>
        <v>0</v>
      </c>
      <c r="AC103" s="10">
        <f t="shared" si="8"/>
        <v>1</v>
      </c>
      <c r="AD103" s="10">
        <f t="shared" si="9"/>
        <v>348.13211297203998</v>
      </c>
      <c r="AE103" s="16"/>
      <c r="AF103" s="10">
        <v>0</v>
      </c>
      <c r="AG103" s="10">
        <v>0</v>
      </c>
      <c r="AH103" s="20">
        <f t="shared" si="10"/>
        <v>1</v>
      </c>
      <c r="AI103" s="20">
        <f t="shared" si="11"/>
        <v>1</v>
      </c>
      <c r="AJ103" s="67" t="s">
        <v>863</v>
      </c>
    </row>
    <row r="104" spans="1:36" x14ac:dyDescent="0.35">
      <c r="A104" s="7" t="s">
        <v>498</v>
      </c>
      <c r="B104" s="7"/>
      <c r="C104" s="7"/>
      <c r="D104" s="7" t="s">
        <v>566</v>
      </c>
      <c r="E104" s="10">
        <f>SUMIFS('PLAN BUDGET SAMI-TF'!AN12:AN99999,'PLAN BUDGET SAMI-TF'!D12:D99999,SUMMARY!D104,'PLAN BUDGET SAMI-TF'!J12:J99999,SUMMARY!A104&amp;"*")</f>
        <v>0</v>
      </c>
      <c r="F104" s="10">
        <f>SUMIFS('PLAN BUDGET SAMI-TF'!AO12:AO99999,'PLAN BUDGET SAMI-TF'!D12:D99999,SUMMARY!D104,'PLAN BUDGET SAMI-TF'!J12:J99999,SUMMARY!A104&amp;"*")</f>
        <v>1</v>
      </c>
      <c r="G104" s="10">
        <f>SUMIFS('PLAN BUDGET SAMI-TF'!AP12:AP99999,'PLAN BUDGET SAMI-TF'!D12:D99999,SUMMARY!D104,'PLAN BUDGET SAMI-TF'!J12:J99999,SUMMARY!A104&amp;"*")</f>
        <v>0</v>
      </c>
      <c r="H104" s="10">
        <f>SUMIFS('PLAN BUDGET SAMI-TF'!AQ12:AQ99999,'PLAN BUDGET SAMI-TF'!D12:D99999,SUMMARY!D104,'PLAN BUDGET SAMI-TF'!J12:J99999,SUMMARY!A104&amp;"*")</f>
        <v>0</v>
      </c>
      <c r="I104" s="10">
        <f>SUMIFS('PLAN BUDGET SAMI-TF'!AR12:AR99999,'PLAN BUDGET SAMI-TF'!D12:D99999,SUMMARY!D104,'PLAN BUDGET SAMI-TF'!J12:J99999,SUMMARY!A104&amp;"*")</f>
        <v>0</v>
      </c>
      <c r="J104" s="10">
        <f>SUMIFS('PLAN BUDGET SAMI-TF'!AS12:AS99999,'PLAN BUDGET SAMI-TF'!D12:D99999,SUMMARY!D104,'PLAN BUDGET SAMI-TF'!J12:J99999,SUMMARY!A104&amp;"*")</f>
        <v>0</v>
      </c>
      <c r="K104" s="10">
        <f>SUMIFS('PLAN BUDGET SAMI-TF'!AT12:AT99999,'PLAN BUDGET SAMI-TF'!D12:D99999,SUMMARY!D104,'PLAN BUDGET SAMI-TF'!J12:J99999,SUMMARY!A104&amp;"*")</f>
        <v>0</v>
      </c>
      <c r="L104" s="10">
        <f>SUMIFS('PLAN BUDGET SAMI-TF'!AU12:AU99999,'PLAN BUDGET SAMI-TF'!D12:D99999,SUMMARY!D104,'PLAN BUDGET SAMI-TF'!J12:J99999,SUMMARY!A104&amp;"*")</f>
        <v>0</v>
      </c>
      <c r="M104" s="10">
        <f>SUMIFS('PLAN BUDGET SAMI-TF'!AV12:AV99999,'PLAN BUDGET SAMI-TF'!D12:D99999,SUMMARY!D104,'PLAN BUDGET SAMI-TF'!J12:J99999,SUMMARY!A104&amp;"*")</f>
        <v>0</v>
      </c>
      <c r="N104" s="10">
        <f>SUMIFS('PLAN BUDGET SAMI-TF'!AW12:AW99999,'PLAN BUDGET SAMI-TF'!D12:D99999,SUMMARY!D104,'PLAN BUDGET SAMI-TF'!J12:J99999,SUMMARY!A104&amp;"*")</f>
        <v>0</v>
      </c>
      <c r="O104" s="10">
        <f>SUMIFS('PLAN BUDGET SAMI-TF'!AX12:AX99999,'PLAN BUDGET SAMI-TF'!D12:D99999,SUMMARY!D104,'PLAN BUDGET SAMI-TF'!J12:J99999,SUMMARY!A104&amp;"*")</f>
        <v>0</v>
      </c>
      <c r="P104" s="10">
        <f>SUMIFS('PLAN BUDGET SAMI-TF'!AY12:AY99999,'PLAN BUDGET SAMI-TF'!D12:D99999,SUMMARY!D104,'PLAN BUDGET SAMI-TF'!J12:J99999,SUMMARY!A104&amp;"*")</f>
        <v>0</v>
      </c>
      <c r="Q104" s="10">
        <f>SUMIFS('PLAN BUDGET SAMI-TF'!BC12:BC99999,'PLAN BUDGET SAMI-TF'!D12:D99999,SUMMARY!D104,'PLAN BUDGET SAMI-TF'!J12:J99999,SUMMARY!A104&amp;"*")</f>
        <v>0</v>
      </c>
      <c r="R104" s="10">
        <f>SUMIFS('PLAN BUDGET SAMI-TF'!BD12:BD99999,'PLAN BUDGET SAMI-TF'!D12:D99999,SUMMARY!D104,'PLAN BUDGET SAMI-TF'!J12:J99999,SUMMARY!A104&amp;"*")</f>
        <v>598.78723431189997</v>
      </c>
      <c r="S104" s="10">
        <f>SUMIFS('PLAN BUDGET SAMI-TF'!BE12:BE99999,'PLAN BUDGET SAMI-TF'!D12:D99999,SUMMARY!D104,'PLAN BUDGET SAMI-TF'!J12:J99999,SUMMARY!A104&amp;"*")</f>
        <v>0</v>
      </c>
      <c r="T104" s="10">
        <f>SUMIFS('PLAN BUDGET SAMI-TF'!BF12:BF99999,'PLAN BUDGET SAMI-TF'!D12:D99999,SUMMARY!D104,'PLAN BUDGET SAMI-TF'!J12:J99999,SUMMARY!A104&amp;"*")</f>
        <v>0</v>
      </c>
      <c r="U104" s="10">
        <f>SUMIFS('PLAN BUDGET SAMI-TF'!BG12:BG99999,'PLAN BUDGET SAMI-TF'!D12:D99999,SUMMARY!D104,'PLAN BUDGET SAMI-TF'!J12:J99999,SUMMARY!A104&amp;"*")</f>
        <v>0</v>
      </c>
      <c r="V104" s="10">
        <f>SUMIFS('PLAN BUDGET SAMI-TF'!BH12:BH99999,'PLAN BUDGET SAMI-TF'!D12:D99999,SUMMARY!D104,'PLAN BUDGET SAMI-TF'!J12:J99999,SUMMARY!A104&amp;"*")</f>
        <v>0</v>
      </c>
      <c r="W104" s="10">
        <f>SUMIFS('PLAN BUDGET SAMI-TF'!BI12:BI99999,'PLAN BUDGET SAMI-TF'!D12:D99999,SUMMARY!D104,'PLAN BUDGET SAMI-TF'!J12:J99999,SUMMARY!A104&amp;"*")</f>
        <v>0</v>
      </c>
      <c r="X104" s="10">
        <f>SUMIFS('PLAN BUDGET SAMI-TF'!BJ12:BJ99999,'PLAN BUDGET SAMI-TF'!D12:D99999,SUMMARY!D104,'PLAN BUDGET SAMI-TF'!J12:J99999,SUMMARY!A104&amp;"*")</f>
        <v>0</v>
      </c>
      <c r="Y104" s="10">
        <f>SUMIFS('PLAN BUDGET SAMI-TF'!BK12:BK99999,'PLAN BUDGET SAMI-TF'!D12:D99999,SUMMARY!D104,'PLAN BUDGET SAMI-TF'!J12:J99999,SUMMARY!A104&amp;"*")</f>
        <v>0</v>
      </c>
      <c r="Z104" s="10">
        <f>SUMIFS('PLAN BUDGET SAMI-TF'!BL12:BL99999,'PLAN BUDGET SAMI-TF'!D12:D99999,SUMMARY!D104,'PLAN BUDGET SAMI-TF'!J12:J99999,SUMMARY!A104&amp;"*")</f>
        <v>0</v>
      </c>
      <c r="AA104" s="10">
        <f>SUMIFS('PLAN BUDGET SAMI-TF'!BM12:BM99999,'PLAN BUDGET SAMI-TF'!D12:D99999,SUMMARY!D104,'PLAN BUDGET SAMI-TF'!J12:J99999,SUMMARY!A104&amp;"*")</f>
        <v>0</v>
      </c>
      <c r="AB104" s="10">
        <f>SUMIFS('PLAN BUDGET SAMI-TF'!BN12:BN99999,'PLAN BUDGET SAMI-TF'!D12:D99999,SUMMARY!D104,'PLAN BUDGET SAMI-TF'!J12:J99999,SUMMARY!A104&amp;"*")</f>
        <v>0</v>
      </c>
      <c r="AC104" s="10">
        <f t="shared" si="8"/>
        <v>1</v>
      </c>
      <c r="AD104" s="10">
        <f t="shared" si="9"/>
        <v>598.78723431189997</v>
      </c>
      <c r="AE104" s="16"/>
      <c r="AF104" s="10">
        <v>0</v>
      </c>
      <c r="AG104" s="10">
        <v>0</v>
      </c>
      <c r="AH104" s="20">
        <f t="shared" si="10"/>
        <v>1</v>
      </c>
      <c r="AI104" s="20">
        <f t="shared" si="11"/>
        <v>1</v>
      </c>
      <c r="AJ104" s="67" t="s">
        <v>863</v>
      </c>
    </row>
    <row r="105" spans="1:36" x14ac:dyDescent="0.35">
      <c r="A105" s="7" t="s">
        <v>498</v>
      </c>
      <c r="B105" s="7"/>
      <c r="C105" s="7"/>
      <c r="D105" s="7" t="s">
        <v>495</v>
      </c>
      <c r="E105" s="10">
        <f>SUMIFS('PLAN BUDGET SAMI-TF'!AN12:AN99999,'PLAN BUDGET SAMI-TF'!D12:D99999,SUMMARY!D105,'PLAN BUDGET SAMI-TF'!J12:J99999,SUMMARY!A105&amp;"*")</f>
        <v>0</v>
      </c>
      <c r="F105" s="10">
        <f>SUMIFS('PLAN BUDGET SAMI-TF'!AO12:AO99999,'PLAN BUDGET SAMI-TF'!D12:D99999,SUMMARY!D105,'PLAN BUDGET SAMI-TF'!J12:J99999,SUMMARY!A105&amp;"*")</f>
        <v>0</v>
      </c>
      <c r="G105" s="10">
        <f>SUMIFS('PLAN BUDGET SAMI-TF'!AP12:AP99999,'PLAN BUDGET SAMI-TF'!D12:D99999,SUMMARY!D105,'PLAN BUDGET SAMI-TF'!J12:J99999,SUMMARY!A105&amp;"*")</f>
        <v>36</v>
      </c>
      <c r="H105" s="10">
        <f>SUMIFS('PLAN BUDGET SAMI-TF'!AQ12:AQ99999,'PLAN BUDGET SAMI-TF'!D12:D99999,SUMMARY!D105,'PLAN BUDGET SAMI-TF'!J12:J99999,SUMMARY!A105&amp;"*")</f>
        <v>36</v>
      </c>
      <c r="I105" s="10">
        <f>SUMIFS('PLAN BUDGET SAMI-TF'!AR12:AR99999,'PLAN BUDGET SAMI-TF'!D12:D99999,SUMMARY!D105,'PLAN BUDGET SAMI-TF'!J12:J99999,SUMMARY!A105&amp;"*")</f>
        <v>36</v>
      </c>
      <c r="J105" s="10">
        <f>SUMIFS('PLAN BUDGET SAMI-TF'!AS12:AS99999,'PLAN BUDGET SAMI-TF'!D12:D99999,SUMMARY!D105,'PLAN BUDGET SAMI-TF'!J12:J99999,SUMMARY!A105&amp;"*")</f>
        <v>36</v>
      </c>
      <c r="K105" s="10">
        <f>SUMIFS('PLAN BUDGET SAMI-TF'!AT12:AT99999,'PLAN BUDGET SAMI-TF'!D12:D99999,SUMMARY!D105,'PLAN BUDGET SAMI-TF'!J12:J99999,SUMMARY!A105&amp;"*")</f>
        <v>36</v>
      </c>
      <c r="L105" s="10">
        <f>SUMIFS('PLAN BUDGET SAMI-TF'!AU12:AU99999,'PLAN BUDGET SAMI-TF'!D12:D99999,SUMMARY!D105,'PLAN BUDGET SAMI-TF'!J12:J99999,SUMMARY!A105&amp;"*")</f>
        <v>0</v>
      </c>
      <c r="M105" s="10">
        <f>SUMIFS('PLAN BUDGET SAMI-TF'!AV12:AV99999,'PLAN BUDGET SAMI-TF'!D12:D99999,SUMMARY!D105,'PLAN BUDGET SAMI-TF'!J12:J99999,SUMMARY!A105&amp;"*")</f>
        <v>0</v>
      </c>
      <c r="N105" s="10">
        <f>SUMIFS('PLAN BUDGET SAMI-TF'!AW12:AW99999,'PLAN BUDGET SAMI-TF'!D12:D99999,SUMMARY!D105,'PLAN BUDGET SAMI-TF'!J12:J99999,SUMMARY!A105&amp;"*")</f>
        <v>0</v>
      </c>
      <c r="O105" s="10">
        <f>SUMIFS('PLAN BUDGET SAMI-TF'!AX12:AX99999,'PLAN BUDGET SAMI-TF'!D12:D99999,SUMMARY!D105,'PLAN BUDGET SAMI-TF'!J12:J99999,SUMMARY!A105&amp;"*")</f>
        <v>0</v>
      </c>
      <c r="P105" s="10">
        <f>SUMIFS('PLAN BUDGET SAMI-TF'!AY12:AY99999,'PLAN BUDGET SAMI-TF'!D12:D99999,SUMMARY!D105,'PLAN BUDGET SAMI-TF'!J12:J99999,SUMMARY!A105&amp;"*")</f>
        <v>0</v>
      </c>
      <c r="Q105" s="10">
        <f>SUMIFS('PLAN BUDGET SAMI-TF'!BC12:BC99999,'PLAN BUDGET SAMI-TF'!D12:D99999,SUMMARY!D105,'PLAN BUDGET SAMI-TF'!J12:J99999,SUMMARY!A105&amp;"*")</f>
        <v>0</v>
      </c>
      <c r="R105" s="10">
        <f>SUMIFS('PLAN BUDGET SAMI-TF'!BD12:BD99999,'PLAN BUDGET SAMI-TF'!D12:D99999,SUMMARY!D105,'PLAN BUDGET SAMI-TF'!J12:J99999,SUMMARY!A105&amp;"*")</f>
        <v>0</v>
      </c>
      <c r="S105" s="10">
        <f>SUMIFS('PLAN BUDGET SAMI-TF'!BE12:BE99999,'PLAN BUDGET SAMI-TF'!D12:D99999,SUMMARY!D105,'PLAN BUDGET SAMI-TF'!J12:J99999,SUMMARY!A105&amp;"*")</f>
        <v>0</v>
      </c>
      <c r="T105" s="10">
        <f>SUMIFS('PLAN BUDGET SAMI-TF'!BF12:BF99999,'PLAN BUDGET SAMI-TF'!D12:D99999,SUMMARY!D105,'PLAN BUDGET SAMI-TF'!J12:J99999,SUMMARY!A105&amp;"*")</f>
        <v>0</v>
      </c>
      <c r="U105" s="10">
        <f>SUMIFS('PLAN BUDGET SAMI-TF'!BG12:BG99999,'PLAN BUDGET SAMI-TF'!D12:D99999,SUMMARY!D105,'PLAN BUDGET SAMI-TF'!J12:J99999,SUMMARY!A105&amp;"*")</f>
        <v>0</v>
      </c>
      <c r="V105" s="10">
        <f>SUMIFS('PLAN BUDGET SAMI-TF'!BH12:BH99999,'PLAN BUDGET SAMI-TF'!D12:D99999,SUMMARY!D105,'PLAN BUDGET SAMI-TF'!J12:J99999,SUMMARY!A105&amp;"*")</f>
        <v>0</v>
      </c>
      <c r="W105" s="10">
        <f>SUMIFS('PLAN BUDGET SAMI-TF'!BI12:BI99999,'PLAN BUDGET SAMI-TF'!D12:D99999,SUMMARY!D105,'PLAN BUDGET SAMI-TF'!J12:J99999,SUMMARY!A105&amp;"*")</f>
        <v>0</v>
      </c>
      <c r="X105" s="10">
        <f>SUMIFS('PLAN BUDGET SAMI-TF'!BJ12:BJ99999,'PLAN BUDGET SAMI-TF'!D12:D99999,SUMMARY!D105,'PLAN BUDGET SAMI-TF'!J12:J99999,SUMMARY!A105&amp;"*")</f>
        <v>0</v>
      </c>
      <c r="Y105" s="10">
        <f>SUMIFS('PLAN BUDGET SAMI-TF'!BK12:BK99999,'PLAN BUDGET SAMI-TF'!D12:D99999,SUMMARY!D105,'PLAN BUDGET SAMI-TF'!J12:J99999,SUMMARY!A105&amp;"*")</f>
        <v>0</v>
      </c>
      <c r="Z105" s="10">
        <f>SUMIFS('PLAN BUDGET SAMI-TF'!BL12:BL99999,'PLAN BUDGET SAMI-TF'!D12:D99999,SUMMARY!D105,'PLAN BUDGET SAMI-TF'!J12:J99999,SUMMARY!A105&amp;"*")</f>
        <v>0</v>
      </c>
      <c r="AA105" s="10">
        <f>SUMIFS('PLAN BUDGET SAMI-TF'!BM12:BM99999,'PLAN BUDGET SAMI-TF'!D12:D99999,SUMMARY!D105,'PLAN BUDGET SAMI-TF'!J12:J99999,SUMMARY!A105&amp;"*")</f>
        <v>0</v>
      </c>
      <c r="AB105" s="10">
        <f>SUMIFS('PLAN BUDGET SAMI-TF'!BN12:BN99999,'PLAN BUDGET SAMI-TF'!D12:D99999,SUMMARY!D105,'PLAN BUDGET SAMI-TF'!J12:J99999,SUMMARY!A105&amp;"*")</f>
        <v>0</v>
      </c>
      <c r="AC105" s="10">
        <f t="shared" ref="AC105:AC136" si="12">SUM(E105:P105)</f>
        <v>180</v>
      </c>
      <c r="AD105" s="10">
        <f t="shared" ref="AD105:AD136" si="13">SUM(Q105:AB105)</f>
        <v>0</v>
      </c>
      <c r="AE105" s="16"/>
      <c r="AF105" s="10">
        <v>0</v>
      </c>
      <c r="AG105" s="10">
        <v>0</v>
      </c>
      <c r="AH105" s="20">
        <f t="shared" ref="AH105:AH136" si="14">IFERROR((AC105-AF105)/AF105,1)</f>
        <v>1</v>
      </c>
      <c r="AI105" s="20">
        <f t="shared" ref="AI105:AI136" si="15">IFERROR((AD105-AG105)/AG105,1)</f>
        <v>1</v>
      </c>
      <c r="AJ105" s="67" t="s">
        <v>863</v>
      </c>
    </row>
    <row r="106" spans="1:36" x14ac:dyDescent="0.35">
      <c r="A106" s="7" t="s">
        <v>498</v>
      </c>
      <c r="B106" s="7"/>
      <c r="C106" s="7"/>
      <c r="D106" s="7" t="s">
        <v>651</v>
      </c>
      <c r="E106" s="10">
        <f>SUMIFS('PLAN BUDGET SAMI-TF'!AN12:AN99999,'PLAN BUDGET SAMI-TF'!D12:D99999,SUMMARY!D106,'PLAN BUDGET SAMI-TF'!J12:J99999,SUMMARY!A106&amp;"*")</f>
        <v>0</v>
      </c>
      <c r="F106" s="10">
        <f>SUMIFS('PLAN BUDGET SAMI-TF'!AO12:AO99999,'PLAN BUDGET SAMI-TF'!D12:D99999,SUMMARY!D106,'PLAN BUDGET SAMI-TF'!J12:J99999,SUMMARY!A106&amp;"*")</f>
        <v>0</v>
      </c>
      <c r="G106" s="10">
        <f>SUMIFS('PLAN BUDGET SAMI-TF'!AP12:AP99999,'PLAN BUDGET SAMI-TF'!D12:D99999,SUMMARY!D106,'PLAN BUDGET SAMI-TF'!J12:J99999,SUMMARY!A106&amp;"*")</f>
        <v>0</v>
      </c>
      <c r="H106" s="10">
        <f>SUMIFS('PLAN BUDGET SAMI-TF'!AQ12:AQ99999,'PLAN BUDGET SAMI-TF'!D12:D99999,SUMMARY!D106,'PLAN BUDGET SAMI-TF'!J12:J99999,SUMMARY!A106&amp;"*")</f>
        <v>0</v>
      </c>
      <c r="I106" s="10">
        <f>SUMIFS('PLAN BUDGET SAMI-TF'!AR12:AR99999,'PLAN BUDGET SAMI-TF'!D12:D99999,SUMMARY!D106,'PLAN BUDGET SAMI-TF'!J12:J99999,SUMMARY!A106&amp;"*")</f>
        <v>1</v>
      </c>
      <c r="J106" s="10">
        <f>SUMIFS('PLAN BUDGET SAMI-TF'!AS12:AS99999,'PLAN BUDGET SAMI-TF'!D12:D99999,SUMMARY!D106,'PLAN BUDGET SAMI-TF'!J12:J99999,SUMMARY!A106&amp;"*")</f>
        <v>0</v>
      </c>
      <c r="K106" s="10">
        <f>SUMIFS('PLAN BUDGET SAMI-TF'!AT12:AT99999,'PLAN BUDGET SAMI-TF'!D12:D99999,SUMMARY!D106,'PLAN BUDGET SAMI-TF'!J12:J99999,SUMMARY!A106&amp;"*")</f>
        <v>0</v>
      </c>
      <c r="L106" s="10">
        <f>SUMIFS('PLAN BUDGET SAMI-TF'!AU12:AU99999,'PLAN BUDGET SAMI-TF'!D12:D99999,SUMMARY!D106,'PLAN BUDGET SAMI-TF'!J12:J99999,SUMMARY!A106&amp;"*")</f>
        <v>0</v>
      </c>
      <c r="M106" s="10">
        <f>SUMIFS('PLAN BUDGET SAMI-TF'!AV12:AV99999,'PLAN BUDGET SAMI-TF'!D12:D99999,SUMMARY!D106,'PLAN BUDGET SAMI-TF'!J12:J99999,SUMMARY!A106&amp;"*")</f>
        <v>0</v>
      </c>
      <c r="N106" s="10">
        <f>SUMIFS('PLAN BUDGET SAMI-TF'!AW12:AW99999,'PLAN BUDGET SAMI-TF'!D12:D99999,SUMMARY!D106,'PLAN BUDGET SAMI-TF'!J12:J99999,SUMMARY!A106&amp;"*")</f>
        <v>0</v>
      </c>
      <c r="O106" s="10">
        <f>SUMIFS('PLAN BUDGET SAMI-TF'!AX12:AX99999,'PLAN BUDGET SAMI-TF'!D12:D99999,SUMMARY!D106,'PLAN BUDGET SAMI-TF'!J12:J99999,SUMMARY!A106&amp;"*")</f>
        <v>0</v>
      </c>
      <c r="P106" s="10">
        <f>SUMIFS('PLAN BUDGET SAMI-TF'!AY12:AY99999,'PLAN BUDGET SAMI-TF'!D12:D99999,SUMMARY!D106,'PLAN BUDGET SAMI-TF'!J12:J99999,SUMMARY!A106&amp;"*")</f>
        <v>0</v>
      </c>
      <c r="Q106" s="10">
        <f>SUMIFS('PLAN BUDGET SAMI-TF'!BC12:BC99999,'PLAN BUDGET SAMI-TF'!D12:D99999,SUMMARY!D106,'PLAN BUDGET SAMI-TF'!J12:J99999,SUMMARY!A106&amp;"*")</f>
        <v>0</v>
      </c>
      <c r="R106" s="10">
        <f>SUMIFS('PLAN BUDGET SAMI-TF'!BD12:BD99999,'PLAN BUDGET SAMI-TF'!D12:D99999,SUMMARY!D106,'PLAN BUDGET SAMI-TF'!J12:J99999,SUMMARY!A106&amp;"*")</f>
        <v>0</v>
      </c>
      <c r="S106" s="10">
        <f>SUMIFS('PLAN BUDGET SAMI-TF'!BE12:BE99999,'PLAN BUDGET SAMI-TF'!D12:D99999,SUMMARY!D106,'PLAN BUDGET SAMI-TF'!J12:J99999,SUMMARY!A106&amp;"*")</f>
        <v>0</v>
      </c>
      <c r="T106" s="10">
        <f>SUMIFS('PLAN BUDGET SAMI-TF'!BF12:BF99999,'PLAN BUDGET SAMI-TF'!D12:D99999,SUMMARY!D106,'PLAN BUDGET SAMI-TF'!J12:J99999,SUMMARY!A106&amp;"*")</f>
        <v>0</v>
      </c>
      <c r="U106" s="10">
        <f>SUMIFS('PLAN BUDGET SAMI-TF'!BG12:BG99999,'PLAN BUDGET SAMI-TF'!D12:D99999,SUMMARY!D106,'PLAN BUDGET SAMI-TF'!J12:J99999,SUMMARY!A106&amp;"*")</f>
        <v>1297.5833301685</v>
      </c>
      <c r="V106" s="10">
        <f>SUMIFS('PLAN BUDGET SAMI-TF'!BH12:BH99999,'PLAN BUDGET SAMI-TF'!D12:D99999,SUMMARY!D106,'PLAN BUDGET SAMI-TF'!J12:J99999,SUMMARY!A106&amp;"*")</f>
        <v>0</v>
      </c>
      <c r="W106" s="10">
        <f>SUMIFS('PLAN BUDGET SAMI-TF'!BI12:BI99999,'PLAN BUDGET SAMI-TF'!D12:D99999,SUMMARY!D106,'PLAN BUDGET SAMI-TF'!J12:J99999,SUMMARY!A106&amp;"*")</f>
        <v>0</v>
      </c>
      <c r="X106" s="10">
        <f>SUMIFS('PLAN BUDGET SAMI-TF'!BJ12:BJ99999,'PLAN BUDGET SAMI-TF'!D12:D99999,SUMMARY!D106,'PLAN BUDGET SAMI-TF'!J12:J99999,SUMMARY!A106&amp;"*")</f>
        <v>0</v>
      </c>
      <c r="Y106" s="10">
        <f>SUMIFS('PLAN BUDGET SAMI-TF'!BK12:BK99999,'PLAN BUDGET SAMI-TF'!D12:D99999,SUMMARY!D106,'PLAN BUDGET SAMI-TF'!J12:J99999,SUMMARY!A106&amp;"*")</f>
        <v>0</v>
      </c>
      <c r="Z106" s="10">
        <f>SUMIFS('PLAN BUDGET SAMI-TF'!BL12:BL99999,'PLAN BUDGET SAMI-TF'!D12:D99999,SUMMARY!D106,'PLAN BUDGET SAMI-TF'!J12:J99999,SUMMARY!A106&amp;"*")</f>
        <v>0</v>
      </c>
      <c r="AA106" s="10">
        <f>SUMIFS('PLAN BUDGET SAMI-TF'!BM12:BM99999,'PLAN BUDGET SAMI-TF'!D12:D99999,SUMMARY!D106,'PLAN BUDGET SAMI-TF'!J12:J99999,SUMMARY!A106&amp;"*")</f>
        <v>0</v>
      </c>
      <c r="AB106" s="10">
        <f>SUMIFS('PLAN BUDGET SAMI-TF'!BN12:BN99999,'PLAN BUDGET SAMI-TF'!D12:D99999,SUMMARY!D106,'PLAN BUDGET SAMI-TF'!J12:J99999,SUMMARY!A106&amp;"*")</f>
        <v>0</v>
      </c>
      <c r="AC106" s="10">
        <f t="shared" si="12"/>
        <v>1</v>
      </c>
      <c r="AD106" s="10">
        <f t="shared" si="13"/>
        <v>1297.5833301685</v>
      </c>
      <c r="AE106" s="16"/>
      <c r="AF106" s="10">
        <v>0</v>
      </c>
      <c r="AG106" s="10">
        <v>0</v>
      </c>
      <c r="AH106" s="20">
        <f t="shared" si="14"/>
        <v>1</v>
      </c>
      <c r="AI106" s="20">
        <f t="shared" si="15"/>
        <v>1</v>
      </c>
      <c r="AJ106" s="67" t="s">
        <v>863</v>
      </c>
    </row>
    <row r="107" spans="1:36" x14ac:dyDescent="0.35">
      <c r="A107" s="7" t="s">
        <v>498</v>
      </c>
      <c r="B107" s="7"/>
      <c r="C107" s="7"/>
      <c r="D107" s="7" t="s">
        <v>688</v>
      </c>
      <c r="E107" s="10">
        <f>SUMIFS('PLAN BUDGET SAMI-TF'!AN12:AN99999,'PLAN BUDGET SAMI-TF'!D12:D99999,SUMMARY!D107,'PLAN BUDGET SAMI-TF'!J12:J99999,SUMMARY!A107&amp;"*")</f>
        <v>0</v>
      </c>
      <c r="F107" s="10">
        <f>SUMIFS('PLAN BUDGET SAMI-TF'!AO12:AO99999,'PLAN BUDGET SAMI-TF'!D12:D99999,SUMMARY!D107,'PLAN BUDGET SAMI-TF'!J12:J99999,SUMMARY!A107&amp;"*")</f>
        <v>0</v>
      </c>
      <c r="G107" s="10">
        <f>SUMIFS('PLAN BUDGET SAMI-TF'!AP12:AP99999,'PLAN BUDGET SAMI-TF'!D12:D99999,SUMMARY!D107,'PLAN BUDGET SAMI-TF'!J12:J99999,SUMMARY!A107&amp;"*")</f>
        <v>4</v>
      </c>
      <c r="H107" s="10">
        <f>SUMIFS('PLAN BUDGET SAMI-TF'!AQ12:AQ99999,'PLAN BUDGET SAMI-TF'!D12:D99999,SUMMARY!D107,'PLAN BUDGET SAMI-TF'!J12:J99999,SUMMARY!A107&amp;"*")</f>
        <v>0</v>
      </c>
      <c r="I107" s="10">
        <f>SUMIFS('PLAN BUDGET SAMI-TF'!AR12:AR99999,'PLAN BUDGET SAMI-TF'!D12:D99999,SUMMARY!D107,'PLAN BUDGET SAMI-TF'!J12:J99999,SUMMARY!A107&amp;"*")</f>
        <v>0</v>
      </c>
      <c r="J107" s="10">
        <f>SUMIFS('PLAN BUDGET SAMI-TF'!AS12:AS99999,'PLAN BUDGET SAMI-TF'!D12:D99999,SUMMARY!D107,'PLAN BUDGET SAMI-TF'!J12:J99999,SUMMARY!A107&amp;"*")</f>
        <v>0</v>
      </c>
      <c r="K107" s="10">
        <f>SUMIFS('PLAN BUDGET SAMI-TF'!AT12:AT99999,'PLAN BUDGET SAMI-TF'!D12:D99999,SUMMARY!D107,'PLAN BUDGET SAMI-TF'!J12:J99999,SUMMARY!A107&amp;"*")</f>
        <v>0</v>
      </c>
      <c r="L107" s="10">
        <f>SUMIFS('PLAN BUDGET SAMI-TF'!AU12:AU99999,'PLAN BUDGET SAMI-TF'!D12:D99999,SUMMARY!D107,'PLAN BUDGET SAMI-TF'!J12:J99999,SUMMARY!A107&amp;"*")</f>
        <v>0</v>
      </c>
      <c r="M107" s="10">
        <f>SUMIFS('PLAN BUDGET SAMI-TF'!AV12:AV99999,'PLAN BUDGET SAMI-TF'!D12:D99999,SUMMARY!D107,'PLAN BUDGET SAMI-TF'!J12:J99999,SUMMARY!A107&amp;"*")</f>
        <v>0</v>
      </c>
      <c r="N107" s="10">
        <f>SUMIFS('PLAN BUDGET SAMI-TF'!AW12:AW99999,'PLAN BUDGET SAMI-TF'!D12:D99999,SUMMARY!D107,'PLAN BUDGET SAMI-TF'!J12:J99999,SUMMARY!A107&amp;"*")</f>
        <v>0</v>
      </c>
      <c r="O107" s="10">
        <f>SUMIFS('PLAN BUDGET SAMI-TF'!AX12:AX99999,'PLAN BUDGET SAMI-TF'!D12:D99999,SUMMARY!D107,'PLAN BUDGET SAMI-TF'!J12:J99999,SUMMARY!A107&amp;"*")</f>
        <v>0</v>
      </c>
      <c r="P107" s="10">
        <f>SUMIFS('PLAN BUDGET SAMI-TF'!AY12:AY99999,'PLAN BUDGET SAMI-TF'!D12:D99999,SUMMARY!D107,'PLAN BUDGET SAMI-TF'!J12:J99999,SUMMARY!A107&amp;"*")</f>
        <v>0</v>
      </c>
      <c r="Q107" s="10">
        <f>SUMIFS('PLAN BUDGET SAMI-TF'!BC12:BC99999,'PLAN BUDGET SAMI-TF'!D12:D99999,SUMMARY!D107,'PLAN BUDGET SAMI-TF'!J12:J99999,SUMMARY!A107&amp;"*")</f>
        <v>0</v>
      </c>
      <c r="R107" s="10">
        <f>SUMIFS('PLAN BUDGET SAMI-TF'!BD12:BD99999,'PLAN BUDGET SAMI-TF'!D12:D99999,SUMMARY!D107,'PLAN BUDGET SAMI-TF'!J12:J99999,SUMMARY!A107&amp;"*")</f>
        <v>0</v>
      </c>
      <c r="S107" s="10">
        <f>SUMIFS('PLAN BUDGET SAMI-TF'!BE12:BE99999,'PLAN BUDGET SAMI-TF'!D12:D99999,SUMMARY!D107,'PLAN BUDGET SAMI-TF'!J12:J99999,SUMMARY!A107&amp;"*")</f>
        <v>111.40227615105</v>
      </c>
      <c r="T107" s="10">
        <f>SUMIFS('PLAN BUDGET SAMI-TF'!BF12:BF99999,'PLAN BUDGET SAMI-TF'!D12:D99999,SUMMARY!D107,'PLAN BUDGET SAMI-TF'!J12:J99999,SUMMARY!A107&amp;"*")</f>
        <v>0</v>
      </c>
      <c r="U107" s="10">
        <f>SUMIFS('PLAN BUDGET SAMI-TF'!BG12:BG99999,'PLAN BUDGET SAMI-TF'!D12:D99999,SUMMARY!D107,'PLAN BUDGET SAMI-TF'!J12:J99999,SUMMARY!A107&amp;"*")</f>
        <v>0</v>
      </c>
      <c r="V107" s="10">
        <f>SUMIFS('PLAN BUDGET SAMI-TF'!BH12:BH99999,'PLAN BUDGET SAMI-TF'!D12:D99999,SUMMARY!D107,'PLAN BUDGET SAMI-TF'!J12:J99999,SUMMARY!A107&amp;"*")</f>
        <v>0</v>
      </c>
      <c r="W107" s="10">
        <f>SUMIFS('PLAN BUDGET SAMI-TF'!BI12:BI99999,'PLAN BUDGET SAMI-TF'!D12:D99999,SUMMARY!D107,'PLAN BUDGET SAMI-TF'!J12:J99999,SUMMARY!A107&amp;"*")</f>
        <v>0</v>
      </c>
      <c r="X107" s="10">
        <f>SUMIFS('PLAN BUDGET SAMI-TF'!BJ12:BJ99999,'PLAN BUDGET SAMI-TF'!D12:D99999,SUMMARY!D107,'PLAN BUDGET SAMI-TF'!J12:J99999,SUMMARY!A107&amp;"*")</f>
        <v>0</v>
      </c>
      <c r="Y107" s="10">
        <f>SUMIFS('PLAN BUDGET SAMI-TF'!BK12:BK99999,'PLAN BUDGET SAMI-TF'!D12:D99999,SUMMARY!D107,'PLAN BUDGET SAMI-TF'!J12:J99999,SUMMARY!A107&amp;"*")</f>
        <v>0</v>
      </c>
      <c r="Z107" s="10">
        <f>SUMIFS('PLAN BUDGET SAMI-TF'!BL12:BL99999,'PLAN BUDGET SAMI-TF'!D12:D99999,SUMMARY!D107,'PLAN BUDGET SAMI-TF'!J12:J99999,SUMMARY!A107&amp;"*")</f>
        <v>0</v>
      </c>
      <c r="AA107" s="10">
        <f>SUMIFS('PLAN BUDGET SAMI-TF'!BM12:BM99999,'PLAN BUDGET SAMI-TF'!D12:D99999,SUMMARY!D107,'PLAN BUDGET SAMI-TF'!J12:J99999,SUMMARY!A107&amp;"*")</f>
        <v>0</v>
      </c>
      <c r="AB107" s="10">
        <f>SUMIFS('PLAN BUDGET SAMI-TF'!BN12:BN99999,'PLAN BUDGET SAMI-TF'!D12:D99999,SUMMARY!D107,'PLAN BUDGET SAMI-TF'!J12:J99999,SUMMARY!A107&amp;"*")</f>
        <v>0</v>
      </c>
      <c r="AC107" s="10">
        <f t="shared" si="12"/>
        <v>4</v>
      </c>
      <c r="AD107" s="10">
        <f t="shared" si="13"/>
        <v>111.40227615105</v>
      </c>
      <c r="AE107" s="16"/>
      <c r="AF107" s="10">
        <v>0</v>
      </c>
      <c r="AG107" s="10">
        <v>0</v>
      </c>
      <c r="AH107" s="20">
        <f t="shared" si="14"/>
        <v>1</v>
      </c>
      <c r="AI107" s="20">
        <f t="shared" si="15"/>
        <v>1</v>
      </c>
      <c r="AJ107" s="67" t="s">
        <v>863</v>
      </c>
    </row>
    <row r="108" spans="1:36" x14ac:dyDescent="0.35">
      <c r="A108" s="7" t="s">
        <v>498</v>
      </c>
      <c r="B108" s="7"/>
      <c r="C108" s="7"/>
      <c r="D108" s="7" t="s">
        <v>679</v>
      </c>
      <c r="E108" s="10">
        <f>SUMIFS('PLAN BUDGET SAMI-TF'!AN12:AN99999,'PLAN BUDGET SAMI-TF'!D12:D99999,SUMMARY!D108,'PLAN BUDGET SAMI-TF'!J12:J99999,SUMMARY!A108&amp;"*")</f>
        <v>1</v>
      </c>
      <c r="F108" s="10">
        <f>SUMIFS('PLAN BUDGET SAMI-TF'!AO12:AO99999,'PLAN BUDGET SAMI-TF'!D12:D99999,SUMMARY!D108,'PLAN BUDGET SAMI-TF'!J12:J99999,SUMMARY!A108&amp;"*")</f>
        <v>0</v>
      </c>
      <c r="G108" s="10">
        <f>SUMIFS('PLAN BUDGET SAMI-TF'!AP12:AP99999,'PLAN BUDGET SAMI-TF'!D12:D99999,SUMMARY!D108,'PLAN BUDGET SAMI-TF'!J12:J99999,SUMMARY!A108&amp;"*")</f>
        <v>0</v>
      </c>
      <c r="H108" s="10">
        <f>SUMIFS('PLAN BUDGET SAMI-TF'!AQ12:AQ99999,'PLAN BUDGET SAMI-TF'!D12:D99999,SUMMARY!D108,'PLAN BUDGET SAMI-TF'!J12:J99999,SUMMARY!A108&amp;"*")</f>
        <v>0</v>
      </c>
      <c r="I108" s="10">
        <f>SUMIFS('PLAN BUDGET SAMI-TF'!AR12:AR99999,'PLAN BUDGET SAMI-TF'!D12:D99999,SUMMARY!D108,'PLAN BUDGET SAMI-TF'!J12:J99999,SUMMARY!A108&amp;"*")</f>
        <v>0</v>
      </c>
      <c r="J108" s="10">
        <f>SUMIFS('PLAN BUDGET SAMI-TF'!AS12:AS99999,'PLAN BUDGET SAMI-TF'!D12:D99999,SUMMARY!D108,'PLAN BUDGET SAMI-TF'!J12:J99999,SUMMARY!A108&amp;"*")</f>
        <v>0</v>
      </c>
      <c r="K108" s="10">
        <f>SUMIFS('PLAN BUDGET SAMI-TF'!AT12:AT99999,'PLAN BUDGET SAMI-TF'!D12:D99999,SUMMARY!D108,'PLAN BUDGET SAMI-TF'!J12:J99999,SUMMARY!A108&amp;"*")</f>
        <v>0</v>
      </c>
      <c r="L108" s="10">
        <f>SUMIFS('PLAN BUDGET SAMI-TF'!AU12:AU99999,'PLAN BUDGET SAMI-TF'!D12:D99999,SUMMARY!D108,'PLAN BUDGET SAMI-TF'!J12:J99999,SUMMARY!A108&amp;"*")</f>
        <v>0</v>
      </c>
      <c r="M108" s="10">
        <f>SUMIFS('PLAN BUDGET SAMI-TF'!AV12:AV99999,'PLAN BUDGET SAMI-TF'!D12:D99999,SUMMARY!D108,'PLAN BUDGET SAMI-TF'!J12:J99999,SUMMARY!A108&amp;"*")</f>
        <v>0</v>
      </c>
      <c r="N108" s="10">
        <f>SUMIFS('PLAN BUDGET SAMI-TF'!AW12:AW99999,'PLAN BUDGET SAMI-TF'!D12:D99999,SUMMARY!D108,'PLAN BUDGET SAMI-TF'!J12:J99999,SUMMARY!A108&amp;"*")</f>
        <v>0</v>
      </c>
      <c r="O108" s="10">
        <f>SUMIFS('PLAN BUDGET SAMI-TF'!AX12:AX99999,'PLAN BUDGET SAMI-TF'!D12:D99999,SUMMARY!D108,'PLAN BUDGET SAMI-TF'!J12:J99999,SUMMARY!A108&amp;"*")</f>
        <v>0</v>
      </c>
      <c r="P108" s="10">
        <f>SUMIFS('PLAN BUDGET SAMI-TF'!AY12:AY99999,'PLAN BUDGET SAMI-TF'!D12:D99999,SUMMARY!D108,'PLAN BUDGET SAMI-TF'!J12:J99999,SUMMARY!A108&amp;"*")</f>
        <v>0</v>
      </c>
      <c r="Q108" s="10">
        <f>SUMIFS('PLAN BUDGET SAMI-TF'!BC12:BC99999,'PLAN BUDGET SAMI-TF'!D12:D99999,SUMMARY!D108,'PLAN BUDGET SAMI-TF'!J12:J99999,SUMMARY!A108&amp;"*")</f>
        <v>107.60447128227</v>
      </c>
      <c r="R108" s="10">
        <f>SUMIFS('PLAN BUDGET SAMI-TF'!BD12:BD99999,'PLAN BUDGET SAMI-TF'!D12:D99999,SUMMARY!D108,'PLAN BUDGET SAMI-TF'!J12:J99999,SUMMARY!A108&amp;"*")</f>
        <v>0</v>
      </c>
      <c r="S108" s="10">
        <f>SUMIFS('PLAN BUDGET SAMI-TF'!BE12:BE99999,'PLAN BUDGET SAMI-TF'!D12:D99999,SUMMARY!D108,'PLAN BUDGET SAMI-TF'!J12:J99999,SUMMARY!A108&amp;"*")</f>
        <v>0</v>
      </c>
      <c r="T108" s="10">
        <f>SUMIFS('PLAN BUDGET SAMI-TF'!BF12:BF99999,'PLAN BUDGET SAMI-TF'!D12:D99999,SUMMARY!D108,'PLAN BUDGET SAMI-TF'!J12:J99999,SUMMARY!A108&amp;"*")</f>
        <v>0</v>
      </c>
      <c r="U108" s="10">
        <f>SUMIFS('PLAN BUDGET SAMI-TF'!BG12:BG99999,'PLAN BUDGET SAMI-TF'!D12:D99999,SUMMARY!D108,'PLAN BUDGET SAMI-TF'!J12:J99999,SUMMARY!A108&amp;"*")</f>
        <v>0</v>
      </c>
      <c r="V108" s="10">
        <f>SUMIFS('PLAN BUDGET SAMI-TF'!BH12:BH99999,'PLAN BUDGET SAMI-TF'!D12:D99999,SUMMARY!D108,'PLAN BUDGET SAMI-TF'!J12:J99999,SUMMARY!A108&amp;"*")</f>
        <v>0</v>
      </c>
      <c r="W108" s="10">
        <f>SUMIFS('PLAN BUDGET SAMI-TF'!BI12:BI99999,'PLAN BUDGET SAMI-TF'!D12:D99999,SUMMARY!D108,'PLAN BUDGET SAMI-TF'!J12:J99999,SUMMARY!A108&amp;"*")</f>
        <v>0</v>
      </c>
      <c r="X108" s="10">
        <f>SUMIFS('PLAN BUDGET SAMI-TF'!BJ12:BJ99999,'PLAN BUDGET SAMI-TF'!D12:D99999,SUMMARY!D108,'PLAN BUDGET SAMI-TF'!J12:J99999,SUMMARY!A108&amp;"*")</f>
        <v>0</v>
      </c>
      <c r="Y108" s="10">
        <f>SUMIFS('PLAN BUDGET SAMI-TF'!BK12:BK99999,'PLAN BUDGET SAMI-TF'!D12:D99999,SUMMARY!D108,'PLAN BUDGET SAMI-TF'!J12:J99999,SUMMARY!A108&amp;"*")</f>
        <v>0</v>
      </c>
      <c r="Z108" s="10">
        <f>SUMIFS('PLAN BUDGET SAMI-TF'!BL12:BL99999,'PLAN BUDGET SAMI-TF'!D12:D99999,SUMMARY!D108,'PLAN BUDGET SAMI-TF'!J12:J99999,SUMMARY!A108&amp;"*")</f>
        <v>0</v>
      </c>
      <c r="AA108" s="10">
        <f>SUMIFS('PLAN BUDGET SAMI-TF'!BM12:BM99999,'PLAN BUDGET SAMI-TF'!D12:D99999,SUMMARY!D108,'PLAN BUDGET SAMI-TF'!J12:J99999,SUMMARY!A108&amp;"*")</f>
        <v>0</v>
      </c>
      <c r="AB108" s="10">
        <f>SUMIFS('PLAN BUDGET SAMI-TF'!BN12:BN99999,'PLAN BUDGET SAMI-TF'!D12:D99999,SUMMARY!D108,'PLAN BUDGET SAMI-TF'!J12:J99999,SUMMARY!A108&amp;"*")</f>
        <v>0</v>
      </c>
      <c r="AC108" s="10">
        <f t="shared" si="12"/>
        <v>1</v>
      </c>
      <c r="AD108" s="10">
        <f t="shared" si="13"/>
        <v>107.60447128227</v>
      </c>
      <c r="AE108" s="16"/>
      <c r="AF108" s="10">
        <v>0</v>
      </c>
      <c r="AG108" s="10">
        <v>0</v>
      </c>
      <c r="AH108" s="20">
        <f t="shared" si="14"/>
        <v>1</v>
      </c>
      <c r="AI108" s="20">
        <f t="shared" si="15"/>
        <v>1</v>
      </c>
      <c r="AJ108" s="67" t="s">
        <v>863</v>
      </c>
    </row>
    <row r="109" spans="1:36" x14ac:dyDescent="0.35">
      <c r="A109" s="7" t="s">
        <v>498</v>
      </c>
      <c r="B109" s="7"/>
      <c r="C109" s="7"/>
      <c r="D109" s="7" t="s">
        <v>569</v>
      </c>
      <c r="E109" s="10">
        <f>SUMIFS('PLAN BUDGET SAMI-TF'!AN12:AN99999,'PLAN BUDGET SAMI-TF'!D12:D99999,SUMMARY!D109,'PLAN BUDGET SAMI-TF'!J12:J99999,SUMMARY!A109&amp;"*")</f>
        <v>8</v>
      </c>
      <c r="F109" s="10">
        <f>SUMIFS('PLAN BUDGET SAMI-TF'!AO12:AO99999,'PLAN BUDGET SAMI-TF'!D12:D99999,SUMMARY!D109,'PLAN BUDGET SAMI-TF'!J12:J99999,SUMMARY!A109&amp;"*")</f>
        <v>0</v>
      </c>
      <c r="G109" s="10">
        <f>SUMIFS('PLAN BUDGET SAMI-TF'!AP12:AP99999,'PLAN BUDGET SAMI-TF'!D12:D99999,SUMMARY!D109,'PLAN BUDGET SAMI-TF'!J12:J99999,SUMMARY!A109&amp;"*")</f>
        <v>0</v>
      </c>
      <c r="H109" s="10">
        <f>SUMIFS('PLAN BUDGET SAMI-TF'!AQ12:AQ99999,'PLAN BUDGET SAMI-TF'!D12:D99999,SUMMARY!D109,'PLAN BUDGET SAMI-TF'!J12:J99999,SUMMARY!A109&amp;"*")</f>
        <v>0</v>
      </c>
      <c r="I109" s="10">
        <f>SUMIFS('PLAN BUDGET SAMI-TF'!AR12:AR99999,'PLAN BUDGET SAMI-TF'!D12:D99999,SUMMARY!D109,'PLAN BUDGET SAMI-TF'!J12:J99999,SUMMARY!A109&amp;"*")</f>
        <v>0</v>
      </c>
      <c r="J109" s="10">
        <f>SUMIFS('PLAN BUDGET SAMI-TF'!AS12:AS99999,'PLAN BUDGET SAMI-TF'!D12:D99999,SUMMARY!D109,'PLAN BUDGET SAMI-TF'!J12:J99999,SUMMARY!A109&amp;"*")</f>
        <v>0</v>
      </c>
      <c r="K109" s="10">
        <f>SUMIFS('PLAN BUDGET SAMI-TF'!AT12:AT99999,'PLAN BUDGET SAMI-TF'!D12:D99999,SUMMARY!D109,'PLAN BUDGET SAMI-TF'!J12:J99999,SUMMARY!A109&amp;"*")</f>
        <v>0</v>
      </c>
      <c r="L109" s="10">
        <f>SUMIFS('PLAN BUDGET SAMI-TF'!AU12:AU99999,'PLAN BUDGET SAMI-TF'!D12:D99999,SUMMARY!D109,'PLAN BUDGET SAMI-TF'!J12:J99999,SUMMARY!A109&amp;"*")</f>
        <v>0</v>
      </c>
      <c r="M109" s="10">
        <f>SUMIFS('PLAN BUDGET SAMI-TF'!AV12:AV99999,'PLAN BUDGET SAMI-TF'!D12:D99999,SUMMARY!D109,'PLAN BUDGET SAMI-TF'!J12:J99999,SUMMARY!A109&amp;"*")</f>
        <v>0</v>
      </c>
      <c r="N109" s="10">
        <f>SUMIFS('PLAN BUDGET SAMI-TF'!AW12:AW99999,'PLAN BUDGET SAMI-TF'!D12:D99999,SUMMARY!D109,'PLAN BUDGET SAMI-TF'!J12:J99999,SUMMARY!A109&amp;"*")</f>
        <v>0</v>
      </c>
      <c r="O109" s="10">
        <f>SUMIFS('PLAN BUDGET SAMI-TF'!AX12:AX99999,'PLAN BUDGET SAMI-TF'!D12:D99999,SUMMARY!D109,'PLAN BUDGET SAMI-TF'!J12:J99999,SUMMARY!A109&amp;"*")</f>
        <v>0</v>
      </c>
      <c r="P109" s="10">
        <f>SUMIFS('PLAN BUDGET SAMI-TF'!AY12:AY99999,'PLAN BUDGET SAMI-TF'!D12:D99999,SUMMARY!D109,'PLAN BUDGET SAMI-TF'!J12:J99999,SUMMARY!A109&amp;"*")</f>
        <v>0</v>
      </c>
      <c r="Q109" s="10">
        <f>SUMIFS('PLAN BUDGET SAMI-TF'!BC12:BC99999,'PLAN BUDGET SAMI-TF'!D12:D99999,SUMMARY!D109,'PLAN BUDGET SAMI-TF'!J12:J99999,SUMMARY!A109&amp;"*")</f>
        <v>60.258503918068001</v>
      </c>
      <c r="R109" s="10">
        <f>SUMIFS('PLAN BUDGET SAMI-TF'!BD12:BD99999,'PLAN BUDGET SAMI-TF'!D12:D99999,SUMMARY!D109,'PLAN BUDGET SAMI-TF'!J12:J99999,SUMMARY!A109&amp;"*")</f>
        <v>0</v>
      </c>
      <c r="S109" s="10">
        <f>SUMIFS('PLAN BUDGET SAMI-TF'!BE12:BE99999,'PLAN BUDGET SAMI-TF'!D12:D99999,SUMMARY!D109,'PLAN BUDGET SAMI-TF'!J12:J99999,SUMMARY!A109&amp;"*")</f>
        <v>0</v>
      </c>
      <c r="T109" s="10">
        <f>SUMIFS('PLAN BUDGET SAMI-TF'!BF12:BF99999,'PLAN BUDGET SAMI-TF'!D12:D99999,SUMMARY!D109,'PLAN BUDGET SAMI-TF'!J12:J99999,SUMMARY!A109&amp;"*")</f>
        <v>0</v>
      </c>
      <c r="U109" s="10">
        <f>SUMIFS('PLAN BUDGET SAMI-TF'!BG12:BG99999,'PLAN BUDGET SAMI-TF'!D12:D99999,SUMMARY!D109,'PLAN BUDGET SAMI-TF'!J12:J99999,SUMMARY!A109&amp;"*")</f>
        <v>0</v>
      </c>
      <c r="V109" s="10">
        <f>SUMIFS('PLAN BUDGET SAMI-TF'!BH12:BH99999,'PLAN BUDGET SAMI-TF'!D12:D99999,SUMMARY!D109,'PLAN BUDGET SAMI-TF'!J12:J99999,SUMMARY!A109&amp;"*")</f>
        <v>0</v>
      </c>
      <c r="W109" s="10">
        <f>SUMIFS('PLAN BUDGET SAMI-TF'!BI12:BI99999,'PLAN BUDGET SAMI-TF'!D12:D99999,SUMMARY!D109,'PLAN BUDGET SAMI-TF'!J12:J99999,SUMMARY!A109&amp;"*")</f>
        <v>0</v>
      </c>
      <c r="X109" s="10">
        <f>SUMIFS('PLAN BUDGET SAMI-TF'!BJ12:BJ99999,'PLAN BUDGET SAMI-TF'!D12:D99999,SUMMARY!D109,'PLAN BUDGET SAMI-TF'!J12:J99999,SUMMARY!A109&amp;"*")</f>
        <v>0</v>
      </c>
      <c r="Y109" s="10">
        <f>SUMIFS('PLAN BUDGET SAMI-TF'!BK12:BK99999,'PLAN BUDGET SAMI-TF'!D12:D99999,SUMMARY!D109,'PLAN BUDGET SAMI-TF'!J12:J99999,SUMMARY!A109&amp;"*")</f>
        <v>0</v>
      </c>
      <c r="Z109" s="10">
        <f>SUMIFS('PLAN BUDGET SAMI-TF'!BL12:BL99999,'PLAN BUDGET SAMI-TF'!D12:D99999,SUMMARY!D109,'PLAN BUDGET SAMI-TF'!J12:J99999,SUMMARY!A109&amp;"*")</f>
        <v>0</v>
      </c>
      <c r="AA109" s="10">
        <f>SUMIFS('PLAN BUDGET SAMI-TF'!BM12:BM99999,'PLAN BUDGET SAMI-TF'!D12:D99999,SUMMARY!D109,'PLAN BUDGET SAMI-TF'!J12:J99999,SUMMARY!A109&amp;"*")</f>
        <v>0</v>
      </c>
      <c r="AB109" s="10">
        <f>SUMIFS('PLAN BUDGET SAMI-TF'!BN12:BN99999,'PLAN BUDGET SAMI-TF'!D12:D99999,SUMMARY!D109,'PLAN BUDGET SAMI-TF'!J12:J99999,SUMMARY!A109&amp;"*")</f>
        <v>0</v>
      </c>
      <c r="AC109" s="10">
        <f t="shared" si="12"/>
        <v>8</v>
      </c>
      <c r="AD109" s="10">
        <f t="shared" si="13"/>
        <v>60.258503918068001</v>
      </c>
      <c r="AE109" s="16"/>
      <c r="AF109" s="10">
        <v>0</v>
      </c>
      <c r="AG109" s="10">
        <v>0</v>
      </c>
      <c r="AH109" s="20">
        <f t="shared" si="14"/>
        <v>1</v>
      </c>
      <c r="AI109" s="20">
        <f t="shared" si="15"/>
        <v>1</v>
      </c>
      <c r="AJ109" s="67" t="s">
        <v>863</v>
      </c>
    </row>
    <row r="110" spans="1:36" x14ac:dyDescent="0.35">
      <c r="A110" s="7" t="s">
        <v>498</v>
      </c>
      <c r="B110" s="7"/>
      <c r="C110" s="7"/>
      <c r="D110" s="7" t="s">
        <v>615</v>
      </c>
      <c r="E110" s="10">
        <f>SUMIFS('PLAN BUDGET SAMI-TF'!AN12:AN99999,'PLAN BUDGET SAMI-TF'!D12:D99999,SUMMARY!D110,'PLAN BUDGET SAMI-TF'!J12:J99999,SUMMARY!A110&amp;"*")</f>
        <v>0</v>
      </c>
      <c r="F110" s="10">
        <f>SUMIFS('PLAN BUDGET SAMI-TF'!AO12:AO99999,'PLAN BUDGET SAMI-TF'!D12:D99999,SUMMARY!D110,'PLAN BUDGET SAMI-TF'!J12:J99999,SUMMARY!A110&amp;"*")</f>
        <v>1</v>
      </c>
      <c r="G110" s="10">
        <f>SUMIFS('PLAN BUDGET SAMI-TF'!AP12:AP99999,'PLAN BUDGET SAMI-TF'!D12:D99999,SUMMARY!D110,'PLAN BUDGET SAMI-TF'!J12:J99999,SUMMARY!A110&amp;"*")</f>
        <v>0</v>
      </c>
      <c r="H110" s="10">
        <f>SUMIFS('PLAN BUDGET SAMI-TF'!AQ12:AQ99999,'PLAN BUDGET SAMI-TF'!D12:D99999,SUMMARY!D110,'PLAN BUDGET SAMI-TF'!J12:J99999,SUMMARY!A110&amp;"*")</f>
        <v>0</v>
      </c>
      <c r="I110" s="10">
        <f>SUMIFS('PLAN BUDGET SAMI-TF'!AR12:AR99999,'PLAN BUDGET SAMI-TF'!D12:D99999,SUMMARY!D110,'PLAN BUDGET SAMI-TF'!J12:J99999,SUMMARY!A110&amp;"*")</f>
        <v>0</v>
      </c>
      <c r="J110" s="10">
        <f>SUMIFS('PLAN BUDGET SAMI-TF'!AS12:AS99999,'PLAN BUDGET SAMI-TF'!D12:D99999,SUMMARY!D110,'PLAN BUDGET SAMI-TF'!J12:J99999,SUMMARY!A110&amp;"*")</f>
        <v>0</v>
      </c>
      <c r="K110" s="10">
        <f>SUMIFS('PLAN BUDGET SAMI-TF'!AT12:AT99999,'PLAN BUDGET SAMI-TF'!D12:D99999,SUMMARY!D110,'PLAN BUDGET SAMI-TF'!J12:J99999,SUMMARY!A110&amp;"*")</f>
        <v>0</v>
      </c>
      <c r="L110" s="10">
        <f>SUMIFS('PLAN BUDGET SAMI-TF'!AU12:AU99999,'PLAN BUDGET SAMI-TF'!D12:D99999,SUMMARY!D110,'PLAN BUDGET SAMI-TF'!J12:J99999,SUMMARY!A110&amp;"*")</f>
        <v>0</v>
      </c>
      <c r="M110" s="10">
        <f>SUMIFS('PLAN BUDGET SAMI-TF'!AV12:AV99999,'PLAN BUDGET SAMI-TF'!D12:D99999,SUMMARY!D110,'PLAN BUDGET SAMI-TF'!J12:J99999,SUMMARY!A110&amp;"*")</f>
        <v>0</v>
      </c>
      <c r="N110" s="10">
        <f>SUMIFS('PLAN BUDGET SAMI-TF'!AW12:AW99999,'PLAN BUDGET SAMI-TF'!D12:D99999,SUMMARY!D110,'PLAN BUDGET SAMI-TF'!J12:J99999,SUMMARY!A110&amp;"*")</f>
        <v>0</v>
      </c>
      <c r="O110" s="10">
        <f>SUMIFS('PLAN BUDGET SAMI-TF'!AX12:AX99999,'PLAN BUDGET SAMI-TF'!D12:D99999,SUMMARY!D110,'PLAN BUDGET SAMI-TF'!J12:J99999,SUMMARY!A110&amp;"*")</f>
        <v>0</v>
      </c>
      <c r="P110" s="10">
        <f>SUMIFS('PLAN BUDGET SAMI-TF'!AY12:AY99999,'PLAN BUDGET SAMI-TF'!D12:D99999,SUMMARY!D110,'PLAN BUDGET SAMI-TF'!J12:J99999,SUMMARY!A110&amp;"*")</f>
        <v>0</v>
      </c>
      <c r="Q110" s="10">
        <f>SUMIFS('PLAN BUDGET SAMI-TF'!BC12:BC99999,'PLAN BUDGET SAMI-TF'!D12:D99999,SUMMARY!D110,'PLAN BUDGET SAMI-TF'!J12:J99999,SUMMARY!A110&amp;"*")</f>
        <v>0</v>
      </c>
      <c r="R110" s="10">
        <f>SUMIFS('PLAN BUDGET SAMI-TF'!BD12:BD99999,'PLAN BUDGET SAMI-TF'!D12:D99999,SUMMARY!D110,'PLAN BUDGET SAMI-TF'!J12:J99999,SUMMARY!A110&amp;"*")</f>
        <v>243.69247908041999</v>
      </c>
      <c r="S110" s="10">
        <f>SUMIFS('PLAN BUDGET SAMI-TF'!BE12:BE99999,'PLAN BUDGET SAMI-TF'!D12:D99999,SUMMARY!D110,'PLAN BUDGET SAMI-TF'!J12:J99999,SUMMARY!A110&amp;"*")</f>
        <v>0</v>
      </c>
      <c r="T110" s="10">
        <f>SUMIFS('PLAN BUDGET SAMI-TF'!BF12:BF99999,'PLAN BUDGET SAMI-TF'!D12:D99999,SUMMARY!D110,'PLAN BUDGET SAMI-TF'!J12:J99999,SUMMARY!A110&amp;"*")</f>
        <v>0</v>
      </c>
      <c r="U110" s="10">
        <f>SUMIFS('PLAN BUDGET SAMI-TF'!BG12:BG99999,'PLAN BUDGET SAMI-TF'!D12:D99999,SUMMARY!D110,'PLAN BUDGET SAMI-TF'!J12:J99999,SUMMARY!A110&amp;"*")</f>
        <v>0</v>
      </c>
      <c r="V110" s="10">
        <f>SUMIFS('PLAN BUDGET SAMI-TF'!BH12:BH99999,'PLAN BUDGET SAMI-TF'!D12:D99999,SUMMARY!D110,'PLAN BUDGET SAMI-TF'!J12:J99999,SUMMARY!A110&amp;"*")</f>
        <v>0</v>
      </c>
      <c r="W110" s="10">
        <f>SUMIFS('PLAN BUDGET SAMI-TF'!BI12:BI99999,'PLAN BUDGET SAMI-TF'!D12:D99999,SUMMARY!D110,'PLAN BUDGET SAMI-TF'!J12:J99999,SUMMARY!A110&amp;"*")</f>
        <v>0</v>
      </c>
      <c r="X110" s="10">
        <f>SUMIFS('PLAN BUDGET SAMI-TF'!BJ12:BJ99999,'PLAN BUDGET SAMI-TF'!D12:D99999,SUMMARY!D110,'PLAN BUDGET SAMI-TF'!J12:J99999,SUMMARY!A110&amp;"*")</f>
        <v>0</v>
      </c>
      <c r="Y110" s="10">
        <f>SUMIFS('PLAN BUDGET SAMI-TF'!BK12:BK99999,'PLAN BUDGET SAMI-TF'!D12:D99999,SUMMARY!D110,'PLAN BUDGET SAMI-TF'!J12:J99999,SUMMARY!A110&amp;"*")</f>
        <v>0</v>
      </c>
      <c r="Z110" s="10">
        <f>SUMIFS('PLAN BUDGET SAMI-TF'!BL12:BL99999,'PLAN BUDGET SAMI-TF'!D12:D99999,SUMMARY!D110,'PLAN BUDGET SAMI-TF'!J12:J99999,SUMMARY!A110&amp;"*")</f>
        <v>0</v>
      </c>
      <c r="AA110" s="10">
        <f>SUMIFS('PLAN BUDGET SAMI-TF'!BM12:BM99999,'PLAN BUDGET SAMI-TF'!D12:D99999,SUMMARY!D110,'PLAN BUDGET SAMI-TF'!J12:J99999,SUMMARY!A110&amp;"*")</f>
        <v>0</v>
      </c>
      <c r="AB110" s="10">
        <f>SUMIFS('PLAN BUDGET SAMI-TF'!BN12:BN99999,'PLAN BUDGET SAMI-TF'!D12:D99999,SUMMARY!D110,'PLAN BUDGET SAMI-TF'!J12:J99999,SUMMARY!A110&amp;"*")</f>
        <v>0</v>
      </c>
      <c r="AC110" s="10">
        <f t="shared" si="12"/>
        <v>1</v>
      </c>
      <c r="AD110" s="10">
        <f t="shared" si="13"/>
        <v>243.69247908041999</v>
      </c>
      <c r="AE110" s="16"/>
      <c r="AF110" s="10">
        <v>0</v>
      </c>
      <c r="AG110" s="10">
        <v>0</v>
      </c>
      <c r="AH110" s="20">
        <f t="shared" si="14"/>
        <v>1</v>
      </c>
      <c r="AI110" s="20">
        <f t="shared" si="15"/>
        <v>1</v>
      </c>
      <c r="AJ110" s="67" t="s">
        <v>863</v>
      </c>
    </row>
    <row r="111" spans="1:36" x14ac:dyDescent="0.35">
      <c r="A111" s="7" t="s">
        <v>498</v>
      </c>
      <c r="B111" s="7"/>
      <c r="C111" s="7"/>
      <c r="D111" s="7" t="s">
        <v>547</v>
      </c>
      <c r="E111" s="10">
        <f>SUMIFS('PLAN BUDGET SAMI-TF'!AN12:AN99999,'PLAN BUDGET SAMI-TF'!D12:D99999,SUMMARY!D111,'PLAN BUDGET SAMI-TF'!J12:J99999,SUMMARY!A111&amp;"*")</f>
        <v>2</v>
      </c>
      <c r="F111" s="10">
        <f>SUMIFS('PLAN BUDGET SAMI-TF'!AO12:AO99999,'PLAN BUDGET SAMI-TF'!D12:D99999,SUMMARY!D111,'PLAN BUDGET SAMI-TF'!J12:J99999,SUMMARY!A111&amp;"*")</f>
        <v>0</v>
      </c>
      <c r="G111" s="10">
        <f>SUMIFS('PLAN BUDGET SAMI-TF'!AP12:AP99999,'PLAN BUDGET SAMI-TF'!D12:D99999,SUMMARY!D111,'PLAN BUDGET SAMI-TF'!J12:J99999,SUMMARY!A111&amp;"*")</f>
        <v>0</v>
      </c>
      <c r="H111" s="10">
        <f>SUMIFS('PLAN BUDGET SAMI-TF'!AQ12:AQ99999,'PLAN BUDGET SAMI-TF'!D12:D99999,SUMMARY!D111,'PLAN BUDGET SAMI-TF'!J12:J99999,SUMMARY!A111&amp;"*")</f>
        <v>0</v>
      </c>
      <c r="I111" s="10">
        <f>SUMIFS('PLAN BUDGET SAMI-TF'!AR12:AR99999,'PLAN BUDGET SAMI-TF'!D12:D99999,SUMMARY!D111,'PLAN BUDGET SAMI-TF'!J12:J99999,SUMMARY!A111&amp;"*")</f>
        <v>0</v>
      </c>
      <c r="J111" s="10">
        <f>SUMIFS('PLAN BUDGET SAMI-TF'!AS12:AS99999,'PLAN BUDGET SAMI-TF'!D12:D99999,SUMMARY!D111,'PLAN BUDGET SAMI-TF'!J12:J99999,SUMMARY!A111&amp;"*")</f>
        <v>0</v>
      </c>
      <c r="K111" s="10">
        <f>SUMIFS('PLAN BUDGET SAMI-TF'!AT12:AT99999,'PLAN BUDGET SAMI-TF'!D12:D99999,SUMMARY!D111,'PLAN BUDGET SAMI-TF'!J12:J99999,SUMMARY!A111&amp;"*")</f>
        <v>0</v>
      </c>
      <c r="L111" s="10">
        <f>SUMIFS('PLAN BUDGET SAMI-TF'!AU12:AU99999,'PLAN BUDGET SAMI-TF'!D12:D99999,SUMMARY!D111,'PLAN BUDGET SAMI-TF'!J12:J99999,SUMMARY!A111&amp;"*")</f>
        <v>0</v>
      </c>
      <c r="M111" s="10">
        <f>SUMIFS('PLAN BUDGET SAMI-TF'!AV12:AV99999,'PLAN BUDGET SAMI-TF'!D12:D99999,SUMMARY!D111,'PLAN BUDGET SAMI-TF'!J12:J99999,SUMMARY!A111&amp;"*")</f>
        <v>0</v>
      </c>
      <c r="N111" s="10">
        <f>SUMIFS('PLAN BUDGET SAMI-TF'!AW12:AW99999,'PLAN BUDGET SAMI-TF'!D12:D99999,SUMMARY!D111,'PLAN BUDGET SAMI-TF'!J12:J99999,SUMMARY!A111&amp;"*")</f>
        <v>0</v>
      </c>
      <c r="O111" s="10">
        <f>SUMIFS('PLAN BUDGET SAMI-TF'!AX12:AX99999,'PLAN BUDGET SAMI-TF'!D12:D99999,SUMMARY!D111,'PLAN BUDGET SAMI-TF'!J12:J99999,SUMMARY!A111&amp;"*")</f>
        <v>0</v>
      </c>
      <c r="P111" s="10">
        <f>SUMIFS('PLAN BUDGET SAMI-TF'!AY12:AY99999,'PLAN BUDGET SAMI-TF'!D12:D99999,SUMMARY!D111,'PLAN BUDGET SAMI-TF'!J12:J99999,SUMMARY!A111&amp;"*")</f>
        <v>0</v>
      </c>
      <c r="Q111" s="10">
        <f>SUMIFS('PLAN BUDGET SAMI-TF'!BC12:BC99999,'PLAN BUDGET SAMI-TF'!D12:D99999,SUMMARY!D111,'PLAN BUDGET SAMI-TF'!J12:J99999,SUMMARY!A111&amp;"*")</f>
        <v>974.76991632169995</v>
      </c>
      <c r="R111" s="10">
        <f>SUMIFS('PLAN BUDGET SAMI-TF'!BD12:BD99999,'PLAN BUDGET SAMI-TF'!D12:D99999,SUMMARY!D111,'PLAN BUDGET SAMI-TF'!J12:J99999,SUMMARY!A111&amp;"*")</f>
        <v>0</v>
      </c>
      <c r="S111" s="10">
        <f>SUMIFS('PLAN BUDGET SAMI-TF'!BE12:BE99999,'PLAN BUDGET SAMI-TF'!D12:D99999,SUMMARY!D111,'PLAN BUDGET SAMI-TF'!J12:J99999,SUMMARY!A111&amp;"*")</f>
        <v>0</v>
      </c>
      <c r="T111" s="10">
        <f>SUMIFS('PLAN BUDGET SAMI-TF'!BF12:BF99999,'PLAN BUDGET SAMI-TF'!D12:D99999,SUMMARY!D111,'PLAN BUDGET SAMI-TF'!J12:J99999,SUMMARY!A111&amp;"*")</f>
        <v>0</v>
      </c>
      <c r="U111" s="10">
        <f>SUMIFS('PLAN BUDGET SAMI-TF'!BG12:BG99999,'PLAN BUDGET SAMI-TF'!D12:D99999,SUMMARY!D111,'PLAN BUDGET SAMI-TF'!J12:J99999,SUMMARY!A111&amp;"*")</f>
        <v>0</v>
      </c>
      <c r="V111" s="10">
        <f>SUMIFS('PLAN BUDGET SAMI-TF'!BH12:BH99999,'PLAN BUDGET SAMI-TF'!D12:D99999,SUMMARY!D111,'PLAN BUDGET SAMI-TF'!J12:J99999,SUMMARY!A111&amp;"*")</f>
        <v>0</v>
      </c>
      <c r="W111" s="10">
        <f>SUMIFS('PLAN BUDGET SAMI-TF'!BI12:BI99999,'PLAN BUDGET SAMI-TF'!D12:D99999,SUMMARY!D111,'PLAN BUDGET SAMI-TF'!J12:J99999,SUMMARY!A111&amp;"*")</f>
        <v>0</v>
      </c>
      <c r="X111" s="10">
        <f>SUMIFS('PLAN BUDGET SAMI-TF'!BJ12:BJ99999,'PLAN BUDGET SAMI-TF'!D12:D99999,SUMMARY!D111,'PLAN BUDGET SAMI-TF'!J12:J99999,SUMMARY!A111&amp;"*")</f>
        <v>0</v>
      </c>
      <c r="Y111" s="10">
        <f>SUMIFS('PLAN BUDGET SAMI-TF'!BK12:BK99999,'PLAN BUDGET SAMI-TF'!D12:D99999,SUMMARY!D111,'PLAN BUDGET SAMI-TF'!J12:J99999,SUMMARY!A111&amp;"*")</f>
        <v>0</v>
      </c>
      <c r="Z111" s="10">
        <f>SUMIFS('PLAN BUDGET SAMI-TF'!BL12:BL99999,'PLAN BUDGET SAMI-TF'!D12:D99999,SUMMARY!D111,'PLAN BUDGET SAMI-TF'!J12:J99999,SUMMARY!A111&amp;"*")</f>
        <v>0</v>
      </c>
      <c r="AA111" s="10">
        <f>SUMIFS('PLAN BUDGET SAMI-TF'!BM12:BM99999,'PLAN BUDGET SAMI-TF'!D12:D99999,SUMMARY!D111,'PLAN BUDGET SAMI-TF'!J12:J99999,SUMMARY!A111&amp;"*")</f>
        <v>0</v>
      </c>
      <c r="AB111" s="10">
        <f>SUMIFS('PLAN BUDGET SAMI-TF'!BN12:BN99999,'PLAN BUDGET SAMI-TF'!D12:D99999,SUMMARY!D111,'PLAN BUDGET SAMI-TF'!J12:J99999,SUMMARY!A111&amp;"*")</f>
        <v>0</v>
      </c>
      <c r="AC111" s="10">
        <f t="shared" si="12"/>
        <v>2</v>
      </c>
      <c r="AD111" s="10">
        <f t="shared" si="13"/>
        <v>974.76991632169995</v>
      </c>
      <c r="AE111" s="16"/>
      <c r="AF111" s="10">
        <v>0</v>
      </c>
      <c r="AG111" s="10">
        <v>0</v>
      </c>
      <c r="AH111" s="20">
        <f t="shared" si="14"/>
        <v>1</v>
      </c>
      <c r="AI111" s="20">
        <f t="shared" si="15"/>
        <v>1</v>
      </c>
      <c r="AJ111" s="67" t="s">
        <v>863</v>
      </c>
    </row>
    <row r="112" spans="1:36" x14ac:dyDescent="0.35">
      <c r="A112" s="7" t="s">
        <v>498</v>
      </c>
      <c r="B112" s="7"/>
      <c r="C112" s="7"/>
      <c r="D112" s="7" t="s">
        <v>535</v>
      </c>
      <c r="E112" s="10">
        <f>SUMIFS('PLAN BUDGET SAMI-TF'!AN12:AN99999,'PLAN BUDGET SAMI-TF'!D12:D99999,SUMMARY!D112,'PLAN BUDGET SAMI-TF'!J12:J99999,SUMMARY!A112&amp;"*")</f>
        <v>0</v>
      </c>
      <c r="F112" s="10">
        <f>SUMIFS('PLAN BUDGET SAMI-TF'!AO12:AO99999,'PLAN BUDGET SAMI-TF'!D12:D99999,SUMMARY!D112,'PLAN BUDGET SAMI-TF'!J12:J99999,SUMMARY!A112&amp;"*")</f>
        <v>1</v>
      </c>
      <c r="G112" s="10">
        <f>SUMIFS('PLAN BUDGET SAMI-TF'!AP12:AP99999,'PLAN BUDGET SAMI-TF'!D12:D99999,SUMMARY!D112,'PLAN BUDGET SAMI-TF'!J12:J99999,SUMMARY!A112&amp;"*")</f>
        <v>0</v>
      </c>
      <c r="H112" s="10">
        <f>SUMIFS('PLAN BUDGET SAMI-TF'!AQ12:AQ99999,'PLAN BUDGET SAMI-TF'!D12:D99999,SUMMARY!D112,'PLAN BUDGET SAMI-TF'!J12:J99999,SUMMARY!A112&amp;"*")</f>
        <v>0</v>
      </c>
      <c r="I112" s="10">
        <f>SUMIFS('PLAN BUDGET SAMI-TF'!AR12:AR99999,'PLAN BUDGET SAMI-TF'!D12:D99999,SUMMARY!D112,'PLAN BUDGET SAMI-TF'!J12:J99999,SUMMARY!A112&amp;"*")</f>
        <v>0</v>
      </c>
      <c r="J112" s="10">
        <f>SUMIFS('PLAN BUDGET SAMI-TF'!AS12:AS99999,'PLAN BUDGET SAMI-TF'!D12:D99999,SUMMARY!D112,'PLAN BUDGET SAMI-TF'!J12:J99999,SUMMARY!A112&amp;"*")</f>
        <v>0</v>
      </c>
      <c r="K112" s="10">
        <f>SUMIFS('PLAN BUDGET SAMI-TF'!AT12:AT99999,'PLAN BUDGET SAMI-TF'!D12:D99999,SUMMARY!D112,'PLAN BUDGET SAMI-TF'!J12:J99999,SUMMARY!A112&amp;"*")</f>
        <v>0</v>
      </c>
      <c r="L112" s="10">
        <f>SUMIFS('PLAN BUDGET SAMI-TF'!AU12:AU99999,'PLAN BUDGET SAMI-TF'!D12:D99999,SUMMARY!D112,'PLAN BUDGET SAMI-TF'!J12:J99999,SUMMARY!A112&amp;"*")</f>
        <v>0</v>
      </c>
      <c r="M112" s="10">
        <f>SUMIFS('PLAN BUDGET SAMI-TF'!AV12:AV99999,'PLAN BUDGET SAMI-TF'!D12:D99999,SUMMARY!D112,'PLAN BUDGET SAMI-TF'!J12:J99999,SUMMARY!A112&amp;"*")</f>
        <v>0</v>
      </c>
      <c r="N112" s="10">
        <f>SUMIFS('PLAN BUDGET SAMI-TF'!AW12:AW99999,'PLAN BUDGET SAMI-TF'!D12:D99999,SUMMARY!D112,'PLAN BUDGET SAMI-TF'!J12:J99999,SUMMARY!A112&amp;"*")</f>
        <v>0</v>
      </c>
      <c r="O112" s="10">
        <f>SUMIFS('PLAN BUDGET SAMI-TF'!AX12:AX99999,'PLAN BUDGET SAMI-TF'!D12:D99999,SUMMARY!D112,'PLAN BUDGET SAMI-TF'!J12:J99999,SUMMARY!A112&amp;"*")</f>
        <v>0</v>
      </c>
      <c r="P112" s="10">
        <f>SUMIFS('PLAN BUDGET SAMI-TF'!AY12:AY99999,'PLAN BUDGET SAMI-TF'!D12:D99999,SUMMARY!D112,'PLAN BUDGET SAMI-TF'!J12:J99999,SUMMARY!A112&amp;"*")</f>
        <v>0</v>
      </c>
      <c r="Q112" s="10">
        <f>SUMIFS('PLAN BUDGET SAMI-TF'!BC12:BC99999,'PLAN BUDGET SAMI-TF'!D12:D99999,SUMMARY!D112,'PLAN BUDGET SAMI-TF'!J12:J99999,SUMMARY!A112&amp;"*")</f>
        <v>0</v>
      </c>
      <c r="R112" s="10">
        <f>SUMIFS('PLAN BUDGET SAMI-TF'!BD12:BD99999,'PLAN BUDGET SAMI-TF'!D12:D99999,SUMMARY!D112,'PLAN BUDGET SAMI-TF'!J12:J99999,SUMMARY!A112&amp;"*")</f>
        <v>0</v>
      </c>
      <c r="S112" s="10">
        <f>SUMIFS('PLAN BUDGET SAMI-TF'!BE12:BE99999,'PLAN BUDGET SAMI-TF'!D12:D99999,SUMMARY!D112,'PLAN BUDGET SAMI-TF'!J12:J99999,SUMMARY!A112&amp;"*")</f>
        <v>0</v>
      </c>
      <c r="T112" s="10">
        <f>SUMIFS('PLAN BUDGET SAMI-TF'!BF12:BF99999,'PLAN BUDGET SAMI-TF'!D12:D99999,SUMMARY!D112,'PLAN BUDGET SAMI-TF'!J12:J99999,SUMMARY!A112&amp;"*")</f>
        <v>0</v>
      </c>
      <c r="U112" s="10">
        <f>SUMIFS('PLAN BUDGET SAMI-TF'!BG12:BG99999,'PLAN BUDGET SAMI-TF'!D12:D99999,SUMMARY!D112,'PLAN BUDGET SAMI-TF'!J12:J99999,SUMMARY!A112&amp;"*")</f>
        <v>0</v>
      </c>
      <c r="V112" s="10">
        <f>SUMIFS('PLAN BUDGET SAMI-TF'!BH12:BH99999,'PLAN BUDGET SAMI-TF'!D12:D99999,SUMMARY!D112,'PLAN BUDGET SAMI-TF'!J12:J99999,SUMMARY!A112&amp;"*")</f>
        <v>0</v>
      </c>
      <c r="W112" s="10">
        <f>SUMIFS('PLAN BUDGET SAMI-TF'!BI12:BI99999,'PLAN BUDGET SAMI-TF'!D12:D99999,SUMMARY!D112,'PLAN BUDGET SAMI-TF'!J12:J99999,SUMMARY!A112&amp;"*")</f>
        <v>0</v>
      </c>
      <c r="X112" s="10">
        <f>SUMIFS('PLAN BUDGET SAMI-TF'!BJ12:BJ99999,'PLAN BUDGET SAMI-TF'!D12:D99999,SUMMARY!D112,'PLAN BUDGET SAMI-TF'!J12:J99999,SUMMARY!A112&amp;"*")</f>
        <v>0</v>
      </c>
      <c r="Y112" s="10">
        <f>SUMIFS('PLAN BUDGET SAMI-TF'!BK12:BK99999,'PLAN BUDGET SAMI-TF'!D12:D99999,SUMMARY!D112,'PLAN BUDGET SAMI-TF'!J12:J99999,SUMMARY!A112&amp;"*")</f>
        <v>0</v>
      </c>
      <c r="Z112" s="10">
        <f>SUMIFS('PLAN BUDGET SAMI-TF'!BL12:BL99999,'PLAN BUDGET SAMI-TF'!D12:D99999,SUMMARY!D112,'PLAN BUDGET SAMI-TF'!J12:J99999,SUMMARY!A112&amp;"*")</f>
        <v>0</v>
      </c>
      <c r="AA112" s="10">
        <f>SUMIFS('PLAN BUDGET SAMI-TF'!BM12:BM99999,'PLAN BUDGET SAMI-TF'!D12:D99999,SUMMARY!D112,'PLAN BUDGET SAMI-TF'!J12:J99999,SUMMARY!A112&amp;"*")</f>
        <v>0</v>
      </c>
      <c r="AB112" s="10">
        <f>SUMIFS('PLAN BUDGET SAMI-TF'!BN12:BN99999,'PLAN BUDGET SAMI-TF'!D12:D99999,SUMMARY!D112,'PLAN BUDGET SAMI-TF'!J12:J99999,SUMMARY!A112&amp;"*")</f>
        <v>0</v>
      </c>
      <c r="AC112" s="10">
        <f t="shared" si="12"/>
        <v>1</v>
      </c>
      <c r="AD112" s="10">
        <f t="shared" si="13"/>
        <v>0</v>
      </c>
      <c r="AE112" s="16"/>
      <c r="AF112" s="10">
        <v>0</v>
      </c>
      <c r="AG112" s="10">
        <v>0</v>
      </c>
      <c r="AH112" s="20">
        <f t="shared" si="14"/>
        <v>1</v>
      </c>
      <c r="AI112" s="20">
        <f t="shared" si="15"/>
        <v>1</v>
      </c>
      <c r="AJ112" s="67" t="s">
        <v>863</v>
      </c>
    </row>
    <row r="113" spans="1:36" x14ac:dyDescent="0.35">
      <c r="A113" s="7" t="s">
        <v>709</v>
      </c>
      <c r="B113" s="7"/>
      <c r="C113" s="7"/>
      <c r="D113" s="7" t="s">
        <v>715</v>
      </c>
      <c r="E113" s="10">
        <f>SUMIFS('PLAN BUDGET SAMI-TF'!AN12:AN99999,'PLAN BUDGET SAMI-TF'!D12:D99999,SUMMARY!D113,'PLAN BUDGET SAMI-TF'!J12:J99999,SUMMARY!A113&amp;"*")</f>
        <v>0</v>
      </c>
      <c r="F113" s="10">
        <f>SUMIFS('PLAN BUDGET SAMI-TF'!AO12:AO99999,'PLAN BUDGET SAMI-TF'!D12:D99999,SUMMARY!D113,'PLAN BUDGET SAMI-TF'!J12:J99999,SUMMARY!A113&amp;"*")</f>
        <v>0</v>
      </c>
      <c r="G113" s="10">
        <f>SUMIFS('PLAN BUDGET SAMI-TF'!AP12:AP99999,'PLAN BUDGET SAMI-TF'!D12:D99999,SUMMARY!D113,'PLAN BUDGET SAMI-TF'!J12:J99999,SUMMARY!A113&amp;"*")</f>
        <v>3</v>
      </c>
      <c r="H113" s="10">
        <f>SUMIFS('PLAN BUDGET SAMI-TF'!AQ12:AQ99999,'PLAN BUDGET SAMI-TF'!D12:D99999,SUMMARY!D113,'PLAN BUDGET SAMI-TF'!J12:J99999,SUMMARY!A113&amp;"*")</f>
        <v>0</v>
      </c>
      <c r="I113" s="10">
        <f>SUMIFS('PLAN BUDGET SAMI-TF'!AR12:AR99999,'PLAN BUDGET SAMI-TF'!D12:D99999,SUMMARY!D113,'PLAN BUDGET SAMI-TF'!J12:J99999,SUMMARY!A113&amp;"*")</f>
        <v>0</v>
      </c>
      <c r="J113" s="10">
        <f>SUMIFS('PLAN BUDGET SAMI-TF'!AS12:AS99999,'PLAN BUDGET SAMI-TF'!D12:D99999,SUMMARY!D113,'PLAN BUDGET SAMI-TF'!J12:J99999,SUMMARY!A113&amp;"*")</f>
        <v>0</v>
      </c>
      <c r="K113" s="10">
        <f>SUMIFS('PLAN BUDGET SAMI-TF'!AT12:AT99999,'PLAN BUDGET SAMI-TF'!D12:D99999,SUMMARY!D113,'PLAN BUDGET SAMI-TF'!J12:J99999,SUMMARY!A113&amp;"*")</f>
        <v>0</v>
      </c>
      <c r="L113" s="10">
        <f>SUMIFS('PLAN BUDGET SAMI-TF'!AU12:AU99999,'PLAN BUDGET SAMI-TF'!D12:D99999,SUMMARY!D113,'PLAN BUDGET SAMI-TF'!J12:J99999,SUMMARY!A113&amp;"*")</f>
        <v>0</v>
      </c>
      <c r="M113" s="10">
        <f>SUMIFS('PLAN BUDGET SAMI-TF'!AV12:AV99999,'PLAN BUDGET SAMI-TF'!D12:D99999,SUMMARY!D113,'PLAN BUDGET SAMI-TF'!J12:J99999,SUMMARY!A113&amp;"*")</f>
        <v>0</v>
      </c>
      <c r="N113" s="10">
        <f>SUMIFS('PLAN BUDGET SAMI-TF'!AW12:AW99999,'PLAN BUDGET SAMI-TF'!D12:D99999,SUMMARY!D113,'PLAN BUDGET SAMI-TF'!J12:J99999,SUMMARY!A113&amp;"*")</f>
        <v>0</v>
      </c>
      <c r="O113" s="10">
        <f>SUMIFS('PLAN BUDGET SAMI-TF'!AX12:AX99999,'PLAN BUDGET SAMI-TF'!D12:D99999,SUMMARY!D113,'PLAN BUDGET SAMI-TF'!J12:J99999,SUMMARY!A113&amp;"*")</f>
        <v>0</v>
      </c>
      <c r="P113" s="10">
        <f>SUMIFS('PLAN BUDGET SAMI-TF'!AY12:AY99999,'PLAN BUDGET SAMI-TF'!D12:D99999,SUMMARY!D113,'PLAN BUDGET SAMI-TF'!J12:J99999,SUMMARY!A113&amp;"*")</f>
        <v>0</v>
      </c>
      <c r="Q113" s="10">
        <f>SUMIFS('PLAN BUDGET SAMI-TF'!BC12:BC99999,'PLAN BUDGET SAMI-TF'!D12:D99999,SUMMARY!D113,'PLAN BUDGET SAMI-TF'!J12:J99999,SUMMARY!A113&amp;"*")</f>
        <v>0</v>
      </c>
      <c r="R113" s="10">
        <f>SUMIFS('PLAN BUDGET SAMI-TF'!BD12:BD99999,'PLAN BUDGET SAMI-TF'!D12:D99999,SUMMARY!D113,'PLAN BUDGET SAMI-TF'!J12:J99999,SUMMARY!A113&amp;"*")</f>
        <v>0</v>
      </c>
      <c r="S113" s="10">
        <f>SUMIFS('PLAN BUDGET SAMI-TF'!BE12:BE99999,'PLAN BUDGET SAMI-TF'!D12:D99999,SUMMARY!D113,'PLAN BUDGET SAMI-TF'!J12:J99999,SUMMARY!A113&amp;"*")</f>
        <v>52.219816945805</v>
      </c>
      <c r="T113" s="10">
        <f>SUMIFS('PLAN BUDGET SAMI-TF'!BF12:BF99999,'PLAN BUDGET SAMI-TF'!D12:D99999,SUMMARY!D113,'PLAN BUDGET SAMI-TF'!J12:J99999,SUMMARY!A113&amp;"*")</f>
        <v>0</v>
      </c>
      <c r="U113" s="10">
        <f>SUMIFS('PLAN BUDGET SAMI-TF'!BG12:BG99999,'PLAN BUDGET SAMI-TF'!D12:D99999,SUMMARY!D113,'PLAN BUDGET SAMI-TF'!J12:J99999,SUMMARY!A113&amp;"*")</f>
        <v>0</v>
      </c>
      <c r="V113" s="10">
        <f>SUMIFS('PLAN BUDGET SAMI-TF'!BH12:BH99999,'PLAN BUDGET SAMI-TF'!D12:D99999,SUMMARY!D113,'PLAN BUDGET SAMI-TF'!J12:J99999,SUMMARY!A113&amp;"*")</f>
        <v>0</v>
      </c>
      <c r="W113" s="10">
        <f>SUMIFS('PLAN BUDGET SAMI-TF'!BI12:BI99999,'PLAN BUDGET SAMI-TF'!D12:D99999,SUMMARY!D113,'PLAN BUDGET SAMI-TF'!J12:J99999,SUMMARY!A113&amp;"*")</f>
        <v>0</v>
      </c>
      <c r="X113" s="10">
        <f>SUMIFS('PLAN BUDGET SAMI-TF'!BJ12:BJ99999,'PLAN BUDGET SAMI-TF'!D12:D99999,SUMMARY!D113,'PLAN BUDGET SAMI-TF'!J12:J99999,SUMMARY!A113&amp;"*")</f>
        <v>0</v>
      </c>
      <c r="Y113" s="10">
        <f>SUMIFS('PLAN BUDGET SAMI-TF'!BK12:BK99999,'PLAN BUDGET SAMI-TF'!D12:D99999,SUMMARY!D113,'PLAN BUDGET SAMI-TF'!J12:J99999,SUMMARY!A113&amp;"*")</f>
        <v>0</v>
      </c>
      <c r="Z113" s="10">
        <f>SUMIFS('PLAN BUDGET SAMI-TF'!BL12:BL99999,'PLAN BUDGET SAMI-TF'!D12:D99999,SUMMARY!D113,'PLAN BUDGET SAMI-TF'!J12:J99999,SUMMARY!A113&amp;"*")</f>
        <v>0</v>
      </c>
      <c r="AA113" s="10">
        <f>SUMIFS('PLAN BUDGET SAMI-TF'!BM12:BM99999,'PLAN BUDGET SAMI-TF'!D12:D99999,SUMMARY!D113,'PLAN BUDGET SAMI-TF'!J12:J99999,SUMMARY!A113&amp;"*")</f>
        <v>0</v>
      </c>
      <c r="AB113" s="10">
        <f>SUMIFS('PLAN BUDGET SAMI-TF'!BN12:BN99999,'PLAN BUDGET SAMI-TF'!D12:D99999,SUMMARY!D113,'PLAN BUDGET SAMI-TF'!J12:J99999,SUMMARY!A113&amp;"*")</f>
        <v>0</v>
      </c>
      <c r="AC113" s="10">
        <f t="shared" si="12"/>
        <v>3</v>
      </c>
      <c r="AD113" s="10">
        <f t="shared" si="13"/>
        <v>52.219816945805</v>
      </c>
      <c r="AE113" s="16"/>
      <c r="AF113" s="10">
        <v>0</v>
      </c>
      <c r="AG113" s="10">
        <v>0</v>
      </c>
      <c r="AH113" s="20">
        <f t="shared" si="14"/>
        <v>1</v>
      </c>
      <c r="AI113" s="20">
        <f t="shared" si="15"/>
        <v>1</v>
      </c>
      <c r="AJ113" s="67" t="s">
        <v>863</v>
      </c>
    </row>
    <row r="114" spans="1:36" x14ac:dyDescent="0.35">
      <c r="A114" s="7" t="s">
        <v>709</v>
      </c>
      <c r="B114" s="7"/>
      <c r="C114" s="7"/>
      <c r="D114" s="7" t="s">
        <v>711</v>
      </c>
      <c r="E114" s="10">
        <f>SUMIFS('PLAN BUDGET SAMI-TF'!AN12:AN99999,'PLAN BUDGET SAMI-TF'!D12:D99999,SUMMARY!D114,'PLAN BUDGET SAMI-TF'!J12:J99999,SUMMARY!A114&amp;"*")</f>
        <v>0</v>
      </c>
      <c r="F114" s="10">
        <f>SUMIFS('PLAN BUDGET SAMI-TF'!AO12:AO99999,'PLAN BUDGET SAMI-TF'!D12:D99999,SUMMARY!D114,'PLAN BUDGET SAMI-TF'!J12:J99999,SUMMARY!A114&amp;"*")</f>
        <v>0</v>
      </c>
      <c r="G114" s="10">
        <f>SUMIFS('PLAN BUDGET SAMI-TF'!AP12:AP99999,'PLAN BUDGET SAMI-TF'!D12:D99999,SUMMARY!D114,'PLAN BUDGET SAMI-TF'!J12:J99999,SUMMARY!A114&amp;"*")</f>
        <v>0</v>
      </c>
      <c r="H114" s="10">
        <f>SUMIFS('PLAN BUDGET SAMI-TF'!AQ12:AQ99999,'PLAN BUDGET SAMI-TF'!D12:D99999,SUMMARY!D114,'PLAN BUDGET SAMI-TF'!J12:J99999,SUMMARY!A114&amp;"*")</f>
        <v>0</v>
      </c>
      <c r="I114" s="10">
        <f>SUMIFS('PLAN BUDGET SAMI-TF'!AR12:AR99999,'PLAN BUDGET SAMI-TF'!D12:D99999,SUMMARY!D114,'PLAN BUDGET SAMI-TF'!J12:J99999,SUMMARY!A114&amp;"*")</f>
        <v>0</v>
      </c>
      <c r="J114" s="10">
        <f>SUMIFS('PLAN BUDGET SAMI-TF'!AS12:AS99999,'PLAN BUDGET SAMI-TF'!D12:D99999,SUMMARY!D114,'PLAN BUDGET SAMI-TF'!J12:J99999,SUMMARY!A114&amp;"*")</f>
        <v>0</v>
      </c>
      <c r="K114" s="10">
        <f>SUMIFS('PLAN BUDGET SAMI-TF'!AT12:AT99999,'PLAN BUDGET SAMI-TF'!D12:D99999,SUMMARY!D114,'PLAN BUDGET SAMI-TF'!J12:J99999,SUMMARY!A114&amp;"*")</f>
        <v>0</v>
      </c>
      <c r="L114" s="10">
        <f>SUMIFS('PLAN BUDGET SAMI-TF'!AU12:AU99999,'PLAN BUDGET SAMI-TF'!D12:D99999,SUMMARY!D114,'PLAN BUDGET SAMI-TF'!J12:J99999,SUMMARY!A114&amp;"*")</f>
        <v>0</v>
      </c>
      <c r="M114" s="10">
        <f>SUMIFS('PLAN BUDGET SAMI-TF'!AV12:AV99999,'PLAN BUDGET SAMI-TF'!D12:D99999,SUMMARY!D114,'PLAN BUDGET SAMI-TF'!J12:J99999,SUMMARY!A114&amp;"*")</f>
        <v>0</v>
      </c>
      <c r="N114" s="10">
        <f>SUMIFS('PLAN BUDGET SAMI-TF'!AW12:AW99999,'PLAN BUDGET SAMI-TF'!D12:D99999,SUMMARY!D114,'PLAN BUDGET SAMI-TF'!J12:J99999,SUMMARY!A114&amp;"*")</f>
        <v>0</v>
      </c>
      <c r="O114" s="10">
        <f>SUMIFS('PLAN BUDGET SAMI-TF'!AX12:AX99999,'PLAN BUDGET SAMI-TF'!D12:D99999,SUMMARY!D114,'PLAN BUDGET SAMI-TF'!J12:J99999,SUMMARY!A114&amp;"*")</f>
        <v>0</v>
      </c>
      <c r="P114" s="10">
        <f>SUMIFS('PLAN BUDGET SAMI-TF'!AY12:AY99999,'PLAN BUDGET SAMI-TF'!D12:D99999,SUMMARY!D114,'PLAN BUDGET SAMI-TF'!J12:J99999,SUMMARY!A114&amp;"*")</f>
        <v>3</v>
      </c>
      <c r="Q114" s="10">
        <f>SUMIFS('PLAN BUDGET SAMI-TF'!BC12:BC99999,'PLAN BUDGET SAMI-TF'!D12:D99999,SUMMARY!D114,'PLAN BUDGET SAMI-TF'!J12:J99999,SUMMARY!A114&amp;"*")</f>
        <v>0</v>
      </c>
      <c r="R114" s="10">
        <f>SUMIFS('PLAN BUDGET SAMI-TF'!BD12:BD99999,'PLAN BUDGET SAMI-TF'!D12:D99999,SUMMARY!D114,'PLAN BUDGET SAMI-TF'!J12:J99999,SUMMARY!A114&amp;"*")</f>
        <v>0</v>
      </c>
      <c r="S114" s="10">
        <f>SUMIFS('PLAN BUDGET SAMI-TF'!BE12:BE99999,'PLAN BUDGET SAMI-TF'!D12:D99999,SUMMARY!D114,'PLAN BUDGET SAMI-TF'!J12:J99999,SUMMARY!A114&amp;"*")</f>
        <v>0</v>
      </c>
      <c r="T114" s="10">
        <f>SUMIFS('PLAN BUDGET SAMI-TF'!BF12:BF99999,'PLAN BUDGET SAMI-TF'!D12:D99999,SUMMARY!D114,'PLAN BUDGET SAMI-TF'!J12:J99999,SUMMARY!A114&amp;"*")</f>
        <v>0</v>
      </c>
      <c r="U114" s="10">
        <f>SUMIFS('PLAN BUDGET SAMI-TF'!BG12:BG99999,'PLAN BUDGET SAMI-TF'!D12:D99999,SUMMARY!D114,'PLAN BUDGET SAMI-TF'!J12:J99999,SUMMARY!A114&amp;"*")</f>
        <v>0</v>
      </c>
      <c r="V114" s="10">
        <f>SUMIFS('PLAN BUDGET SAMI-TF'!BH12:BH99999,'PLAN BUDGET SAMI-TF'!D12:D99999,SUMMARY!D114,'PLAN BUDGET SAMI-TF'!J12:J99999,SUMMARY!A114&amp;"*")</f>
        <v>0</v>
      </c>
      <c r="W114" s="10">
        <f>SUMIFS('PLAN BUDGET SAMI-TF'!BI12:BI99999,'PLAN BUDGET SAMI-TF'!D12:D99999,SUMMARY!D114,'PLAN BUDGET SAMI-TF'!J12:J99999,SUMMARY!A114&amp;"*")</f>
        <v>0</v>
      </c>
      <c r="X114" s="10">
        <f>SUMIFS('PLAN BUDGET SAMI-TF'!BJ12:BJ99999,'PLAN BUDGET SAMI-TF'!D12:D99999,SUMMARY!D114,'PLAN BUDGET SAMI-TF'!J12:J99999,SUMMARY!A114&amp;"*")</f>
        <v>0</v>
      </c>
      <c r="Y114" s="10">
        <f>SUMIFS('PLAN BUDGET SAMI-TF'!BK12:BK99999,'PLAN BUDGET SAMI-TF'!D12:D99999,SUMMARY!D114,'PLAN BUDGET SAMI-TF'!J12:J99999,SUMMARY!A114&amp;"*")</f>
        <v>0</v>
      </c>
      <c r="Z114" s="10">
        <f>SUMIFS('PLAN BUDGET SAMI-TF'!BL12:BL99999,'PLAN BUDGET SAMI-TF'!D12:D99999,SUMMARY!D114,'PLAN BUDGET SAMI-TF'!J12:J99999,SUMMARY!A114&amp;"*")</f>
        <v>0</v>
      </c>
      <c r="AA114" s="10">
        <f>SUMIFS('PLAN BUDGET SAMI-TF'!BM12:BM99999,'PLAN BUDGET SAMI-TF'!D12:D99999,SUMMARY!D114,'PLAN BUDGET SAMI-TF'!J12:J99999,SUMMARY!A114&amp;"*")</f>
        <v>0</v>
      </c>
      <c r="AB114" s="10">
        <f>SUMIFS('PLAN BUDGET SAMI-TF'!BN12:BN99999,'PLAN BUDGET SAMI-TF'!D12:D99999,SUMMARY!D114,'PLAN BUDGET SAMI-TF'!J12:J99999,SUMMARY!A114&amp;"*")</f>
        <v>38.927499905055001</v>
      </c>
      <c r="AC114" s="10">
        <f t="shared" si="12"/>
        <v>3</v>
      </c>
      <c r="AD114" s="10">
        <f t="shared" si="13"/>
        <v>38.927499905055001</v>
      </c>
      <c r="AE114" s="16"/>
      <c r="AF114" s="10">
        <v>0</v>
      </c>
      <c r="AG114" s="10">
        <v>0</v>
      </c>
      <c r="AH114" s="20">
        <f t="shared" si="14"/>
        <v>1</v>
      </c>
      <c r="AI114" s="20">
        <f t="shared" si="15"/>
        <v>1</v>
      </c>
      <c r="AJ114" s="67" t="s">
        <v>863</v>
      </c>
    </row>
    <row r="115" spans="1:36" x14ac:dyDescent="0.35">
      <c r="A115" s="7" t="s">
        <v>709</v>
      </c>
      <c r="B115" s="7"/>
      <c r="C115" s="7"/>
      <c r="D115" s="7" t="s">
        <v>706</v>
      </c>
      <c r="E115" s="10">
        <f>SUMIFS('PLAN BUDGET SAMI-TF'!AN12:AN99999,'PLAN BUDGET SAMI-TF'!D12:D99999,SUMMARY!D115,'PLAN BUDGET SAMI-TF'!J12:J99999,SUMMARY!A115&amp;"*")</f>
        <v>0</v>
      </c>
      <c r="F115" s="10">
        <f>SUMIFS('PLAN BUDGET SAMI-TF'!AO12:AO99999,'PLAN BUDGET SAMI-TF'!D12:D99999,SUMMARY!D115,'PLAN BUDGET SAMI-TF'!J12:J99999,SUMMARY!A115&amp;"*")</f>
        <v>0</v>
      </c>
      <c r="G115" s="10">
        <f>SUMIFS('PLAN BUDGET SAMI-TF'!AP12:AP99999,'PLAN BUDGET SAMI-TF'!D12:D99999,SUMMARY!D115,'PLAN BUDGET SAMI-TF'!J12:J99999,SUMMARY!A115&amp;"*")</f>
        <v>1</v>
      </c>
      <c r="H115" s="10">
        <f>SUMIFS('PLAN BUDGET SAMI-TF'!AQ12:AQ99999,'PLAN BUDGET SAMI-TF'!D12:D99999,SUMMARY!D115,'PLAN BUDGET SAMI-TF'!J12:J99999,SUMMARY!A115&amp;"*")</f>
        <v>0</v>
      </c>
      <c r="I115" s="10">
        <f>SUMIFS('PLAN BUDGET SAMI-TF'!AR12:AR99999,'PLAN BUDGET SAMI-TF'!D12:D99999,SUMMARY!D115,'PLAN BUDGET SAMI-TF'!J12:J99999,SUMMARY!A115&amp;"*")</f>
        <v>0</v>
      </c>
      <c r="J115" s="10">
        <f>SUMIFS('PLAN BUDGET SAMI-TF'!AS12:AS99999,'PLAN BUDGET SAMI-TF'!D12:D99999,SUMMARY!D115,'PLAN BUDGET SAMI-TF'!J12:J99999,SUMMARY!A115&amp;"*")</f>
        <v>0</v>
      </c>
      <c r="K115" s="10">
        <f>SUMIFS('PLAN BUDGET SAMI-TF'!AT12:AT99999,'PLAN BUDGET SAMI-TF'!D12:D99999,SUMMARY!D115,'PLAN BUDGET SAMI-TF'!J12:J99999,SUMMARY!A115&amp;"*")</f>
        <v>0</v>
      </c>
      <c r="L115" s="10">
        <f>SUMIFS('PLAN BUDGET SAMI-TF'!AU12:AU99999,'PLAN BUDGET SAMI-TF'!D12:D99999,SUMMARY!D115,'PLAN BUDGET SAMI-TF'!J12:J99999,SUMMARY!A115&amp;"*")</f>
        <v>0</v>
      </c>
      <c r="M115" s="10">
        <f>SUMIFS('PLAN BUDGET SAMI-TF'!AV12:AV99999,'PLAN BUDGET SAMI-TF'!D12:D99999,SUMMARY!D115,'PLAN BUDGET SAMI-TF'!J12:J99999,SUMMARY!A115&amp;"*")</f>
        <v>0</v>
      </c>
      <c r="N115" s="10">
        <f>SUMIFS('PLAN BUDGET SAMI-TF'!AW12:AW99999,'PLAN BUDGET SAMI-TF'!D12:D99999,SUMMARY!D115,'PLAN BUDGET SAMI-TF'!J12:J99999,SUMMARY!A115&amp;"*")</f>
        <v>0</v>
      </c>
      <c r="O115" s="10">
        <f>SUMIFS('PLAN BUDGET SAMI-TF'!AX12:AX99999,'PLAN BUDGET SAMI-TF'!D12:D99999,SUMMARY!D115,'PLAN BUDGET SAMI-TF'!J12:J99999,SUMMARY!A115&amp;"*")</f>
        <v>0</v>
      </c>
      <c r="P115" s="10">
        <f>SUMIFS('PLAN BUDGET SAMI-TF'!AY12:AY99999,'PLAN BUDGET SAMI-TF'!D12:D99999,SUMMARY!D115,'PLAN BUDGET SAMI-TF'!J12:J99999,SUMMARY!A115&amp;"*")</f>
        <v>0</v>
      </c>
      <c r="Q115" s="10">
        <f>SUMIFS('PLAN BUDGET SAMI-TF'!BC12:BC99999,'PLAN BUDGET SAMI-TF'!D12:D99999,SUMMARY!D115,'PLAN BUDGET SAMI-TF'!J12:J99999,SUMMARY!A115&amp;"*")</f>
        <v>0</v>
      </c>
      <c r="R115" s="10">
        <f>SUMIFS('PLAN BUDGET SAMI-TF'!BD12:BD99999,'PLAN BUDGET SAMI-TF'!D12:D99999,SUMMARY!D115,'PLAN BUDGET SAMI-TF'!J12:J99999,SUMMARY!A115&amp;"*")</f>
        <v>0</v>
      </c>
      <c r="S115" s="10">
        <f>SUMIFS('PLAN BUDGET SAMI-TF'!BE12:BE99999,'PLAN BUDGET SAMI-TF'!D12:D99999,SUMMARY!D115,'PLAN BUDGET SAMI-TF'!J12:J99999,SUMMARY!A115&amp;"*")</f>
        <v>692.30817920574998</v>
      </c>
      <c r="T115" s="10">
        <f>SUMIFS('PLAN BUDGET SAMI-TF'!BF12:BF99999,'PLAN BUDGET SAMI-TF'!D12:D99999,SUMMARY!D115,'PLAN BUDGET SAMI-TF'!J12:J99999,SUMMARY!A115&amp;"*")</f>
        <v>0</v>
      </c>
      <c r="U115" s="10">
        <f>SUMIFS('PLAN BUDGET SAMI-TF'!BG12:BG99999,'PLAN BUDGET SAMI-TF'!D12:D99999,SUMMARY!D115,'PLAN BUDGET SAMI-TF'!J12:J99999,SUMMARY!A115&amp;"*")</f>
        <v>0</v>
      </c>
      <c r="V115" s="10">
        <f>SUMIFS('PLAN BUDGET SAMI-TF'!BH12:BH99999,'PLAN BUDGET SAMI-TF'!D12:D99999,SUMMARY!D115,'PLAN BUDGET SAMI-TF'!J12:J99999,SUMMARY!A115&amp;"*")</f>
        <v>0</v>
      </c>
      <c r="W115" s="10">
        <f>SUMIFS('PLAN BUDGET SAMI-TF'!BI12:BI99999,'PLAN BUDGET SAMI-TF'!D12:D99999,SUMMARY!D115,'PLAN BUDGET SAMI-TF'!J12:J99999,SUMMARY!A115&amp;"*")</f>
        <v>0</v>
      </c>
      <c r="X115" s="10">
        <f>SUMIFS('PLAN BUDGET SAMI-TF'!BJ12:BJ99999,'PLAN BUDGET SAMI-TF'!D12:D99999,SUMMARY!D115,'PLAN BUDGET SAMI-TF'!J12:J99999,SUMMARY!A115&amp;"*")</f>
        <v>0</v>
      </c>
      <c r="Y115" s="10">
        <f>SUMIFS('PLAN BUDGET SAMI-TF'!BK12:BK99999,'PLAN BUDGET SAMI-TF'!D12:D99999,SUMMARY!D115,'PLAN BUDGET SAMI-TF'!J12:J99999,SUMMARY!A115&amp;"*")</f>
        <v>0</v>
      </c>
      <c r="Z115" s="10">
        <f>SUMIFS('PLAN BUDGET SAMI-TF'!BL12:BL99999,'PLAN BUDGET SAMI-TF'!D12:D99999,SUMMARY!D115,'PLAN BUDGET SAMI-TF'!J12:J99999,SUMMARY!A115&amp;"*")</f>
        <v>0</v>
      </c>
      <c r="AA115" s="10">
        <f>SUMIFS('PLAN BUDGET SAMI-TF'!BM12:BM99999,'PLAN BUDGET SAMI-TF'!D12:D99999,SUMMARY!D115,'PLAN BUDGET SAMI-TF'!J12:J99999,SUMMARY!A115&amp;"*")</f>
        <v>0</v>
      </c>
      <c r="AB115" s="10">
        <f>SUMIFS('PLAN BUDGET SAMI-TF'!BN12:BN99999,'PLAN BUDGET SAMI-TF'!D12:D99999,SUMMARY!D115,'PLAN BUDGET SAMI-TF'!J12:J99999,SUMMARY!A115&amp;"*")</f>
        <v>0</v>
      </c>
      <c r="AC115" s="10">
        <f t="shared" si="12"/>
        <v>1</v>
      </c>
      <c r="AD115" s="10">
        <f t="shared" si="13"/>
        <v>692.30817920574998</v>
      </c>
      <c r="AE115" s="16"/>
      <c r="AF115" s="10">
        <v>0</v>
      </c>
      <c r="AG115" s="10">
        <v>0</v>
      </c>
      <c r="AH115" s="20">
        <f t="shared" si="14"/>
        <v>1</v>
      </c>
      <c r="AI115" s="20">
        <f t="shared" si="15"/>
        <v>1</v>
      </c>
      <c r="AJ115" s="67" t="s">
        <v>863</v>
      </c>
    </row>
    <row r="116" spans="1:36" x14ac:dyDescent="0.35">
      <c r="A116" s="7" t="s">
        <v>709</v>
      </c>
      <c r="B116" s="7"/>
      <c r="C116" s="7"/>
      <c r="D116" s="7" t="s">
        <v>742</v>
      </c>
      <c r="E116" s="10">
        <f>SUMIFS('PLAN BUDGET SAMI-TF'!AN12:AN99999,'PLAN BUDGET SAMI-TF'!D12:D99999,SUMMARY!D116,'PLAN BUDGET SAMI-TF'!J12:J99999,SUMMARY!A116&amp;"*")</f>
        <v>0</v>
      </c>
      <c r="F116" s="10">
        <f>SUMIFS('PLAN BUDGET SAMI-TF'!AO12:AO99999,'PLAN BUDGET SAMI-TF'!D12:D99999,SUMMARY!D116,'PLAN BUDGET SAMI-TF'!J12:J99999,SUMMARY!A116&amp;"*")</f>
        <v>0</v>
      </c>
      <c r="G116" s="10">
        <f>SUMIFS('PLAN BUDGET SAMI-TF'!AP12:AP99999,'PLAN BUDGET SAMI-TF'!D12:D99999,SUMMARY!D116,'PLAN BUDGET SAMI-TF'!J12:J99999,SUMMARY!A116&amp;"*")</f>
        <v>0</v>
      </c>
      <c r="H116" s="10">
        <f>SUMIFS('PLAN BUDGET SAMI-TF'!AQ12:AQ99999,'PLAN BUDGET SAMI-TF'!D12:D99999,SUMMARY!D116,'PLAN BUDGET SAMI-TF'!J12:J99999,SUMMARY!A116&amp;"*")</f>
        <v>0</v>
      </c>
      <c r="I116" s="10">
        <f>SUMIFS('PLAN BUDGET SAMI-TF'!AR12:AR99999,'PLAN BUDGET SAMI-TF'!D12:D99999,SUMMARY!D116,'PLAN BUDGET SAMI-TF'!J12:J99999,SUMMARY!A116&amp;"*")</f>
        <v>0</v>
      </c>
      <c r="J116" s="10">
        <f>SUMIFS('PLAN BUDGET SAMI-TF'!AS12:AS99999,'PLAN BUDGET SAMI-TF'!D12:D99999,SUMMARY!D116,'PLAN BUDGET SAMI-TF'!J12:J99999,SUMMARY!A116&amp;"*")</f>
        <v>0</v>
      </c>
      <c r="K116" s="10">
        <f>SUMIFS('PLAN BUDGET SAMI-TF'!AT12:AT99999,'PLAN BUDGET SAMI-TF'!D12:D99999,SUMMARY!D116,'PLAN BUDGET SAMI-TF'!J12:J99999,SUMMARY!A116&amp;"*")</f>
        <v>0</v>
      </c>
      <c r="L116" s="10">
        <f>SUMIFS('PLAN BUDGET SAMI-TF'!AU12:AU99999,'PLAN BUDGET SAMI-TF'!D12:D99999,SUMMARY!D116,'PLAN BUDGET SAMI-TF'!J12:J99999,SUMMARY!A116&amp;"*")</f>
        <v>0</v>
      </c>
      <c r="M116" s="10">
        <f>SUMIFS('PLAN BUDGET SAMI-TF'!AV12:AV99999,'PLAN BUDGET SAMI-TF'!D12:D99999,SUMMARY!D116,'PLAN BUDGET SAMI-TF'!J12:J99999,SUMMARY!A116&amp;"*")</f>
        <v>0</v>
      </c>
      <c r="N116" s="10">
        <f>SUMIFS('PLAN BUDGET SAMI-TF'!AW12:AW99999,'PLAN BUDGET SAMI-TF'!D12:D99999,SUMMARY!D116,'PLAN BUDGET SAMI-TF'!J12:J99999,SUMMARY!A116&amp;"*")</f>
        <v>0</v>
      </c>
      <c r="O116" s="10">
        <f>SUMIFS('PLAN BUDGET SAMI-TF'!AX12:AX99999,'PLAN BUDGET SAMI-TF'!D12:D99999,SUMMARY!D116,'PLAN BUDGET SAMI-TF'!J12:J99999,SUMMARY!A116&amp;"*")</f>
        <v>0</v>
      </c>
      <c r="P116" s="10">
        <f>SUMIFS('PLAN BUDGET SAMI-TF'!AY12:AY99999,'PLAN BUDGET SAMI-TF'!D12:D99999,SUMMARY!D116,'PLAN BUDGET SAMI-TF'!J12:J99999,SUMMARY!A116&amp;"*")</f>
        <v>0</v>
      </c>
      <c r="Q116" s="10">
        <f>SUMIFS('PLAN BUDGET SAMI-TF'!BC12:BC99999,'PLAN BUDGET SAMI-TF'!D12:D99999,SUMMARY!D116,'PLAN BUDGET SAMI-TF'!J12:J99999,SUMMARY!A116&amp;"*")</f>
        <v>0</v>
      </c>
      <c r="R116" s="10">
        <f>SUMIFS('PLAN BUDGET SAMI-TF'!BD12:BD99999,'PLAN BUDGET SAMI-TF'!D12:D99999,SUMMARY!D116,'PLAN BUDGET SAMI-TF'!J12:J99999,SUMMARY!A116&amp;"*")</f>
        <v>0</v>
      </c>
      <c r="S116" s="10">
        <f>SUMIFS('PLAN BUDGET SAMI-TF'!BE12:BE99999,'PLAN BUDGET SAMI-TF'!D12:D99999,SUMMARY!D116,'PLAN BUDGET SAMI-TF'!J12:J99999,SUMMARY!A116&amp;"*")</f>
        <v>0</v>
      </c>
      <c r="T116" s="10">
        <f>SUMIFS('PLAN BUDGET SAMI-TF'!BF12:BF99999,'PLAN BUDGET SAMI-TF'!D12:D99999,SUMMARY!D116,'PLAN BUDGET SAMI-TF'!J12:J99999,SUMMARY!A116&amp;"*")</f>
        <v>0</v>
      </c>
      <c r="U116" s="10">
        <f>SUMIFS('PLAN BUDGET SAMI-TF'!BG12:BG99999,'PLAN BUDGET SAMI-TF'!D12:D99999,SUMMARY!D116,'PLAN BUDGET SAMI-TF'!J12:J99999,SUMMARY!A116&amp;"*")</f>
        <v>0</v>
      </c>
      <c r="V116" s="10">
        <f>SUMIFS('PLAN BUDGET SAMI-TF'!BH12:BH99999,'PLAN BUDGET SAMI-TF'!D12:D99999,SUMMARY!D116,'PLAN BUDGET SAMI-TF'!J12:J99999,SUMMARY!A116&amp;"*")</f>
        <v>0</v>
      </c>
      <c r="W116" s="10">
        <f>SUMIFS('PLAN BUDGET SAMI-TF'!BI12:BI99999,'PLAN BUDGET SAMI-TF'!D12:D99999,SUMMARY!D116,'PLAN BUDGET SAMI-TF'!J12:J99999,SUMMARY!A116&amp;"*")</f>
        <v>0</v>
      </c>
      <c r="X116" s="10">
        <f>SUMIFS('PLAN BUDGET SAMI-TF'!BJ12:BJ99999,'PLAN BUDGET SAMI-TF'!D12:D99999,SUMMARY!D116,'PLAN BUDGET SAMI-TF'!J12:J99999,SUMMARY!A116&amp;"*")</f>
        <v>0</v>
      </c>
      <c r="Y116" s="10">
        <f>SUMIFS('PLAN BUDGET SAMI-TF'!BK12:BK99999,'PLAN BUDGET SAMI-TF'!D12:D99999,SUMMARY!D116,'PLAN BUDGET SAMI-TF'!J12:J99999,SUMMARY!A116&amp;"*")</f>
        <v>0</v>
      </c>
      <c r="Z116" s="10">
        <f>SUMIFS('PLAN BUDGET SAMI-TF'!BL12:BL99999,'PLAN BUDGET SAMI-TF'!D12:D99999,SUMMARY!D116,'PLAN BUDGET SAMI-TF'!J12:J99999,SUMMARY!A116&amp;"*")</f>
        <v>0</v>
      </c>
      <c r="AA116" s="10">
        <f>SUMIFS('PLAN BUDGET SAMI-TF'!BM12:BM99999,'PLAN BUDGET SAMI-TF'!D12:D99999,SUMMARY!D116,'PLAN BUDGET SAMI-TF'!J12:J99999,SUMMARY!A116&amp;"*")</f>
        <v>0</v>
      </c>
      <c r="AB116" s="10">
        <f>SUMIFS('PLAN BUDGET SAMI-TF'!BN12:BN99999,'PLAN BUDGET SAMI-TF'!D12:D99999,SUMMARY!D116,'PLAN BUDGET SAMI-TF'!J12:J99999,SUMMARY!A116&amp;"*")</f>
        <v>0</v>
      </c>
      <c r="AC116" s="10">
        <f t="shared" si="12"/>
        <v>0</v>
      </c>
      <c r="AD116" s="10">
        <f t="shared" si="13"/>
        <v>0</v>
      </c>
      <c r="AE116" s="16"/>
      <c r="AF116" s="10">
        <v>1</v>
      </c>
      <c r="AG116" s="10">
        <v>644.26</v>
      </c>
      <c r="AH116" s="20">
        <f t="shared" si="14"/>
        <v>-1</v>
      </c>
      <c r="AI116" s="20">
        <f t="shared" si="15"/>
        <v>-1</v>
      </c>
      <c r="AJ116" s="7" t="s">
        <v>743</v>
      </c>
    </row>
    <row r="117" spans="1:36" x14ac:dyDescent="0.35">
      <c r="A117" s="7" t="s">
        <v>709</v>
      </c>
      <c r="B117" s="7"/>
      <c r="C117" s="7"/>
      <c r="D117" s="7" t="s">
        <v>744</v>
      </c>
      <c r="E117" s="10">
        <f>SUMIFS('PLAN BUDGET SAMI-TF'!AN12:AN99999,'PLAN BUDGET SAMI-TF'!D12:D99999,SUMMARY!D117,'PLAN BUDGET SAMI-TF'!J12:J99999,SUMMARY!A117&amp;"*")</f>
        <v>0</v>
      </c>
      <c r="F117" s="10">
        <f>SUMIFS('PLAN BUDGET SAMI-TF'!AO12:AO99999,'PLAN BUDGET SAMI-TF'!D12:D99999,SUMMARY!D117,'PLAN BUDGET SAMI-TF'!J12:J99999,SUMMARY!A117&amp;"*")</f>
        <v>0</v>
      </c>
      <c r="G117" s="10">
        <f>SUMIFS('PLAN BUDGET SAMI-TF'!AP12:AP99999,'PLAN BUDGET SAMI-TF'!D12:D99999,SUMMARY!D117,'PLAN BUDGET SAMI-TF'!J12:J99999,SUMMARY!A117&amp;"*")</f>
        <v>0</v>
      </c>
      <c r="H117" s="10">
        <f>SUMIFS('PLAN BUDGET SAMI-TF'!AQ12:AQ99999,'PLAN BUDGET SAMI-TF'!D12:D99999,SUMMARY!D117,'PLAN BUDGET SAMI-TF'!J12:J99999,SUMMARY!A117&amp;"*")</f>
        <v>0</v>
      </c>
      <c r="I117" s="10">
        <f>SUMIFS('PLAN BUDGET SAMI-TF'!AR12:AR99999,'PLAN BUDGET SAMI-TF'!D12:D99999,SUMMARY!D117,'PLAN BUDGET SAMI-TF'!J12:J99999,SUMMARY!A117&amp;"*")</f>
        <v>0</v>
      </c>
      <c r="J117" s="10">
        <f>SUMIFS('PLAN BUDGET SAMI-TF'!AS12:AS99999,'PLAN BUDGET SAMI-TF'!D12:D99999,SUMMARY!D117,'PLAN BUDGET SAMI-TF'!J12:J99999,SUMMARY!A117&amp;"*")</f>
        <v>0</v>
      </c>
      <c r="K117" s="10">
        <f>SUMIFS('PLAN BUDGET SAMI-TF'!AT12:AT99999,'PLAN BUDGET SAMI-TF'!D12:D99999,SUMMARY!D117,'PLAN BUDGET SAMI-TF'!J12:J99999,SUMMARY!A117&amp;"*")</f>
        <v>0</v>
      </c>
      <c r="L117" s="10">
        <f>SUMIFS('PLAN BUDGET SAMI-TF'!AU12:AU99999,'PLAN BUDGET SAMI-TF'!D12:D99999,SUMMARY!D117,'PLAN BUDGET SAMI-TF'!J12:J99999,SUMMARY!A117&amp;"*")</f>
        <v>0</v>
      </c>
      <c r="M117" s="10">
        <f>SUMIFS('PLAN BUDGET SAMI-TF'!AV12:AV99999,'PLAN BUDGET SAMI-TF'!D12:D99999,SUMMARY!D117,'PLAN BUDGET SAMI-TF'!J12:J99999,SUMMARY!A117&amp;"*")</f>
        <v>0</v>
      </c>
      <c r="N117" s="10">
        <f>SUMIFS('PLAN BUDGET SAMI-TF'!AW12:AW99999,'PLAN BUDGET SAMI-TF'!D12:D99999,SUMMARY!D117,'PLAN BUDGET SAMI-TF'!J12:J99999,SUMMARY!A117&amp;"*")</f>
        <v>0</v>
      </c>
      <c r="O117" s="10">
        <f>SUMIFS('PLAN BUDGET SAMI-TF'!AX12:AX99999,'PLAN BUDGET SAMI-TF'!D12:D99999,SUMMARY!D117,'PLAN BUDGET SAMI-TF'!J12:J99999,SUMMARY!A117&amp;"*")</f>
        <v>0</v>
      </c>
      <c r="P117" s="10">
        <f>SUMIFS('PLAN BUDGET SAMI-TF'!AY12:AY99999,'PLAN BUDGET SAMI-TF'!D12:D99999,SUMMARY!D117,'PLAN BUDGET SAMI-TF'!J12:J99999,SUMMARY!A117&amp;"*")</f>
        <v>0</v>
      </c>
      <c r="Q117" s="10">
        <f>SUMIFS('PLAN BUDGET SAMI-TF'!BC12:BC99999,'PLAN BUDGET SAMI-TF'!D12:D99999,SUMMARY!D117,'PLAN BUDGET SAMI-TF'!J12:J99999,SUMMARY!A117&amp;"*")</f>
        <v>0</v>
      </c>
      <c r="R117" s="10">
        <f>SUMIFS('PLAN BUDGET SAMI-TF'!BD12:BD99999,'PLAN BUDGET SAMI-TF'!D12:D99999,SUMMARY!D117,'PLAN BUDGET SAMI-TF'!J12:J99999,SUMMARY!A117&amp;"*")</f>
        <v>0</v>
      </c>
      <c r="S117" s="10">
        <f>SUMIFS('PLAN BUDGET SAMI-TF'!BE12:BE99999,'PLAN BUDGET SAMI-TF'!D12:D99999,SUMMARY!D117,'PLAN BUDGET SAMI-TF'!J12:J99999,SUMMARY!A117&amp;"*")</f>
        <v>0</v>
      </c>
      <c r="T117" s="10">
        <f>SUMIFS('PLAN BUDGET SAMI-TF'!BF12:BF99999,'PLAN BUDGET SAMI-TF'!D12:D99999,SUMMARY!D117,'PLAN BUDGET SAMI-TF'!J12:J99999,SUMMARY!A117&amp;"*")</f>
        <v>0</v>
      </c>
      <c r="U117" s="10">
        <f>SUMIFS('PLAN BUDGET SAMI-TF'!BG12:BG99999,'PLAN BUDGET SAMI-TF'!D12:D99999,SUMMARY!D117,'PLAN BUDGET SAMI-TF'!J12:J99999,SUMMARY!A117&amp;"*")</f>
        <v>0</v>
      </c>
      <c r="V117" s="10">
        <f>SUMIFS('PLAN BUDGET SAMI-TF'!BH12:BH99999,'PLAN BUDGET SAMI-TF'!D12:D99999,SUMMARY!D117,'PLAN BUDGET SAMI-TF'!J12:J99999,SUMMARY!A117&amp;"*")</f>
        <v>0</v>
      </c>
      <c r="W117" s="10">
        <f>SUMIFS('PLAN BUDGET SAMI-TF'!BI12:BI99999,'PLAN BUDGET SAMI-TF'!D12:D99999,SUMMARY!D117,'PLAN BUDGET SAMI-TF'!J12:J99999,SUMMARY!A117&amp;"*")</f>
        <v>0</v>
      </c>
      <c r="X117" s="10">
        <f>SUMIFS('PLAN BUDGET SAMI-TF'!BJ12:BJ99999,'PLAN BUDGET SAMI-TF'!D12:D99999,SUMMARY!D117,'PLAN BUDGET SAMI-TF'!J12:J99999,SUMMARY!A117&amp;"*")</f>
        <v>0</v>
      </c>
      <c r="Y117" s="10">
        <f>SUMIFS('PLAN BUDGET SAMI-TF'!BK12:BK99999,'PLAN BUDGET SAMI-TF'!D12:D99999,SUMMARY!D117,'PLAN BUDGET SAMI-TF'!J12:J99999,SUMMARY!A117&amp;"*")</f>
        <v>0</v>
      </c>
      <c r="Z117" s="10">
        <f>SUMIFS('PLAN BUDGET SAMI-TF'!BL12:BL99999,'PLAN BUDGET SAMI-TF'!D12:D99999,SUMMARY!D117,'PLAN BUDGET SAMI-TF'!J12:J99999,SUMMARY!A117&amp;"*")</f>
        <v>0</v>
      </c>
      <c r="AA117" s="10">
        <f>SUMIFS('PLAN BUDGET SAMI-TF'!BM12:BM99999,'PLAN BUDGET SAMI-TF'!D12:D99999,SUMMARY!D117,'PLAN BUDGET SAMI-TF'!J12:J99999,SUMMARY!A117&amp;"*")</f>
        <v>0</v>
      </c>
      <c r="AB117" s="10">
        <f>SUMIFS('PLAN BUDGET SAMI-TF'!BN12:BN99999,'PLAN BUDGET SAMI-TF'!D12:D99999,SUMMARY!D117,'PLAN BUDGET SAMI-TF'!J12:J99999,SUMMARY!A117&amp;"*")</f>
        <v>0</v>
      </c>
      <c r="AC117" s="10">
        <f t="shared" si="12"/>
        <v>0</v>
      </c>
      <c r="AD117" s="10">
        <f t="shared" si="13"/>
        <v>0</v>
      </c>
      <c r="AE117" s="16"/>
      <c r="AF117" s="10">
        <v>1</v>
      </c>
      <c r="AG117" s="10">
        <v>301.95999999999998</v>
      </c>
      <c r="AH117" s="20">
        <f t="shared" si="14"/>
        <v>-1</v>
      </c>
      <c r="AI117" s="20">
        <f t="shared" si="15"/>
        <v>-1</v>
      </c>
      <c r="AJ117" s="7" t="s">
        <v>743</v>
      </c>
    </row>
    <row r="118" spans="1:36" x14ac:dyDescent="0.35">
      <c r="A118" s="7" t="s">
        <v>709</v>
      </c>
      <c r="B118" s="7"/>
      <c r="C118" s="7"/>
      <c r="D118" s="7" t="s">
        <v>745</v>
      </c>
      <c r="E118" s="10">
        <f>SUMIFS('PLAN BUDGET SAMI-TF'!AN12:AN99999,'PLAN BUDGET SAMI-TF'!D12:D99999,SUMMARY!D118,'PLAN BUDGET SAMI-TF'!J12:J99999,SUMMARY!A118&amp;"*")</f>
        <v>0</v>
      </c>
      <c r="F118" s="10">
        <f>SUMIFS('PLAN BUDGET SAMI-TF'!AO12:AO99999,'PLAN BUDGET SAMI-TF'!D12:D99999,SUMMARY!D118,'PLAN BUDGET SAMI-TF'!J12:J99999,SUMMARY!A118&amp;"*")</f>
        <v>0</v>
      </c>
      <c r="G118" s="10">
        <f>SUMIFS('PLAN BUDGET SAMI-TF'!AP12:AP99999,'PLAN BUDGET SAMI-TF'!D12:D99999,SUMMARY!D118,'PLAN BUDGET SAMI-TF'!J12:J99999,SUMMARY!A118&amp;"*")</f>
        <v>0</v>
      </c>
      <c r="H118" s="10">
        <f>SUMIFS('PLAN BUDGET SAMI-TF'!AQ12:AQ99999,'PLAN BUDGET SAMI-TF'!D12:D99999,SUMMARY!D118,'PLAN BUDGET SAMI-TF'!J12:J99999,SUMMARY!A118&amp;"*")</f>
        <v>0</v>
      </c>
      <c r="I118" s="10">
        <f>SUMIFS('PLAN BUDGET SAMI-TF'!AR12:AR99999,'PLAN BUDGET SAMI-TF'!D12:D99999,SUMMARY!D118,'PLAN BUDGET SAMI-TF'!J12:J99999,SUMMARY!A118&amp;"*")</f>
        <v>0</v>
      </c>
      <c r="J118" s="10">
        <f>SUMIFS('PLAN BUDGET SAMI-TF'!AS12:AS99999,'PLAN BUDGET SAMI-TF'!D12:D99999,SUMMARY!D118,'PLAN BUDGET SAMI-TF'!J12:J99999,SUMMARY!A118&amp;"*")</f>
        <v>0</v>
      </c>
      <c r="K118" s="10">
        <f>SUMIFS('PLAN BUDGET SAMI-TF'!AT12:AT99999,'PLAN BUDGET SAMI-TF'!D12:D99999,SUMMARY!D118,'PLAN BUDGET SAMI-TF'!J12:J99999,SUMMARY!A118&amp;"*")</f>
        <v>0</v>
      </c>
      <c r="L118" s="10">
        <f>SUMIFS('PLAN BUDGET SAMI-TF'!AU12:AU99999,'PLAN BUDGET SAMI-TF'!D12:D99999,SUMMARY!D118,'PLAN BUDGET SAMI-TF'!J12:J99999,SUMMARY!A118&amp;"*")</f>
        <v>0</v>
      </c>
      <c r="M118" s="10">
        <f>SUMIFS('PLAN BUDGET SAMI-TF'!AV12:AV99999,'PLAN BUDGET SAMI-TF'!D12:D99999,SUMMARY!D118,'PLAN BUDGET SAMI-TF'!J12:J99999,SUMMARY!A118&amp;"*")</f>
        <v>0</v>
      </c>
      <c r="N118" s="10">
        <f>SUMIFS('PLAN BUDGET SAMI-TF'!AW12:AW99999,'PLAN BUDGET SAMI-TF'!D12:D99999,SUMMARY!D118,'PLAN BUDGET SAMI-TF'!J12:J99999,SUMMARY!A118&amp;"*")</f>
        <v>0</v>
      </c>
      <c r="O118" s="10">
        <f>SUMIFS('PLAN BUDGET SAMI-TF'!AX12:AX99999,'PLAN BUDGET SAMI-TF'!D12:D99999,SUMMARY!D118,'PLAN BUDGET SAMI-TF'!J12:J99999,SUMMARY!A118&amp;"*")</f>
        <v>0</v>
      </c>
      <c r="P118" s="10">
        <f>SUMIFS('PLAN BUDGET SAMI-TF'!AY12:AY99999,'PLAN BUDGET SAMI-TF'!D12:D99999,SUMMARY!D118,'PLAN BUDGET SAMI-TF'!J12:J99999,SUMMARY!A118&amp;"*")</f>
        <v>0</v>
      </c>
      <c r="Q118" s="10">
        <f>SUMIFS('PLAN BUDGET SAMI-TF'!BC12:BC99999,'PLAN BUDGET SAMI-TF'!D12:D99999,SUMMARY!D118,'PLAN BUDGET SAMI-TF'!J12:J99999,SUMMARY!A118&amp;"*")</f>
        <v>0</v>
      </c>
      <c r="R118" s="10">
        <f>SUMIFS('PLAN BUDGET SAMI-TF'!BD12:BD99999,'PLAN BUDGET SAMI-TF'!D12:D99999,SUMMARY!D118,'PLAN BUDGET SAMI-TF'!J12:J99999,SUMMARY!A118&amp;"*")</f>
        <v>0</v>
      </c>
      <c r="S118" s="10">
        <f>SUMIFS('PLAN BUDGET SAMI-TF'!BE12:BE99999,'PLAN BUDGET SAMI-TF'!D12:D99999,SUMMARY!D118,'PLAN BUDGET SAMI-TF'!J12:J99999,SUMMARY!A118&amp;"*")</f>
        <v>0</v>
      </c>
      <c r="T118" s="10">
        <f>SUMIFS('PLAN BUDGET SAMI-TF'!BF12:BF99999,'PLAN BUDGET SAMI-TF'!D12:D99999,SUMMARY!D118,'PLAN BUDGET SAMI-TF'!J12:J99999,SUMMARY!A118&amp;"*")</f>
        <v>0</v>
      </c>
      <c r="U118" s="10">
        <f>SUMIFS('PLAN BUDGET SAMI-TF'!BG12:BG99999,'PLAN BUDGET SAMI-TF'!D12:D99999,SUMMARY!D118,'PLAN BUDGET SAMI-TF'!J12:J99999,SUMMARY!A118&amp;"*")</f>
        <v>0</v>
      </c>
      <c r="V118" s="10">
        <f>SUMIFS('PLAN BUDGET SAMI-TF'!BH12:BH99999,'PLAN BUDGET SAMI-TF'!D12:D99999,SUMMARY!D118,'PLAN BUDGET SAMI-TF'!J12:J99999,SUMMARY!A118&amp;"*")</f>
        <v>0</v>
      </c>
      <c r="W118" s="10">
        <f>SUMIFS('PLAN BUDGET SAMI-TF'!BI12:BI99999,'PLAN BUDGET SAMI-TF'!D12:D99999,SUMMARY!D118,'PLAN BUDGET SAMI-TF'!J12:J99999,SUMMARY!A118&amp;"*")</f>
        <v>0</v>
      </c>
      <c r="X118" s="10">
        <f>SUMIFS('PLAN BUDGET SAMI-TF'!BJ12:BJ99999,'PLAN BUDGET SAMI-TF'!D12:D99999,SUMMARY!D118,'PLAN BUDGET SAMI-TF'!J12:J99999,SUMMARY!A118&amp;"*")</f>
        <v>0</v>
      </c>
      <c r="Y118" s="10">
        <f>SUMIFS('PLAN BUDGET SAMI-TF'!BK12:BK99999,'PLAN BUDGET SAMI-TF'!D12:D99999,SUMMARY!D118,'PLAN BUDGET SAMI-TF'!J12:J99999,SUMMARY!A118&amp;"*")</f>
        <v>0</v>
      </c>
      <c r="Z118" s="10">
        <f>SUMIFS('PLAN BUDGET SAMI-TF'!BL12:BL99999,'PLAN BUDGET SAMI-TF'!D12:D99999,SUMMARY!D118,'PLAN BUDGET SAMI-TF'!J12:J99999,SUMMARY!A118&amp;"*")</f>
        <v>0</v>
      </c>
      <c r="AA118" s="10">
        <f>SUMIFS('PLAN BUDGET SAMI-TF'!BM12:BM99999,'PLAN BUDGET SAMI-TF'!D12:D99999,SUMMARY!D118,'PLAN BUDGET SAMI-TF'!J12:J99999,SUMMARY!A118&amp;"*")</f>
        <v>0</v>
      </c>
      <c r="AB118" s="10">
        <f>SUMIFS('PLAN BUDGET SAMI-TF'!BN12:BN99999,'PLAN BUDGET SAMI-TF'!D12:D99999,SUMMARY!D118,'PLAN BUDGET SAMI-TF'!J12:J99999,SUMMARY!A118&amp;"*")</f>
        <v>0</v>
      </c>
      <c r="AC118" s="10">
        <f t="shared" si="12"/>
        <v>0</v>
      </c>
      <c r="AD118" s="10">
        <f t="shared" si="13"/>
        <v>0</v>
      </c>
      <c r="AE118" s="16"/>
      <c r="AF118" s="10">
        <v>1</v>
      </c>
      <c r="AG118" s="10">
        <v>168.72</v>
      </c>
      <c r="AH118" s="20">
        <f t="shared" si="14"/>
        <v>-1</v>
      </c>
      <c r="AI118" s="20">
        <f t="shared" si="15"/>
        <v>-1</v>
      </c>
      <c r="AJ118" s="7" t="s">
        <v>743</v>
      </c>
    </row>
    <row r="119" spans="1:36" x14ac:dyDescent="0.35">
      <c r="A119" s="7" t="s">
        <v>709</v>
      </c>
      <c r="B119" s="7"/>
      <c r="C119" s="7"/>
      <c r="D119" s="7" t="s">
        <v>746</v>
      </c>
      <c r="E119" s="10">
        <f>SUMIFS('PLAN BUDGET SAMI-TF'!AN12:AN99999,'PLAN BUDGET SAMI-TF'!D12:D99999,SUMMARY!D119,'PLAN BUDGET SAMI-TF'!J12:J99999,SUMMARY!A119&amp;"*")</f>
        <v>0</v>
      </c>
      <c r="F119" s="10">
        <f>SUMIFS('PLAN BUDGET SAMI-TF'!AO12:AO99999,'PLAN BUDGET SAMI-TF'!D12:D99999,SUMMARY!D119,'PLAN BUDGET SAMI-TF'!J12:J99999,SUMMARY!A119&amp;"*")</f>
        <v>0</v>
      </c>
      <c r="G119" s="10">
        <f>SUMIFS('PLAN BUDGET SAMI-TF'!AP12:AP99999,'PLAN BUDGET SAMI-TF'!D12:D99999,SUMMARY!D119,'PLAN BUDGET SAMI-TF'!J12:J99999,SUMMARY!A119&amp;"*")</f>
        <v>0</v>
      </c>
      <c r="H119" s="10">
        <f>SUMIFS('PLAN BUDGET SAMI-TF'!AQ12:AQ99999,'PLAN BUDGET SAMI-TF'!D12:D99999,SUMMARY!D119,'PLAN BUDGET SAMI-TF'!J12:J99999,SUMMARY!A119&amp;"*")</f>
        <v>0</v>
      </c>
      <c r="I119" s="10">
        <f>SUMIFS('PLAN BUDGET SAMI-TF'!AR12:AR99999,'PLAN BUDGET SAMI-TF'!D12:D99999,SUMMARY!D119,'PLAN BUDGET SAMI-TF'!J12:J99999,SUMMARY!A119&amp;"*")</f>
        <v>0</v>
      </c>
      <c r="J119" s="10">
        <f>SUMIFS('PLAN BUDGET SAMI-TF'!AS12:AS99999,'PLAN BUDGET SAMI-TF'!D12:D99999,SUMMARY!D119,'PLAN BUDGET SAMI-TF'!J12:J99999,SUMMARY!A119&amp;"*")</f>
        <v>0</v>
      </c>
      <c r="K119" s="10">
        <f>SUMIFS('PLAN BUDGET SAMI-TF'!AT12:AT99999,'PLAN BUDGET SAMI-TF'!D12:D99999,SUMMARY!D119,'PLAN BUDGET SAMI-TF'!J12:J99999,SUMMARY!A119&amp;"*")</f>
        <v>0</v>
      </c>
      <c r="L119" s="10">
        <f>SUMIFS('PLAN BUDGET SAMI-TF'!AU12:AU99999,'PLAN BUDGET SAMI-TF'!D12:D99999,SUMMARY!D119,'PLAN BUDGET SAMI-TF'!J12:J99999,SUMMARY!A119&amp;"*")</f>
        <v>0</v>
      </c>
      <c r="M119" s="10">
        <f>SUMIFS('PLAN BUDGET SAMI-TF'!AV12:AV99999,'PLAN BUDGET SAMI-TF'!D12:D99999,SUMMARY!D119,'PLAN BUDGET SAMI-TF'!J12:J99999,SUMMARY!A119&amp;"*")</f>
        <v>0</v>
      </c>
      <c r="N119" s="10">
        <f>SUMIFS('PLAN BUDGET SAMI-TF'!AW12:AW99999,'PLAN BUDGET SAMI-TF'!D12:D99999,SUMMARY!D119,'PLAN BUDGET SAMI-TF'!J12:J99999,SUMMARY!A119&amp;"*")</f>
        <v>0</v>
      </c>
      <c r="O119" s="10">
        <f>SUMIFS('PLAN BUDGET SAMI-TF'!AX12:AX99999,'PLAN BUDGET SAMI-TF'!D12:D99999,SUMMARY!D119,'PLAN BUDGET SAMI-TF'!J12:J99999,SUMMARY!A119&amp;"*")</f>
        <v>0</v>
      </c>
      <c r="P119" s="10">
        <f>SUMIFS('PLAN BUDGET SAMI-TF'!AY12:AY99999,'PLAN BUDGET SAMI-TF'!D12:D99999,SUMMARY!D119,'PLAN BUDGET SAMI-TF'!J12:J99999,SUMMARY!A119&amp;"*")</f>
        <v>0</v>
      </c>
      <c r="Q119" s="10">
        <f>SUMIFS('PLAN BUDGET SAMI-TF'!BC12:BC99999,'PLAN BUDGET SAMI-TF'!D12:D99999,SUMMARY!D119,'PLAN BUDGET SAMI-TF'!J12:J99999,SUMMARY!A119&amp;"*")</f>
        <v>0</v>
      </c>
      <c r="R119" s="10">
        <f>SUMIFS('PLAN BUDGET SAMI-TF'!BD12:BD99999,'PLAN BUDGET SAMI-TF'!D12:D99999,SUMMARY!D119,'PLAN BUDGET SAMI-TF'!J12:J99999,SUMMARY!A119&amp;"*")</f>
        <v>0</v>
      </c>
      <c r="S119" s="10">
        <f>SUMIFS('PLAN BUDGET SAMI-TF'!BE12:BE99999,'PLAN BUDGET SAMI-TF'!D12:D99999,SUMMARY!D119,'PLAN BUDGET SAMI-TF'!J12:J99999,SUMMARY!A119&amp;"*")</f>
        <v>0</v>
      </c>
      <c r="T119" s="10">
        <f>SUMIFS('PLAN BUDGET SAMI-TF'!BF12:BF99999,'PLAN BUDGET SAMI-TF'!D12:D99999,SUMMARY!D119,'PLAN BUDGET SAMI-TF'!J12:J99999,SUMMARY!A119&amp;"*")</f>
        <v>0</v>
      </c>
      <c r="U119" s="10">
        <f>SUMIFS('PLAN BUDGET SAMI-TF'!BG12:BG99999,'PLAN BUDGET SAMI-TF'!D12:D99999,SUMMARY!D119,'PLAN BUDGET SAMI-TF'!J12:J99999,SUMMARY!A119&amp;"*")</f>
        <v>0</v>
      </c>
      <c r="V119" s="10">
        <f>SUMIFS('PLAN BUDGET SAMI-TF'!BH12:BH99999,'PLAN BUDGET SAMI-TF'!D12:D99999,SUMMARY!D119,'PLAN BUDGET SAMI-TF'!J12:J99999,SUMMARY!A119&amp;"*")</f>
        <v>0</v>
      </c>
      <c r="W119" s="10">
        <f>SUMIFS('PLAN BUDGET SAMI-TF'!BI12:BI99999,'PLAN BUDGET SAMI-TF'!D12:D99999,SUMMARY!D119,'PLAN BUDGET SAMI-TF'!J12:J99999,SUMMARY!A119&amp;"*")</f>
        <v>0</v>
      </c>
      <c r="X119" s="10">
        <f>SUMIFS('PLAN BUDGET SAMI-TF'!BJ12:BJ99999,'PLAN BUDGET SAMI-TF'!D12:D99999,SUMMARY!D119,'PLAN BUDGET SAMI-TF'!J12:J99999,SUMMARY!A119&amp;"*")</f>
        <v>0</v>
      </c>
      <c r="Y119" s="10">
        <f>SUMIFS('PLAN BUDGET SAMI-TF'!BK12:BK99999,'PLAN BUDGET SAMI-TF'!D12:D99999,SUMMARY!D119,'PLAN BUDGET SAMI-TF'!J12:J99999,SUMMARY!A119&amp;"*")</f>
        <v>0</v>
      </c>
      <c r="Z119" s="10">
        <f>SUMIFS('PLAN BUDGET SAMI-TF'!BL12:BL99999,'PLAN BUDGET SAMI-TF'!D12:D99999,SUMMARY!D119,'PLAN BUDGET SAMI-TF'!J12:J99999,SUMMARY!A119&amp;"*")</f>
        <v>0</v>
      </c>
      <c r="AA119" s="10">
        <f>SUMIFS('PLAN BUDGET SAMI-TF'!BM12:BM99999,'PLAN BUDGET SAMI-TF'!D12:D99999,SUMMARY!D119,'PLAN BUDGET SAMI-TF'!J12:J99999,SUMMARY!A119&amp;"*")</f>
        <v>0</v>
      </c>
      <c r="AB119" s="10">
        <f>SUMIFS('PLAN BUDGET SAMI-TF'!BN12:BN99999,'PLAN BUDGET SAMI-TF'!D12:D99999,SUMMARY!D119,'PLAN BUDGET SAMI-TF'!J12:J99999,SUMMARY!A119&amp;"*")</f>
        <v>0</v>
      </c>
      <c r="AC119" s="10">
        <f t="shared" si="12"/>
        <v>0</v>
      </c>
      <c r="AD119" s="10">
        <f t="shared" si="13"/>
        <v>0</v>
      </c>
      <c r="AE119" s="16"/>
      <c r="AF119" s="10">
        <v>1</v>
      </c>
      <c r="AG119" s="10">
        <v>113.47</v>
      </c>
      <c r="AH119" s="20">
        <f t="shared" si="14"/>
        <v>-1</v>
      </c>
      <c r="AI119" s="20">
        <f t="shared" si="15"/>
        <v>-1</v>
      </c>
      <c r="AJ119" s="7" t="s">
        <v>743</v>
      </c>
    </row>
    <row r="120" spans="1:36" x14ac:dyDescent="0.35">
      <c r="A120" s="7" t="s">
        <v>709</v>
      </c>
      <c r="B120" s="7"/>
      <c r="C120" s="7"/>
      <c r="D120" s="7" t="s">
        <v>747</v>
      </c>
      <c r="E120" s="10">
        <f>SUMIFS('PLAN BUDGET SAMI-TF'!AN12:AN99999,'PLAN BUDGET SAMI-TF'!D12:D99999,SUMMARY!D120,'PLAN BUDGET SAMI-TF'!J12:J99999,SUMMARY!A120&amp;"*")</f>
        <v>0</v>
      </c>
      <c r="F120" s="10">
        <f>SUMIFS('PLAN BUDGET SAMI-TF'!AO12:AO99999,'PLAN BUDGET SAMI-TF'!D12:D99999,SUMMARY!D120,'PLAN BUDGET SAMI-TF'!J12:J99999,SUMMARY!A120&amp;"*")</f>
        <v>0</v>
      </c>
      <c r="G120" s="10">
        <f>SUMIFS('PLAN BUDGET SAMI-TF'!AP12:AP99999,'PLAN BUDGET SAMI-TF'!D12:D99999,SUMMARY!D120,'PLAN BUDGET SAMI-TF'!J12:J99999,SUMMARY!A120&amp;"*")</f>
        <v>0</v>
      </c>
      <c r="H120" s="10">
        <f>SUMIFS('PLAN BUDGET SAMI-TF'!AQ12:AQ99999,'PLAN BUDGET SAMI-TF'!D12:D99999,SUMMARY!D120,'PLAN BUDGET SAMI-TF'!J12:J99999,SUMMARY!A120&amp;"*")</f>
        <v>0</v>
      </c>
      <c r="I120" s="10">
        <f>SUMIFS('PLAN BUDGET SAMI-TF'!AR12:AR99999,'PLAN BUDGET SAMI-TF'!D12:D99999,SUMMARY!D120,'PLAN BUDGET SAMI-TF'!J12:J99999,SUMMARY!A120&amp;"*")</f>
        <v>0</v>
      </c>
      <c r="J120" s="10">
        <f>SUMIFS('PLAN BUDGET SAMI-TF'!AS12:AS99999,'PLAN BUDGET SAMI-TF'!D12:D99999,SUMMARY!D120,'PLAN BUDGET SAMI-TF'!J12:J99999,SUMMARY!A120&amp;"*")</f>
        <v>0</v>
      </c>
      <c r="K120" s="10">
        <f>SUMIFS('PLAN BUDGET SAMI-TF'!AT12:AT99999,'PLAN BUDGET SAMI-TF'!D12:D99999,SUMMARY!D120,'PLAN BUDGET SAMI-TF'!J12:J99999,SUMMARY!A120&amp;"*")</f>
        <v>0</v>
      </c>
      <c r="L120" s="10">
        <f>SUMIFS('PLAN BUDGET SAMI-TF'!AU12:AU99999,'PLAN BUDGET SAMI-TF'!D12:D99999,SUMMARY!D120,'PLAN BUDGET SAMI-TF'!J12:J99999,SUMMARY!A120&amp;"*")</f>
        <v>0</v>
      </c>
      <c r="M120" s="10">
        <f>SUMIFS('PLAN BUDGET SAMI-TF'!AV12:AV99999,'PLAN BUDGET SAMI-TF'!D12:D99999,SUMMARY!D120,'PLAN BUDGET SAMI-TF'!J12:J99999,SUMMARY!A120&amp;"*")</f>
        <v>0</v>
      </c>
      <c r="N120" s="10">
        <f>SUMIFS('PLAN BUDGET SAMI-TF'!AW12:AW99999,'PLAN BUDGET SAMI-TF'!D12:D99999,SUMMARY!D120,'PLAN BUDGET SAMI-TF'!J12:J99999,SUMMARY!A120&amp;"*")</f>
        <v>0</v>
      </c>
      <c r="O120" s="10">
        <f>SUMIFS('PLAN BUDGET SAMI-TF'!AX12:AX99999,'PLAN BUDGET SAMI-TF'!D12:D99999,SUMMARY!D120,'PLAN BUDGET SAMI-TF'!J12:J99999,SUMMARY!A120&amp;"*")</f>
        <v>0</v>
      </c>
      <c r="P120" s="10">
        <f>SUMIFS('PLAN BUDGET SAMI-TF'!AY12:AY99999,'PLAN BUDGET SAMI-TF'!D12:D99999,SUMMARY!D120,'PLAN BUDGET SAMI-TF'!J12:J99999,SUMMARY!A120&amp;"*")</f>
        <v>0</v>
      </c>
      <c r="Q120" s="10">
        <f>SUMIFS('PLAN BUDGET SAMI-TF'!BC12:BC99999,'PLAN BUDGET SAMI-TF'!D12:D99999,SUMMARY!D120,'PLAN BUDGET SAMI-TF'!J12:J99999,SUMMARY!A120&amp;"*")</f>
        <v>0</v>
      </c>
      <c r="R120" s="10">
        <f>SUMIFS('PLAN BUDGET SAMI-TF'!BD12:BD99999,'PLAN BUDGET SAMI-TF'!D12:D99999,SUMMARY!D120,'PLAN BUDGET SAMI-TF'!J12:J99999,SUMMARY!A120&amp;"*")</f>
        <v>0</v>
      </c>
      <c r="S120" s="10">
        <f>SUMIFS('PLAN BUDGET SAMI-TF'!BE12:BE99999,'PLAN BUDGET SAMI-TF'!D12:D99999,SUMMARY!D120,'PLAN BUDGET SAMI-TF'!J12:J99999,SUMMARY!A120&amp;"*")</f>
        <v>0</v>
      </c>
      <c r="T120" s="10">
        <f>SUMIFS('PLAN BUDGET SAMI-TF'!BF12:BF99999,'PLAN BUDGET SAMI-TF'!D12:D99999,SUMMARY!D120,'PLAN BUDGET SAMI-TF'!J12:J99999,SUMMARY!A120&amp;"*")</f>
        <v>0</v>
      </c>
      <c r="U120" s="10">
        <f>SUMIFS('PLAN BUDGET SAMI-TF'!BG12:BG99999,'PLAN BUDGET SAMI-TF'!D12:D99999,SUMMARY!D120,'PLAN BUDGET SAMI-TF'!J12:J99999,SUMMARY!A120&amp;"*")</f>
        <v>0</v>
      </c>
      <c r="V120" s="10">
        <f>SUMIFS('PLAN BUDGET SAMI-TF'!BH12:BH99999,'PLAN BUDGET SAMI-TF'!D12:D99999,SUMMARY!D120,'PLAN BUDGET SAMI-TF'!J12:J99999,SUMMARY!A120&amp;"*")</f>
        <v>0</v>
      </c>
      <c r="W120" s="10">
        <f>SUMIFS('PLAN BUDGET SAMI-TF'!BI12:BI99999,'PLAN BUDGET SAMI-TF'!D12:D99999,SUMMARY!D120,'PLAN BUDGET SAMI-TF'!J12:J99999,SUMMARY!A120&amp;"*")</f>
        <v>0</v>
      </c>
      <c r="X120" s="10">
        <f>SUMIFS('PLAN BUDGET SAMI-TF'!BJ12:BJ99999,'PLAN BUDGET SAMI-TF'!D12:D99999,SUMMARY!D120,'PLAN BUDGET SAMI-TF'!J12:J99999,SUMMARY!A120&amp;"*")</f>
        <v>0</v>
      </c>
      <c r="Y120" s="10">
        <f>SUMIFS('PLAN BUDGET SAMI-TF'!BK12:BK99999,'PLAN BUDGET SAMI-TF'!D12:D99999,SUMMARY!D120,'PLAN BUDGET SAMI-TF'!J12:J99999,SUMMARY!A120&amp;"*")</f>
        <v>0</v>
      </c>
      <c r="Z120" s="10">
        <f>SUMIFS('PLAN BUDGET SAMI-TF'!BL12:BL99999,'PLAN BUDGET SAMI-TF'!D12:D99999,SUMMARY!D120,'PLAN BUDGET SAMI-TF'!J12:J99999,SUMMARY!A120&amp;"*")</f>
        <v>0</v>
      </c>
      <c r="AA120" s="10">
        <f>SUMIFS('PLAN BUDGET SAMI-TF'!BM12:BM99999,'PLAN BUDGET SAMI-TF'!D12:D99999,SUMMARY!D120,'PLAN BUDGET SAMI-TF'!J12:J99999,SUMMARY!A120&amp;"*")</f>
        <v>0</v>
      </c>
      <c r="AB120" s="10">
        <f>SUMIFS('PLAN BUDGET SAMI-TF'!BN12:BN99999,'PLAN BUDGET SAMI-TF'!D12:D99999,SUMMARY!D120,'PLAN BUDGET SAMI-TF'!J12:J99999,SUMMARY!A120&amp;"*")</f>
        <v>0</v>
      </c>
      <c r="AC120" s="10">
        <f t="shared" si="12"/>
        <v>0</v>
      </c>
      <c r="AD120" s="10">
        <f t="shared" si="13"/>
        <v>0</v>
      </c>
      <c r="AE120" s="16"/>
      <c r="AF120" s="10">
        <v>10</v>
      </c>
      <c r="AG120" s="10">
        <v>95.8</v>
      </c>
      <c r="AH120" s="20">
        <f t="shared" si="14"/>
        <v>-1</v>
      </c>
      <c r="AI120" s="20">
        <f t="shared" si="15"/>
        <v>-1</v>
      </c>
      <c r="AJ120" s="7" t="s">
        <v>743</v>
      </c>
    </row>
    <row r="121" spans="1:36" x14ac:dyDescent="0.35">
      <c r="A121" s="7" t="s">
        <v>709</v>
      </c>
      <c r="B121" s="7"/>
      <c r="C121" s="7"/>
      <c r="D121" s="7" t="s">
        <v>748</v>
      </c>
      <c r="E121" s="10">
        <f>SUMIFS('PLAN BUDGET SAMI-TF'!AN12:AN99999,'PLAN BUDGET SAMI-TF'!D12:D99999,SUMMARY!D121,'PLAN BUDGET SAMI-TF'!J12:J99999,SUMMARY!A121&amp;"*")</f>
        <v>0</v>
      </c>
      <c r="F121" s="10">
        <f>SUMIFS('PLAN BUDGET SAMI-TF'!AO12:AO99999,'PLAN BUDGET SAMI-TF'!D12:D99999,SUMMARY!D121,'PLAN BUDGET SAMI-TF'!J12:J99999,SUMMARY!A121&amp;"*")</f>
        <v>0</v>
      </c>
      <c r="G121" s="10">
        <f>SUMIFS('PLAN BUDGET SAMI-TF'!AP12:AP99999,'PLAN BUDGET SAMI-TF'!D12:D99999,SUMMARY!D121,'PLAN BUDGET SAMI-TF'!J12:J99999,SUMMARY!A121&amp;"*")</f>
        <v>0</v>
      </c>
      <c r="H121" s="10">
        <f>SUMIFS('PLAN BUDGET SAMI-TF'!AQ12:AQ99999,'PLAN BUDGET SAMI-TF'!D12:D99999,SUMMARY!D121,'PLAN BUDGET SAMI-TF'!J12:J99999,SUMMARY!A121&amp;"*")</f>
        <v>0</v>
      </c>
      <c r="I121" s="10">
        <f>SUMIFS('PLAN BUDGET SAMI-TF'!AR12:AR99999,'PLAN BUDGET SAMI-TF'!D12:D99999,SUMMARY!D121,'PLAN BUDGET SAMI-TF'!J12:J99999,SUMMARY!A121&amp;"*")</f>
        <v>0</v>
      </c>
      <c r="J121" s="10">
        <f>SUMIFS('PLAN BUDGET SAMI-TF'!AS12:AS99999,'PLAN BUDGET SAMI-TF'!D12:D99999,SUMMARY!D121,'PLAN BUDGET SAMI-TF'!J12:J99999,SUMMARY!A121&amp;"*")</f>
        <v>0</v>
      </c>
      <c r="K121" s="10">
        <f>SUMIFS('PLAN BUDGET SAMI-TF'!AT12:AT99999,'PLAN BUDGET SAMI-TF'!D12:D99999,SUMMARY!D121,'PLAN BUDGET SAMI-TF'!J12:J99999,SUMMARY!A121&amp;"*")</f>
        <v>0</v>
      </c>
      <c r="L121" s="10">
        <f>SUMIFS('PLAN BUDGET SAMI-TF'!AU12:AU99999,'PLAN BUDGET SAMI-TF'!D12:D99999,SUMMARY!D121,'PLAN BUDGET SAMI-TF'!J12:J99999,SUMMARY!A121&amp;"*")</f>
        <v>0</v>
      </c>
      <c r="M121" s="10">
        <f>SUMIFS('PLAN BUDGET SAMI-TF'!AV12:AV99999,'PLAN BUDGET SAMI-TF'!D12:D99999,SUMMARY!D121,'PLAN BUDGET SAMI-TF'!J12:J99999,SUMMARY!A121&amp;"*")</f>
        <v>0</v>
      </c>
      <c r="N121" s="10">
        <f>SUMIFS('PLAN BUDGET SAMI-TF'!AW12:AW99999,'PLAN BUDGET SAMI-TF'!D12:D99999,SUMMARY!D121,'PLAN BUDGET SAMI-TF'!J12:J99999,SUMMARY!A121&amp;"*")</f>
        <v>0</v>
      </c>
      <c r="O121" s="10">
        <f>SUMIFS('PLAN BUDGET SAMI-TF'!AX12:AX99999,'PLAN BUDGET SAMI-TF'!D12:D99999,SUMMARY!D121,'PLAN BUDGET SAMI-TF'!J12:J99999,SUMMARY!A121&amp;"*")</f>
        <v>0</v>
      </c>
      <c r="P121" s="10">
        <f>SUMIFS('PLAN BUDGET SAMI-TF'!AY12:AY99999,'PLAN BUDGET SAMI-TF'!D12:D99999,SUMMARY!D121,'PLAN BUDGET SAMI-TF'!J12:J99999,SUMMARY!A121&amp;"*")</f>
        <v>0</v>
      </c>
      <c r="Q121" s="10">
        <f>SUMIFS('PLAN BUDGET SAMI-TF'!BC12:BC99999,'PLAN BUDGET SAMI-TF'!D12:D99999,SUMMARY!D121,'PLAN BUDGET SAMI-TF'!J12:J99999,SUMMARY!A121&amp;"*")</f>
        <v>0</v>
      </c>
      <c r="R121" s="10">
        <f>SUMIFS('PLAN BUDGET SAMI-TF'!BD12:BD99999,'PLAN BUDGET SAMI-TF'!D12:D99999,SUMMARY!D121,'PLAN BUDGET SAMI-TF'!J12:J99999,SUMMARY!A121&amp;"*")</f>
        <v>0</v>
      </c>
      <c r="S121" s="10">
        <f>SUMIFS('PLAN BUDGET SAMI-TF'!BE12:BE99999,'PLAN BUDGET SAMI-TF'!D12:D99999,SUMMARY!D121,'PLAN BUDGET SAMI-TF'!J12:J99999,SUMMARY!A121&amp;"*")</f>
        <v>0</v>
      </c>
      <c r="T121" s="10">
        <f>SUMIFS('PLAN BUDGET SAMI-TF'!BF12:BF99999,'PLAN BUDGET SAMI-TF'!D12:D99999,SUMMARY!D121,'PLAN BUDGET SAMI-TF'!J12:J99999,SUMMARY!A121&amp;"*")</f>
        <v>0</v>
      </c>
      <c r="U121" s="10">
        <f>SUMIFS('PLAN BUDGET SAMI-TF'!BG12:BG99999,'PLAN BUDGET SAMI-TF'!D12:D99999,SUMMARY!D121,'PLAN BUDGET SAMI-TF'!J12:J99999,SUMMARY!A121&amp;"*")</f>
        <v>0</v>
      </c>
      <c r="V121" s="10">
        <f>SUMIFS('PLAN BUDGET SAMI-TF'!BH12:BH99999,'PLAN BUDGET SAMI-TF'!D12:D99999,SUMMARY!D121,'PLAN BUDGET SAMI-TF'!J12:J99999,SUMMARY!A121&amp;"*")</f>
        <v>0</v>
      </c>
      <c r="W121" s="10">
        <f>SUMIFS('PLAN BUDGET SAMI-TF'!BI12:BI99999,'PLAN BUDGET SAMI-TF'!D12:D99999,SUMMARY!D121,'PLAN BUDGET SAMI-TF'!J12:J99999,SUMMARY!A121&amp;"*")</f>
        <v>0</v>
      </c>
      <c r="X121" s="10">
        <f>SUMIFS('PLAN BUDGET SAMI-TF'!BJ12:BJ99999,'PLAN BUDGET SAMI-TF'!D12:D99999,SUMMARY!D121,'PLAN BUDGET SAMI-TF'!J12:J99999,SUMMARY!A121&amp;"*")</f>
        <v>0</v>
      </c>
      <c r="Y121" s="10">
        <f>SUMIFS('PLAN BUDGET SAMI-TF'!BK12:BK99999,'PLAN BUDGET SAMI-TF'!D12:D99999,SUMMARY!D121,'PLAN BUDGET SAMI-TF'!J12:J99999,SUMMARY!A121&amp;"*")</f>
        <v>0</v>
      </c>
      <c r="Z121" s="10">
        <f>SUMIFS('PLAN BUDGET SAMI-TF'!BL12:BL99999,'PLAN BUDGET SAMI-TF'!D12:D99999,SUMMARY!D121,'PLAN BUDGET SAMI-TF'!J12:J99999,SUMMARY!A121&amp;"*")</f>
        <v>0</v>
      </c>
      <c r="AA121" s="10">
        <f>SUMIFS('PLAN BUDGET SAMI-TF'!BM12:BM99999,'PLAN BUDGET SAMI-TF'!D12:D99999,SUMMARY!D121,'PLAN BUDGET SAMI-TF'!J12:J99999,SUMMARY!A121&amp;"*")</f>
        <v>0</v>
      </c>
      <c r="AB121" s="10">
        <f>SUMIFS('PLAN BUDGET SAMI-TF'!BN12:BN99999,'PLAN BUDGET SAMI-TF'!D12:D99999,SUMMARY!D121,'PLAN BUDGET SAMI-TF'!J12:J99999,SUMMARY!A121&amp;"*")</f>
        <v>0</v>
      </c>
      <c r="AC121" s="10">
        <f t="shared" si="12"/>
        <v>0</v>
      </c>
      <c r="AD121" s="10">
        <f t="shared" si="13"/>
        <v>0</v>
      </c>
      <c r="AE121" s="16"/>
      <c r="AF121" s="10">
        <v>5</v>
      </c>
      <c r="AG121" s="10">
        <v>27.091641031483999</v>
      </c>
      <c r="AH121" s="20">
        <f t="shared" si="14"/>
        <v>-1</v>
      </c>
      <c r="AI121" s="20">
        <f t="shared" si="15"/>
        <v>-1</v>
      </c>
      <c r="AJ121" s="7" t="s">
        <v>743</v>
      </c>
    </row>
    <row r="122" spans="1:36" x14ac:dyDescent="0.35">
      <c r="A122" s="7" t="s">
        <v>709</v>
      </c>
      <c r="B122" s="7"/>
      <c r="C122" s="7"/>
      <c r="D122" s="7" t="s">
        <v>749</v>
      </c>
      <c r="E122" s="10">
        <f>SUMIFS('PLAN BUDGET SAMI-TF'!AN12:AN99999,'PLAN BUDGET SAMI-TF'!D12:D99999,SUMMARY!D122,'PLAN BUDGET SAMI-TF'!J12:J99999,SUMMARY!A122&amp;"*")</f>
        <v>0</v>
      </c>
      <c r="F122" s="10">
        <f>SUMIFS('PLAN BUDGET SAMI-TF'!AO12:AO99999,'PLAN BUDGET SAMI-TF'!D12:D99999,SUMMARY!D122,'PLAN BUDGET SAMI-TF'!J12:J99999,SUMMARY!A122&amp;"*")</f>
        <v>0</v>
      </c>
      <c r="G122" s="10">
        <f>SUMIFS('PLAN BUDGET SAMI-TF'!AP12:AP99999,'PLAN BUDGET SAMI-TF'!D12:D99999,SUMMARY!D122,'PLAN BUDGET SAMI-TF'!J12:J99999,SUMMARY!A122&amp;"*")</f>
        <v>0</v>
      </c>
      <c r="H122" s="10">
        <f>SUMIFS('PLAN BUDGET SAMI-TF'!AQ12:AQ99999,'PLAN BUDGET SAMI-TF'!D12:D99999,SUMMARY!D122,'PLAN BUDGET SAMI-TF'!J12:J99999,SUMMARY!A122&amp;"*")</f>
        <v>0</v>
      </c>
      <c r="I122" s="10">
        <f>SUMIFS('PLAN BUDGET SAMI-TF'!AR12:AR99999,'PLAN BUDGET SAMI-TF'!D12:D99999,SUMMARY!D122,'PLAN BUDGET SAMI-TF'!J12:J99999,SUMMARY!A122&amp;"*")</f>
        <v>0</v>
      </c>
      <c r="J122" s="10">
        <f>SUMIFS('PLAN BUDGET SAMI-TF'!AS12:AS99999,'PLAN BUDGET SAMI-TF'!D12:D99999,SUMMARY!D122,'PLAN BUDGET SAMI-TF'!J12:J99999,SUMMARY!A122&amp;"*")</f>
        <v>0</v>
      </c>
      <c r="K122" s="10">
        <f>SUMIFS('PLAN BUDGET SAMI-TF'!AT12:AT99999,'PLAN BUDGET SAMI-TF'!D12:D99999,SUMMARY!D122,'PLAN BUDGET SAMI-TF'!J12:J99999,SUMMARY!A122&amp;"*")</f>
        <v>0</v>
      </c>
      <c r="L122" s="10">
        <f>SUMIFS('PLAN BUDGET SAMI-TF'!AU12:AU99999,'PLAN BUDGET SAMI-TF'!D12:D99999,SUMMARY!D122,'PLAN BUDGET SAMI-TF'!J12:J99999,SUMMARY!A122&amp;"*")</f>
        <v>0</v>
      </c>
      <c r="M122" s="10">
        <f>SUMIFS('PLAN BUDGET SAMI-TF'!AV12:AV99999,'PLAN BUDGET SAMI-TF'!D12:D99999,SUMMARY!D122,'PLAN BUDGET SAMI-TF'!J12:J99999,SUMMARY!A122&amp;"*")</f>
        <v>0</v>
      </c>
      <c r="N122" s="10">
        <f>SUMIFS('PLAN BUDGET SAMI-TF'!AW12:AW99999,'PLAN BUDGET SAMI-TF'!D12:D99999,SUMMARY!D122,'PLAN BUDGET SAMI-TF'!J12:J99999,SUMMARY!A122&amp;"*")</f>
        <v>0</v>
      </c>
      <c r="O122" s="10">
        <f>SUMIFS('PLAN BUDGET SAMI-TF'!AX12:AX99999,'PLAN BUDGET SAMI-TF'!D12:D99999,SUMMARY!D122,'PLAN BUDGET SAMI-TF'!J12:J99999,SUMMARY!A122&amp;"*")</f>
        <v>0</v>
      </c>
      <c r="P122" s="10">
        <f>SUMIFS('PLAN BUDGET SAMI-TF'!AY12:AY99999,'PLAN BUDGET SAMI-TF'!D12:D99999,SUMMARY!D122,'PLAN BUDGET SAMI-TF'!J12:J99999,SUMMARY!A122&amp;"*")</f>
        <v>0</v>
      </c>
      <c r="Q122" s="10">
        <f>SUMIFS('PLAN BUDGET SAMI-TF'!BC12:BC99999,'PLAN BUDGET SAMI-TF'!D12:D99999,SUMMARY!D122,'PLAN BUDGET SAMI-TF'!J12:J99999,SUMMARY!A122&amp;"*")</f>
        <v>0</v>
      </c>
      <c r="R122" s="10">
        <f>SUMIFS('PLAN BUDGET SAMI-TF'!BD12:BD99999,'PLAN BUDGET SAMI-TF'!D12:D99999,SUMMARY!D122,'PLAN BUDGET SAMI-TF'!J12:J99999,SUMMARY!A122&amp;"*")</f>
        <v>0</v>
      </c>
      <c r="S122" s="10">
        <f>SUMIFS('PLAN BUDGET SAMI-TF'!BE12:BE99999,'PLAN BUDGET SAMI-TF'!D12:D99999,SUMMARY!D122,'PLAN BUDGET SAMI-TF'!J12:J99999,SUMMARY!A122&amp;"*")</f>
        <v>0</v>
      </c>
      <c r="T122" s="10">
        <f>SUMIFS('PLAN BUDGET SAMI-TF'!BF12:BF99999,'PLAN BUDGET SAMI-TF'!D12:D99999,SUMMARY!D122,'PLAN BUDGET SAMI-TF'!J12:J99999,SUMMARY!A122&amp;"*")</f>
        <v>0</v>
      </c>
      <c r="U122" s="10">
        <f>SUMIFS('PLAN BUDGET SAMI-TF'!BG12:BG99999,'PLAN BUDGET SAMI-TF'!D12:D99999,SUMMARY!D122,'PLAN BUDGET SAMI-TF'!J12:J99999,SUMMARY!A122&amp;"*")</f>
        <v>0</v>
      </c>
      <c r="V122" s="10">
        <f>SUMIFS('PLAN BUDGET SAMI-TF'!BH12:BH99999,'PLAN BUDGET SAMI-TF'!D12:D99999,SUMMARY!D122,'PLAN BUDGET SAMI-TF'!J12:J99999,SUMMARY!A122&amp;"*")</f>
        <v>0</v>
      </c>
      <c r="W122" s="10">
        <f>SUMIFS('PLAN BUDGET SAMI-TF'!BI12:BI99999,'PLAN BUDGET SAMI-TF'!D12:D99999,SUMMARY!D122,'PLAN BUDGET SAMI-TF'!J12:J99999,SUMMARY!A122&amp;"*")</f>
        <v>0</v>
      </c>
      <c r="X122" s="10">
        <f>SUMIFS('PLAN BUDGET SAMI-TF'!BJ12:BJ99999,'PLAN BUDGET SAMI-TF'!D12:D99999,SUMMARY!D122,'PLAN BUDGET SAMI-TF'!J12:J99999,SUMMARY!A122&amp;"*")</f>
        <v>0</v>
      </c>
      <c r="Y122" s="10">
        <f>SUMIFS('PLAN BUDGET SAMI-TF'!BK12:BK99999,'PLAN BUDGET SAMI-TF'!D12:D99999,SUMMARY!D122,'PLAN BUDGET SAMI-TF'!J12:J99999,SUMMARY!A122&amp;"*")</f>
        <v>0</v>
      </c>
      <c r="Z122" s="10">
        <f>SUMIFS('PLAN BUDGET SAMI-TF'!BL12:BL99999,'PLAN BUDGET SAMI-TF'!D12:D99999,SUMMARY!D122,'PLAN BUDGET SAMI-TF'!J12:J99999,SUMMARY!A122&amp;"*")</f>
        <v>0</v>
      </c>
      <c r="AA122" s="10">
        <f>SUMIFS('PLAN BUDGET SAMI-TF'!BM12:BM99999,'PLAN BUDGET SAMI-TF'!D12:D99999,SUMMARY!D122,'PLAN BUDGET SAMI-TF'!J12:J99999,SUMMARY!A122&amp;"*")</f>
        <v>0</v>
      </c>
      <c r="AB122" s="10">
        <f>SUMIFS('PLAN BUDGET SAMI-TF'!BN12:BN99999,'PLAN BUDGET SAMI-TF'!D12:D99999,SUMMARY!D122,'PLAN BUDGET SAMI-TF'!J12:J99999,SUMMARY!A122&amp;"*")</f>
        <v>0</v>
      </c>
      <c r="AC122" s="10">
        <f t="shared" si="12"/>
        <v>0</v>
      </c>
      <c r="AD122" s="10">
        <f t="shared" si="13"/>
        <v>0</v>
      </c>
      <c r="AE122" s="16"/>
      <c r="AF122" s="10">
        <v>10</v>
      </c>
      <c r="AG122" s="10">
        <v>32.593394351397997</v>
      </c>
      <c r="AH122" s="20">
        <f t="shared" si="14"/>
        <v>-1</v>
      </c>
      <c r="AI122" s="20">
        <f t="shared" si="15"/>
        <v>-1</v>
      </c>
      <c r="AJ122" s="7" t="s">
        <v>743</v>
      </c>
    </row>
    <row r="123" spans="1:36" x14ac:dyDescent="0.35">
      <c r="A123" s="7" t="s">
        <v>709</v>
      </c>
      <c r="B123" s="7"/>
      <c r="C123" s="7"/>
      <c r="D123" s="7" t="s">
        <v>750</v>
      </c>
      <c r="E123" s="10">
        <f>SUMIFS('PLAN BUDGET SAMI-TF'!AN12:AN99999,'PLAN BUDGET SAMI-TF'!D12:D99999,SUMMARY!D123,'PLAN BUDGET SAMI-TF'!J12:J99999,SUMMARY!A123&amp;"*")</f>
        <v>0</v>
      </c>
      <c r="F123" s="10">
        <f>SUMIFS('PLAN BUDGET SAMI-TF'!AO12:AO99999,'PLAN BUDGET SAMI-TF'!D12:D99999,SUMMARY!D123,'PLAN BUDGET SAMI-TF'!J12:J99999,SUMMARY!A123&amp;"*")</f>
        <v>0</v>
      </c>
      <c r="G123" s="10">
        <f>SUMIFS('PLAN BUDGET SAMI-TF'!AP12:AP99999,'PLAN BUDGET SAMI-TF'!D12:D99999,SUMMARY!D123,'PLAN BUDGET SAMI-TF'!J12:J99999,SUMMARY!A123&amp;"*")</f>
        <v>0</v>
      </c>
      <c r="H123" s="10">
        <f>SUMIFS('PLAN BUDGET SAMI-TF'!AQ12:AQ99999,'PLAN BUDGET SAMI-TF'!D12:D99999,SUMMARY!D123,'PLAN BUDGET SAMI-TF'!J12:J99999,SUMMARY!A123&amp;"*")</f>
        <v>0</v>
      </c>
      <c r="I123" s="10">
        <f>SUMIFS('PLAN BUDGET SAMI-TF'!AR12:AR99999,'PLAN BUDGET SAMI-TF'!D12:D99999,SUMMARY!D123,'PLAN BUDGET SAMI-TF'!J12:J99999,SUMMARY!A123&amp;"*")</f>
        <v>0</v>
      </c>
      <c r="J123" s="10">
        <f>SUMIFS('PLAN BUDGET SAMI-TF'!AS12:AS99999,'PLAN BUDGET SAMI-TF'!D12:D99999,SUMMARY!D123,'PLAN BUDGET SAMI-TF'!J12:J99999,SUMMARY!A123&amp;"*")</f>
        <v>0</v>
      </c>
      <c r="K123" s="10">
        <f>SUMIFS('PLAN BUDGET SAMI-TF'!AT12:AT99999,'PLAN BUDGET SAMI-TF'!D12:D99999,SUMMARY!D123,'PLAN BUDGET SAMI-TF'!J12:J99999,SUMMARY!A123&amp;"*")</f>
        <v>0</v>
      </c>
      <c r="L123" s="10">
        <f>SUMIFS('PLAN BUDGET SAMI-TF'!AU12:AU99999,'PLAN BUDGET SAMI-TF'!D12:D99999,SUMMARY!D123,'PLAN BUDGET SAMI-TF'!J12:J99999,SUMMARY!A123&amp;"*")</f>
        <v>0</v>
      </c>
      <c r="M123" s="10">
        <f>SUMIFS('PLAN BUDGET SAMI-TF'!AV12:AV99999,'PLAN BUDGET SAMI-TF'!D12:D99999,SUMMARY!D123,'PLAN BUDGET SAMI-TF'!J12:J99999,SUMMARY!A123&amp;"*")</f>
        <v>0</v>
      </c>
      <c r="N123" s="10">
        <f>SUMIFS('PLAN BUDGET SAMI-TF'!AW12:AW99999,'PLAN BUDGET SAMI-TF'!D12:D99999,SUMMARY!D123,'PLAN BUDGET SAMI-TF'!J12:J99999,SUMMARY!A123&amp;"*")</f>
        <v>0</v>
      </c>
      <c r="O123" s="10">
        <f>SUMIFS('PLAN BUDGET SAMI-TF'!AX12:AX99999,'PLAN BUDGET SAMI-TF'!D12:D99999,SUMMARY!D123,'PLAN BUDGET SAMI-TF'!J12:J99999,SUMMARY!A123&amp;"*")</f>
        <v>0</v>
      </c>
      <c r="P123" s="10">
        <f>SUMIFS('PLAN BUDGET SAMI-TF'!AY12:AY99999,'PLAN BUDGET SAMI-TF'!D12:D99999,SUMMARY!D123,'PLAN BUDGET SAMI-TF'!J12:J99999,SUMMARY!A123&amp;"*")</f>
        <v>0</v>
      </c>
      <c r="Q123" s="10">
        <f>SUMIFS('PLAN BUDGET SAMI-TF'!BC12:BC99999,'PLAN BUDGET SAMI-TF'!D12:D99999,SUMMARY!D123,'PLAN BUDGET SAMI-TF'!J12:J99999,SUMMARY!A123&amp;"*")</f>
        <v>0</v>
      </c>
      <c r="R123" s="10">
        <f>SUMIFS('PLAN BUDGET SAMI-TF'!BD12:BD99999,'PLAN BUDGET SAMI-TF'!D12:D99999,SUMMARY!D123,'PLAN BUDGET SAMI-TF'!J12:J99999,SUMMARY!A123&amp;"*")</f>
        <v>0</v>
      </c>
      <c r="S123" s="10">
        <f>SUMIFS('PLAN BUDGET SAMI-TF'!BE12:BE99999,'PLAN BUDGET SAMI-TF'!D12:D99999,SUMMARY!D123,'PLAN BUDGET SAMI-TF'!J12:J99999,SUMMARY!A123&amp;"*")</f>
        <v>0</v>
      </c>
      <c r="T123" s="10">
        <f>SUMIFS('PLAN BUDGET SAMI-TF'!BF12:BF99999,'PLAN BUDGET SAMI-TF'!D12:D99999,SUMMARY!D123,'PLAN BUDGET SAMI-TF'!J12:J99999,SUMMARY!A123&amp;"*")</f>
        <v>0</v>
      </c>
      <c r="U123" s="10">
        <f>SUMIFS('PLAN BUDGET SAMI-TF'!BG12:BG99999,'PLAN BUDGET SAMI-TF'!D12:D99999,SUMMARY!D123,'PLAN BUDGET SAMI-TF'!J12:J99999,SUMMARY!A123&amp;"*")</f>
        <v>0</v>
      </c>
      <c r="V123" s="10">
        <f>SUMIFS('PLAN BUDGET SAMI-TF'!BH12:BH99999,'PLAN BUDGET SAMI-TF'!D12:D99999,SUMMARY!D123,'PLAN BUDGET SAMI-TF'!J12:J99999,SUMMARY!A123&amp;"*")</f>
        <v>0</v>
      </c>
      <c r="W123" s="10">
        <f>SUMIFS('PLAN BUDGET SAMI-TF'!BI12:BI99999,'PLAN BUDGET SAMI-TF'!D12:D99999,SUMMARY!D123,'PLAN BUDGET SAMI-TF'!J12:J99999,SUMMARY!A123&amp;"*")</f>
        <v>0</v>
      </c>
      <c r="X123" s="10">
        <f>SUMIFS('PLAN BUDGET SAMI-TF'!BJ12:BJ99999,'PLAN BUDGET SAMI-TF'!D12:D99999,SUMMARY!D123,'PLAN BUDGET SAMI-TF'!J12:J99999,SUMMARY!A123&amp;"*")</f>
        <v>0</v>
      </c>
      <c r="Y123" s="10">
        <f>SUMIFS('PLAN BUDGET SAMI-TF'!BK12:BK99999,'PLAN BUDGET SAMI-TF'!D12:D99999,SUMMARY!D123,'PLAN BUDGET SAMI-TF'!J12:J99999,SUMMARY!A123&amp;"*")</f>
        <v>0</v>
      </c>
      <c r="Z123" s="10">
        <f>SUMIFS('PLAN BUDGET SAMI-TF'!BL12:BL99999,'PLAN BUDGET SAMI-TF'!D12:D99999,SUMMARY!D123,'PLAN BUDGET SAMI-TF'!J12:J99999,SUMMARY!A123&amp;"*")</f>
        <v>0</v>
      </c>
      <c r="AA123" s="10">
        <f>SUMIFS('PLAN BUDGET SAMI-TF'!BM12:BM99999,'PLAN BUDGET SAMI-TF'!D12:D99999,SUMMARY!D123,'PLAN BUDGET SAMI-TF'!J12:J99999,SUMMARY!A123&amp;"*")</f>
        <v>0</v>
      </c>
      <c r="AB123" s="10">
        <f>SUMIFS('PLAN BUDGET SAMI-TF'!BN12:BN99999,'PLAN BUDGET SAMI-TF'!D12:D99999,SUMMARY!D123,'PLAN BUDGET SAMI-TF'!J12:J99999,SUMMARY!A123&amp;"*")</f>
        <v>0</v>
      </c>
      <c r="AC123" s="10">
        <f t="shared" si="12"/>
        <v>0</v>
      </c>
      <c r="AD123" s="10">
        <f t="shared" si="13"/>
        <v>0</v>
      </c>
      <c r="AE123" s="16"/>
      <c r="AF123" s="10">
        <v>4</v>
      </c>
      <c r="AG123" s="10">
        <v>74.373678680389006</v>
      </c>
      <c r="AH123" s="20">
        <f t="shared" si="14"/>
        <v>-1</v>
      </c>
      <c r="AI123" s="20">
        <f t="shared" si="15"/>
        <v>-1</v>
      </c>
      <c r="AJ123" s="7" t="s">
        <v>743</v>
      </c>
    </row>
    <row r="124" spans="1:36" x14ac:dyDescent="0.35">
      <c r="A124" s="7" t="s">
        <v>709</v>
      </c>
      <c r="B124" s="7"/>
      <c r="C124" s="7"/>
      <c r="D124" s="7" t="s">
        <v>751</v>
      </c>
      <c r="E124" s="10">
        <f>SUMIFS('PLAN BUDGET SAMI-TF'!AN12:AN99999,'PLAN BUDGET SAMI-TF'!D12:D99999,SUMMARY!D124,'PLAN BUDGET SAMI-TF'!J12:J99999,SUMMARY!A124&amp;"*")</f>
        <v>0</v>
      </c>
      <c r="F124" s="10">
        <f>SUMIFS('PLAN BUDGET SAMI-TF'!AO12:AO99999,'PLAN BUDGET SAMI-TF'!D12:D99999,SUMMARY!D124,'PLAN BUDGET SAMI-TF'!J12:J99999,SUMMARY!A124&amp;"*")</f>
        <v>0</v>
      </c>
      <c r="G124" s="10">
        <f>SUMIFS('PLAN BUDGET SAMI-TF'!AP12:AP99999,'PLAN BUDGET SAMI-TF'!D12:D99999,SUMMARY!D124,'PLAN BUDGET SAMI-TF'!J12:J99999,SUMMARY!A124&amp;"*")</f>
        <v>0</v>
      </c>
      <c r="H124" s="10">
        <f>SUMIFS('PLAN BUDGET SAMI-TF'!AQ12:AQ99999,'PLAN BUDGET SAMI-TF'!D12:D99999,SUMMARY!D124,'PLAN BUDGET SAMI-TF'!J12:J99999,SUMMARY!A124&amp;"*")</f>
        <v>0</v>
      </c>
      <c r="I124" s="10">
        <f>SUMIFS('PLAN BUDGET SAMI-TF'!AR12:AR99999,'PLAN BUDGET SAMI-TF'!D12:D99999,SUMMARY!D124,'PLAN BUDGET SAMI-TF'!J12:J99999,SUMMARY!A124&amp;"*")</f>
        <v>0</v>
      </c>
      <c r="J124" s="10">
        <f>SUMIFS('PLAN BUDGET SAMI-TF'!AS12:AS99999,'PLAN BUDGET SAMI-TF'!D12:D99999,SUMMARY!D124,'PLAN BUDGET SAMI-TF'!J12:J99999,SUMMARY!A124&amp;"*")</f>
        <v>0</v>
      </c>
      <c r="K124" s="10">
        <f>SUMIFS('PLAN BUDGET SAMI-TF'!AT12:AT99999,'PLAN BUDGET SAMI-TF'!D12:D99999,SUMMARY!D124,'PLAN BUDGET SAMI-TF'!J12:J99999,SUMMARY!A124&amp;"*")</f>
        <v>0</v>
      </c>
      <c r="L124" s="10">
        <f>SUMIFS('PLAN BUDGET SAMI-TF'!AU12:AU99999,'PLAN BUDGET SAMI-TF'!D12:D99999,SUMMARY!D124,'PLAN BUDGET SAMI-TF'!J12:J99999,SUMMARY!A124&amp;"*")</f>
        <v>0</v>
      </c>
      <c r="M124" s="10">
        <f>SUMIFS('PLAN BUDGET SAMI-TF'!AV12:AV99999,'PLAN BUDGET SAMI-TF'!D12:D99999,SUMMARY!D124,'PLAN BUDGET SAMI-TF'!J12:J99999,SUMMARY!A124&amp;"*")</f>
        <v>0</v>
      </c>
      <c r="N124" s="10">
        <f>SUMIFS('PLAN BUDGET SAMI-TF'!AW12:AW99999,'PLAN BUDGET SAMI-TF'!D12:D99999,SUMMARY!D124,'PLAN BUDGET SAMI-TF'!J12:J99999,SUMMARY!A124&amp;"*")</f>
        <v>0</v>
      </c>
      <c r="O124" s="10">
        <f>SUMIFS('PLAN BUDGET SAMI-TF'!AX12:AX99999,'PLAN BUDGET SAMI-TF'!D12:D99999,SUMMARY!D124,'PLAN BUDGET SAMI-TF'!J12:J99999,SUMMARY!A124&amp;"*")</f>
        <v>0</v>
      </c>
      <c r="P124" s="10">
        <f>SUMIFS('PLAN BUDGET SAMI-TF'!AY12:AY99999,'PLAN BUDGET SAMI-TF'!D12:D99999,SUMMARY!D124,'PLAN BUDGET SAMI-TF'!J12:J99999,SUMMARY!A124&amp;"*")</f>
        <v>0</v>
      </c>
      <c r="Q124" s="10">
        <f>SUMIFS('PLAN BUDGET SAMI-TF'!BC12:BC99999,'PLAN BUDGET SAMI-TF'!D12:D99999,SUMMARY!D124,'PLAN BUDGET SAMI-TF'!J12:J99999,SUMMARY!A124&amp;"*")</f>
        <v>0</v>
      </c>
      <c r="R124" s="10">
        <f>SUMIFS('PLAN BUDGET SAMI-TF'!BD12:BD99999,'PLAN BUDGET SAMI-TF'!D12:D99999,SUMMARY!D124,'PLAN BUDGET SAMI-TF'!J12:J99999,SUMMARY!A124&amp;"*")</f>
        <v>0</v>
      </c>
      <c r="S124" s="10">
        <f>SUMIFS('PLAN BUDGET SAMI-TF'!BE12:BE99999,'PLAN BUDGET SAMI-TF'!D12:D99999,SUMMARY!D124,'PLAN BUDGET SAMI-TF'!J12:J99999,SUMMARY!A124&amp;"*")</f>
        <v>0</v>
      </c>
      <c r="T124" s="10">
        <f>SUMIFS('PLAN BUDGET SAMI-TF'!BF12:BF99999,'PLAN BUDGET SAMI-TF'!D12:D99999,SUMMARY!D124,'PLAN BUDGET SAMI-TF'!J12:J99999,SUMMARY!A124&amp;"*")</f>
        <v>0</v>
      </c>
      <c r="U124" s="10">
        <f>SUMIFS('PLAN BUDGET SAMI-TF'!BG12:BG99999,'PLAN BUDGET SAMI-TF'!D12:D99999,SUMMARY!D124,'PLAN BUDGET SAMI-TF'!J12:J99999,SUMMARY!A124&amp;"*")</f>
        <v>0</v>
      </c>
      <c r="V124" s="10">
        <f>SUMIFS('PLAN BUDGET SAMI-TF'!BH12:BH99999,'PLAN BUDGET SAMI-TF'!D12:D99999,SUMMARY!D124,'PLAN BUDGET SAMI-TF'!J12:J99999,SUMMARY!A124&amp;"*")</f>
        <v>0</v>
      </c>
      <c r="W124" s="10">
        <f>SUMIFS('PLAN BUDGET SAMI-TF'!BI12:BI99999,'PLAN BUDGET SAMI-TF'!D12:D99999,SUMMARY!D124,'PLAN BUDGET SAMI-TF'!J12:J99999,SUMMARY!A124&amp;"*")</f>
        <v>0</v>
      </c>
      <c r="X124" s="10">
        <f>SUMIFS('PLAN BUDGET SAMI-TF'!BJ12:BJ99999,'PLAN BUDGET SAMI-TF'!D12:D99999,SUMMARY!D124,'PLAN BUDGET SAMI-TF'!J12:J99999,SUMMARY!A124&amp;"*")</f>
        <v>0</v>
      </c>
      <c r="Y124" s="10">
        <f>SUMIFS('PLAN BUDGET SAMI-TF'!BK12:BK99999,'PLAN BUDGET SAMI-TF'!D12:D99999,SUMMARY!D124,'PLAN BUDGET SAMI-TF'!J12:J99999,SUMMARY!A124&amp;"*")</f>
        <v>0</v>
      </c>
      <c r="Z124" s="10">
        <f>SUMIFS('PLAN BUDGET SAMI-TF'!BL12:BL99999,'PLAN BUDGET SAMI-TF'!D12:D99999,SUMMARY!D124,'PLAN BUDGET SAMI-TF'!J12:J99999,SUMMARY!A124&amp;"*")</f>
        <v>0</v>
      </c>
      <c r="AA124" s="10">
        <f>SUMIFS('PLAN BUDGET SAMI-TF'!BM12:BM99999,'PLAN BUDGET SAMI-TF'!D12:D99999,SUMMARY!D124,'PLAN BUDGET SAMI-TF'!J12:J99999,SUMMARY!A124&amp;"*")</f>
        <v>0</v>
      </c>
      <c r="AB124" s="10">
        <f>SUMIFS('PLAN BUDGET SAMI-TF'!BN12:BN99999,'PLAN BUDGET SAMI-TF'!D12:D99999,SUMMARY!D124,'PLAN BUDGET SAMI-TF'!J12:J99999,SUMMARY!A124&amp;"*")</f>
        <v>0</v>
      </c>
      <c r="AC124" s="10">
        <f t="shared" si="12"/>
        <v>0</v>
      </c>
      <c r="AD124" s="10">
        <f t="shared" si="13"/>
        <v>0</v>
      </c>
      <c r="AE124" s="16"/>
      <c r="AF124" s="10">
        <v>40</v>
      </c>
      <c r="AG124" s="10">
        <v>111.2</v>
      </c>
      <c r="AH124" s="20">
        <f t="shared" si="14"/>
        <v>-1</v>
      </c>
      <c r="AI124" s="20">
        <f t="shared" si="15"/>
        <v>-1</v>
      </c>
      <c r="AJ124" s="7" t="s">
        <v>743</v>
      </c>
    </row>
    <row r="125" spans="1:36" x14ac:dyDescent="0.35">
      <c r="A125" s="7" t="s">
        <v>709</v>
      </c>
      <c r="B125" s="7"/>
      <c r="C125" s="7"/>
      <c r="D125" s="7" t="s">
        <v>752</v>
      </c>
      <c r="E125" s="10">
        <f>SUMIFS('PLAN BUDGET SAMI-TF'!AN12:AN99999,'PLAN BUDGET SAMI-TF'!D12:D99999,SUMMARY!D125,'PLAN BUDGET SAMI-TF'!J12:J99999,SUMMARY!A125&amp;"*")</f>
        <v>0</v>
      </c>
      <c r="F125" s="10">
        <f>SUMIFS('PLAN BUDGET SAMI-TF'!AO12:AO99999,'PLAN BUDGET SAMI-TF'!D12:D99999,SUMMARY!D125,'PLAN BUDGET SAMI-TF'!J12:J99999,SUMMARY!A125&amp;"*")</f>
        <v>0</v>
      </c>
      <c r="G125" s="10">
        <f>SUMIFS('PLAN BUDGET SAMI-TF'!AP12:AP99999,'PLAN BUDGET SAMI-TF'!D12:D99999,SUMMARY!D125,'PLAN BUDGET SAMI-TF'!J12:J99999,SUMMARY!A125&amp;"*")</f>
        <v>0</v>
      </c>
      <c r="H125" s="10">
        <f>SUMIFS('PLAN BUDGET SAMI-TF'!AQ12:AQ99999,'PLAN BUDGET SAMI-TF'!D12:D99999,SUMMARY!D125,'PLAN BUDGET SAMI-TF'!J12:J99999,SUMMARY!A125&amp;"*")</f>
        <v>0</v>
      </c>
      <c r="I125" s="10">
        <f>SUMIFS('PLAN BUDGET SAMI-TF'!AR12:AR99999,'PLAN BUDGET SAMI-TF'!D12:D99999,SUMMARY!D125,'PLAN BUDGET SAMI-TF'!J12:J99999,SUMMARY!A125&amp;"*")</f>
        <v>0</v>
      </c>
      <c r="J125" s="10">
        <f>SUMIFS('PLAN BUDGET SAMI-TF'!AS12:AS99999,'PLAN BUDGET SAMI-TF'!D12:D99999,SUMMARY!D125,'PLAN BUDGET SAMI-TF'!J12:J99999,SUMMARY!A125&amp;"*")</f>
        <v>0</v>
      </c>
      <c r="K125" s="10">
        <f>SUMIFS('PLAN BUDGET SAMI-TF'!AT12:AT99999,'PLAN BUDGET SAMI-TF'!D12:D99999,SUMMARY!D125,'PLAN BUDGET SAMI-TF'!J12:J99999,SUMMARY!A125&amp;"*")</f>
        <v>0</v>
      </c>
      <c r="L125" s="10">
        <f>SUMIFS('PLAN BUDGET SAMI-TF'!AU12:AU99999,'PLAN BUDGET SAMI-TF'!D12:D99999,SUMMARY!D125,'PLAN BUDGET SAMI-TF'!J12:J99999,SUMMARY!A125&amp;"*")</f>
        <v>0</v>
      </c>
      <c r="M125" s="10">
        <f>SUMIFS('PLAN BUDGET SAMI-TF'!AV12:AV99999,'PLAN BUDGET SAMI-TF'!D12:D99999,SUMMARY!D125,'PLAN BUDGET SAMI-TF'!J12:J99999,SUMMARY!A125&amp;"*")</f>
        <v>0</v>
      </c>
      <c r="N125" s="10">
        <f>SUMIFS('PLAN BUDGET SAMI-TF'!AW12:AW99999,'PLAN BUDGET SAMI-TF'!D12:D99999,SUMMARY!D125,'PLAN BUDGET SAMI-TF'!J12:J99999,SUMMARY!A125&amp;"*")</f>
        <v>0</v>
      </c>
      <c r="O125" s="10">
        <f>SUMIFS('PLAN BUDGET SAMI-TF'!AX12:AX99999,'PLAN BUDGET SAMI-TF'!D12:D99999,SUMMARY!D125,'PLAN BUDGET SAMI-TF'!J12:J99999,SUMMARY!A125&amp;"*")</f>
        <v>0</v>
      </c>
      <c r="P125" s="10">
        <f>SUMIFS('PLAN BUDGET SAMI-TF'!AY12:AY99999,'PLAN BUDGET SAMI-TF'!D12:D99999,SUMMARY!D125,'PLAN BUDGET SAMI-TF'!J12:J99999,SUMMARY!A125&amp;"*")</f>
        <v>0</v>
      </c>
      <c r="Q125" s="10">
        <f>SUMIFS('PLAN BUDGET SAMI-TF'!BC12:BC99999,'PLAN BUDGET SAMI-TF'!D12:D99999,SUMMARY!D125,'PLAN BUDGET SAMI-TF'!J12:J99999,SUMMARY!A125&amp;"*")</f>
        <v>0</v>
      </c>
      <c r="R125" s="10">
        <f>SUMIFS('PLAN BUDGET SAMI-TF'!BD12:BD99999,'PLAN BUDGET SAMI-TF'!D12:D99999,SUMMARY!D125,'PLAN BUDGET SAMI-TF'!J12:J99999,SUMMARY!A125&amp;"*")</f>
        <v>0</v>
      </c>
      <c r="S125" s="10">
        <f>SUMIFS('PLAN BUDGET SAMI-TF'!BE12:BE99999,'PLAN BUDGET SAMI-TF'!D12:D99999,SUMMARY!D125,'PLAN BUDGET SAMI-TF'!J12:J99999,SUMMARY!A125&amp;"*")</f>
        <v>0</v>
      </c>
      <c r="T125" s="10">
        <f>SUMIFS('PLAN BUDGET SAMI-TF'!BF12:BF99999,'PLAN BUDGET SAMI-TF'!D12:D99999,SUMMARY!D125,'PLAN BUDGET SAMI-TF'!J12:J99999,SUMMARY!A125&amp;"*")</f>
        <v>0</v>
      </c>
      <c r="U125" s="10">
        <f>SUMIFS('PLAN BUDGET SAMI-TF'!BG12:BG99999,'PLAN BUDGET SAMI-TF'!D12:D99999,SUMMARY!D125,'PLAN BUDGET SAMI-TF'!J12:J99999,SUMMARY!A125&amp;"*")</f>
        <v>0</v>
      </c>
      <c r="V125" s="10">
        <f>SUMIFS('PLAN BUDGET SAMI-TF'!BH12:BH99999,'PLAN BUDGET SAMI-TF'!D12:D99999,SUMMARY!D125,'PLAN BUDGET SAMI-TF'!J12:J99999,SUMMARY!A125&amp;"*")</f>
        <v>0</v>
      </c>
      <c r="W125" s="10">
        <f>SUMIFS('PLAN BUDGET SAMI-TF'!BI12:BI99999,'PLAN BUDGET SAMI-TF'!D12:D99999,SUMMARY!D125,'PLAN BUDGET SAMI-TF'!J12:J99999,SUMMARY!A125&amp;"*")</f>
        <v>0</v>
      </c>
      <c r="X125" s="10">
        <f>SUMIFS('PLAN BUDGET SAMI-TF'!BJ12:BJ99999,'PLAN BUDGET SAMI-TF'!D12:D99999,SUMMARY!D125,'PLAN BUDGET SAMI-TF'!J12:J99999,SUMMARY!A125&amp;"*")</f>
        <v>0</v>
      </c>
      <c r="Y125" s="10">
        <f>SUMIFS('PLAN BUDGET SAMI-TF'!BK12:BK99999,'PLAN BUDGET SAMI-TF'!D12:D99999,SUMMARY!D125,'PLAN BUDGET SAMI-TF'!J12:J99999,SUMMARY!A125&amp;"*")</f>
        <v>0</v>
      </c>
      <c r="Z125" s="10">
        <f>SUMIFS('PLAN BUDGET SAMI-TF'!BL12:BL99999,'PLAN BUDGET SAMI-TF'!D12:D99999,SUMMARY!D125,'PLAN BUDGET SAMI-TF'!J12:J99999,SUMMARY!A125&amp;"*")</f>
        <v>0</v>
      </c>
      <c r="AA125" s="10">
        <f>SUMIFS('PLAN BUDGET SAMI-TF'!BM12:BM99999,'PLAN BUDGET SAMI-TF'!D12:D99999,SUMMARY!D125,'PLAN BUDGET SAMI-TF'!J12:J99999,SUMMARY!A125&amp;"*")</f>
        <v>0</v>
      </c>
      <c r="AB125" s="10">
        <f>SUMIFS('PLAN BUDGET SAMI-TF'!BN12:BN99999,'PLAN BUDGET SAMI-TF'!D12:D99999,SUMMARY!D125,'PLAN BUDGET SAMI-TF'!J12:J99999,SUMMARY!A125&amp;"*")</f>
        <v>0</v>
      </c>
      <c r="AC125" s="10">
        <f t="shared" si="12"/>
        <v>0</v>
      </c>
      <c r="AD125" s="10">
        <f t="shared" si="13"/>
        <v>0</v>
      </c>
      <c r="AE125" s="16"/>
      <c r="AF125" s="10">
        <v>5</v>
      </c>
      <c r="AG125" s="10">
        <v>18.989024343929</v>
      </c>
      <c r="AH125" s="20">
        <f t="shared" si="14"/>
        <v>-1</v>
      </c>
      <c r="AI125" s="20">
        <f t="shared" si="15"/>
        <v>-1</v>
      </c>
      <c r="AJ125" s="7" t="s">
        <v>743</v>
      </c>
    </row>
    <row r="126" spans="1:36" x14ac:dyDescent="0.35">
      <c r="A126" s="7" t="s">
        <v>709</v>
      </c>
      <c r="B126" s="7"/>
      <c r="C126" s="7"/>
      <c r="D126" s="7" t="s">
        <v>753</v>
      </c>
      <c r="E126" s="10">
        <f>SUMIFS('PLAN BUDGET SAMI-TF'!AN12:AN99999,'PLAN BUDGET SAMI-TF'!D12:D99999,SUMMARY!D126,'PLAN BUDGET SAMI-TF'!J12:J99999,SUMMARY!A126&amp;"*")</f>
        <v>0</v>
      </c>
      <c r="F126" s="10">
        <f>SUMIFS('PLAN BUDGET SAMI-TF'!AO12:AO99999,'PLAN BUDGET SAMI-TF'!D12:D99999,SUMMARY!D126,'PLAN BUDGET SAMI-TF'!J12:J99999,SUMMARY!A126&amp;"*")</f>
        <v>0</v>
      </c>
      <c r="G126" s="10">
        <f>SUMIFS('PLAN BUDGET SAMI-TF'!AP12:AP99999,'PLAN BUDGET SAMI-TF'!D12:D99999,SUMMARY!D126,'PLAN BUDGET SAMI-TF'!J12:J99999,SUMMARY!A126&amp;"*")</f>
        <v>0</v>
      </c>
      <c r="H126" s="10">
        <f>SUMIFS('PLAN BUDGET SAMI-TF'!AQ12:AQ99999,'PLAN BUDGET SAMI-TF'!D12:D99999,SUMMARY!D126,'PLAN BUDGET SAMI-TF'!J12:J99999,SUMMARY!A126&amp;"*")</f>
        <v>0</v>
      </c>
      <c r="I126" s="10">
        <f>SUMIFS('PLAN BUDGET SAMI-TF'!AR12:AR99999,'PLAN BUDGET SAMI-TF'!D12:D99999,SUMMARY!D126,'PLAN BUDGET SAMI-TF'!J12:J99999,SUMMARY!A126&amp;"*")</f>
        <v>0</v>
      </c>
      <c r="J126" s="10">
        <f>SUMIFS('PLAN BUDGET SAMI-TF'!AS12:AS99999,'PLAN BUDGET SAMI-TF'!D12:D99999,SUMMARY!D126,'PLAN BUDGET SAMI-TF'!J12:J99999,SUMMARY!A126&amp;"*")</f>
        <v>0</v>
      </c>
      <c r="K126" s="10">
        <f>SUMIFS('PLAN BUDGET SAMI-TF'!AT12:AT99999,'PLAN BUDGET SAMI-TF'!D12:D99999,SUMMARY!D126,'PLAN BUDGET SAMI-TF'!J12:J99999,SUMMARY!A126&amp;"*")</f>
        <v>0</v>
      </c>
      <c r="L126" s="10">
        <f>SUMIFS('PLAN BUDGET SAMI-TF'!AU12:AU99999,'PLAN BUDGET SAMI-TF'!D12:D99999,SUMMARY!D126,'PLAN BUDGET SAMI-TF'!J12:J99999,SUMMARY!A126&amp;"*")</f>
        <v>0</v>
      </c>
      <c r="M126" s="10">
        <f>SUMIFS('PLAN BUDGET SAMI-TF'!AV12:AV99999,'PLAN BUDGET SAMI-TF'!D12:D99999,SUMMARY!D126,'PLAN BUDGET SAMI-TF'!J12:J99999,SUMMARY!A126&amp;"*")</f>
        <v>0</v>
      </c>
      <c r="N126" s="10">
        <f>SUMIFS('PLAN BUDGET SAMI-TF'!AW12:AW99999,'PLAN BUDGET SAMI-TF'!D12:D99999,SUMMARY!D126,'PLAN BUDGET SAMI-TF'!J12:J99999,SUMMARY!A126&amp;"*")</f>
        <v>0</v>
      </c>
      <c r="O126" s="10">
        <f>SUMIFS('PLAN BUDGET SAMI-TF'!AX12:AX99999,'PLAN BUDGET SAMI-TF'!D12:D99999,SUMMARY!D126,'PLAN BUDGET SAMI-TF'!J12:J99999,SUMMARY!A126&amp;"*")</f>
        <v>0</v>
      </c>
      <c r="P126" s="10">
        <f>SUMIFS('PLAN BUDGET SAMI-TF'!AY12:AY99999,'PLAN BUDGET SAMI-TF'!D12:D99999,SUMMARY!D126,'PLAN BUDGET SAMI-TF'!J12:J99999,SUMMARY!A126&amp;"*")</f>
        <v>0</v>
      </c>
      <c r="Q126" s="10">
        <f>SUMIFS('PLAN BUDGET SAMI-TF'!BC12:BC99999,'PLAN BUDGET SAMI-TF'!D12:D99999,SUMMARY!D126,'PLAN BUDGET SAMI-TF'!J12:J99999,SUMMARY!A126&amp;"*")</f>
        <v>0</v>
      </c>
      <c r="R126" s="10">
        <f>SUMIFS('PLAN BUDGET SAMI-TF'!BD12:BD99999,'PLAN BUDGET SAMI-TF'!D12:D99999,SUMMARY!D126,'PLAN BUDGET SAMI-TF'!J12:J99999,SUMMARY!A126&amp;"*")</f>
        <v>0</v>
      </c>
      <c r="S126" s="10">
        <f>SUMIFS('PLAN BUDGET SAMI-TF'!BE12:BE99999,'PLAN BUDGET SAMI-TF'!D12:D99999,SUMMARY!D126,'PLAN BUDGET SAMI-TF'!J12:J99999,SUMMARY!A126&amp;"*")</f>
        <v>0</v>
      </c>
      <c r="T126" s="10">
        <f>SUMIFS('PLAN BUDGET SAMI-TF'!BF12:BF99999,'PLAN BUDGET SAMI-TF'!D12:D99999,SUMMARY!D126,'PLAN BUDGET SAMI-TF'!J12:J99999,SUMMARY!A126&amp;"*")</f>
        <v>0</v>
      </c>
      <c r="U126" s="10">
        <f>SUMIFS('PLAN BUDGET SAMI-TF'!BG12:BG99999,'PLAN BUDGET SAMI-TF'!D12:D99999,SUMMARY!D126,'PLAN BUDGET SAMI-TF'!J12:J99999,SUMMARY!A126&amp;"*")</f>
        <v>0</v>
      </c>
      <c r="V126" s="10">
        <f>SUMIFS('PLAN BUDGET SAMI-TF'!BH12:BH99999,'PLAN BUDGET SAMI-TF'!D12:D99999,SUMMARY!D126,'PLAN BUDGET SAMI-TF'!J12:J99999,SUMMARY!A126&amp;"*")</f>
        <v>0</v>
      </c>
      <c r="W126" s="10">
        <f>SUMIFS('PLAN BUDGET SAMI-TF'!BI12:BI99999,'PLAN BUDGET SAMI-TF'!D12:D99999,SUMMARY!D126,'PLAN BUDGET SAMI-TF'!J12:J99999,SUMMARY!A126&amp;"*")</f>
        <v>0</v>
      </c>
      <c r="X126" s="10">
        <f>SUMIFS('PLAN BUDGET SAMI-TF'!BJ12:BJ99999,'PLAN BUDGET SAMI-TF'!D12:D99999,SUMMARY!D126,'PLAN BUDGET SAMI-TF'!J12:J99999,SUMMARY!A126&amp;"*")</f>
        <v>0</v>
      </c>
      <c r="Y126" s="10">
        <f>SUMIFS('PLAN BUDGET SAMI-TF'!BK12:BK99999,'PLAN BUDGET SAMI-TF'!D12:D99999,SUMMARY!D126,'PLAN BUDGET SAMI-TF'!J12:J99999,SUMMARY!A126&amp;"*")</f>
        <v>0</v>
      </c>
      <c r="Z126" s="10">
        <f>SUMIFS('PLAN BUDGET SAMI-TF'!BL12:BL99999,'PLAN BUDGET SAMI-TF'!D12:D99999,SUMMARY!D126,'PLAN BUDGET SAMI-TF'!J12:J99999,SUMMARY!A126&amp;"*")</f>
        <v>0</v>
      </c>
      <c r="AA126" s="10">
        <f>SUMIFS('PLAN BUDGET SAMI-TF'!BM12:BM99999,'PLAN BUDGET SAMI-TF'!D12:D99999,SUMMARY!D126,'PLAN BUDGET SAMI-TF'!J12:J99999,SUMMARY!A126&amp;"*")</f>
        <v>0</v>
      </c>
      <c r="AB126" s="10">
        <f>SUMIFS('PLAN BUDGET SAMI-TF'!BN12:BN99999,'PLAN BUDGET SAMI-TF'!D12:D99999,SUMMARY!D126,'PLAN BUDGET SAMI-TF'!J12:J99999,SUMMARY!A126&amp;"*")</f>
        <v>0</v>
      </c>
      <c r="AC126" s="10">
        <f t="shared" si="12"/>
        <v>0</v>
      </c>
      <c r="AD126" s="10">
        <f t="shared" si="13"/>
        <v>0</v>
      </c>
      <c r="AE126" s="16"/>
      <c r="AF126" s="10">
        <v>1</v>
      </c>
      <c r="AG126" s="10">
        <v>189.65</v>
      </c>
      <c r="AH126" s="20">
        <f t="shared" si="14"/>
        <v>-1</v>
      </c>
      <c r="AI126" s="20">
        <f t="shared" si="15"/>
        <v>-1</v>
      </c>
      <c r="AJ126" s="7" t="s">
        <v>743</v>
      </c>
    </row>
    <row r="127" spans="1:36" x14ac:dyDescent="0.35">
      <c r="A127" s="7" t="s">
        <v>709</v>
      </c>
      <c r="B127" s="7"/>
      <c r="C127" s="7"/>
      <c r="D127" s="7" t="s">
        <v>754</v>
      </c>
      <c r="E127" s="10">
        <f>SUMIFS('PLAN BUDGET SAMI-TF'!AN12:AN99999,'PLAN BUDGET SAMI-TF'!D12:D99999,SUMMARY!D127,'PLAN BUDGET SAMI-TF'!J12:J99999,SUMMARY!A127&amp;"*")</f>
        <v>0</v>
      </c>
      <c r="F127" s="10">
        <f>SUMIFS('PLAN BUDGET SAMI-TF'!AO12:AO99999,'PLAN BUDGET SAMI-TF'!D12:D99999,SUMMARY!D127,'PLAN BUDGET SAMI-TF'!J12:J99999,SUMMARY!A127&amp;"*")</f>
        <v>0</v>
      </c>
      <c r="G127" s="10">
        <f>SUMIFS('PLAN BUDGET SAMI-TF'!AP12:AP99999,'PLAN BUDGET SAMI-TF'!D12:D99999,SUMMARY!D127,'PLAN BUDGET SAMI-TF'!J12:J99999,SUMMARY!A127&amp;"*")</f>
        <v>0</v>
      </c>
      <c r="H127" s="10">
        <f>SUMIFS('PLAN BUDGET SAMI-TF'!AQ12:AQ99999,'PLAN BUDGET SAMI-TF'!D12:D99999,SUMMARY!D127,'PLAN BUDGET SAMI-TF'!J12:J99999,SUMMARY!A127&amp;"*")</f>
        <v>0</v>
      </c>
      <c r="I127" s="10">
        <f>SUMIFS('PLAN BUDGET SAMI-TF'!AR12:AR99999,'PLAN BUDGET SAMI-TF'!D12:D99999,SUMMARY!D127,'PLAN BUDGET SAMI-TF'!J12:J99999,SUMMARY!A127&amp;"*")</f>
        <v>0</v>
      </c>
      <c r="J127" s="10">
        <f>SUMIFS('PLAN BUDGET SAMI-TF'!AS12:AS99999,'PLAN BUDGET SAMI-TF'!D12:D99999,SUMMARY!D127,'PLAN BUDGET SAMI-TF'!J12:J99999,SUMMARY!A127&amp;"*")</f>
        <v>0</v>
      </c>
      <c r="K127" s="10">
        <f>SUMIFS('PLAN BUDGET SAMI-TF'!AT12:AT99999,'PLAN BUDGET SAMI-TF'!D12:D99999,SUMMARY!D127,'PLAN BUDGET SAMI-TF'!J12:J99999,SUMMARY!A127&amp;"*")</f>
        <v>0</v>
      </c>
      <c r="L127" s="10">
        <f>SUMIFS('PLAN BUDGET SAMI-TF'!AU12:AU99999,'PLAN BUDGET SAMI-TF'!D12:D99999,SUMMARY!D127,'PLAN BUDGET SAMI-TF'!J12:J99999,SUMMARY!A127&amp;"*")</f>
        <v>0</v>
      </c>
      <c r="M127" s="10">
        <f>SUMIFS('PLAN BUDGET SAMI-TF'!AV12:AV99999,'PLAN BUDGET SAMI-TF'!D12:D99999,SUMMARY!D127,'PLAN BUDGET SAMI-TF'!J12:J99999,SUMMARY!A127&amp;"*")</f>
        <v>0</v>
      </c>
      <c r="N127" s="10">
        <f>SUMIFS('PLAN BUDGET SAMI-TF'!AW12:AW99999,'PLAN BUDGET SAMI-TF'!D12:D99999,SUMMARY!D127,'PLAN BUDGET SAMI-TF'!J12:J99999,SUMMARY!A127&amp;"*")</f>
        <v>0</v>
      </c>
      <c r="O127" s="10">
        <f>SUMIFS('PLAN BUDGET SAMI-TF'!AX12:AX99999,'PLAN BUDGET SAMI-TF'!D12:D99999,SUMMARY!D127,'PLAN BUDGET SAMI-TF'!J12:J99999,SUMMARY!A127&amp;"*")</f>
        <v>0</v>
      </c>
      <c r="P127" s="10">
        <f>SUMIFS('PLAN BUDGET SAMI-TF'!AY12:AY99999,'PLAN BUDGET SAMI-TF'!D12:D99999,SUMMARY!D127,'PLAN BUDGET SAMI-TF'!J12:J99999,SUMMARY!A127&amp;"*")</f>
        <v>0</v>
      </c>
      <c r="Q127" s="10">
        <f>SUMIFS('PLAN BUDGET SAMI-TF'!BC12:BC99999,'PLAN BUDGET SAMI-TF'!D12:D99999,SUMMARY!D127,'PLAN BUDGET SAMI-TF'!J12:J99999,SUMMARY!A127&amp;"*")</f>
        <v>0</v>
      </c>
      <c r="R127" s="10">
        <f>SUMIFS('PLAN BUDGET SAMI-TF'!BD12:BD99999,'PLAN BUDGET SAMI-TF'!D12:D99999,SUMMARY!D127,'PLAN BUDGET SAMI-TF'!J12:J99999,SUMMARY!A127&amp;"*")</f>
        <v>0</v>
      </c>
      <c r="S127" s="10">
        <f>SUMIFS('PLAN BUDGET SAMI-TF'!BE12:BE99999,'PLAN BUDGET SAMI-TF'!D12:D99999,SUMMARY!D127,'PLAN BUDGET SAMI-TF'!J12:J99999,SUMMARY!A127&amp;"*")</f>
        <v>0</v>
      </c>
      <c r="T127" s="10">
        <f>SUMIFS('PLAN BUDGET SAMI-TF'!BF12:BF99999,'PLAN BUDGET SAMI-TF'!D12:D99999,SUMMARY!D127,'PLAN BUDGET SAMI-TF'!J12:J99999,SUMMARY!A127&amp;"*")</f>
        <v>0</v>
      </c>
      <c r="U127" s="10">
        <f>SUMIFS('PLAN BUDGET SAMI-TF'!BG12:BG99999,'PLAN BUDGET SAMI-TF'!D12:D99999,SUMMARY!D127,'PLAN BUDGET SAMI-TF'!J12:J99999,SUMMARY!A127&amp;"*")</f>
        <v>0</v>
      </c>
      <c r="V127" s="10">
        <f>SUMIFS('PLAN BUDGET SAMI-TF'!BH12:BH99999,'PLAN BUDGET SAMI-TF'!D12:D99999,SUMMARY!D127,'PLAN BUDGET SAMI-TF'!J12:J99999,SUMMARY!A127&amp;"*")</f>
        <v>0</v>
      </c>
      <c r="W127" s="10">
        <f>SUMIFS('PLAN BUDGET SAMI-TF'!BI12:BI99999,'PLAN BUDGET SAMI-TF'!D12:D99999,SUMMARY!D127,'PLAN BUDGET SAMI-TF'!J12:J99999,SUMMARY!A127&amp;"*")</f>
        <v>0</v>
      </c>
      <c r="X127" s="10">
        <f>SUMIFS('PLAN BUDGET SAMI-TF'!BJ12:BJ99999,'PLAN BUDGET SAMI-TF'!D12:D99999,SUMMARY!D127,'PLAN BUDGET SAMI-TF'!J12:J99999,SUMMARY!A127&amp;"*")</f>
        <v>0</v>
      </c>
      <c r="Y127" s="10">
        <f>SUMIFS('PLAN BUDGET SAMI-TF'!BK12:BK99999,'PLAN BUDGET SAMI-TF'!D12:D99999,SUMMARY!D127,'PLAN BUDGET SAMI-TF'!J12:J99999,SUMMARY!A127&amp;"*")</f>
        <v>0</v>
      </c>
      <c r="Z127" s="10">
        <f>SUMIFS('PLAN BUDGET SAMI-TF'!BL12:BL99999,'PLAN BUDGET SAMI-TF'!D12:D99999,SUMMARY!D127,'PLAN BUDGET SAMI-TF'!J12:J99999,SUMMARY!A127&amp;"*")</f>
        <v>0</v>
      </c>
      <c r="AA127" s="10">
        <f>SUMIFS('PLAN BUDGET SAMI-TF'!BM12:BM99999,'PLAN BUDGET SAMI-TF'!D12:D99999,SUMMARY!D127,'PLAN BUDGET SAMI-TF'!J12:J99999,SUMMARY!A127&amp;"*")</f>
        <v>0</v>
      </c>
      <c r="AB127" s="10">
        <f>SUMIFS('PLAN BUDGET SAMI-TF'!BN12:BN99999,'PLAN BUDGET SAMI-TF'!D12:D99999,SUMMARY!D127,'PLAN BUDGET SAMI-TF'!J12:J99999,SUMMARY!A127&amp;"*")</f>
        <v>0</v>
      </c>
      <c r="AC127" s="10">
        <f t="shared" si="12"/>
        <v>0</v>
      </c>
      <c r="AD127" s="10">
        <f t="shared" si="13"/>
        <v>0</v>
      </c>
      <c r="AE127" s="16"/>
      <c r="AF127" s="10">
        <v>12</v>
      </c>
      <c r="AG127" s="10">
        <v>1201.92</v>
      </c>
      <c r="AH127" s="20">
        <f t="shared" si="14"/>
        <v>-1</v>
      </c>
      <c r="AI127" s="20">
        <f t="shared" si="15"/>
        <v>-1</v>
      </c>
      <c r="AJ127" s="7" t="s">
        <v>743</v>
      </c>
    </row>
    <row r="128" spans="1:36" x14ac:dyDescent="0.35">
      <c r="A128" s="7" t="s">
        <v>709</v>
      </c>
      <c r="B128" s="7"/>
      <c r="C128" s="7"/>
      <c r="D128" s="7" t="s">
        <v>755</v>
      </c>
      <c r="E128" s="10">
        <f>SUMIFS('PLAN BUDGET SAMI-TF'!AN12:AN99999,'PLAN BUDGET SAMI-TF'!D12:D99999,SUMMARY!D128,'PLAN BUDGET SAMI-TF'!J12:J99999,SUMMARY!A128&amp;"*")</f>
        <v>0</v>
      </c>
      <c r="F128" s="10">
        <f>SUMIFS('PLAN BUDGET SAMI-TF'!AO12:AO99999,'PLAN BUDGET SAMI-TF'!D12:D99999,SUMMARY!D128,'PLAN BUDGET SAMI-TF'!J12:J99999,SUMMARY!A128&amp;"*")</f>
        <v>0</v>
      </c>
      <c r="G128" s="10">
        <f>SUMIFS('PLAN BUDGET SAMI-TF'!AP12:AP99999,'PLAN BUDGET SAMI-TF'!D12:D99999,SUMMARY!D128,'PLAN BUDGET SAMI-TF'!J12:J99999,SUMMARY!A128&amp;"*")</f>
        <v>0</v>
      </c>
      <c r="H128" s="10">
        <f>SUMIFS('PLAN BUDGET SAMI-TF'!AQ12:AQ99999,'PLAN BUDGET SAMI-TF'!D12:D99999,SUMMARY!D128,'PLAN BUDGET SAMI-TF'!J12:J99999,SUMMARY!A128&amp;"*")</f>
        <v>0</v>
      </c>
      <c r="I128" s="10">
        <f>SUMIFS('PLAN BUDGET SAMI-TF'!AR12:AR99999,'PLAN BUDGET SAMI-TF'!D12:D99999,SUMMARY!D128,'PLAN BUDGET SAMI-TF'!J12:J99999,SUMMARY!A128&amp;"*")</f>
        <v>0</v>
      </c>
      <c r="J128" s="10">
        <f>SUMIFS('PLAN BUDGET SAMI-TF'!AS12:AS99999,'PLAN BUDGET SAMI-TF'!D12:D99999,SUMMARY!D128,'PLAN BUDGET SAMI-TF'!J12:J99999,SUMMARY!A128&amp;"*")</f>
        <v>0</v>
      </c>
      <c r="K128" s="10">
        <f>SUMIFS('PLAN BUDGET SAMI-TF'!AT12:AT99999,'PLAN BUDGET SAMI-TF'!D12:D99999,SUMMARY!D128,'PLAN BUDGET SAMI-TF'!J12:J99999,SUMMARY!A128&amp;"*")</f>
        <v>0</v>
      </c>
      <c r="L128" s="10">
        <f>SUMIFS('PLAN BUDGET SAMI-TF'!AU12:AU99999,'PLAN BUDGET SAMI-TF'!D12:D99999,SUMMARY!D128,'PLAN BUDGET SAMI-TF'!J12:J99999,SUMMARY!A128&amp;"*")</f>
        <v>0</v>
      </c>
      <c r="M128" s="10">
        <f>SUMIFS('PLAN BUDGET SAMI-TF'!AV12:AV99999,'PLAN BUDGET SAMI-TF'!D12:D99999,SUMMARY!D128,'PLAN BUDGET SAMI-TF'!J12:J99999,SUMMARY!A128&amp;"*")</f>
        <v>0</v>
      </c>
      <c r="N128" s="10">
        <f>SUMIFS('PLAN BUDGET SAMI-TF'!AW12:AW99999,'PLAN BUDGET SAMI-TF'!D12:D99999,SUMMARY!D128,'PLAN BUDGET SAMI-TF'!J12:J99999,SUMMARY!A128&amp;"*")</f>
        <v>0</v>
      </c>
      <c r="O128" s="10">
        <f>SUMIFS('PLAN BUDGET SAMI-TF'!AX12:AX99999,'PLAN BUDGET SAMI-TF'!D12:D99999,SUMMARY!D128,'PLAN BUDGET SAMI-TF'!J12:J99999,SUMMARY!A128&amp;"*")</f>
        <v>0</v>
      </c>
      <c r="P128" s="10">
        <f>SUMIFS('PLAN BUDGET SAMI-TF'!AY12:AY99999,'PLAN BUDGET SAMI-TF'!D12:D99999,SUMMARY!D128,'PLAN BUDGET SAMI-TF'!J12:J99999,SUMMARY!A128&amp;"*")</f>
        <v>0</v>
      </c>
      <c r="Q128" s="10">
        <f>SUMIFS('PLAN BUDGET SAMI-TF'!BC12:BC99999,'PLAN BUDGET SAMI-TF'!D12:D99999,SUMMARY!D128,'PLAN BUDGET SAMI-TF'!J12:J99999,SUMMARY!A128&amp;"*")</f>
        <v>0</v>
      </c>
      <c r="R128" s="10">
        <f>SUMIFS('PLAN BUDGET SAMI-TF'!BD12:BD99999,'PLAN BUDGET SAMI-TF'!D12:D99999,SUMMARY!D128,'PLAN BUDGET SAMI-TF'!J12:J99999,SUMMARY!A128&amp;"*")</f>
        <v>0</v>
      </c>
      <c r="S128" s="10">
        <f>SUMIFS('PLAN BUDGET SAMI-TF'!BE12:BE99999,'PLAN BUDGET SAMI-TF'!D12:D99999,SUMMARY!D128,'PLAN BUDGET SAMI-TF'!J12:J99999,SUMMARY!A128&amp;"*")</f>
        <v>0</v>
      </c>
      <c r="T128" s="10">
        <f>SUMIFS('PLAN BUDGET SAMI-TF'!BF12:BF99999,'PLAN BUDGET SAMI-TF'!D12:D99999,SUMMARY!D128,'PLAN BUDGET SAMI-TF'!J12:J99999,SUMMARY!A128&amp;"*")</f>
        <v>0</v>
      </c>
      <c r="U128" s="10">
        <f>SUMIFS('PLAN BUDGET SAMI-TF'!BG12:BG99999,'PLAN BUDGET SAMI-TF'!D12:D99999,SUMMARY!D128,'PLAN BUDGET SAMI-TF'!J12:J99999,SUMMARY!A128&amp;"*")</f>
        <v>0</v>
      </c>
      <c r="V128" s="10">
        <f>SUMIFS('PLAN BUDGET SAMI-TF'!BH12:BH99999,'PLAN BUDGET SAMI-TF'!D12:D99999,SUMMARY!D128,'PLAN BUDGET SAMI-TF'!J12:J99999,SUMMARY!A128&amp;"*")</f>
        <v>0</v>
      </c>
      <c r="W128" s="10">
        <f>SUMIFS('PLAN BUDGET SAMI-TF'!BI12:BI99999,'PLAN BUDGET SAMI-TF'!D12:D99999,SUMMARY!D128,'PLAN BUDGET SAMI-TF'!J12:J99999,SUMMARY!A128&amp;"*")</f>
        <v>0</v>
      </c>
      <c r="X128" s="10">
        <f>SUMIFS('PLAN BUDGET SAMI-TF'!BJ12:BJ99999,'PLAN BUDGET SAMI-TF'!D12:D99999,SUMMARY!D128,'PLAN BUDGET SAMI-TF'!J12:J99999,SUMMARY!A128&amp;"*")</f>
        <v>0</v>
      </c>
      <c r="Y128" s="10">
        <f>SUMIFS('PLAN BUDGET SAMI-TF'!BK12:BK99999,'PLAN BUDGET SAMI-TF'!D12:D99999,SUMMARY!D128,'PLAN BUDGET SAMI-TF'!J12:J99999,SUMMARY!A128&amp;"*")</f>
        <v>0</v>
      </c>
      <c r="Z128" s="10">
        <f>SUMIFS('PLAN BUDGET SAMI-TF'!BL12:BL99999,'PLAN BUDGET SAMI-TF'!D12:D99999,SUMMARY!D128,'PLAN BUDGET SAMI-TF'!J12:J99999,SUMMARY!A128&amp;"*")</f>
        <v>0</v>
      </c>
      <c r="AA128" s="10">
        <f>SUMIFS('PLAN BUDGET SAMI-TF'!BM12:BM99999,'PLAN BUDGET SAMI-TF'!D12:D99999,SUMMARY!D128,'PLAN BUDGET SAMI-TF'!J12:J99999,SUMMARY!A128&amp;"*")</f>
        <v>0</v>
      </c>
      <c r="AB128" s="10">
        <f>SUMIFS('PLAN BUDGET SAMI-TF'!BN12:BN99999,'PLAN BUDGET SAMI-TF'!D12:D99999,SUMMARY!D128,'PLAN BUDGET SAMI-TF'!J12:J99999,SUMMARY!A128&amp;"*")</f>
        <v>0</v>
      </c>
      <c r="AC128" s="10">
        <f t="shared" si="12"/>
        <v>0</v>
      </c>
      <c r="AD128" s="10">
        <f t="shared" si="13"/>
        <v>0</v>
      </c>
      <c r="AE128" s="16"/>
      <c r="AF128" s="10">
        <v>20</v>
      </c>
      <c r="AG128" s="10">
        <v>234.9</v>
      </c>
      <c r="AH128" s="20">
        <f t="shared" si="14"/>
        <v>-1</v>
      </c>
      <c r="AI128" s="20">
        <f t="shared" si="15"/>
        <v>-1</v>
      </c>
      <c r="AJ128" s="7" t="s">
        <v>743</v>
      </c>
    </row>
    <row r="129" spans="1:36" x14ac:dyDescent="0.35">
      <c r="A129" s="7" t="s">
        <v>709</v>
      </c>
      <c r="B129" s="7"/>
      <c r="C129" s="7"/>
      <c r="D129" s="7" t="s">
        <v>756</v>
      </c>
      <c r="E129" s="10">
        <f>SUMIFS('PLAN BUDGET SAMI-TF'!AN12:AN99999,'PLAN BUDGET SAMI-TF'!D12:D99999,SUMMARY!D129,'PLAN BUDGET SAMI-TF'!J12:J99999,SUMMARY!A129&amp;"*")</f>
        <v>0</v>
      </c>
      <c r="F129" s="10">
        <f>SUMIFS('PLAN BUDGET SAMI-TF'!AO12:AO99999,'PLAN BUDGET SAMI-TF'!D12:D99999,SUMMARY!D129,'PLAN BUDGET SAMI-TF'!J12:J99999,SUMMARY!A129&amp;"*")</f>
        <v>0</v>
      </c>
      <c r="G129" s="10">
        <f>SUMIFS('PLAN BUDGET SAMI-TF'!AP12:AP99999,'PLAN BUDGET SAMI-TF'!D12:D99999,SUMMARY!D129,'PLAN BUDGET SAMI-TF'!J12:J99999,SUMMARY!A129&amp;"*")</f>
        <v>0</v>
      </c>
      <c r="H129" s="10">
        <f>SUMIFS('PLAN BUDGET SAMI-TF'!AQ12:AQ99999,'PLAN BUDGET SAMI-TF'!D12:D99999,SUMMARY!D129,'PLAN BUDGET SAMI-TF'!J12:J99999,SUMMARY!A129&amp;"*")</f>
        <v>0</v>
      </c>
      <c r="I129" s="10">
        <f>SUMIFS('PLAN BUDGET SAMI-TF'!AR12:AR99999,'PLAN BUDGET SAMI-TF'!D12:D99999,SUMMARY!D129,'PLAN BUDGET SAMI-TF'!J12:J99999,SUMMARY!A129&amp;"*")</f>
        <v>0</v>
      </c>
      <c r="J129" s="10">
        <f>SUMIFS('PLAN BUDGET SAMI-TF'!AS12:AS99999,'PLAN BUDGET SAMI-TF'!D12:D99999,SUMMARY!D129,'PLAN BUDGET SAMI-TF'!J12:J99999,SUMMARY!A129&amp;"*")</f>
        <v>0</v>
      </c>
      <c r="K129" s="10">
        <f>SUMIFS('PLAN BUDGET SAMI-TF'!AT12:AT99999,'PLAN BUDGET SAMI-TF'!D12:D99999,SUMMARY!D129,'PLAN BUDGET SAMI-TF'!J12:J99999,SUMMARY!A129&amp;"*")</f>
        <v>0</v>
      </c>
      <c r="L129" s="10">
        <f>SUMIFS('PLAN BUDGET SAMI-TF'!AU12:AU99999,'PLAN BUDGET SAMI-TF'!D12:D99999,SUMMARY!D129,'PLAN BUDGET SAMI-TF'!J12:J99999,SUMMARY!A129&amp;"*")</f>
        <v>0</v>
      </c>
      <c r="M129" s="10">
        <f>SUMIFS('PLAN BUDGET SAMI-TF'!AV12:AV99999,'PLAN BUDGET SAMI-TF'!D12:D99999,SUMMARY!D129,'PLAN BUDGET SAMI-TF'!J12:J99999,SUMMARY!A129&amp;"*")</f>
        <v>0</v>
      </c>
      <c r="N129" s="10">
        <f>SUMIFS('PLAN BUDGET SAMI-TF'!AW12:AW99999,'PLAN BUDGET SAMI-TF'!D12:D99999,SUMMARY!D129,'PLAN BUDGET SAMI-TF'!J12:J99999,SUMMARY!A129&amp;"*")</f>
        <v>0</v>
      </c>
      <c r="O129" s="10">
        <f>SUMIFS('PLAN BUDGET SAMI-TF'!AX12:AX99999,'PLAN BUDGET SAMI-TF'!D12:D99999,SUMMARY!D129,'PLAN BUDGET SAMI-TF'!J12:J99999,SUMMARY!A129&amp;"*")</f>
        <v>0</v>
      </c>
      <c r="P129" s="10">
        <f>SUMIFS('PLAN BUDGET SAMI-TF'!AY12:AY99999,'PLAN BUDGET SAMI-TF'!D12:D99999,SUMMARY!D129,'PLAN BUDGET SAMI-TF'!J12:J99999,SUMMARY!A129&amp;"*")</f>
        <v>0</v>
      </c>
      <c r="Q129" s="10">
        <f>SUMIFS('PLAN BUDGET SAMI-TF'!BC12:BC99999,'PLAN BUDGET SAMI-TF'!D12:D99999,SUMMARY!D129,'PLAN BUDGET SAMI-TF'!J12:J99999,SUMMARY!A129&amp;"*")</f>
        <v>0</v>
      </c>
      <c r="R129" s="10">
        <f>SUMIFS('PLAN BUDGET SAMI-TF'!BD12:BD99999,'PLAN BUDGET SAMI-TF'!D12:D99999,SUMMARY!D129,'PLAN BUDGET SAMI-TF'!J12:J99999,SUMMARY!A129&amp;"*")</f>
        <v>0</v>
      </c>
      <c r="S129" s="10">
        <f>SUMIFS('PLAN BUDGET SAMI-TF'!BE12:BE99999,'PLAN BUDGET SAMI-TF'!D12:D99999,SUMMARY!D129,'PLAN BUDGET SAMI-TF'!J12:J99999,SUMMARY!A129&amp;"*")</f>
        <v>0</v>
      </c>
      <c r="T129" s="10">
        <f>SUMIFS('PLAN BUDGET SAMI-TF'!BF12:BF99999,'PLAN BUDGET SAMI-TF'!D12:D99999,SUMMARY!D129,'PLAN BUDGET SAMI-TF'!J12:J99999,SUMMARY!A129&amp;"*")</f>
        <v>0</v>
      </c>
      <c r="U129" s="10">
        <f>SUMIFS('PLAN BUDGET SAMI-TF'!BG12:BG99999,'PLAN BUDGET SAMI-TF'!D12:D99999,SUMMARY!D129,'PLAN BUDGET SAMI-TF'!J12:J99999,SUMMARY!A129&amp;"*")</f>
        <v>0</v>
      </c>
      <c r="V129" s="10">
        <f>SUMIFS('PLAN BUDGET SAMI-TF'!BH12:BH99999,'PLAN BUDGET SAMI-TF'!D12:D99999,SUMMARY!D129,'PLAN BUDGET SAMI-TF'!J12:J99999,SUMMARY!A129&amp;"*")</f>
        <v>0</v>
      </c>
      <c r="W129" s="10">
        <f>SUMIFS('PLAN BUDGET SAMI-TF'!BI12:BI99999,'PLAN BUDGET SAMI-TF'!D12:D99999,SUMMARY!D129,'PLAN BUDGET SAMI-TF'!J12:J99999,SUMMARY!A129&amp;"*")</f>
        <v>0</v>
      </c>
      <c r="X129" s="10">
        <f>SUMIFS('PLAN BUDGET SAMI-TF'!BJ12:BJ99999,'PLAN BUDGET SAMI-TF'!D12:D99999,SUMMARY!D129,'PLAN BUDGET SAMI-TF'!J12:J99999,SUMMARY!A129&amp;"*")</f>
        <v>0</v>
      </c>
      <c r="Y129" s="10">
        <f>SUMIFS('PLAN BUDGET SAMI-TF'!BK12:BK99999,'PLAN BUDGET SAMI-TF'!D12:D99999,SUMMARY!D129,'PLAN BUDGET SAMI-TF'!J12:J99999,SUMMARY!A129&amp;"*")</f>
        <v>0</v>
      </c>
      <c r="Z129" s="10">
        <f>SUMIFS('PLAN BUDGET SAMI-TF'!BL12:BL99999,'PLAN BUDGET SAMI-TF'!D12:D99999,SUMMARY!D129,'PLAN BUDGET SAMI-TF'!J12:J99999,SUMMARY!A129&amp;"*")</f>
        <v>0</v>
      </c>
      <c r="AA129" s="10">
        <f>SUMIFS('PLAN BUDGET SAMI-TF'!BM12:BM99999,'PLAN BUDGET SAMI-TF'!D12:D99999,SUMMARY!D129,'PLAN BUDGET SAMI-TF'!J12:J99999,SUMMARY!A129&amp;"*")</f>
        <v>0</v>
      </c>
      <c r="AB129" s="10">
        <f>SUMIFS('PLAN BUDGET SAMI-TF'!BN12:BN99999,'PLAN BUDGET SAMI-TF'!D12:D99999,SUMMARY!D129,'PLAN BUDGET SAMI-TF'!J12:J99999,SUMMARY!A129&amp;"*")</f>
        <v>0</v>
      </c>
      <c r="AC129" s="10">
        <f t="shared" si="12"/>
        <v>0</v>
      </c>
      <c r="AD129" s="10">
        <f t="shared" si="13"/>
        <v>0</v>
      </c>
      <c r="AE129" s="16"/>
      <c r="AF129" s="10">
        <v>20</v>
      </c>
      <c r="AG129" s="10">
        <v>223.3</v>
      </c>
      <c r="AH129" s="20">
        <f t="shared" si="14"/>
        <v>-1</v>
      </c>
      <c r="AI129" s="20">
        <f t="shared" si="15"/>
        <v>-1</v>
      </c>
      <c r="AJ129" s="7" t="s">
        <v>743</v>
      </c>
    </row>
    <row r="130" spans="1:36" x14ac:dyDescent="0.35">
      <c r="A130" s="7" t="s">
        <v>709</v>
      </c>
      <c r="B130" s="7"/>
      <c r="C130" s="7"/>
      <c r="D130" s="7" t="s">
        <v>757</v>
      </c>
      <c r="E130" s="10">
        <f>SUMIFS('PLAN BUDGET SAMI-TF'!AN12:AN99999,'PLAN BUDGET SAMI-TF'!D12:D99999,SUMMARY!D130,'PLAN BUDGET SAMI-TF'!J12:J99999,SUMMARY!A130&amp;"*")</f>
        <v>0</v>
      </c>
      <c r="F130" s="10">
        <f>SUMIFS('PLAN BUDGET SAMI-TF'!AO12:AO99999,'PLAN BUDGET SAMI-TF'!D12:D99999,SUMMARY!D130,'PLAN BUDGET SAMI-TF'!J12:J99999,SUMMARY!A130&amp;"*")</f>
        <v>0</v>
      </c>
      <c r="G130" s="10">
        <f>SUMIFS('PLAN BUDGET SAMI-TF'!AP12:AP99999,'PLAN BUDGET SAMI-TF'!D12:D99999,SUMMARY!D130,'PLAN BUDGET SAMI-TF'!J12:J99999,SUMMARY!A130&amp;"*")</f>
        <v>0</v>
      </c>
      <c r="H130" s="10">
        <f>SUMIFS('PLAN BUDGET SAMI-TF'!AQ12:AQ99999,'PLAN BUDGET SAMI-TF'!D12:D99999,SUMMARY!D130,'PLAN BUDGET SAMI-TF'!J12:J99999,SUMMARY!A130&amp;"*")</f>
        <v>0</v>
      </c>
      <c r="I130" s="10">
        <f>SUMIFS('PLAN BUDGET SAMI-TF'!AR12:AR99999,'PLAN BUDGET SAMI-TF'!D12:D99999,SUMMARY!D130,'PLAN BUDGET SAMI-TF'!J12:J99999,SUMMARY!A130&amp;"*")</f>
        <v>0</v>
      </c>
      <c r="J130" s="10">
        <f>SUMIFS('PLAN BUDGET SAMI-TF'!AS12:AS99999,'PLAN BUDGET SAMI-TF'!D12:D99999,SUMMARY!D130,'PLAN BUDGET SAMI-TF'!J12:J99999,SUMMARY!A130&amp;"*")</f>
        <v>0</v>
      </c>
      <c r="K130" s="10">
        <f>SUMIFS('PLAN BUDGET SAMI-TF'!AT12:AT99999,'PLAN BUDGET SAMI-TF'!D12:D99999,SUMMARY!D130,'PLAN BUDGET SAMI-TF'!J12:J99999,SUMMARY!A130&amp;"*")</f>
        <v>0</v>
      </c>
      <c r="L130" s="10">
        <f>SUMIFS('PLAN BUDGET SAMI-TF'!AU12:AU99999,'PLAN BUDGET SAMI-TF'!D12:D99999,SUMMARY!D130,'PLAN BUDGET SAMI-TF'!J12:J99999,SUMMARY!A130&amp;"*")</f>
        <v>0</v>
      </c>
      <c r="M130" s="10">
        <f>SUMIFS('PLAN BUDGET SAMI-TF'!AV12:AV99999,'PLAN BUDGET SAMI-TF'!D12:D99999,SUMMARY!D130,'PLAN BUDGET SAMI-TF'!J12:J99999,SUMMARY!A130&amp;"*")</f>
        <v>0</v>
      </c>
      <c r="N130" s="10">
        <f>SUMIFS('PLAN BUDGET SAMI-TF'!AW12:AW99999,'PLAN BUDGET SAMI-TF'!D12:D99999,SUMMARY!D130,'PLAN BUDGET SAMI-TF'!J12:J99999,SUMMARY!A130&amp;"*")</f>
        <v>0</v>
      </c>
      <c r="O130" s="10">
        <f>SUMIFS('PLAN BUDGET SAMI-TF'!AX12:AX99999,'PLAN BUDGET SAMI-TF'!D12:D99999,SUMMARY!D130,'PLAN BUDGET SAMI-TF'!J12:J99999,SUMMARY!A130&amp;"*")</f>
        <v>0</v>
      </c>
      <c r="P130" s="10">
        <f>SUMIFS('PLAN BUDGET SAMI-TF'!AY12:AY99999,'PLAN BUDGET SAMI-TF'!D12:D99999,SUMMARY!D130,'PLAN BUDGET SAMI-TF'!J12:J99999,SUMMARY!A130&amp;"*")</f>
        <v>0</v>
      </c>
      <c r="Q130" s="10">
        <f>SUMIFS('PLAN BUDGET SAMI-TF'!BC12:BC99999,'PLAN BUDGET SAMI-TF'!D12:D99999,SUMMARY!D130,'PLAN BUDGET SAMI-TF'!J12:J99999,SUMMARY!A130&amp;"*")</f>
        <v>0</v>
      </c>
      <c r="R130" s="10">
        <f>SUMIFS('PLAN BUDGET SAMI-TF'!BD12:BD99999,'PLAN BUDGET SAMI-TF'!D12:D99999,SUMMARY!D130,'PLAN BUDGET SAMI-TF'!J12:J99999,SUMMARY!A130&amp;"*")</f>
        <v>0</v>
      </c>
      <c r="S130" s="10">
        <f>SUMIFS('PLAN BUDGET SAMI-TF'!BE12:BE99999,'PLAN BUDGET SAMI-TF'!D12:D99999,SUMMARY!D130,'PLAN BUDGET SAMI-TF'!J12:J99999,SUMMARY!A130&amp;"*")</f>
        <v>0</v>
      </c>
      <c r="T130" s="10">
        <f>SUMIFS('PLAN BUDGET SAMI-TF'!BF12:BF99999,'PLAN BUDGET SAMI-TF'!D12:D99999,SUMMARY!D130,'PLAN BUDGET SAMI-TF'!J12:J99999,SUMMARY!A130&amp;"*")</f>
        <v>0</v>
      </c>
      <c r="U130" s="10">
        <f>SUMIFS('PLAN BUDGET SAMI-TF'!BG12:BG99999,'PLAN BUDGET SAMI-TF'!D12:D99999,SUMMARY!D130,'PLAN BUDGET SAMI-TF'!J12:J99999,SUMMARY!A130&amp;"*")</f>
        <v>0</v>
      </c>
      <c r="V130" s="10">
        <f>SUMIFS('PLAN BUDGET SAMI-TF'!BH12:BH99999,'PLAN BUDGET SAMI-TF'!D12:D99999,SUMMARY!D130,'PLAN BUDGET SAMI-TF'!J12:J99999,SUMMARY!A130&amp;"*")</f>
        <v>0</v>
      </c>
      <c r="W130" s="10">
        <f>SUMIFS('PLAN BUDGET SAMI-TF'!BI12:BI99999,'PLAN BUDGET SAMI-TF'!D12:D99999,SUMMARY!D130,'PLAN BUDGET SAMI-TF'!J12:J99999,SUMMARY!A130&amp;"*")</f>
        <v>0</v>
      </c>
      <c r="X130" s="10">
        <f>SUMIFS('PLAN BUDGET SAMI-TF'!BJ12:BJ99999,'PLAN BUDGET SAMI-TF'!D12:D99999,SUMMARY!D130,'PLAN BUDGET SAMI-TF'!J12:J99999,SUMMARY!A130&amp;"*")</f>
        <v>0</v>
      </c>
      <c r="Y130" s="10">
        <f>SUMIFS('PLAN BUDGET SAMI-TF'!BK12:BK99999,'PLAN BUDGET SAMI-TF'!D12:D99999,SUMMARY!D130,'PLAN BUDGET SAMI-TF'!J12:J99999,SUMMARY!A130&amp;"*")</f>
        <v>0</v>
      </c>
      <c r="Z130" s="10">
        <f>SUMIFS('PLAN BUDGET SAMI-TF'!BL12:BL99999,'PLAN BUDGET SAMI-TF'!D12:D99999,SUMMARY!D130,'PLAN BUDGET SAMI-TF'!J12:J99999,SUMMARY!A130&amp;"*")</f>
        <v>0</v>
      </c>
      <c r="AA130" s="10">
        <f>SUMIFS('PLAN BUDGET SAMI-TF'!BM12:BM99999,'PLAN BUDGET SAMI-TF'!D12:D99999,SUMMARY!D130,'PLAN BUDGET SAMI-TF'!J12:J99999,SUMMARY!A130&amp;"*")</f>
        <v>0</v>
      </c>
      <c r="AB130" s="10">
        <f>SUMIFS('PLAN BUDGET SAMI-TF'!BN12:BN99999,'PLAN BUDGET SAMI-TF'!D12:D99999,SUMMARY!D130,'PLAN BUDGET SAMI-TF'!J12:J99999,SUMMARY!A130&amp;"*")</f>
        <v>0</v>
      </c>
      <c r="AC130" s="10">
        <f t="shared" si="12"/>
        <v>0</v>
      </c>
      <c r="AD130" s="10">
        <f t="shared" si="13"/>
        <v>0</v>
      </c>
      <c r="AE130" s="16"/>
      <c r="AF130" s="10">
        <v>10</v>
      </c>
      <c r="AG130" s="10">
        <v>80.599999999999994</v>
      </c>
      <c r="AH130" s="20">
        <f t="shared" si="14"/>
        <v>-1</v>
      </c>
      <c r="AI130" s="20">
        <f t="shared" si="15"/>
        <v>-1</v>
      </c>
      <c r="AJ130" s="7" t="s">
        <v>743</v>
      </c>
    </row>
    <row r="131" spans="1:36" x14ac:dyDescent="0.35">
      <c r="A131" s="7" t="s">
        <v>709</v>
      </c>
      <c r="B131" s="7"/>
      <c r="C131" s="7"/>
      <c r="D131" s="7" t="s">
        <v>758</v>
      </c>
      <c r="E131" s="10">
        <f>SUMIFS('PLAN BUDGET SAMI-TF'!AN12:AN99999,'PLAN BUDGET SAMI-TF'!D12:D99999,SUMMARY!D131,'PLAN BUDGET SAMI-TF'!J12:J99999,SUMMARY!A131&amp;"*")</f>
        <v>0</v>
      </c>
      <c r="F131" s="10">
        <f>SUMIFS('PLAN BUDGET SAMI-TF'!AO12:AO99999,'PLAN BUDGET SAMI-TF'!D12:D99999,SUMMARY!D131,'PLAN BUDGET SAMI-TF'!J12:J99999,SUMMARY!A131&amp;"*")</f>
        <v>0</v>
      </c>
      <c r="G131" s="10">
        <f>SUMIFS('PLAN BUDGET SAMI-TF'!AP12:AP99999,'PLAN BUDGET SAMI-TF'!D12:D99999,SUMMARY!D131,'PLAN BUDGET SAMI-TF'!J12:J99999,SUMMARY!A131&amp;"*")</f>
        <v>0</v>
      </c>
      <c r="H131" s="10">
        <f>SUMIFS('PLAN BUDGET SAMI-TF'!AQ12:AQ99999,'PLAN BUDGET SAMI-TF'!D12:D99999,SUMMARY!D131,'PLAN BUDGET SAMI-TF'!J12:J99999,SUMMARY!A131&amp;"*")</f>
        <v>0</v>
      </c>
      <c r="I131" s="10">
        <f>SUMIFS('PLAN BUDGET SAMI-TF'!AR12:AR99999,'PLAN BUDGET SAMI-TF'!D12:D99999,SUMMARY!D131,'PLAN BUDGET SAMI-TF'!J12:J99999,SUMMARY!A131&amp;"*")</f>
        <v>0</v>
      </c>
      <c r="J131" s="10">
        <f>SUMIFS('PLAN BUDGET SAMI-TF'!AS12:AS99999,'PLAN BUDGET SAMI-TF'!D12:D99999,SUMMARY!D131,'PLAN BUDGET SAMI-TF'!J12:J99999,SUMMARY!A131&amp;"*")</f>
        <v>0</v>
      </c>
      <c r="K131" s="10">
        <f>SUMIFS('PLAN BUDGET SAMI-TF'!AT12:AT99999,'PLAN BUDGET SAMI-TF'!D12:D99999,SUMMARY!D131,'PLAN BUDGET SAMI-TF'!J12:J99999,SUMMARY!A131&amp;"*")</f>
        <v>0</v>
      </c>
      <c r="L131" s="10">
        <f>SUMIFS('PLAN BUDGET SAMI-TF'!AU12:AU99999,'PLAN BUDGET SAMI-TF'!D12:D99999,SUMMARY!D131,'PLAN BUDGET SAMI-TF'!J12:J99999,SUMMARY!A131&amp;"*")</f>
        <v>0</v>
      </c>
      <c r="M131" s="10">
        <f>SUMIFS('PLAN BUDGET SAMI-TF'!AV12:AV99999,'PLAN BUDGET SAMI-TF'!D12:D99999,SUMMARY!D131,'PLAN BUDGET SAMI-TF'!J12:J99999,SUMMARY!A131&amp;"*")</f>
        <v>0</v>
      </c>
      <c r="N131" s="10">
        <f>SUMIFS('PLAN BUDGET SAMI-TF'!AW12:AW99999,'PLAN BUDGET SAMI-TF'!D12:D99999,SUMMARY!D131,'PLAN BUDGET SAMI-TF'!J12:J99999,SUMMARY!A131&amp;"*")</f>
        <v>0</v>
      </c>
      <c r="O131" s="10">
        <f>SUMIFS('PLAN BUDGET SAMI-TF'!AX12:AX99999,'PLAN BUDGET SAMI-TF'!D12:D99999,SUMMARY!D131,'PLAN BUDGET SAMI-TF'!J12:J99999,SUMMARY!A131&amp;"*")</f>
        <v>0</v>
      </c>
      <c r="P131" s="10">
        <f>SUMIFS('PLAN BUDGET SAMI-TF'!AY12:AY99999,'PLAN BUDGET SAMI-TF'!D12:D99999,SUMMARY!D131,'PLAN BUDGET SAMI-TF'!J12:J99999,SUMMARY!A131&amp;"*")</f>
        <v>0</v>
      </c>
      <c r="Q131" s="10">
        <f>SUMIFS('PLAN BUDGET SAMI-TF'!BC12:BC99999,'PLAN BUDGET SAMI-TF'!D12:D99999,SUMMARY!D131,'PLAN BUDGET SAMI-TF'!J12:J99999,SUMMARY!A131&amp;"*")</f>
        <v>0</v>
      </c>
      <c r="R131" s="10">
        <f>SUMIFS('PLAN BUDGET SAMI-TF'!BD12:BD99999,'PLAN BUDGET SAMI-TF'!D12:D99999,SUMMARY!D131,'PLAN BUDGET SAMI-TF'!J12:J99999,SUMMARY!A131&amp;"*")</f>
        <v>0</v>
      </c>
      <c r="S131" s="10">
        <f>SUMIFS('PLAN BUDGET SAMI-TF'!BE12:BE99999,'PLAN BUDGET SAMI-TF'!D12:D99999,SUMMARY!D131,'PLAN BUDGET SAMI-TF'!J12:J99999,SUMMARY!A131&amp;"*")</f>
        <v>0</v>
      </c>
      <c r="T131" s="10">
        <f>SUMIFS('PLAN BUDGET SAMI-TF'!BF12:BF99999,'PLAN BUDGET SAMI-TF'!D12:D99999,SUMMARY!D131,'PLAN BUDGET SAMI-TF'!J12:J99999,SUMMARY!A131&amp;"*")</f>
        <v>0</v>
      </c>
      <c r="U131" s="10">
        <f>SUMIFS('PLAN BUDGET SAMI-TF'!BG12:BG99999,'PLAN BUDGET SAMI-TF'!D12:D99999,SUMMARY!D131,'PLAN BUDGET SAMI-TF'!J12:J99999,SUMMARY!A131&amp;"*")</f>
        <v>0</v>
      </c>
      <c r="V131" s="10">
        <f>SUMIFS('PLAN BUDGET SAMI-TF'!BH12:BH99999,'PLAN BUDGET SAMI-TF'!D12:D99999,SUMMARY!D131,'PLAN BUDGET SAMI-TF'!J12:J99999,SUMMARY!A131&amp;"*")</f>
        <v>0</v>
      </c>
      <c r="W131" s="10">
        <f>SUMIFS('PLAN BUDGET SAMI-TF'!BI12:BI99999,'PLAN BUDGET SAMI-TF'!D12:D99999,SUMMARY!D131,'PLAN BUDGET SAMI-TF'!J12:J99999,SUMMARY!A131&amp;"*")</f>
        <v>0</v>
      </c>
      <c r="X131" s="10">
        <f>SUMIFS('PLAN BUDGET SAMI-TF'!BJ12:BJ99999,'PLAN BUDGET SAMI-TF'!D12:D99999,SUMMARY!D131,'PLAN BUDGET SAMI-TF'!J12:J99999,SUMMARY!A131&amp;"*")</f>
        <v>0</v>
      </c>
      <c r="Y131" s="10">
        <f>SUMIFS('PLAN BUDGET SAMI-TF'!BK12:BK99999,'PLAN BUDGET SAMI-TF'!D12:D99999,SUMMARY!D131,'PLAN BUDGET SAMI-TF'!J12:J99999,SUMMARY!A131&amp;"*")</f>
        <v>0</v>
      </c>
      <c r="Z131" s="10">
        <f>SUMIFS('PLAN BUDGET SAMI-TF'!BL12:BL99999,'PLAN BUDGET SAMI-TF'!D12:D99999,SUMMARY!D131,'PLAN BUDGET SAMI-TF'!J12:J99999,SUMMARY!A131&amp;"*")</f>
        <v>0</v>
      </c>
      <c r="AA131" s="10">
        <f>SUMIFS('PLAN BUDGET SAMI-TF'!BM12:BM99999,'PLAN BUDGET SAMI-TF'!D12:D99999,SUMMARY!D131,'PLAN BUDGET SAMI-TF'!J12:J99999,SUMMARY!A131&amp;"*")</f>
        <v>0</v>
      </c>
      <c r="AB131" s="10">
        <f>SUMIFS('PLAN BUDGET SAMI-TF'!BN12:BN99999,'PLAN BUDGET SAMI-TF'!D12:D99999,SUMMARY!D131,'PLAN BUDGET SAMI-TF'!J12:J99999,SUMMARY!A131&amp;"*")</f>
        <v>0</v>
      </c>
      <c r="AC131" s="10">
        <f t="shared" si="12"/>
        <v>0</v>
      </c>
      <c r="AD131" s="10">
        <f t="shared" si="13"/>
        <v>0</v>
      </c>
      <c r="AE131" s="16"/>
      <c r="AF131" s="10">
        <v>10</v>
      </c>
      <c r="AG131" s="10">
        <v>231.5</v>
      </c>
      <c r="AH131" s="20">
        <f t="shared" si="14"/>
        <v>-1</v>
      </c>
      <c r="AI131" s="20">
        <f t="shared" si="15"/>
        <v>-1</v>
      </c>
      <c r="AJ131" s="7" t="s">
        <v>743</v>
      </c>
    </row>
    <row r="132" spans="1:36" x14ac:dyDescent="0.35">
      <c r="A132" s="7" t="s">
        <v>709</v>
      </c>
      <c r="B132" s="7"/>
      <c r="C132" s="7"/>
      <c r="D132" s="7" t="s">
        <v>759</v>
      </c>
      <c r="E132" s="10">
        <f>SUMIFS('PLAN BUDGET SAMI-TF'!AN12:AN99999,'PLAN BUDGET SAMI-TF'!D12:D99999,SUMMARY!D132,'PLAN BUDGET SAMI-TF'!J12:J99999,SUMMARY!A132&amp;"*")</f>
        <v>0</v>
      </c>
      <c r="F132" s="10">
        <f>SUMIFS('PLAN BUDGET SAMI-TF'!AO12:AO99999,'PLAN BUDGET SAMI-TF'!D12:D99999,SUMMARY!D132,'PLAN BUDGET SAMI-TF'!J12:J99999,SUMMARY!A132&amp;"*")</f>
        <v>0</v>
      </c>
      <c r="G132" s="10">
        <f>SUMIFS('PLAN BUDGET SAMI-TF'!AP12:AP99999,'PLAN BUDGET SAMI-TF'!D12:D99999,SUMMARY!D132,'PLAN BUDGET SAMI-TF'!J12:J99999,SUMMARY!A132&amp;"*")</f>
        <v>0</v>
      </c>
      <c r="H132" s="10">
        <f>SUMIFS('PLAN BUDGET SAMI-TF'!AQ12:AQ99999,'PLAN BUDGET SAMI-TF'!D12:D99999,SUMMARY!D132,'PLAN BUDGET SAMI-TF'!J12:J99999,SUMMARY!A132&amp;"*")</f>
        <v>0</v>
      </c>
      <c r="I132" s="10">
        <f>SUMIFS('PLAN BUDGET SAMI-TF'!AR12:AR99999,'PLAN BUDGET SAMI-TF'!D12:D99999,SUMMARY!D132,'PLAN BUDGET SAMI-TF'!J12:J99999,SUMMARY!A132&amp;"*")</f>
        <v>0</v>
      </c>
      <c r="J132" s="10">
        <f>SUMIFS('PLAN BUDGET SAMI-TF'!AS12:AS99999,'PLAN BUDGET SAMI-TF'!D12:D99999,SUMMARY!D132,'PLAN BUDGET SAMI-TF'!J12:J99999,SUMMARY!A132&amp;"*")</f>
        <v>0</v>
      </c>
      <c r="K132" s="10">
        <f>SUMIFS('PLAN BUDGET SAMI-TF'!AT12:AT99999,'PLAN BUDGET SAMI-TF'!D12:D99999,SUMMARY!D132,'PLAN BUDGET SAMI-TF'!J12:J99999,SUMMARY!A132&amp;"*")</f>
        <v>0</v>
      </c>
      <c r="L132" s="10">
        <f>SUMIFS('PLAN BUDGET SAMI-TF'!AU12:AU99999,'PLAN BUDGET SAMI-TF'!D12:D99999,SUMMARY!D132,'PLAN BUDGET SAMI-TF'!J12:J99999,SUMMARY!A132&amp;"*")</f>
        <v>0</v>
      </c>
      <c r="M132" s="10">
        <f>SUMIFS('PLAN BUDGET SAMI-TF'!AV12:AV99999,'PLAN BUDGET SAMI-TF'!D12:D99999,SUMMARY!D132,'PLAN BUDGET SAMI-TF'!J12:J99999,SUMMARY!A132&amp;"*")</f>
        <v>0</v>
      </c>
      <c r="N132" s="10">
        <f>SUMIFS('PLAN BUDGET SAMI-TF'!AW12:AW99999,'PLAN BUDGET SAMI-TF'!D12:D99999,SUMMARY!D132,'PLAN BUDGET SAMI-TF'!J12:J99999,SUMMARY!A132&amp;"*")</f>
        <v>0</v>
      </c>
      <c r="O132" s="10">
        <f>SUMIFS('PLAN BUDGET SAMI-TF'!AX12:AX99999,'PLAN BUDGET SAMI-TF'!D12:D99999,SUMMARY!D132,'PLAN BUDGET SAMI-TF'!J12:J99999,SUMMARY!A132&amp;"*")</f>
        <v>0</v>
      </c>
      <c r="P132" s="10">
        <f>SUMIFS('PLAN BUDGET SAMI-TF'!AY12:AY99999,'PLAN BUDGET SAMI-TF'!D12:D99999,SUMMARY!D132,'PLAN BUDGET SAMI-TF'!J12:J99999,SUMMARY!A132&amp;"*")</f>
        <v>0</v>
      </c>
      <c r="Q132" s="10">
        <f>SUMIFS('PLAN BUDGET SAMI-TF'!BC12:BC99999,'PLAN BUDGET SAMI-TF'!D12:D99999,SUMMARY!D132,'PLAN BUDGET SAMI-TF'!J12:J99999,SUMMARY!A132&amp;"*")</f>
        <v>0</v>
      </c>
      <c r="R132" s="10">
        <f>SUMIFS('PLAN BUDGET SAMI-TF'!BD12:BD99999,'PLAN BUDGET SAMI-TF'!D12:D99999,SUMMARY!D132,'PLAN BUDGET SAMI-TF'!J12:J99999,SUMMARY!A132&amp;"*")</f>
        <v>0</v>
      </c>
      <c r="S132" s="10">
        <f>SUMIFS('PLAN BUDGET SAMI-TF'!BE12:BE99999,'PLAN BUDGET SAMI-TF'!D12:D99999,SUMMARY!D132,'PLAN BUDGET SAMI-TF'!J12:J99999,SUMMARY!A132&amp;"*")</f>
        <v>0</v>
      </c>
      <c r="T132" s="10">
        <f>SUMIFS('PLAN BUDGET SAMI-TF'!BF12:BF99999,'PLAN BUDGET SAMI-TF'!D12:D99999,SUMMARY!D132,'PLAN BUDGET SAMI-TF'!J12:J99999,SUMMARY!A132&amp;"*")</f>
        <v>0</v>
      </c>
      <c r="U132" s="10">
        <f>SUMIFS('PLAN BUDGET SAMI-TF'!BG12:BG99999,'PLAN BUDGET SAMI-TF'!D12:D99999,SUMMARY!D132,'PLAN BUDGET SAMI-TF'!J12:J99999,SUMMARY!A132&amp;"*")</f>
        <v>0</v>
      </c>
      <c r="V132" s="10">
        <f>SUMIFS('PLAN BUDGET SAMI-TF'!BH12:BH99999,'PLAN BUDGET SAMI-TF'!D12:D99999,SUMMARY!D132,'PLAN BUDGET SAMI-TF'!J12:J99999,SUMMARY!A132&amp;"*")</f>
        <v>0</v>
      </c>
      <c r="W132" s="10">
        <f>SUMIFS('PLAN BUDGET SAMI-TF'!BI12:BI99999,'PLAN BUDGET SAMI-TF'!D12:D99999,SUMMARY!D132,'PLAN BUDGET SAMI-TF'!J12:J99999,SUMMARY!A132&amp;"*")</f>
        <v>0</v>
      </c>
      <c r="X132" s="10">
        <f>SUMIFS('PLAN BUDGET SAMI-TF'!BJ12:BJ99999,'PLAN BUDGET SAMI-TF'!D12:D99999,SUMMARY!D132,'PLAN BUDGET SAMI-TF'!J12:J99999,SUMMARY!A132&amp;"*")</f>
        <v>0</v>
      </c>
      <c r="Y132" s="10">
        <f>SUMIFS('PLAN BUDGET SAMI-TF'!BK12:BK99999,'PLAN BUDGET SAMI-TF'!D12:D99999,SUMMARY!D132,'PLAN BUDGET SAMI-TF'!J12:J99999,SUMMARY!A132&amp;"*")</f>
        <v>0</v>
      </c>
      <c r="Z132" s="10">
        <f>SUMIFS('PLAN BUDGET SAMI-TF'!BL12:BL99999,'PLAN BUDGET SAMI-TF'!D12:D99999,SUMMARY!D132,'PLAN BUDGET SAMI-TF'!J12:J99999,SUMMARY!A132&amp;"*")</f>
        <v>0</v>
      </c>
      <c r="AA132" s="10">
        <f>SUMIFS('PLAN BUDGET SAMI-TF'!BM12:BM99999,'PLAN BUDGET SAMI-TF'!D12:D99999,SUMMARY!D132,'PLAN BUDGET SAMI-TF'!J12:J99999,SUMMARY!A132&amp;"*")</f>
        <v>0</v>
      </c>
      <c r="AB132" s="10">
        <f>SUMIFS('PLAN BUDGET SAMI-TF'!BN12:BN99999,'PLAN BUDGET SAMI-TF'!D12:D99999,SUMMARY!D132,'PLAN BUDGET SAMI-TF'!J12:J99999,SUMMARY!A132&amp;"*")</f>
        <v>0</v>
      </c>
      <c r="AC132" s="10">
        <f t="shared" si="12"/>
        <v>0</v>
      </c>
      <c r="AD132" s="10">
        <f t="shared" si="13"/>
        <v>0</v>
      </c>
      <c r="AE132" s="16"/>
      <c r="AF132" s="10">
        <v>10</v>
      </c>
      <c r="AG132" s="10">
        <v>205.2</v>
      </c>
      <c r="AH132" s="20">
        <f t="shared" si="14"/>
        <v>-1</v>
      </c>
      <c r="AI132" s="20">
        <f t="shared" si="15"/>
        <v>-1</v>
      </c>
      <c r="AJ132" s="7" t="s">
        <v>743</v>
      </c>
    </row>
    <row r="133" spans="1:36" x14ac:dyDescent="0.35">
      <c r="A133" s="7" t="s">
        <v>709</v>
      </c>
      <c r="B133" s="7"/>
      <c r="C133" s="7"/>
      <c r="D133" s="7" t="s">
        <v>760</v>
      </c>
      <c r="E133" s="10">
        <f>SUMIFS('PLAN BUDGET SAMI-TF'!AN12:AN99999,'PLAN BUDGET SAMI-TF'!D12:D99999,SUMMARY!D133,'PLAN BUDGET SAMI-TF'!J12:J99999,SUMMARY!A133&amp;"*")</f>
        <v>0</v>
      </c>
      <c r="F133" s="10">
        <f>SUMIFS('PLAN BUDGET SAMI-TF'!AO12:AO99999,'PLAN BUDGET SAMI-TF'!D12:D99999,SUMMARY!D133,'PLAN BUDGET SAMI-TF'!J12:J99999,SUMMARY!A133&amp;"*")</f>
        <v>0</v>
      </c>
      <c r="G133" s="10">
        <f>SUMIFS('PLAN BUDGET SAMI-TF'!AP12:AP99999,'PLAN BUDGET SAMI-TF'!D12:D99999,SUMMARY!D133,'PLAN BUDGET SAMI-TF'!J12:J99999,SUMMARY!A133&amp;"*")</f>
        <v>0</v>
      </c>
      <c r="H133" s="10">
        <f>SUMIFS('PLAN BUDGET SAMI-TF'!AQ12:AQ99999,'PLAN BUDGET SAMI-TF'!D12:D99999,SUMMARY!D133,'PLAN BUDGET SAMI-TF'!J12:J99999,SUMMARY!A133&amp;"*")</f>
        <v>0</v>
      </c>
      <c r="I133" s="10">
        <f>SUMIFS('PLAN BUDGET SAMI-TF'!AR12:AR99999,'PLAN BUDGET SAMI-TF'!D12:D99999,SUMMARY!D133,'PLAN BUDGET SAMI-TF'!J12:J99999,SUMMARY!A133&amp;"*")</f>
        <v>0</v>
      </c>
      <c r="J133" s="10">
        <f>SUMIFS('PLAN BUDGET SAMI-TF'!AS12:AS99999,'PLAN BUDGET SAMI-TF'!D12:D99999,SUMMARY!D133,'PLAN BUDGET SAMI-TF'!J12:J99999,SUMMARY!A133&amp;"*")</f>
        <v>0</v>
      </c>
      <c r="K133" s="10">
        <f>SUMIFS('PLAN BUDGET SAMI-TF'!AT12:AT99999,'PLAN BUDGET SAMI-TF'!D12:D99999,SUMMARY!D133,'PLAN BUDGET SAMI-TF'!J12:J99999,SUMMARY!A133&amp;"*")</f>
        <v>0</v>
      </c>
      <c r="L133" s="10">
        <f>SUMIFS('PLAN BUDGET SAMI-TF'!AU12:AU99999,'PLAN BUDGET SAMI-TF'!D12:D99999,SUMMARY!D133,'PLAN BUDGET SAMI-TF'!J12:J99999,SUMMARY!A133&amp;"*")</f>
        <v>0</v>
      </c>
      <c r="M133" s="10">
        <f>SUMIFS('PLAN BUDGET SAMI-TF'!AV12:AV99999,'PLAN BUDGET SAMI-TF'!D12:D99999,SUMMARY!D133,'PLAN BUDGET SAMI-TF'!J12:J99999,SUMMARY!A133&amp;"*")</f>
        <v>0</v>
      </c>
      <c r="N133" s="10">
        <f>SUMIFS('PLAN BUDGET SAMI-TF'!AW12:AW99999,'PLAN BUDGET SAMI-TF'!D12:D99999,SUMMARY!D133,'PLAN BUDGET SAMI-TF'!J12:J99999,SUMMARY!A133&amp;"*")</f>
        <v>0</v>
      </c>
      <c r="O133" s="10">
        <f>SUMIFS('PLAN BUDGET SAMI-TF'!AX12:AX99999,'PLAN BUDGET SAMI-TF'!D12:D99999,SUMMARY!D133,'PLAN BUDGET SAMI-TF'!J12:J99999,SUMMARY!A133&amp;"*")</f>
        <v>0</v>
      </c>
      <c r="P133" s="10">
        <f>SUMIFS('PLAN BUDGET SAMI-TF'!AY12:AY99999,'PLAN BUDGET SAMI-TF'!D12:D99999,SUMMARY!D133,'PLAN BUDGET SAMI-TF'!J12:J99999,SUMMARY!A133&amp;"*")</f>
        <v>0</v>
      </c>
      <c r="Q133" s="10">
        <f>SUMIFS('PLAN BUDGET SAMI-TF'!BC12:BC99999,'PLAN BUDGET SAMI-TF'!D12:D99999,SUMMARY!D133,'PLAN BUDGET SAMI-TF'!J12:J99999,SUMMARY!A133&amp;"*")</f>
        <v>0</v>
      </c>
      <c r="R133" s="10">
        <f>SUMIFS('PLAN BUDGET SAMI-TF'!BD12:BD99999,'PLAN BUDGET SAMI-TF'!D12:D99999,SUMMARY!D133,'PLAN BUDGET SAMI-TF'!J12:J99999,SUMMARY!A133&amp;"*")</f>
        <v>0</v>
      </c>
      <c r="S133" s="10">
        <f>SUMIFS('PLAN BUDGET SAMI-TF'!BE12:BE99999,'PLAN BUDGET SAMI-TF'!D12:D99999,SUMMARY!D133,'PLAN BUDGET SAMI-TF'!J12:J99999,SUMMARY!A133&amp;"*")</f>
        <v>0</v>
      </c>
      <c r="T133" s="10">
        <f>SUMIFS('PLAN BUDGET SAMI-TF'!BF12:BF99999,'PLAN BUDGET SAMI-TF'!D12:D99999,SUMMARY!D133,'PLAN BUDGET SAMI-TF'!J12:J99999,SUMMARY!A133&amp;"*")</f>
        <v>0</v>
      </c>
      <c r="U133" s="10">
        <f>SUMIFS('PLAN BUDGET SAMI-TF'!BG12:BG99999,'PLAN BUDGET SAMI-TF'!D12:D99999,SUMMARY!D133,'PLAN BUDGET SAMI-TF'!J12:J99999,SUMMARY!A133&amp;"*")</f>
        <v>0</v>
      </c>
      <c r="V133" s="10">
        <f>SUMIFS('PLAN BUDGET SAMI-TF'!BH12:BH99999,'PLAN BUDGET SAMI-TF'!D12:D99999,SUMMARY!D133,'PLAN BUDGET SAMI-TF'!J12:J99999,SUMMARY!A133&amp;"*")</f>
        <v>0</v>
      </c>
      <c r="W133" s="10">
        <f>SUMIFS('PLAN BUDGET SAMI-TF'!BI12:BI99999,'PLAN BUDGET SAMI-TF'!D12:D99999,SUMMARY!D133,'PLAN BUDGET SAMI-TF'!J12:J99999,SUMMARY!A133&amp;"*")</f>
        <v>0</v>
      </c>
      <c r="X133" s="10">
        <f>SUMIFS('PLAN BUDGET SAMI-TF'!BJ12:BJ99999,'PLAN BUDGET SAMI-TF'!D12:D99999,SUMMARY!D133,'PLAN BUDGET SAMI-TF'!J12:J99999,SUMMARY!A133&amp;"*")</f>
        <v>0</v>
      </c>
      <c r="Y133" s="10">
        <f>SUMIFS('PLAN BUDGET SAMI-TF'!BK12:BK99999,'PLAN BUDGET SAMI-TF'!D12:D99999,SUMMARY!D133,'PLAN BUDGET SAMI-TF'!J12:J99999,SUMMARY!A133&amp;"*")</f>
        <v>0</v>
      </c>
      <c r="Z133" s="10">
        <f>SUMIFS('PLAN BUDGET SAMI-TF'!BL12:BL99999,'PLAN BUDGET SAMI-TF'!D12:D99999,SUMMARY!D133,'PLAN BUDGET SAMI-TF'!J12:J99999,SUMMARY!A133&amp;"*")</f>
        <v>0</v>
      </c>
      <c r="AA133" s="10">
        <f>SUMIFS('PLAN BUDGET SAMI-TF'!BM12:BM99999,'PLAN BUDGET SAMI-TF'!D12:D99999,SUMMARY!D133,'PLAN BUDGET SAMI-TF'!J12:J99999,SUMMARY!A133&amp;"*")</f>
        <v>0</v>
      </c>
      <c r="AB133" s="10">
        <f>SUMIFS('PLAN BUDGET SAMI-TF'!BN12:BN99999,'PLAN BUDGET SAMI-TF'!D12:D99999,SUMMARY!D133,'PLAN BUDGET SAMI-TF'!J12:J99999,SUMMARY!A133&amp;"*")</f>
        <v>0</v>
      </c>
      <c r="AC133" s="10">
        <f t="shared" si="12"/>
        <v>0</v>
      </c>
      <c r="AD133" s="10">
        <f t="shared" si="13"/>
        <v>0</v>
      </c>
      <c r="AE133" s="16"/>
      <c r="AF133" s="10">
        <v>20</v>
      </c>
      <c r="AG133" s="10">
        <v>19.62199182206</v>
      </c>
      <c r="AH133" s="20">
        <f t="shared" si="14"/>
        <v>-1</v>
      </c>
      <c r="AI133" s="20">
        <f t="shared" si="15"/>
        <v>-1</v>
      </c>
      <c r="AJ133" s="7" t="s">
        <v>743</v>
      </c>
    </row>
    <row r="134" spans="1:36" x14ac:dyDescent="0.35">
      <c r="A134" s="7" t="s">
        <v>709</v>
      </c>
      <c r="B134" s="7"/>
      <c r="C134" s="7"/>
      <c r="D134" s="7" t="s">
        <v>761</v>
      </c>
      <c r="E134" s="10">
        <f>SUMIFS('PLAN BUDGET SAMI-TF'!AN12:AN99999,'PLAN BUDGET SAMI-TF'!D12:D99999,SUMMARY!D134,'PLAN BUDGET SAMI-TF'!J12:J99999,SUMMARY!A134&amp;"*")</f>
        <v>0</v>
      </c>
      <c r="F134" s="10">
        <f>SUMIFS('PLAN BUDGET SAMI-TF'!AO12:AO99999,'PLAN BUDGET SAMI-TF'!D12:D99999,SUMMARY!D134,'PLAN BUDGET SAMI-TF'!J12:J99999,SUMMARY!A134&amp;"*")</f>
        <v>0</v>
      </c>
      <c r="G134" s="10">
        <f>SUMIFS('PLAN BUDGET SAMI-TF'!AP12:AP99999,'PLAN BUDGET SAMI-TF'!D12:D99999,SUMMARY!D134,'PLAN BUDGET SAMI-TF'!J12:J99999,SUMMARY!A134&amp;"*")</f>
        <v>0</v>
      </c>
      <c r="H134" s="10">
        <f>SUMIFS('PLAN BUDGET SAMI-TF'!AQ12:AQ99999,'PLAN BUDGET SAMI-TF'!D12:D99999,SUMMARY!D134,'PLAN BUDGET SAMI-TF'!J12:J99999,SUMMARY!A134&amp;"*")</f>
        <v>0</v>
      </c>
      <c r="I134" s="10">
        <f>SUMIFS('PLAN BUDGET SAMI-TF'!AR12:AR99999,'PLAN BUDGET SAMI-TF'!D12:D99999,SUMMARY!D134,'PLAN BUDGET SAMI-TF'!J12:J99999,SUMMARY!A134&amp;"*")</f>
        <v>0</v>
      </c>
      <c r="J134" s="10">
        <f>SUMIFS('PLAN BUDGET SAMI-TF'!AS12:AS99999,'PLAN BUDGET SAMI-TF'!D12:D99999,SUMMARY!D134,'PLAN BUDGET SAMI-TF'!J12:J99999,SUMMARY!A134&amp;"*")</f>
        <v>0</v>
      </c>
      <c r="K134" s="10">
        <f>SUMIFS('PLAN BUDGET SAMI-TF'!AT12:AT99999,'PLAN BUDGET SAMI-TF'!D12:D99999,SUMMARY!D134,'PLAN BUDGET SAMI-TF'!J12:J99999,SUMMARY!A134&amp;"*")</f>
        <v>0</v>
      </c>
      <c r="L134" s="10">
        <f>SUMIFS('PLAN BUDGET SAMI-TF'!AU12:AU99999,'PLAN BUDGET SAMI-TF'!D12:D99999,SUMMARY!D134,'PLAN BUDGET SAMI-TF'!J12:J99999,SUMMARY!A134&amp;"*")</f>
        <v>0</v>
      </c>
      <c r="M134" s="10">
        <f>SUMIFS('PLAN BUDGET SAMI-TF'!AV12:AV99999,'PLAN BUDGET SAMI-TF'!D12:D99999,SUMMARY!D134,'PLAN BUDGET SAMI-TF'!J12:J99999,SUMMARY!A134&amp;"*")</f>
        <v>0</v>
      </c>
      <c r="N134" s="10">
        <f>SUMIFS('PLAN BUDGET SAMI-TF'!AW12:AW99999,'PLAN BUDGET SAMI-TF'!D12:D99999,SUMMARY!D134,'PLAN BUDGET SAMI-TF'!J12:J99999,SUMMARY!A134&amp;"*")</f>
        <v>0</v>
      </c>
      <c r="O134" s="10">
        <f>SUMIFS('PLAN BUDGET SAMI-TF'!AX12:AX99999,'PLAN BUDGET SAMI-TF'!D12:D99999,SUMMARY!D134,'PLAN BUDGET SAMI-TF'!J12:J99999,SUMMARY!A134&amp;"*")</f>
        <v>0</v>
      </c>
      <c r="P134" s="10">
        <f>SUMIFS('PLAN BUDGET SAMI-TF'!AY12:AY99999,'PLAN BUDGET SAMI-TF'!D12:D99999,SUMMARY!D134,'PLAN BUDGET SAMI-TF'!J12:J99999,SUMMARY!A134&amp;"*")</f>
        <v>0</v>
      </c>
      <c r="Q134" s="10">
        <f>SUMIFS('PLAN BUDGET SAMI-TF'!BC12:BC99999,'PLAN BUDGET SAMI-TF'!D12:D99999,SUMMARY!D134,'PLAN BUDGET SAMI-TF'!J12:J99999,SUMMARY!A134&amp;"*")</f>
        <v>0</v>
      </c>
      <c r="R134" s="10">
        <f>SUMIFS('PLAN BUDGET SAMI-TF'!BD12:BD99999,'PLAN BUDGET SAMI-TF'!D12:D99999,SUMMARY!D134,'PLAN BUDGET SAMI-TF'!J12:J99999,SUMMARY!A134&amp;"*")</f>
        <v>0</v>
      </c>
      <c r="S134" s="10">
        <f>SUMIFS('PLAN BUDGET SAMI-TF'!BE12:BE99999,'PLAN BUDGET SAMI-TF'!D12:D99999,SUMMARY!D134,'PLAN BUDGET SAMI-TF'!J12:J99999,SUMMARY!A134&amp;"*")</f>
        <v>0</v>
      </c>
      <c r="T134" s="10">
        <f>SUMIFS('PLAN BUDGET SAMI-TF'!BF12:BF99999,'PLAN BUDGET SAMI-TF'!D12:D99999,SUMMARY!D134,'PLAN BUDGET SAMI-TF'!J12:J99999,SUMMARY!A134&amp;"*")</f>
        <v>0</v>
      </c>
      <c r="U134" s="10">
        <f>SUMIFS('PLAN BUDGET SAMI-TF'!BG12:BG99999,'PLAN BUDGET SAMI-TF'!D12:D99999,SUMMARY!D134,'PLAN BUDGET SAMI-TF'!J12:J99999,SUMMARY!A134&amp;"*")</f>
        <v>0</v>
      </c>
      <c r="V134" s="10">
        <f>SUMIFS('PLAN BUDGET SAMI-TF'!BH12:BH99999,'PLAN BUDGET SAMI-TF'!D12:D99999,SUMMARY!D134,'PLAN BUDGET SAMI-TF'!J12:J99999,SUMMARY!A134&amp;"*")</f>
        <v>0</v>
      </c>
      <c r="W134" s="10">
        <f>SUMIFS('PLAN BUDGET SAMI-TF'!BI12:BI99999,'PLAN BUDGET SAMI-TF'!D12:D99999,SUMMARY!D134,'PLAN BUDGET SAMI-TF'!J12:J99999,SUMMARY!A134&amp;"*")</f>
        <v>0</v>
      </c>
      <c r="X134" s="10">
        <f>SUMIFS('PLAN BUDGET SAMI-TF'!BJ12:BJ99999,'PLAN BUDGET SAMI-TF'!D12:D99999,SUMMARY!D134,'PLAN BUDGET SAMI-TF'!J12:J99999,SUMMARY!A134&amp;"*")</f>
        <v>0</v>
      </c>
      <c r="Y134" s="10">
        <f>SUMIFS('PLAN BUDGET SAMI-TF'!BK12:BK99999,'PLAN BUDGET SAMI-TF'!D12:D99999,SUMMARY!D134,'PLAN BUDGET SAMI-TF'!J12:J99999,SUMMARY!A134&amp;"*")</f>
        <v>0</v>
      </c>
      <c r="Z134" s="10">
        <f>SUMIFS('PLAN BUDGET SAMI-TF'!BL12:BL99999,'PLAN BUDGET SAMI-TF'!D12:D99999,SUMMARY!D134,'PLAN BUDGET SAMI-TF'!J12:J99999,SUMMARY!A134&amp;"*")</f>
        <v>0</v>
      </c>
      <c r="AA134" s="10">
        <f>SUMIFS('PLAN BUDGET SAMI-TF'!BM12:BM99999,'PLAN BUDGET SAMI-TF'!D12:D99999,SUMMARY!D134,'PLAN BUDGET SAMI-TF'!J12:J99999,SUMMARY!A134&amp;"*")</f>
        <v>0</v>
      </c>
      <c r="AB134" s="10">
        <f>SUMIFS('PLAN BUDGET SAMI-TF'!BN12:BN99999,'PLAN BUDGET SAMI-TF'!D12:D99999,SUMMARY!D134,'PLAN BUDGET SAMI-TF'!J12:J99999,SUMMARY!A134&amp;"*")</f>
        <v>0</v>
      </c>
      <c r="AC134" s="10">
        <f t="shared" si="12"/>
        <v>0</v>
      </c>
      <c r="AD134" s="10">
        <f t="shared" si="13"/>
        <v>0</v>
      </c>
      <c r="AE134" s="16"/>
      <c r="AF134" s="10">
        <v>110</v>
      </c>
      <c r="AG134" s="10">
        <v>51.523552719861001</v>
      </c>
      <c r="AH134" s="20">
        <f t="shared" si="14"/>
        <v>-1</v>
      </c>
      <c r="AI134" s="20">
        <f t="shared" si="15"/>
        <v>-1</v>
      </c>
      <c r="AJ134" s="7" t="s">
        <v>743</v>
      </c>
    </row>
    <row r="135" spans="1:36" x14ac:dyDescent="0.35">
      <c r="A135" s="7" t="s">
        <v>709</v>
      </c>
      <c r="B135" s="7"/>
      <c r="C135" s="7"/>
      <c r="D135" s="7" t="s">
        <v>762</v>
      </c>
      <c r="E135" s="10">
        <f>SUMIFS('PLAN BUDGET SAMI-TF'!AN12:AN99999,'PLAN BUDGET SAMI-TF'!D12:D99999,SUMMARY!D135,'PLAN BUDGET SAMI-TF'!J12:J99999,SUMMARY!A135&amp;"*")</f>
        <v>0</v>
      </c>
      <c r="F135" s="10">
        <f>SUMIFS('PLAN BUDGET SAMI-TF'!AO12:AO99999,'PLAN BUDGET SAMI-TF'!D12:D99999,SUMMARY!D135,'PLAN BUDGET SAMI-TF'!J12:J99999,SUMMARY!A135&amp;"*")</f>
        <v>0</v>
      </c>
      <c r="G135" s="10">
        <f>SUMIFS('PLAN BUDGET SAMI-TF'!AP12:AP99999,'PLAN BUDGET SAMI-TF'!D12:D99999,SUMMARY!D135,'PLAN BUDGET SAMI-TF'!J12:J99999,SUMMARY!A135&amp;"*")</f>
        <v>0</v>
      </c>
      <c r="H135" s="10">
        <f>SUMIFS('PLAN BUDGET SAMI-TF'!AQ12:AQ99999,'PLAN BUDGET SAMI-TF'!D12:D99999,SUMMARY!D135,'PLAN BUDGET SAMI-TF'!J12:J99999,SUMMARY!A135&amp;"*")</f>
        <v>0</v>
      </c>
      <c r="I135" s="10">
        <f>SUMIFS('PLAN BUDGET SAMI-TF'!AR12:AR99999,'PLAN BUDGET SAMI-TF'!D12:D99999,SUMMARY!D135,'PLAN BUDGET SAMI-TF'!J12:J99999,SUMMARY!A135&amp;"*")</f>
        <v>0</v>
      </c>
      <c r="J135" s="10">
        <f>SUMIFS('PLAN BUDGET SAMI-TF'!AS12:AS99999,'PLAN BUDGET SAMI-TF'!D12:D99999,SUMMARY!D135,'PLAN BUDGET SAMI-TF'!J12:J99999,SUMMARY!A135&amp;"*")</f>
        <v>0</v>
      </c>
      <c r="K135" s="10">
        <f>SUMIFS('PLAN BUDGET SAMI-TF'!AT12:AT99999,'PLAN BUDGET SAMI-TF'!D12:D99999,SUMMARY!D135,'PLAN BUDGET SAMI-TF'!J12:J99999,SUMMARY!A135&amp;"*")</f>
        <v>0</v>
      </c>
      <c r="L135" s="10">
        <f>SUMIFS('PLAN BUDGET SAMI-TF'!AU12:AU99999,'PLAN BUDGET SAMI-TF'!D12:D99999,SUMMARY!D135,'PLAN BUDGET SAMI-TF'!J12:J99999,SUMMARY!A135&amp;"*")</f>
        <v>0</v>
      </c>
      <c r="M135" s="10">
        <f>SUMIFS('PLAN BUDGET SAMI-TF'!AV12:AV99999,'PLAN BUDGET SAMI-TF'!D12:D99999,SUMMARY!D135,'PLAN BUDGET SAMI-TF'!J12:J99999,SUMMARY!A135&amp;"*")</f>
        <v>0</v>
      </c>
      <c r="N135" s="10">
        <f>SUMIFS('PLAN BUDGET SAMI-TF'!AW12:AW99999,'PLAN BUDGET SAMI-TF'!D12:D99999,SUMMARY!D135,'PLAN BUDGET SAMI-TF'!J12:J99999,SUMMARY!A135&amp;"*")</f>
        <v>0</v>
      </c>
      <c r="O135" s="10">
        <f>SUMIFS('PLAN BUDGET SAMI-TF'!AX12:AX99999,'PLAN BUDGET SAMI-TF'!D12:D99999,SUMMARY!D135,'PLAN BUDGET SAMI-TF'!J12:J99999,SUMMARY!A135&amp;"*")</f>
        <v>0</v>
      </c>
      <c r="P135" s="10">
        <f>SUMIFS('PLAN BUDGET SAMI-TF'!AY12:AY99999,'PLAN BUDGET SAMI-TF'!D12:D99999,SUMMARY!D135,'PLAN BUDGET SAMI-TF'!J12:J99999,SUMMARY!A135&amp;"*")</f>
        <v>0</v>
      </c>
      <c r="Q135" s="10">
        <f>SUMIFS('PLAN BUDGET SAMI-TF'!BC12:BC99999,'PLAN BUDGET SAMI-TF'!D12:D99999,SUMMARY!D135,'PLAN BUDGET SAMI-TF'!J12:J99999,SUMMARY!A135&amp;"*")</f>
        <v>0</v>
      </c>
      <c r="R135" s="10">
        <f>SUMIFS('PLAN BUDGET SAMI-TF'!BD12:BD99999,'PLAN BUDGET SAMI-TF'!D12:D99999,SUMMARY!D135,'PLAN BUDGET SAMI-TF'!J12:J99999,SUMMARY!A135&amp;"*")</f>
        <v>0</v>
      </c>
      <c r="S135" s="10">
        <f>SUMIFS('PLAN BUDGET SAMI-TF'!BE12:BE99999,'PLAN BUDGET SAMI-TF'!D12:D99999,SUMMARY!D135,'PLAN BUDGET SAMI-TF'!J12:J99999,SUMMARY!A135&amp;"*")</f>
        <v>0</v>
      </c>
      <c r="T135" s="10">
        <f>SUMIFS('PLAN BUDGET SAMI-TF'!BF12:BF99999,'PLAN BUDGET SAMI-TF'!D12:D99999,SUMMARY!D135,'PLAN BUDGET SAMI-TF'!J12:J99999,SUMMARY!A135&amp;"*")</f>
        <v>0</v>
      </c>
      <c r="U135" s="10">
        <f>SUMIFS('PLAN BUDGET SAMI-TF'!BG12:BG99999,'PLAN BUDGET SAMI-TF'!D12:D99999,SUMMARY!D135,'PLAN BUDGET SAMI-TF'!J12:J99999,SUMMARY!A135&amp;"*")</f>
        <v>0</v>
      </c>
      <c r="V135" s="10">
        <f>SUMIFS('PLAN BUDGET SAMI-TF'!BH12:BH99999,'PLAN BUDGET SAMI-TF'!D12:D99999,SUMMARY!D135,'PLAN BUDGET SAMI-TF'!J12:J99999,SUMMARY!A135&amp;"*")</f>
        <v>0</v>
      </c>
      <c r="W135" s="10">
        <f>SUMIFS('PLAN BUDGET SAMI-TF'!BI12:BI99999,'PLAN BUDGET SAMI-TF'!D12:D99999,SUMMARY!D135,'PLAN BUDGET SAMI-TF'!J12:J99999,SUMMARY!A135&amp;"*")</f>
        <v>0</v>
      </c>
      <c r="X135" s="10">
        <f>SUMIFS('PLAN BUDGET SAMI-TF'!BJ12:BJ99999,'PLAN BUDGET SAMI-TF'!D12:D99999,SUMMARY!D135,'PLAN BUDGET SAMI-TF'!J12:J99999,SUMMARY!A135&amp;"*")</f>
        <v>0</v>
      </c>
      <c r="Y135" s="10">
        <f>SUMIFS('PLAN BUDGET SAMI-TF'!BK12:BK99999,'PLAN BUDGET SAMI-TF'!D12:D99999,SUMMARY!D135,'PLAN BUDGET SAMI-TF'!J12:J99999,SUMMARY!A135&amp;"*")</f>
        <v>0</v>
      </c>
      <c r="Z135" s="10">
        <f>SUMIFS('PLAN BUDGET SAMI-TF'!BL12:BL99999,'PLAN BUDGET SAMI-TF'!D12:D99999,SUMMARY!D135,'PLAN BUDGET SAMI-TF'!J12:J99999,SUMMARY!A135&amp;"*")</f>
        <v>0</v>
      </c>
      <c r="AA135" s="10">
        <f>SUMIFS('PLAN BUDGET SAMI-TF'!BM12:BM99999,'PLAN BUDGET SAMI-TF'!D12:D99999,SUMMARY!D135,'PLAN BUDGET SAMI-TF'!J12:J99999,SUMMARY!A135&amp;"*")</f>
        <v>0</v>
      </c>
      <c r="AB135" s="10">
        <f>SUMIFS('PLAN BUDGET SAMI-TF'!BN12:BN99999,'PLAN BUDGET SAMI-TF'!D12:D99999,SUMMARY!D135,'PLAN BUDGET SAMI-TF'!J12:J99999,SUMMARY!A135&amp;"*")</f>
        <v>0</v>
      </c>
      <c r="AC135" s="10">
        <f t="shared" si="12"/>
        <v>0</v>
      </c>
      <c r="AD135" s="10">
        <f t="shared" si="13"/>
        <v>0</v>
      </c>
      <c r="AE135" s="16"/>
      <c r="AF135" s="10">
        <v>10</v>
      </c>
      <c r="AG135" s="10">
        <v>8.2285772157026997</v>
      </c>
      <c r="AH135" s="20">
        <f t="shared" si="14"/>
        <v>-1</v>
      </c>
      <c r="AI135" s="20">
        <f t="shared" si="15"/>
        <v>-1</v>
      </c>
      <c r="AJ135" s="7" t="s">
        <v>743</v>
      </c>
    </row>
    <row r="136" spans="1:36" x14ac:dyDescent="0.35">
      <c r="A136" s="7" t="s">
        <v>709</v>
      </c>
      <c r="B136" s="7"/>
      <c r="C136" s="7"/>
      <c r="D136" s="7" t="s">
        <v>763</v>
      </c>
      <c r="E136" s="10">
        <f>SUMIFS('PLAN BUDGET SAMI-TF'!AN12:AN99999,'PLAN BUDGET SAMI-TF'!D12:D99999,SUMMARY!D136,'PLAN BUDGET SAMI-TF'!J12:J99999,SUMMARY!A136&amp;"*")</f>
        <v>0</v>
      </c>
      <c r="F136" s="10">
        <f>SUMIFS('PLAN BUDGET SAMI-TF'!AO12:AO99999,'PLAN BUDGET SAMI-TF'!D12:D99999,SUMMARY!D136,'PLAN BUDGET SAMI-TF'!J12:J99999,SUMMARY!A136&amp;"*")</f>
        <v>0</v>
      </c>
      <c r="G136" s="10">
        <f>SUMIFS('PLAN BUDGET SAMI-TF'!AP12:AP99999,'PLAN BUDGET SAMI-TF'!D12:D99999,SUMMARY!D136,'PLAN BUDGET SAMI-TF'!J12:J99999,SUMMARY!A136&amp;"*")</f>
        <v>0</v>
      </c>
      <c r="H136" s="10">
        <f>SUMIFS('PLAN BUDGET SAMI-TF'!AQ12:AQ99999,'PLAN BUDGET SAMI-TF'!D12:D99999,SUMMARY!D136,'PLAN BUDGET SAMI-TF'!J12:J99999,SUMMARY!A136&amp;"*")</f>
        <v>0</v>
      </c>
      <c r="I136" s="10">
        <f>SUMIFS('PLAN BUDGET SAMI-TF'!AR12:AR99999,'PLAN BUDGET SAMI-TF'!D12:D99999,SUMMARY!D136,'PLAN BUDGET SAMI-TF'!J12:J99999,SUMMARY!A136&amp;"*")</f>
        <v>0</v>
      </c>
      <c r="J136" s="10">
        <f>SUMIFS('PLAN BUDGET SAMI-TF'!AS12:AS99999,'PLAN BUDGET SAMI-TF'!D12:D99999,SUMMARY!D136,'PLAN BUDGET SAMI-TF'!J12:J99999,SUMMARY!A136&amp;"*")</f>
        <v>0</v>
      </c>
      <c r="K136" s="10">
        <f>SUMIFS('PLAN BUDGET SAMI-TF'!AT12:AT99999,'PLAN BUDGET SAMI-TF'!D12:D99999,SUMMARY!D136,'PLAN BUDGET SAMI-TF'!J12:J99999,SUMMARY!A136&amp;"*")</f>
        <v>0</v>
      </c>
      <c r="L136" s="10">
        <f>SUMIFS('PLAN BUDGET SAMI-TF'!AU12:AU99999,'PLAN BUDGET SAMI-TF'!D12:D99999,SUMMARY!D136,'PLAN BUDGET SAMI-TF'!J12:J99999,SUMMARY!A136&amp;"*")</f>
        <v>0</v>
      </c>
      <c r="M136" s="10">
        <f>SUMIFS('PLAN BUDGET SAMI-TF'!AV12:AV99999,'PLAN BUDGET SAMI-TF'!D12:D99999,SUMMARY!D136,'PLAN BUDGET SAMI-TF'!J12:J99999,SUMMARY!A136&amp;"*")</f>
        <v>0</v>
      </c>
      <c r="N136" s="10">
        <f>SUMIFS('PLAN BUDGET SAMI-TF'!AW12:AW99999,'PLAN BUDGET SAMI-TF'!D12:D99999,SUMMARY!D136,'PLAN BUDGET SAMI-TF'!J12:J99999,SUMMARY!A136&amp;"*")</f>
        <v>0</v>
      </c>
      <c r="O136" s="10">
        <f>SUMIFS('PLAN BUDGET SAMI-TF'!AX12:AX99999,'PLAN BUDGET SAMI-TF'!D12:D99999,SUMMARY!D136,'PLAN BUDGET SAMI-TF'!J12:J99999,SUMMARY!A136&amp;"*")</f>
        <v>0</v>
      </c>
      <c r="P136" s="10">
        <f>SUMIFS('PLAN BUDGET SAMI-TF'!AY12:AY99999,'PLAN BUDGET SAMI-TF'!D12:D99999,SUMMARY!D136,'PLAN BUDGET SAMI-TF'!J12:J99999,SUMMARY!A136&amp;"*")</f>
        <v>0</v>
      </c>
      <c r="Q136" s="10">
        <f>SUMIFS('PLAN BUDGET SAMI-TF'!BC12:BC99999,'PLAN BUDGET SAMI-TF'!D12:D99999,SUMMARY!D136,'PLAN BUDGET SAMI-TF'!J12:J99999,SUMMARY!A136&amp;"*")</f>
        <v>0</v>
      </c>
      <c r="R136" s="10">
        <f>SUMIFS('PLAN BUDGET SAMI-TF'!BD12:BD99999,'PLAN BUDGET SAMI-TF'!D12:D99999,SUMMARY!D136,'PLAN BUDGET SAMI-TF'!J12:J99999,SUMMARY!A136&amp;"*")</f>
        <v>0</v>
      </c>
      <c r="S136" s="10">
        <f>SUMIFS('PLAN BUDGET SAMI-TF'!BE12:BE99999,'PLAN BUDGET SAMI-TF'!D12:D99999,SUMMARY!D136,'PLAN BUDGET SAMI-TF'!J12:J99999,SUMMARY!A136&amp;"*")</f>
        <v>0</v>
      </c>
      <c r="T136" s="10">
        <f>SUMIFS('PLAN BUDGET SAMI-TF'!BF12:BF99999,'PLAN BUDGET SAMI-TF'!D12:D99999,SUMMARY!D136,'PLAN BUDGET SAMI-TF'!J12:J99999,SUMMARY!A136&amp;"*")</f>
        <v>0</v>
      </c>
      <c r="U136" s="10">
        <f>SUMIFS('PLAN BUDGET SAMI-TF'!BG12:BG99999,'PLAN BUDGET SAMI-TF'!D12:D99999,SUMMARY!D136,'PLAN BUDGET SAMI-TF'!J12:J99999,SUMMARY!A136&amp;"*")</f>
        <v>0</v>
      </c>
      <c r="V136" s="10">
        <f>SUMIFS('PLAN BUDGET SAMI-TF'!BH12:BH99999,'PLAN BUDGET SAMI-TF'!D12:D99999,SUMMARY!D136,'PLAN BUDGET SAMI-TF'!J12:J99999,SUMMARY!A136&amp;"*")</f>
        <v>0</v>
      </c>
      <c r="W136" s="10">
        <f>SUMIFS('PLAN BUDGET SAMI-TF'!BI12:BI99999,'PLAN BUDGET SAMI-TF'!D12:D99999,SUMMARY!D136,'PLAN BUDGET SAMI-TF'!J12:J99999,SUMMARY!A136&amp;"*")</f>
        <v>0</v>
      </c>
      <c r="X136" s="10">
        <f>SUMIFS('PLAN BUDGET SAMI-TF'!BJ12:BJ99999,'PLAN BUDGET SAMI-TF'!D12:D99999,SUMMARY!D136,'PLAN BUDGET SAMI-TF'!J12:J99999,SUMMARY!A136&amp;"*")</f>
        <v>0</v>
      </c>
      <c r="Y136" s="10">
        <f>SUMIFS('PLAN BUDGET SAMI-TF'!BK12:BK99999,'PLAN BUDGET SAMI-TF'!D12:D99999,SUMMARY!D136,'PLAN BUDGET SAMI-TF'!J12:J99999,SUMMARY!A136&amp;"*")</f>
        <v>0</v>
      </c>
      <c r="Z136" s="10">
        <f>SUMIFS('PLAN BUDGET SAMI-TF'!BL12:BL99999,'PLAN BUDGET SAMI-TF'!D12:D99999,SUMMARY!D136,'PLAN BUDGET SAMI-TF'!J12:J99999,SUMMARY!A136&amp;"*")</f>
        <v>0</v>
      </c>
      <c r="AA136" s="10">
        <f>SUMIFS('PLAN BUDGET SAMI-TF'!BM12:BM99999,'PLAN BUDGET SAMI-TF'!D12:D99999,SUMMARY!D136,'PLAN BUDGET SAMI-TF'!J12:J99999,SUMMARY!A136&amp;"*")</f>
        <v>0</v>
      </c>
      <c r="AB136" s="10">
        <f>SUMIFS('PLAN BUDGET SAMI-TF'!BN12:BN99999,'PLAN BUDGET SAMI-TF'!D12:D99999,SUMMARY!D136,'PLAN BUDGET SAMI-TF'!J12:J99999,SUMMARY!A136&amp;"*")</f>
        <v>0</v>
      </c>
      <c r="AC136" s="10">
        <f t="shared" si="12"/>
        <v>0</v>
      </c>
      <c r="AD136" s="10">
        <f t="shared" si="13"/>
        <v>0</v>
      </c>
      <c r="AE136" s="16"/>
      <c r="AF136" s="10">
        <v>6</v>
      </c>
      <c r="AG136" s="10">
        <v>21.499373362197002</v>
      </c>
      <c r="AH136" s="20">
        <f t="shared" si="14"/>
        <v>-1</v>
      </c>
      <c r="AI136" s="20">
        <f t="shared" si="15"/>
        <v>-1</v>
      </c>
      <c r="AJ136" s="7" t="s">
        <v>743</v>
      </c>
    </row>
    <row r="137" spans="1:36" x14ac:dyDescent="0.35">
      <c r="A137" s="7" t="s">
        <v>709</v>
      </c>
      <c r="B137" s="7"/>
      <c r="C137" s="7"/>
      <c r="D137" s="7" t="s">
        <v>764</v>
      </c>
      <c r="E137" s="10">
        <f>SUMIFS('PLAN BUDGET SAMI-TF'!AN12:AN99999,'PLAN BUDGET SAMI-TF'!D12:D99999,SUMMARY!D137,'PLAN BUDGET SAMI-TF'!J12:J99999,SUMMARY!A137&amp;"*")</f>
        <v>0</v>
      </c>
      <c r="F137" s="10">
        <f>SUMIFS('PLAN BUDGET SAMI-TF'!AO12:AO99999,'PLAN BUDGET SAMI-TF'!D12:D99999,SUMMARY!D137,'PLAN BUDGET SAMI-TF'!J12:J99999,SUMMARY!A137&amp;"*")</f>
        <v>0</v>
      </c>
      <c r="G137" s="10">
        <f>SUMIFS('PLAN BUDGET SAMI-TF'!AP12:AP99999,'PLAN BUDGET SAMI-TF'!D12:D99999,SUMMARY!D137,'PLAN BUDGET SAMI-TF'!J12:J99999,SUMMARY!A137&amp;"*")</f>
        <v>0</v>
      </c>
      <c r="H137" s="10">
        <f>SUMIFS('PLAN BUDGET SAMI-TF'!AQ12:AQ99999,'PLAN BUDGET SAMI-TF'!D12:D99999,SUMMARY!D137,'PLAN BUDGET SAMI-TF'!J12:J99999,SUMMARY!A137&amp;"*")</f>
        <v>0</v>
      </c>
      <c r="I137" s="10">
        <f>SUMIFS('PLAN BUDGET SAMI-TF'!AR12:AR99999,'PLAN BUDGET SAMI-TF'!D12:D99999,SUMMARY!D137,'PLAN BUDGET SAMI-TF'!J12:J99999,SUMMARY!A137&amp;"*")</f>
        <v>0</v>
      </c>
      <c r="J137" s="10">
        <f>SUMIFS('PLAN BUDGET SAMI-TF'!AS12:AS99999,'PLAN BUDGET SAMI-TF'!D12:D99999,SUMMARY!D137,'PLAN BUDGET SAMI-TF'!J12:J99999,SUMMARY!A137&amp;"*")</f>
        <v>0</v>
      </c>
      <c r="K137" s="10">
        <f>SUMIFS('PLAN BUDGET SAMI-TF'!AT12:AT99999,'PLAN BUDGET SAMI-TF'!D12:D99999,SUMMARY!D137,'PLAN BUDGET SAMI-TF'!J12:J99999,SUMMARY!A137&amp;"*")</f>
        <v>0</v>
      </c>
      <c r="L137" s="10">
        <f>SUMIFS('PLAN BUDGET SAMI-TF'!AU12:AU99999,'PLAN BUDGET SAMI-TF'!D12:D99999,SUMMARY!D137,'PLAN BUDGET SAMI-TF'!J12:J99999,SUMMARY!A137&amp;"*")</f>
        <v>0</v>
      </c>
      <c r="M137" s="10">
        <f>SUMIFS('PLAN BUDGET SAMI-TF'!AV12:AV99999,'PLAN BUDGET SAMI-TF'!D12:D99999,SUMMARY!D137,'PLAN BUDGET SAMI-TF'!J12:J99999,SUMMARY!A137&amp;"*")</f>
        <v>0</v>
      </c>
      <c r="N137" s="10">
        <f>SUMIFS('PLAN BUDGET SAMI-TF'!AW12:AW99999,'PLAN BUDGET SAMI-TF'!D12:D99999,SUMMARY!D137,'PLAN BUDGET SAMI-TF'!J12:J99999,SUMMARY!A137&amp;"*")</f>
        <v>0</v>
      </c>
      <c r="O137" s="10">
        <f>SUMIFS('PLAN BUDGET SAMI-TF'!AX12:AX99999,'PLAN BUDGET SAMI-TF'!D12:D99999,SUMMARY!D137,'PLAN BUDGET SAMI-TF'!J12:J99999,SUMMARY!A137&amp;"*")</f>
        <v>0</v>
      </c>
      <c r="P137" s="10">
        <f>SUMIFS('PLAN BUDGET SAMI-TF'!AY12:AY99999,'PLAN BUDGET SAMI-TF'!D12:D99999,SUMMARY!D137,'PLAN BUDGET SAMI-TF'!J12:J99999,SUMMARY!A137&amp;"*")</f>
        <v>0</v>
      </c>
      <c r="Q137" s="10">
        <f>SUMIFS('PLAN BUDGET SAMI-TF'!BC12:BC99999,'PLAN BUDGET SAMI-TF'!D12:D99999,SUMMARY!D137,'PLAN BUDGET SAMI-TF'!J12:J99999,SUMMARY!A137&amp;"*")</f>
        <v>0</v>
      </c>
      <c r="R137" s="10">
        <f>SUMIFS('PLAN BUDGET SAMI-TF'!BD12:BD99999,'PLAN BUDGET SAMI-TF'!D12:D99999,SUMMARY!D137,'PLAN BUDGET SAMI-TF'!J12:J99999,SUMMARY!A137&amp;"*")</f>
        <v>0</v>
      </c>
      <c r="S137" s="10">
        <f>SUMIFS('PLAN BUDGET SAMI-TF'!BE12:BE99999,'PLAN BUDGET SAMI-TF'!D12:D99999,SUMMARY!D137,'PLAN BUDGET SAMI-TF'!J12:J99999,SUMMARY!A137&amp;"*")</f>
        <v>0</v>
      </c>
      <c r="T137" s="10">
        <f>SUMIFS('PLAN BUDGET SAMI-TF'!BF12:BF99999,'PLAN BUDGET SAMI-TF'!D12:D99999,SUMMARY!D137,'PLAN BUDGET SAMI-TF'!J12:J99999,SUMMARY!A137&amp;"*")</f>
        <v>0</v>
      </c>
      <c r="U137" s="10">
        <f>SUMIFS('PLAN BUDGET SAMI-TF'!BG12:BG99999,'PLAN BUDGET SAMI-TF'!D12:D99999,SUMMARY!D137,'PLAN BUDGET SAMI-TF'!J12:J99999,SUMMARY!A137&amp;"*")</f>
        <v>0</v>
      </c>
      <c r="V137" s="10">
        <f>SUMIFS('PLAN BUDGET SAMI-TF'!BH12:BH99999,'PLAN BUDGET SAMI-TF'!D12:D99999,SUMMARY!D137,'PLAN BUDGET SAMI-TF'!J12:J99999,SUMMARY!A137&amp;"*")</f>
        <v>0</v>
      </c>
      <c r="W137" s="10">
        <f>SUMIFS('PLAN BUDGET SAMI-TF'!BI12:BI99999,'PLAN BUDGET SAMI-TF'!D12:D99999,SUMMARY!D137,'PLAN BUDGET SAMI-TF'!J12:J99999,SUMMARY!A137&amp;"*")</f>
        <v>0</v>
      </c>
      <c r="X137" s="10">
        <f>SUMIFS('PLAN BUDGET SAMI-TF'!BJ12:BJ99999,'PLAN BUDGET SAMI-TF'!D12:D99999,SUMMARY!D137,'PLAN BUDGET SAMI-TF'!J12:J99999,SUMMARY!A137&amp;"*")</f>
        <v>0</v>
      </c>
      <c r="Y137" s="10">
        <f>SUMIFS('PLAN BUDGET SAMI-TF'!BK12:BK99999,'PLAN BUDGET SAMI-TF'!D12:D99999,SUMMARY!D137,'PLAN BUDGET SAMI-TF'!J12:J99999,SUMMARY!A137&amp;"*")</f>
        <v>0</v>
      </c>
      <c r="Z137" s="10">
        <f>SUMIFS('PLAN BUDGET SAMI-TF'!BL12:BL99999,'PLAN BUDGET SAMI-TF'!D12:D99999,SUMMARY!D137,'PLAN BUDGET SAMI-TF'!J12:J99999,SUMMARY!A137&amp;"*")</f>
        <v>0</v>
      </c>
      <c r="AA137" s="10">
        <f>SUMIFS('PLAN BUDGET SAMI-TF'!BM12:BM99999,'PLAN BUDGET SAMI-TF'!D12:D99999,SUMMARY!D137,'PLAN BUDGET SAMI-TF'!J12:J99999,SUMMARY!A137&amp;"*")</f>
        <v>0</v>
      </c>
      <c r="AB137" s="10">
        <f>SUMIFS('PLAN BUDGET SAMI-TF'!BN12:BN99999,'PLAN BUDGET SAMI-TF'!D12:D99999,SUMMARY!D137,'PLAN BUDGET SAMI-TF'!J12:J99999,SUMMARY!A137&amp;"*")</f>
        <v>0</v>
      </c>
      <c r="AC137" s="10">
        <f t="shared" ref="AC137:AC168" si="16">SUM(E137:P137)</f>
        <v>0</v>
      </c>
      <c r="AD137" s="10">
        <f t="shared" ref="AD137:AD168" si="17">SUM(Q137:AB137)</f>
        <v>0</v>
      </c>
      <c r="AE137" s="16"/>
      <c r="AF137" s="10">
        <v>6</v>
      </c>
      <c r="AG137" s="10">
        <v>659.28</v>
      </c>
      <c r="AH137" s="20">
        <f t="shared" ref="AH137:AH168" si="18">IFERROR((AC137-AF137)/AF137,1)</f>
        <v>-1</v>
      </c>
      <c r="AI137" s="20">
        <f t="shared" ref="AI137:AI168" si="19">IFERROR((AD137-AG137)/AG137,1)</f>
        <v>-1</v>
      </c>
      <c r="AJ137" s="7" t="s">
        <v>743</v>
      </c>
    </row>
    <row r="138" spans="1:36" x14ac:dyDescent="0.35">
      <c r="A138" s="7" t="s">
        <v>709</v>
      </c>
      <c r="B138" s="7"/>
      <c r="C138" s="7"/>
      <c r="D138" s="7" t="s">
        <v>765</v>
      </c>
      <c r="E138" s="10">
        <f>SUMIFS('PLAN BUDGET SAMI-TF'!AN12:AN99999,'PLAN BUDGET SAMI-TF'!D12:D99999,SUMMARY!D138,'PLAN BUDGET SAMI-TF'!J12:J99999,SUMMARY!A138&amp;"*")</f>
        <v>0</v>
      </c>
      <c r="F138" s="10">
        <f>SUMIFS('PLAN BUDGET SAMI-TF'!AO12:AO99999,'PLAN BUDGET SAMI-TF'!D12:D99999,SUMMARY!D138,'PLAN BUDGET SAMI-TF'!J12:J99999,SUMMARY!A138&amp;"*")</f>
        <v>0</v>
      </c>
      <c r="G138" s="10">
        <f>SUMIFS('PLAN BUDGET SAMI-TF'!AP12:AP99999,'PLAN BUDGET SAMI-TF'!D12:D99999,SUMMARY!D138,'PLAN BUDGET SAMI-TF'!J12:J99999,SUMMARY!A138&amp;"*")</f>
        <v>0</v>
      </c>
      <c r="H138" s="10">
        <f>SUMIFS('PLAN BUDGET SAMI-TF'!AQ12:AQ99999,'PLAN BUDGET SAMI-TF'!D12:D99999,SUMMARY!D138,'PLAN BUDGET SAMI-TF'!J12:J99999,SUMMARY!A138&amp;"*")</f>
        <v>0</v>
      </c>
      <c r="I138" s="10">
        <f>SUMIFS('PLAN BUDGET SAMI-TF'!AR12:AR99999,'PLAN BUDGET SAMI-TF'!D12:D99999,SUMMARY!D138,'PLAN BUDGET SAMI-TF'!J12:J99999,SUMMARY!A138&amp;"*")</f>
        <v>0</v>
      </c>
      <c r="J138" s="10">
        <f>SUMIFS('PLAN BUDGET SAMI-TF'!AS12:AS99999,'PLAN BUDGET SAMI-TF'!D12:D99999,SUMMARY!D138,'PLAN BUDGET SAMI-TF'!J12:J99999,SUMMARY!A138&amp;"*")</f>
        <v>0</v>
      </c>
      <c r="K138" s="10">
        <f>SUMIFS('PLAN BUDGET SAMI-TF'!AT12:AT99999,'PLAN BUDGET SAMI-TF'!D12:D99999,SUMMARY!D138,'PLAN BUDGET SAMI-TF'!J12:J99999,SUMMARY!A138&amp;"*")</f>
        <v>0</v>
      </c>
      <c r="L138" s="10">
        <f>SUMIFS('PLAN BUDGET SAMI-TF'!AU12:AU99999,'PLAN BUDGET SAMI-TF'!D12:D99999,SUMMARY!D138,'PLAN BUDGET SAMI-TF'!J12:J99999,SUMMARY!A138&amp;"*")</f>
        <v>0</v>
      </c>
      <c r="M138" s="10">
        <f>SUMIFS('PLAN BUDGET SAMI-TF'!AV12:AV99999,'PLAN BUDGET SAMI-TF'!D12:D99999,SUMMARY!D138,'PLAN BUDGET SAMI-TF'!J12:J99999,SUMMARY!A138&amp;"*")</f>
        <v>0</v>
      </c>
      <c r="N138" s="10">
        <f>SUMIFS('PLAN BUDGET SAMI-TF'!AW12:AW99999,'PLAN BUDGET SAMI-TF'!D12:D99999,SUMMARY!D138,'PLAN BUDGET SAMI-TF'!J12:J99999,SUMMARY!A138&amp;"*")</f>
        <v>0</v>
      </c>
      <c r="O138" s="10">
        <f>SUMIFS('PLAN BUDGET SAMI-TF'!AX12:AX99999,'PLAN BUDGET SAMI-TF'!D12:D99999,SUMMARY!D138,'PLAN BUDGET SAMI-TF'!J12:J99999,SUMMARY!A138&amp;"*")</f>
        <v>0</v>
      </c>
      <c r="P138" s="10">
        <f>SUMIFS('PLAN BUDGET SAMI-TF'!AY12:AY99999,'PLAN BUDGET SAMI-TF'!D12:D99999,SUMMARY!D138,'PLAN BUDGET SAMI-TF'!J12:J99999,SUMMARY!A138&amp;"*")</f>
        <v>0</v>
      </c>
      <c r="Q138" s="10">
        <f>SUMIFS('PLAN BUDGET SAMI-TF'!BC12:BC99999,'PLAN BUDGET SAMI-TF'!D12:D99999,SUMMARY!D138,'PLAN BUDGET SAMI-TF'!J12:J99999,SUMMARY!A138&amp;"*")</f>
        <v>0</v>
      </c>
      <c r="R138" s="10">
        <f>SUMIFS('PLAN BUDGET SAMI-TF'!BD12:BD99999,'PLAN BUDGET SAMI-TF'!D12:D99999,SUMMARY!D138,'PLAN BUDGET SAMI-TF'!J12:J99999,SUMMARY!A138&amp;"*")</f>
        <v>0</v>
      </c>
      <c r="S138" s="10">
        <f>SUMIFS('PLAN BUDGET SAMI-TF'!BE12:BE99999,'PLAN BUDGET SAMI-TF'!D12:D99999,SUMMARY!D138,'PLAN BUDGET SAMI-TF'!J12:J99999,SUMMARY!A138&amp;"*")</f>
        <v>0</v>
      </c>
      <c r="T138" s="10">
        <f>SUMIFS('PLAN BUDGET SAMI-TF'!BF12:BF99999,'PLAN BUDGET SAMI-TF'!D12:D99999,SUMMARY!D138,'PLAN BUDGET SAMI-TF'!J12:J99999,SUMMARY!A138&amp;"*")</f>
        <v>0</v>
      </c>
      <c r="U138" s="10">
        <f>SUMIFS('PLAN BUDGET SAMI-TF'!BG12:BG99999,'PLAN BUDGET SAMI-TF'!D12:D99999,SUMMARY!D138,'PLAN BUDGET SAMI-TF'!J12:J99999,SUMMARY!A138&amp;"*")</f>
        <v>0</v>
      </c>
      <c r="V138" s="10">
        <f>SUMIFS('PLAN BUDGET SAMI-TF'!BH12:BH99999,'PLAN BUDGET SAMI-TF'!D12:D99999,SUMMARY!D138,'PLAN BUDGET SAMI-TF'!J12:J99999,SUMMARY!A138&amp;"*")</f>
        <v>0</v>
      </c>
      <c r="W138" s="10">
        <f>SUMIFS('PLAN BUDGET SAMI-TF'!BI12:BI99999,'PLAN BUDGET SAMI-TF'!D12:D99999,SUMMARY!D138,'PLAN BUDGET SAMI-TF'!J12:J99999,SUMMARY!A138&amp;"*")</f>
        <v>0</v>
      </c>
      <c r="X138" s="10">
        <f>SUMIFS('PLAN BUDGET SAMI-TF'!BJ12:BJ99999,'PLAN BUDGET SAMI-TF'!D12:D99999,SUMMARY!D138,'PLAN BUDGET SAMI-TF'!J12:J99999,SUMMARY!A138&amp;"*")</f>
        <v>0</v>
      </c>
      <c r="Y138" s="10">
        <f>SUMIFS('PLAN BUDGET SAMI-TF'!BK12:BK99999,'PLAN BUDGET SAMI-TF'!D12:D99999,SUMMARY!D138,'PLAN BUDGET SAMI-TF'!J12:J99999,SUMMARY!A138&amp;"*")</f>
        <v>0</v>
      </c>
      <c r="Z138" s="10">
        <f>SUMIFS('PLAN BUDGET SAMI-TF'!BL12:BL99999,'PLAN BUDGET SAMI-TF'!D12:D99999,SUMMARY!D138,'PLAN BUDGET SAMI-TF'!J12:J99999,SUMMARY!A138&amp;"*")</f>
        <v>0</v>
      </c>
      <c r="AA138" s="10">
        <f>SUMIFS('PLAN BUDGET SAMI-TF'!BM12:BM99999,'PLAN BUDGET SAMI-TF'!D12:D99999,SUMMARY!D138,'PLAN BUDGET SAMI-TF'!J12:J99999,SUMMARY!A138&amp;"*")</f>
        <v>0</v>
      </c>
      <c r="AB138" s="10">
        <f>SUMIFS('PLAN BUDGET SAMI-TF'!BN12:BN99999,'PLAN BUDGET SAMI-TF'!D12:D99999,SUMMARY!D138,'PLAN BUDGET SAMI-TF'!J12:J99999,SUMMARY!A138&amp;"*")</f>
        <v>0</v>
      </c>
      <c r="AC138" s="10">
        <f t="shared" si="16"/>
        <v>0</v>
      </c>
      <c r="AD138" s="10">
        <f t="shared" si="17"/>
        <v>0</v>
      </c>
      <c r="AE138" s="16"/>
      <c r="AF138" s="10">
        <v>293</v>
      </c>
      <c r="AG138" s="10">
        <v>2037.9020925904999</v>
      </c>
      <c r="AH138" s="20">
        <f t="shared" si="18"/>
        <v>-1</v>
      </c>
      <c r="AI138" s="20">
        <f t="shared" si="19"/>
        <v>-1</v>
      </c>
      <c r="AJ138" s="7" t="s">
        <v>743</v>
      </c>
    </row>
    <row r="139" spans="1:36" x14ac:dyDescent="0.35">
      <c r="A139" s="7" t="s">
        <v>709</v>
      </c>
      <c r="B139" s="7"/>
      <c r="C139" s="7"/>
      <c r="D139" s="7" t="s">
        <v>569</v>
      </c>
      <c r="E139" s="10">
        <f>SUMIFS('PLAN BUDGET SAMI-TF'!AN12:AN99999,'PLAN BUDGET SAMI-TF'!D12:D99999,SUMMARY!D139,'PLAN BUDGET SAMI-TF'!J12:J99999,SUMMARY!A139&amp;"*")</f>
        <v>0</v>
      </c>
      <c r="F139" s="10">
        <f>SUMIFS('PLAN BUDGET SAMI-TF'!AO12:AO99999,'PLAN BUDGET SAMI-TF'!D12:D99999,SUMMARY!D139,'PLAN BUDGET SAMI-TF'!J12:J99999,SUMMARY!A139&amp;"*")</f>
        <v>0</v>
      </c>
      <c r="G139" s="10">
        <f>SUMIFS('PLAN BUDGET SAMI-TF'!AP12:AP99999,'PLAN BUDGET SAMI-TF'!D12:D99999,SUMMARY!D139,'PLAN BUDGET SAMI-TF'!J12:J99999,SUMMARY!A139&amp;"*")</f>
        <v>0</v>
      </c>
      <c r="H139" s="10">
        <f>SUMIFS('PLAN BUDGET SAMI-TF'!AQ12:AQ99999,'PLAN BUDGET SAMI-TF'!D12:D99999,SUMMARY!D139,'PLAN BUDGET SAMI-TF'!J12:J99999,SUMMARY!A139&amp;"*")</f>
        <v>0</v>
      </c>
      <c r="I139" s="10">
        <f>SUMIFS('PLAN BUDGET SAMI-TF'!AR12:AR99999,'PLAN BUDGET SAMI-TF'!D12:D99999,SUMMARY!D139,'PLAN BUDGET SAMI-TF'!J12:J99999,SUMMARY!A139&amp;"*")</f>
        <v>0</v>
      </c>
      <c r="J139" s="10">
        <f>SUMIFS('PLAN BUDGET SAMI-TF'!AS12:AS99999,'PLAN BUDGET SAMI-TF'!D12:D99999,SUMMARY!D139,'PLAN BUDGET SAMI-TF'!J12:J99999,SUMMARY!A139&amp;"*")</f>
        <v>0</v>
      </c>
      <c r="K139" s="10">
        <f>SUMIFS('PLAN BUDGET SAMI-TF'!AT12:AT99999,'PLAN BUDGET SAMI-TF'!D12:D99999,SUMMARY!D139,'PLAN BUDGET SAMI-TF'!J12:J99999,SUMMARY!A139&amp;"*")</f>
        <v>0</v>
      </c>
      <c r="L139" s="10">
        <f>SUMIFS('PLAN BUDGET SAMI-TF'!AU12:AU99999,'PLAN BUDGET SAMI-TF'!D12:D99999,SUMMARY!D139,'PLAN BUDGET SAMI-TF'!J12:J99999,SUMMARY!A139&amp;"*")</f>
        <v>0</v>
      </c>
      <c r="M139" s="10">
        <f>SUMIFS('PLAN BUDGET SAMI-TF'!AV12:AV99999,'PLAN BUDGET SAMI-TF'!D12:D99999,SUMMARY!D139,'PLAN BUDGET SAMI-TF'!J12:J99999,SUMMARY!A139&amp;"*")</f>
        <v>0</v>
      </c>
      <c r="N139" s="10">
        <f>SUMIFS('PLAN BUDGET SAMI-TF'!AW12:AW99999,'PLAN BUDGET SAMI-TF'!D12:D99999,SUMMARY!D139,'PLAN BUDGET SAMI-TF'!J12:J99999,SUMMARY!A139&amp;"*")</f>
        <v>0</v>
      </c>
      <c r="O139" s="10">
        <f>SUMIFS('PLAN BUDGET SAMI-TF'!AX12:AX99999,'PLAN BUDGET SAMI-TF'!D12:D99999,SUMMARY!D139,'PLAN BUDGET SAMI-TF'!J12:J99999,SUMMARY!A139&amp;"*")</f>
        <v>0</v>
      </c>
      <c r="P139" s="10">
        <f>SUMIFS('PLAN BUDGET SAMI-TF'!AY12:AY99999,'PLAN BUDGET SAMI-TF'!D12:D99999,SUMMARY!D139,'PLAN BUDGET SAMI-TF'!J12:J99999,SUMMARY!A139&amp;"*")</f>
        <v>0</v>
      </c>
      <c r="Q139" s="10">
        <f>SUMIFS('PLAN BUDGET SAMI-TF'!BC12:BC99999,'PLAN BUDGET SAMI-TF'!D12:D99999,SUMMARY!D139,'PLAN BUDGET SAMI-TF'!J12:J99999,SUMMARY!A139&amp;"*")</f>
        <v>0</v>
      </c>
      <c r="R139" s="10">
        <f>SUMIFS('PLAN BUDGET SAMI-TF'!BD12:BD99999,'PLAN BUDGET SAMI-TF'!D12:D99999,SUMMARY!D139,'PLAN BUDGET SAMI-TF'!J12:J99999,SUMMARY!A139&amp;"*")</f>
        <v>0</v>
      </c>
      <c r="S139" s="10">
        <f>SUMIFS('PLAN BUDGET SAMI-TF'!BE12:BE99999,'PLAN BUDGET SAMI-TF'!D12:D99999,SUMMARY!D139,'PLAN BUDGET SAMI-TF'!J12:J99999,SUMMARY!A139&amp;"*")</f>
        <v>0</v>
      </c>
      <c r="T139" s="10">
        <f>SUMIFS('PLAN BUDGET SAMI-TF'!BF12:BF99999,'PLAN BUDGET SAMI-TF'!D12:D99999,SUMMARY!D139,'PLAN BUDGET SAMI-TF'!J12:J99999,SUMMARY!A139&amp;"*")</f>
        <v>0</v>
      </c>
      <c r="U139" s="10">
        <f>SUMIFS('PLAN BUDGET SAMI-TF'!BG12:BG99999,'PLAN BUDGET SAMI-TF'!D12:D99999,SUMMARY!D139,'PLAN BUDGET SAMI-TF'!J12:J99999,SUMMARY!A139&amp;"*")</f>
        <v>0</v>
      </c>
      <c r="V139" s="10">
        <f>SUMIFS('PLAN BUDGET SAMI-TF'!BH12:BH99999,'PLAN BUDGET SAMI-TF'!D12:D99999,SUMMARY!D139,'PLAN BUDGET SAMI-TF'!J12:J99999,SUMMARY!A139&amp;"*")</f>
        <v>0</v>
      </c>
      <c r="W139" s="10">
        <f>SUMIFS('PLAN BUDGET SAMI-TF'!BI12:BI99999,'PLAN BUDGET SAMI-TF'!D12:D99999,SUMMARY!D139,'PLAN BUDGET SAMI-TF'!J12:J99999,SUMMARY!A139&amp;"*")</f>
        <v>0</v>
      </c>
      <c r="X139" s="10">
        <f>SUMIFS('PLAN BUDGET SAMI-TF'!BJ12:BJ99999,'PLAN BUDGET SAMI-TF'!D12:D99999,SUMMARY!D139,'PLAN BUDGET SAMI-TF'!J12:J99999,SUMMARY!A139&amp;"*")</f>
        <v>0</v>
      </c>
      <c r="Y139" s="10">
        <f>SUMIFS('PLAN BUDGET SAMI-TF'!BK12:BK99999,'PLAN BUDGET SAMI-TF'!D12:D99999,SUMMARY!D139,'PLAN BUDGET SAMI-TF'!J12:J99999,SUMMARY!A139&amp;"*")</f>
        <v>0</v>
      </c>
      <c r="Z139" s="10">
        <f>SUMIFS('PLAN BUDGET SAMI-TF'!BL12:BL99999,'PLAN BUDGET SAMI-TF'!D12:D99999,SUMMARY!D139,'PLAN BUDGET SAMI-TF'!J12:J99999,SUMMARY!A139&amp;"*")</f>
        <v>0</v>
      </c>
      <c r="AA139" s="10">
        <f>SUMIFS('PLAN BUDGET SAMI-TF'!BM12:BM99999,'PLAN BUDGET SAMI-TF'!D12:D99999,SUMMARY!D139,'PLAN BUDGET SAMI-TF'!J12:J99999,SUMMARY!A139&amp;"*")</f>
        <v>0</v>
      </c>
      <c r="AB139" s="10">
        <f>SUMIFS('PLAN BUDGET SAMI-TF'!BN12:BN99999,'PLAN BUDGET SAMI-TF'!D12:D99999,SUMMARY!D139,'PLAN BUDGET SAMI-TF'!J12:J99999,SUMMARY!A139&amp;"*")</f>
        <v>0</v>
      </c>
      <c r="AC139" s="10">
        <f t="shared" si="16"/>
        <v>0</v>
      </c>
      <c r="AD139" s="10">
        <f t="shared" si="17"/>
        <v>0</v>
      </c>
      <c r="AE139" s="16"/>
      <c r="AF139" s="10">
        <v>5</v>
      </c>
      <c r="AG139" s="10">
        <v>30.065955211220999</v>
      </c>
      <c r="AH139" s="20">
        <f t="shared" si="18"/>
        <v>-1</v>
      </c>
      <c r="AI139" s="20">
        <f t="shared" si="19"/>
        <v>-1</v>
      </c>
      <c r="AJ139" s="7" t="s">
        <v>743</v>
      </c>
    </row>
    <row r="140" spans="1:36" x14ac:dyDescent="0.35">
      <c r="A140" s="7" t="s">
        <v>709</v>
      </c>
      <c r="B140" s="7"/>
      <c r="C140" s="7"/>
      <c r="D140" s="7" t="s">
        <v>766</v>
      </c>
      <c r="E140" s="10">
        <f>SUMIFS('PLAN BUDGET SAMI-TF'!AN12:AN99999,'PLAN BUDGET SAMI-TF'!D12:D99999,SUMMARY!D140,'PLAN BUDGET SAMI-TF'!J12:J99999,SUMMARY!A140&amp;"*")</f>
        <v>0</v>
      </c>
      <c r="F140" s="10">
        <f>SUMIFS('PLAN BUDGET SAMI-TF'!AO12:AO99999,'PLAN BUDGET SAMI-TF'!D12:D99999,SUMMARY!D140,'PLAN BUDGET SAMI-TF'!J12:J99999,SUMMARY!A140&amp;"*")</f>
        <v>0</v>
      </c>
      <c r="G140" s="10">
        <f>SUMIFS('PLAN BUDGET SAMI-TF'!AP12:AP99999,'PLAN BUDGET SAMI-TF'!D12:D99999,SUMMARY!D140,'PLAN BUDGET SAMI-TF'!J12:J99999,SUMMARY!A140&amp;"*")</f>
        <v>0</v>
      </c>
      <c r="H140" s="10">
        <f>SUMIFS('PLAN BUDGET SAMI-TF'!AQ12:AQ99999,'PLAN BUDGET SAMI-TF'!D12:D99999,SUMMARY!D140,'PLAN BUDGET SAMI-TF'!J12:J99999,SUMMARY!A140&amp;"*")</f>
        <v>0</v>
      </c>
      <c r="I140" s="10">
        <f>SUMIFS('PLAN BUDGET SAMI-TF'!AR12:AR99999,'PLAN BUDGET SAMI-TF'!D12:D99999,SUMMARY!D140,'PLAN BUDGET SAMI-TF'!J12:J99999,SUMMARY!A140&amp;"*")</f>
        <v>0</v>
      </c>
      <c r="J140" s="10">
        <f>SUMIFS('PLAN BUDGET SAMI-TF'!AS12:AS99999,'PLAN BUDGET SAMI-TF'!D12:D99999,SUMMARY!D140,'PLAN BUDGET SAMI-TF'!J12:J99999,SUMMARY!A140&amp;"*")</f>
        <v>0</v>
      </c>
      <c r="K140" s="10">
        <f>SUMIFS('PLAN BUDGET SAMI-TF'!AT12:AT99999,'PLAN BUDGET SAMI-TF'!D12:D99999,SUMMARY!D140,'PLAN BUDGET SAMI-TF'!J12:J99999,SUMMARY!A140&amp;"*")</f>
        <v>0</v>
      </c>
      <c r="L140" s="10">
        <f>SUMIFS('PLAN BUDGET SAMI-TF'!AU12:AU99999,'PLAN BUDGET SAMI-TF'!D12:D99999,SUMMARY!D140,'PLAN BUDGET SAMI-TF'!J12:J99999,SUMMARY!A140&amp;"*")</f>
        <v>0</v>
      </c>
      <c r="M140" s="10">
        <f>SUMIFS('PLAN BUDGET SAMI-TF'!AV12:AV99999,'PLAN BUDGET SAMI-TF'!D12:D99999,SUMMARY!D140,'PLAN BUDGET SAMI-TF'!J12:J99999,SUMMARY!A140&amp;"*")</f>
        <v>0</v>
      </c>
      <c r="N140" s="10">
        <f>SUMIFS('PLAN BUDGET SAMI-TF'!AW12:AW99999,'PLAN BUDGET SAMI-TF'!D12:D99999,SUMMARY!D140,'PLAN BUDGET SAMI-TF'!J12:J99999,SUMMARY!A140&amp;"*")</f>
        <v>0</v>
      </c>
      <c r="O140" s="10">
        <f>SUMIFS('PLAN BUDGET SAMI-TF'!AX12:AX99999,'PLAN BUDGET SAMI-TF'!D12:D99999,SUMMARY!D140,'PLAN BUDGET SAMI-TF'!J12:J99999,SUMMARY!A140&amp;"*")</f>
        <v>0</v>
      </c>
      <c r="P140" s="10">
        <f>SUMIFS('PLAN BUDGET SAMI-TF'!AY12:AY99999,'PLAN BUDGET SAMI-TF'!D12:D99999,SUMMARY!D140,'PLAN BUDGET SAMI-TF'!J12:J99999,SUMMARY!A140&amp;"*")</f>
        <v>0</v>
      </c>
      <c r="Q140" s="10">
        <f>SUMIFS('PLAN BUDGET SAMI-TF'!BC12:BC99999,'PLAN BUDGET SAMI-TF'!D12:D99999,SUMMARY!D140,'PLAN BUDGET SAMI-TF'!J12:J99999,SUMMARY!A140&amp;"*")</f>
        <v>0</v>
      </c>
      <c r="R140" s="10">
        <f>SUMIFS('PLAN BUDGET SAMI-TF'!BD12:BD99999,'PLAN BUDGET SAMI-TF'!D12:D99999,SUMMARY!D140,'PLAN BUDGET SAMI-TF'!J12:J99999,SUMMARY!A140&amp;"*")</f>
        <v>0</v>
      </c>
      <c r="S140" s="10">
        <f>SUMIFS('PLAN BUDGET SAMI-TF'!BE12:BE99999,'PLAN BUDGET SAMI-TF'!D12:D99999,SUMMARY!D140,'PLAN BUDGET SAMI-TF'!J12:J99999,SUMMARY!A140&amp;"*")</f>
        <v>0</v>
      </c>
      <c r="T140" s="10">
        <f>SUMIFS('PLAN BUDGET SAMI-TF'!BF12:BF99999,'PLAN BUDGET SAMI-TF'!D12:D99999,SUMMARY!D140,'PLAN BUDGET SAMI-TF'!J12:J99999,SUMMARY!A140&amp;"*")</f>
        <v>0</v>
      </c>
      <c r="U140" s="10">
        <f>SUMIFS('PLAN BUDGET SAMI-TF'!BG12:BG99999,'PLAN BUDGET SAMI-TF'!D12:D99999,SUMMARY!D140,'PLAN BUDGET SAMI-TF'!J12:J99999,SUMMARY!A140&amp;"*")</f>
        <v>0</v>
      </c>
      <c r="V140" s="10">
        <f>SUMIFS('PLAN BUDGET SAMI-TF'!BH12:BH99999,'PLAN BUDGET SAMI-TF'!D12:D99999,SUMMARY!D140,'PLAN BUDGET SAMI-TF'!J12:J99999,SUMMARY!A140&amp;"*")</f>
        <v>0</v>
      </c>
      <c r="W140" s="10">
        <f>SUMIFS('PLAN BUDGET SAMI-TF'!BI12:BI99999,'PLAN BUDGET SAMI-TF'!D12:D99999,SUMMARY!D140,'PLAN BUDGET SAMI-TF'!J12:J99999,SUMMARY!A140&amp;"*")</f>
        <v>0</v>
      </c>
      <c r="X140" s="10">
        <f>SUMIFS('PLAN BUDGET SAMI-TF'!BJ12:BJ99999,'PLAN BUDGET SAMI-TF'!D12:D99999,SUMMARY!D140,'PLAN BUDGET SAMI-TF'!J12:J99999,SUMMARY!A140&amp;"*")</f>
        <v>0</v>
      </c>
      <c r="Y140" s="10">
        <f>SUMIFS('PLAN BUDGET SAMI-TF'!BK12:BK99999,'PLAN BUDGET SAMI-TF'!D12:D99999,SUMMARY!D140,'PLAN BUDGET SAMI-TF'!J12:J99999,SUMMARY!A140&amp;"*")</f>
        <v>0</v>
      </c>
      <c r="Z140" s="10">
        <f>SUMIFS('PLAN BUDGET SAMI-TF'!BL12:BL99999,'PLAN BUDGET SAMI-TF'!D12:D99999,SUMMARY!D140,'PLAN BUDGET SAMI-TF'!J12:J99999,SUMMARY!A140&amp;"*")</f>
        <v>0</v>
      </c>
      <c r="AA140" s="10">
        <f>SUMIFS('PLAN BUDGET SAMI-TF'!BM12:BM99999,'PLAN BUDGET SAMI-TF'!D12:D99999,SUMMARY!D140,'PLAN BUDGET SAMI-TF'!J12:J99999,SUMMARY!A140&amp;"*")</f>
        <v>0</v>
      </c>
      <c r="AB140" s="10">
        <f>SUMIFS('PLAN BUDGET SAMI-TF'!BN12:BN99999,'PLAN BUDGET SAMI-TF'!D12:D99999,SUMMARY!D140,'PLAN BUDGET SAMI-TF'!J12:J99999,SUMMARY!A140&amp;"*")</f>
        <v>0</v>
      </c>
      <c r="AC140" s="10">
        <f t="shared" si="16"/>
        <v>0</v>
      </c>
      <c r="AD140" s="10">
        <f t="shared" si="17"/>
        <v>0</v>
      </c>
      <c r="AE140" s="16"/>
      <c r="AF140" s="10">
        <v>5</v>
      </c>
      <c r="AG140" s="10">
        <v>117.09898345422999</v>
      </c>
      <c r="AH140" s="20">
        <f t="shared" si="18"/>
        <v>-1</v>
      </c>
      <c r="AI140" s="20">
        <f t="shared" si="19"/>
        <v>-1</v>
      </c>
      <c r="AJ140" s="7" t="s">
        <v>743</v>
      </c>
    </row>
    <row r="141" spans="1:36" x14ac:dyDescent="0.35">
      <c r="A141" s="7" t="s">
        <v>709</v>
      </c>
      <c r="B141" s="7"/>
      <c r="C141" s="7"/>
      <c r="D141" s="7" t="s">
        <v>767</v>
      </c>
      <c r="E141" s="10">
        <f>SUMIFS('PLAN BUDGET SAMI-TF'!AN12:AN99999,'PLAN BUDGET SAMI-TF'!D12:D99999,SUMMARY!D141,'PLAN BUDGET SAMI-TF'!J12:J99999,SUMMARY!A141&amp;"*")</f>
        <v>0</v>
      </c>
      <c r="F141" s="10">
        <f>SUMIFS('PLAN BUDGET SAMI-TF'!AO12:AO99999,'PLAN BUDGET SAMI-TF'!D12:D99999,SUMMARY!D141,'PLAN BUDGET SAMI-TF'!J12:J99999,SUMMARY!A141&amp;"*")</f>
        <v>0</v>
      </c>
      <c r="G141" s="10">
        <f>SUMIFS('PLAN BUDGET SAMI-TF'!AP12:AP99999,'PLAN BUDGET SAMI-TF'!D12:D99999,SUMMARY!D141,'PLAN BUDGET SAMI-TF'!J12:J99999,SUMMARY!A141&amp;"*")</f>
        <v>0</v>
      </c>
      <c r="H141" s="10">
        <f>SUMIFS('PLAN BUDGET SAMI-TF'!AQ12:AQ99999,'PLAN BUDGET SAMI-TF'!D12:D99999,SUMMARY!D141,'PLAN BUDGET SAMI-TF'!J12:J99999,SUMMARY!A141&amp;"*")</f>
        <v>0</v>
      </c>
      <c r="I141" s="10">
        <f>SUMIFS('PLAN BUDGET SAMI-TF'!AR12:AR99999,'PLAN BUDGET SAMI-TF'!D12:D99999,SUMMARY!D141,'PLAN BUDGET SAMI-TF'!J12:J99999,SUMMARY!A141&amp;"*")</f>
        <v>0</v>
      </c>
      <c r="J141" s="10">
        <f>SUMIFS('PLAN BUDGET SAMI-TF'!AS12:AS99999,'PLAN BUDGET SAMI-TF'!D12:D99999,SUMMARY!D141,'PLAN BUDGET SAMI-TF'!J12:J99999,SUMMARY!A141&amp;"*")</f>
        <v>0</v>
      </c>
      <c r="K141" s="10">
        <f>SUMIFS('PLAN BUDGET SAMI-TF'!AT12:AT99999,'PLAN BUDGET SAMI-TF'!D12:D99999,SUMMARY!D141,'PLAN BUDGET SAMI-TF'!J12:J99999,SUMMARY!A141&amp;"*")</f>
        <v>0</v>
      </c>
      <c r="L141" s="10">
        <f>SUMIFS('PLAN BUDGET SAMI-TF'!AU12:AU99999,'PLAN BUDGET SAMI-TF'!D12:D99999,SUMMARY!D141,'PLAN BUDGET SAMI-TF'!J12:J99999,SUMMARY!A141&amp;"*")</f>
        <v>0</v>
      </c>
      <c r="M141" s="10">
        <f>SUMIFS('PLAN BUDGET SAMI-TF'!AV12:AV99999,'PLAN BUDGET SAMI-TF'!D12:D99999,SUMMARY!D141,'PLAN BUDGET SAMI-TF'!J12:J99999,SUMMARY!A141&amp;"*")</f>
        <v>0</v>
      </c>
      <c r="N141" s="10">
        <f>SUMIFS('PLAN BUDGET SAMI-TF'!AW12:AW99999,'PLAN BUDGET SAMI-TF'!D12:D99999,SUMMARY!D141,'PLAN BUDGET SAMI-TF'!J12:J99999,SUMMARY!A141&amp;"*")</f>
        <v>0</v>
      </c>
      <c r="O141" s="10">
        <f>SUMIFS('PLAN BUDGET SAMI-TF'!AX12:AX99999,'PLAN BUDGET SAMI-TF'!D12:D99999,SUMMARY!D141,'PLAN BUDGET SAMI-TF'!J12:J99999,SUMMARY!A141&amp;"*")</f>
        <v>0</v>
      </c>
      <c r="P141" s="10">
        <f>SUMIFS('PLAN BUDGET SAMI-TF'!AY12:AY99999,'PLAN BUDGET SAMI-TF'!D12:D99999,SUMMARY!D141,'PLAN BUDGET SAMI-TF'!J12:J99999,SUMMARY!A141&amp;"*")</f>
        <v>0</v>
      </c>
      <c r="Q141" s="10">
        <f>SUMIFS('PLAN BUDGET SAMI-TF'!BC12:BC99999,'PLAN BUDGET SAMI-TF'!D12:D99999,SUMMARY!D141,'PLAN BUDGET SAMI-TF'!J12:J99999,SUMMARY!A141&amp;"*")</f>
        <v>0</v>
      </c>
      <c r="R141" s="10">
        <f>SUMIFS('PLAN BUDGET SAMI-TF'!BD12:BD99999,'PLAN BUDGET SAMI-TF'!D12:D99999,SUMMARY!D141,'PLAN BUDGET SAMI-TF'!J12:J99999,SUMMARY!A141&amp;"*")</f>
        <v>0</v>
      </c>
      <c r="S141" s="10">
        <f>SUMIFS('PLAN BUDGET SAMI-TF'!BE12:BE99999,'PLAN BUDGET SAMI-TF'!D12:D99999,SUMMARY!D141,'PLAN BUDGET SAMI-TF'!J12:J99999,SUMMARY!A141&amp;"*")</f>
        <v>0</v>
      </c>
      <c r="T141" s="10">
        <f>SUMIFS('PLAN BUDGET SAMI-TF'!BF12:BF99999,'PLAN BUDGET SAMI-TF'!D12:D99999,SUMMARY!D141,'PLAN BUDGET SAMI-TF'!J12:J99999,SUMMARY!A141&amp;"*")</f>
        <v>0</v>
      </c>
      <c r="U141" s="10">
        <f>SUMIFS('PLAN BUDGET SAMI-TF'!BG12:BG99999,'PLAN BUDGET SAMI-TF'!D12:D99999,SUMMARY!D141,'PLAN BUDGET SAMI-TF'!J12:J99999,SUMMARY!A141&amp;"*")</f>
        <v>0</v>
      </c>
      <c r="V141" s="10">
        <f>SUMIFS('PLAN BUDGET SAMI-TF'!BH12:BH99999,'PLAN BUDGET SAMI-TF'!D12:D99999,SUMMARY!D141,'PLAN BUDGET SAMI-TF'!J12:J99999,SUMMARY!A141&amp;"*")</f>
        <v>0</v>
      </c>
      <c r="W141" s="10">
        <f>SUMIFS('PLAN BUDGET SAMI-TF'!BI12:BI99999,'PLAN BUDGET SAMI-TF'!D12:D99999,SUMMARY!D141,'PLAN BUDGET SAMI-TF'!J12:J99999,SUMMARY!A141&amp;"*")</f>
        <v>0</v>
      </c>
      <c r="X141" s="10">
        <f>SUMIFS('PLAN BUDGET SAMI-TF'!BJ12:BJ99999,'PLAN BUDGET SAMI-TF'!D12:D99999,SUMMARY!D141,'PLAN BUDGET SAMI-TF'!J12:J99999,SUMMARY!A141&amp;"*")</f>
        <v>0</v>
      </c>
      <c r="Y141" s="10">
        <f>SUMIFS('PLAN BUDGET SAMI-TF'!BK12:BK99999,'PLAN BUDGET SAMI-TF'!D12:D99999,SUMMARY!D141,'PLAN BUDGET SAMI-TF'!J12:J99999,SUMMARY!A141&amp;"*")</f>
        <v>0</v>
      </c>
      <c r="Z141" s="10">
        <f>SUMIFS('PLAN BUDGET SAMI-TF'!BL12:BL99999,'PLAN BUDGET SAMI-TF'!D12:D99999,SUMMARY!D141,'PLAN BUDGET SAMI-TF'!J12:J99999,SUMMARY!A141&amp;"*")</f>
        <v>0</v>
      </c>
      <c r="AA141" s="10">
        <f>SUMIFS('PLAN BUDGET SAMI-TF'!BM12:BM99999,'PLAN BUDGET SAMI-TF'!D12:D99999,SUMMARY!D141,'PLAN BUDGET SAMI-TF'!J12:J99999,SUMMARY!A141&amp;"*")</f>
        <v>0</v>
      </c>
      <c r="AB141" s="10">
        <f>SUMIFS('PLAN BUDGET SAMI-TF'!BN12:BN99999,'PLAN BUDGET SAMI-TF'!D12:D99999,SUMMARY!D141,'PLAN BUDGET SAMI-TF'!J12:J99999,SUMMARY!A141&amp;"*")</f>
        <v>0</v>
      </c>
      <c r="AC141" s="10">
        <f t="shared" si="16"/>
        <v>0</v>
      </c>
      <c r="AD141" s="10">
        <f t="shared" si="17"/>
        <v>0</v>
      </c>
      <c r="AE141" s="16"/>
      <c r="AF141" s="10">
        <v>5</v>
      </c>
      <c r="AG141" s="10">
        <v>102.85721519627999</v>
      </c>
      <c r="AH141" s="20">
        <f t="shared" si="18"/>
        <v>-1</v>
      </c>
      <c r="AI141" s="20">
        <f t="shared" si="19"/>
        <v>-1</v>
      </c>
      <c r="AJ141" s="7" t="s">
        <v>743</v>
      </c>
    </row>
    <row r="142" spans="1:36" x14ac:dyDescent="0.35">
      <c r="A142" s="7" t="s">
        <v>709</v>
      </c>
      <c r="B142" s="7"/>
      <c r="C142" s="7"/>
      <c r="D142" s="7" t="s">
        <v>768</v>
      </c>
      <c r="E142" s="10">
        <f>SUMIFS('PLAN BUDGET SAMI-TF'!AN12:AN99999,'PLAN BUDGET SAMI-TF'!D12:D99999,SUMMARY!D142,'PLAN BUDGET SAMI-TF'!J12:J99999,SUMMARY!A142&amp;"*")</f>
        <v>0</v>
      </c>
      <c r="F142" s="10">
        <f>SUMIFS('PLAN BUDGET SAMI-TF'!AO12:AO99999,'PLAN BUDGET SAMI-TF'!D12:D99999,SUMMARY!D142,'PLAN BUDGET SAMI-TF'!J12:J99999,SUMMARY!A142&amp;"*")</f>
        <v>0</v>
      </c>
      <c r="G142" s="10">
        <f>SUMIFS('PLAN BUDGET SAMI-TF'!AP12:AP99999,'PLAN BUDGET SAMI-TF'!D12:D99999,SUMMARY!D142,'PLAN BUDGET SAMI-TF'!J12:J99999,SUMMARY!A142&amp;"*")</f>
        <v>0</v>
      </c>
      <c r="H142" s="10">
        <f>SUMIFS('PLAN BUDGET SAMI-TF'!AQ12:AQ99999,'PLAN BUDGET SAMI-TF'!D12:D99999,SUMMARY!D142,'PLAN BUDGET SAMI-TF'!J12:J99999,SUMMARY!A142&amp;"*")</f>
        <v>0</v>
      </c>
      <c r="I142" s="10">
        <f>SUMIFS('PLAN BUDGET SAMI-TF'!AR12:AR99999,'PLAN BUDGET SAMI-TF'!D12:D99999,SUMMARY!D142,'PLAN BUDGET SAMI-TF'!J12:J99999,SUMMARY!A142&amp;"*")</f>
        <v>0</v>
      </c>
      <c r="J142" s="10">
        <f>SUMIFS('PLAN BUDGET SAMI-TF'!AS12:AS99999,'PLAN BUDGET SAMI-TF'!D12:D99999,SUMMARY!D142,'PLAN BUDGET SAMI-TF'!J12:J99999,SUMMARY!A142&amp;"*")</f>
        <v>0</v>
      </c>
      <c r="K142" s="10">
        <f>SUMIFS('PLAN BUDGET SAMI-TF'!AT12:AT99999,'PLAN BUDGET SAMI-TF'!D12:D99999,SUMMARY!D142,'PLAN BUDGET SAMI-TF'!J12:J99999,SUMMARY!A142&amp;"*")</f>
        <v>0</v>
      </c>
      <c r="L142" s="10">
        <f>SUMIFS('PLAN BUDGET SAMI-TF'!AU12:AU99999,'PLAN BUDGET SAMI-TF'!D12:D99999,SUMMARY!D142,'PLAN BUDGET SAMI-TF'!J12:J99999,SUMMARY!A142&amp;"*")</f>
        <v>0</v>
      </c>
      <c r="M142" s="10">
        <f>SUMIFS('PLAN BUDGET SAMI-TF'!AV12:AV99999,'PLAN BUDGET SAMI-TF'!D12:D99999,SUMMARY!D142,'PLAN BUDGET SAMI-TF'!J12:J99999,SUMMARY!A142&amp;"*")</f>
        <v>0</v>
      </c>
      <c r="N142" s="10">
        <f>SUMIFS('PLAN BUDGET SAMI-TF'!AW12:AW99999,'PLAN BUDGET SAMI-TF'!D12:D99999,SUMMARY!D142,'PLAN BUDGET SAMI-TF'!J12:J99999,SUMMARY!A142&amp;"*")</f>
        <v>0</v>
      </c>
      <c r="O142" s="10">
        <f>SUMIFS('PLAN BUDGET SAMI-TF'!AX12:AX99999,'PLAN BUDGET SAMI-TF'!D12:D99999,SUMMARY!D142,'PLAN BUDGET SAMI-TF'!J12:J99999,SUMMARY!A142&amp;"*")</f>
        <v>0</v>
      </c>
      <c r="P142" s="10">
        <f>SUMIFS('PLAN BUDGET SAMI-TF'!AY12:AY99999,'PLAN BUDGET SAMI-TF'!D12:D99999,SUMMARY!D142,'PLAN BUDGET SAMI-TF'!J12:J99999,SUMMARY!A142&amp;"*")</f>
        <v>0</v>
      </c>
      <c r="Q142" s="10">
        <f>SUMIFS('PLAN BUDGET SAMI-TF'!BC12:BC99999,'PLAN BUDGET SAMI-TF'!D12:D99999,SUMMARY!D142,'PLAN BUDGET SAMI-TF'!J12:J99999,SUMMARY!A142&amp;"*")</f>
        <v>0</v>
      </c>
      <c r="R142" s="10">
        <f>SUMIFS('PLAN BUDGET SAMI-TF'!BD12:BD99999,'PLAN BUDGET SAMI-TF'!D12:D99999,SUMMARY!D142,'PLAN BUDGET SAMI-TF'!J12:J99999,SUMMARY!A142&amp;"*")</f>
        <v>0</v>
      </c>
      <c r="S142" s="10">
        <f>SUMIFS('PLAN BUDGET SAMI-TF'!BE12:BE99999,'PLAN BUDGET SAMI-TF'!D12:D99999,SUMMARY!D142,'PLAN BUDGET SAMI-TF'!J12:J99999,SUMMARY!A142&amp;"*")</f>
        <v>0</v>
      </c>
      <c r="T142" s="10">
        <f>SUMIFS('PLAN BUDGET SAMI-TF'!BF12:BF99999,'PLAN BUDGET SAMI-TF'!D12:D99999,SUMMARY!D142,'PLAN BUDGET SAMI-TF'!J12:J99999,SUMMARY!A142&amp;"*")</f>
        <v>0</v>
      </c>
      <c r="U142" s="10">
        <f>SUMIFS('PLAN BUDGET SAMI-TF'!BG12:BG99999,'PLAN BUDGET SAMI-TF'!D12:D99999,SUMMARY!D142,'PLAN BUDGET SAMI-TF'!J12:J99999,SUMMARY!A142&amp;"*")</f>
        <v>0</v>
      </c>
      <c r="V142" s="10">
        <f>SUMIFS('PLAN BUDGET SAMI-TF'!BH12:BH99999,'PLAN BUDGET SAMI-TF'!D12:D99999,SUMMARY!D142,'PLAN BUDGET SAMI-TF'!J12:J99999,SUMMARY!A142&amp;"*")</f>
        <v>0</v>
      </c>
      <c r="W142" s="10">
        <f>SUMIFS('PLAN BUDGET SAMI-TF'!BI12:BI99999,'PLAN BUDGET SAMI-TF'!D12:D99999,SUMMARY!D142,'PLAN BUDGET SAMI-TF'!J12:J99999,SUMMARY!A142&amp;"*")</f>
        <v>0</v>
      </c>
      <c r="X142" s="10">
        <f>SUMIFS('PLAN BUDGET SAMI-TF'!BJ12:BJ99999,'PLAN BUDGET SAMI-TF'!D12:D99999,SUMMARY!D142,'PLAN BUDGET SAMI-TF'!J12:J99999,SUMMARY!A142&amp;"*")</f>
        <v>0</v>
      </c>
      <c r="Y142" s="10">
        <f>SUMIFS('PLAN BUDGET SAMI-TF'!BK12:BK99999,'PLAN BUDGET SAMI-TF'!D12:D99999,SUMMARY!D142,'PLAN BUDGET SAMI-TF'!J12:J99999,SUMMARY!A142&amp;"*")</f>
        <v>0</v>
      </c>
      <c r="Z142" s="10">
        <f>SUMIFS('PLAN BUDGET SAMI-TF'!BL12:BL99999,'PLAN BUDGET SAMI-TF'!D12:D99999,SUMMARY!D142,'PLAN BUDGET SAMI-TF'!J12:J99999,SUMMARY!A142&amp;"*")</f>
        <v>0</v>
      </c>
      <c r="AA142" s="10">
        <f>SUMIFS('PLAN BUDGET SAMI-TF'!BM12:BM99999,'PLAN BUDGET SAMI-TF'!D12:D99999,SUMMARY!D142,'PLAN BUDGET SAMI-TF'!J12:J99999,SUMMARY!A142&amp;"*")</f>
        <v>0</v>
      </c>
      <c r="AB142" s="10">
        <f>SUMIFS('PLAN BUDGET SAMI-TF'!BN12:BN99999,'PLAN BUDGET SAMI-TF'!D12:D99999,SUMMARY!D142,'PLAN BUDGET SAMI-TF'!J12:J99999,SUMMARY!A142&amp;"*")</f>
        <v>0</v>
      </c>
      <c r="AC142" s="10">
        <f t="shared" si="16"/>
        <v>0</v>
      </c>
      <c r="AD142" s="10">
        <f t="shared" si="17"/>
        <v>0</v>
      </c>
      <c r="AE142" s="16"/>
      <c r="AF142" s="10">
        <v>5</v>
      </c>
      <c r="AG142" s="10">
        <v>88.615446938336007</v>
      </c>
      <c r="AH142" s="20">
        <f t="shared" si="18"/>
        <v>-1</v>
      </c>
      <c r="AI142" s="20">
        <f t="shared" si="19"/>
        <v>-1</v>
      </c>
      <c r="AJ142" s="7" t="s">
        <v>743</v>
      </c>
    </row>
    <row r="143" spans="1:36" x14ac:dyDescent="0.35">
      <c r="A143" s="7" t="s">
        <v>709</v>
      </c>
      <c r="B143" s="7"/>
      <c r="C143" s="7"/>
      <c r="D143" s="7" t="s">
        <v>769</v>
      </c>
      <c r="E143" s="10">
        <f>SUMIFS('PLAN BUDGET SAMI-TF'!AN12:AN99999,'PLAN BUDGET SAMI-TF'!D12:D99999,SUMMARY!D143,'PLAN BUDGET SAMI-TF'!J12:J99999,SUMMARY!A143&amp;"*")</f>
        <v>0</v>
      </c>
      <c r="F143" s="10">
        <f>SUMIFS('PLAN BUDGET SAMI-TF'!AO12:AO99999,'PLAN BUDGET SAMI-TF'!D12:D99999,SUMMARY!D143,'PLAN BUDGET SAMI-TF'!J12:J99999,SUMMARY!A143&amp;"*")</f>
        <v>0</v>
      </c>
      <c r="G143" s="10">
        <f>SUMIFS('PLAN BUDGET SAMI-TF'!AP12:AP99999,'PLAN BUDGET SAMI-TF'!D12:D99999,SUMMARY!D143,'PLAN BUDGET SAMI-TF'!J12:J99999,SUMMARY!A143&amp;"*")</f>
        <v>0</v>
      </c>
      <c r="H143" s="10">
        <f>SUMIFS('PLAN BUDGET SAMI-TF'!AQ12:AQ99999,'PLAN BUDGET SAMI-TF'!D12:D99999,SUMMARY!D143,'PLAN BUDGET SAMI-TF'!J12:J99999,SUMMARY!A143&amp;"*")</f>
        <v>0</v>
      </c>
      <c r="I143" s="10">
        <f>SUMIFS('PLAN BUDGET SAMI-TF'!AR12:AR99999,'PLAN BUDGET SAMI-TF'!D12:D99999,SUMMARY!D143,'PLAN BUDGET SAMI-TF'!J12:J99999,SUMMARY!A143&amp;"*")</f>
        <v>0</v>
      </c>
      <c r="J143" s="10">
        <f>SUMIFS('PLAN BUDGET SAMI-TF'!AS12:AS99999,'PLAN BUDGET SAMI-TF'!D12:D99999,SUMMARY!D143,'PLAN BUDGET SAMI-TF'!J12:J99999,SUMMARY!A143&amp;"*")</f>
        <v>0</v>
      </c>
      <c r="K143" s="10">
        <f>SUMIFS('PLAN BUDGET SAMI-TF'!AT12:AT99999,'PLAN BUDGET SAMI-TF'!D12:D99999,SUMMARY!D143,'PLAN BUDGET SAMI-TF'!J12:J99999,SUMMARY!A143&amp;"*")</f>
        <v>0</v>
      </c>
      <c r="L143" s="10">
        <f>SUMIFS('PLAN BUDGET SAMI-TF'!AU12:AU99999,'PLAN BUDGET SAMI-TF'!D12:D99999,SUMMARY!D143,'PLAN BUDGET SAMI-TF'!J12:J99999,SUMMARY!A143&amp;"*")</f>
        <v>0</v>
      </c>
      <c r="M143" s="10">
        <f>SUMIFS('PLAN BUDGET SAMI-TF'!AV12:AV99999,'PLAN BUDGET SAMI-TF'!D12:D99999,SUMMARY!D143,'PLAN BUDGET SAMI-TF'!J12:J99999,SUMMARY!A143&amp;"*")</f>
        <v>0</v>
      </c>
      <c r="N143" s="10">
        <f>SUMIFS('PLAN BUDGET SAMI-TF'!AW12:AW99999,'PLAN BUDGET SAMI-TF'!D12:D99999,SUMMARY!D143,'PLAN BUDGET SAMI-TF'!J12:J99999,SUMMARY!A143&amp;"*")</f>
        <v>0</v>
      </c>
      <c r="O143" s="10">
        <f>SUMIFS('PLAN BUDGET SAMI-TF'!AX12:AX99999,'PLAN BUDGET SAMI-TF'!D12:D99999,SUMMARY!D143,'PLAN BUDGET SAMI-TF'!J12:J99999,SUMMARY!A143&amp;"*")</f>
        <v>0</v>
      </c>
      <c r="P143" s="10">
        <f>SUMIFS('PLAN BUDGET SAMI-TF'!AY12:AY99999,'PLAN BUDGET SAMI-TF'!D12:D99999,SUMMARY!D143,'PLAN BUDGET SAMI-TF'!J12:J99999,SUMMARY!A143&amp;"*")</f>
        <v>0</v>
      </c>
      <c r="Q143" s="10">
        <f>SUMIFS('PLAN BUDGET SAMI-TF'!BC12:BC99999,'PLAN BUDGET SAMI-TF'!D12:D99999,SUMMARY!D143,'PLAN BUDGET SAMI-TF'!J12:J99999,SUMMARY!A143&amp;"*")</f>
        <v>0</v>
      </c>
      <c r="R143" s="10">
        <f>SUMIFS('PLAN BUDGET SAMI-TF'!BD12:BD99999,'PLAN BUDGET SAMI-TF'!D12:D99999,SUMMARY!D143,'PLAN BUDGET SAMI-TF'!J12:J99999,SUMMARY!A143&amp;"*")</f>
        <v>0</v>
      </c>
      <c r="S143" s="10">
        <f>SUMIFS('PLAN BUDGET SAMI-TF'!BE12:BE99999,'PLAN BUDGET SAMI-TF'!D12:D99999,SUMMARY!D143,'PLAN BUDGET SAMI-TF'!J12:J99999,SUMMARY!A143&amp;"*")</f>
        <v>0</v>
      </c>
      <c r="T143" s="10">
        <f>SUMIFS('PLAN BUDGET SAMI-TF'!BF12:BF99999,'PLAN BUDGET SAMI-TF'!D12:D99999,SUMMARY!D143,'PLAN BUDGET SAMI-TF'!J12:J99999,SUMMARY!A143&amp;"*")</f>
        <v>0</v>
      </c>
      <c r="U143" s="10">
        <f>SUMIFS('PLAN BUDGET SAMI-TF'!BG12:BG99999,'PLAN BUDGET SAMI-TF'!D12:D99999,SUMMARY!D143,'PLAN BUDGET SAMI-TF'!J12:J99999,SUMMARY!A143&amp;"*")</f>
        <v>0</v>
      </c>
      <c r="V143" s="10">
        <f>SUMIFS('PLAN BUDGET SAMI-TF'!BH12:BH99999,'PLAN BUDGET SAMI-TF'!D12:D99999,SUMMARY!D143,'PLAN BUDGET SAMI-TF'!J12:J99999,SUMMARY!A143&amp;"*")</f>
        <v>0</v>
      </c>
      <c r="W143" s="10">
        <f>SUMIFS('PLAN BUDGET SAMI-TF'!BI12:BI99999,'PLAN BUDGET SAMI-TF'!D12:D99999,SUMMARY!D143,'PLAN BUDGET SAMI-TF'!J12:J99999,SUMMARY!A143&amp;"*")</f>
        <v>0</v>
      </c>
      <c r="X143" s="10">
        <f>SUMIFS('PLAN BUDGET SAMI-TF'!BJ12:BJ99999,'PLAN BUDGET SAMI-TF'!D12:D99999,SUMMARY!D143,'PLAN BUDGET SAMI-TF'!J12:J99999,SUMMARY!A143&amp;"*")</f>
        <v>0</v>
      </c>
      <c r="Y143" s="10">
        <f>SUMIFS('PLAN BUDGET SAMI-TF'!BK12:BK99999,'PLAN BUDGET SAMI-TF'!D12:D99999,SUMMARY!D143,'PLAN BUDGET SAMI-TF'!J12:J99999,SUMMARY!A143&amp;"*")</f>
        <v>0</v>
      </c>
      <c r="Z143" s="10">
        <f>SUMIFS('PLAN BUDGET SAMI-TF'!BL12:BL99999,'PLAN BUDGET SAMI-TF'!D12:D99999,SUMMARY!D143,'PLAN BUDGET SAMI-TF'!J12:J99999,SUMMARY!A143&amp;"*")</f>
        <v>0</v>
      </c>
      <c r="AA143" s="10">
        <f>SUMIFS('PLAN BUDGET SAMI-TF'!BM12:BM99999,'PLAN BUDGET SAMI-TF'!D12:D99999,SUMMARY!D143,'PLAN BUDGET SAMI-TF'!J12:J99999,SUMMARY!A143&amp;"*")</f>
        <v>0</v>
      </c>
      <c r="AB143" s="10">
        <f>SUMIFS('PLAN BUDGET SAMI-TF'!BN12:BN99999,'PLAN BUDGET SAMI-TF'!D12:D99999,SUMMARY!D143,'PLAN BUDGET SAMI-TF'!J12:J99999,SUMMARY!A143&amp;"*")</f>
        <v>0</v>
      </c>
      <c r="AC143" s="10">
        <f t="shared" si="16"/>
        <v>0</v>
      </c>
      <c r="AD143" s="10">
        <f t="shared" si="17"/>
        <v>0</v>
      </c>
      <c r="AE143" s="16"/>
      <c r="AF143" s="10">
        <v>10</v>
      </c>
      <c r="AG143" s="10">
        <v>71.208841289735005</v>
      </c>
      <c r="AH143" s="20">
        <f t="shared" si="18"/>
        <v>-1</v>
      </c>
      <c r="AI143" s="20">
        <f t="shared" si="19"/>
        <v>-1</v>
      </c>
      <c r="AJ143" s="7" t="s">
        <v>743</v>
      </c>
    </row>
    <row r="144" spans="1:36" x14ac:dyDescent="0.35">
      <c r="A144" s="7" t="s">
        <v>709</v>
      </c>
      <c r="B144" s="7"/>
      <c r="C144" s="7"/>
      <c r="D144" s="7" t="s">
        <v>770</v>
      </c>
      <c r="E144" s="10">
        <f>SUMIFS('PLAN BUDGET SAMI-TF'!AN12:AN99999,'PLAN BUDGET SAMI-TF'!D12:D99999,SUMMARY!D144,'PLAN BUDGET SAMI-TF'!J12:J99999,SUMMARY!A144&amp;"*")</f>
        <v>0</v>
      </c>
      <c r="F144" s="10">
        <f>SUMIFS('PLAN BUDGET SAMI-TF'!AO12:AO99999,'PLAN BUDGET SAMI-TF'!D12:D99999,SUMMARY!D144,'PLAN BUDGET SAMI-TF'!J12:J99999,SUMMARY!A144&amp;"*")</f>
        <v>0</v>
      </c>
      <c r="G144" s="10">
        <f>SUMIFS('PLAN BUDGET SAMI-TF'!AP12:AP99999,'PLAN BUDGET SAMI-TF'!D12:D99999,SUMMARY!D144,'PLAN BUDGET SAMI-TF'!J12:J99999,SUMMARY!A144&amp;"*")</f>
        <v>0</v>
      </c>
      <c r="H144" s="10">
        <f>SUMIFS('PLAN BUDGET SAMI-TF'!AQ12:AQ99999,'PLAN BUDGET SAMI-TF'!D12:D99999,SUMMARY!D144,'PLAN BUDGET SAMI-TF'!J12:J99999,SUMMARY!A144&amp;"*")</f>
        <v>0</v>
      </c>
      <c r="I144" s="10">
        <f>SUMIFS('PLAN BUDGET SAMI-TF'!AR12:AR99999,'PLAN BUDGET SAMI-TF'!D12:D99999,SUMMARY!D144,'PLAN BUDGET SAMI-TF'!J12:J99999,SUMMARY!A144&amp;"*")</f>
        <v>0</v>
      </c>
      <c r="J144" s="10">
        <f>SUMIFS('PLAN BUDGET SAMI-TF'!AS12:AS99999,'PLAN BUDGET SAMI-TF'!D12:D99999,SUMMARY!D144,'PLAN BUDGET SAMI-TF'!J12:J99999,SUMMARY!A144&amp;"*")</f>
        <v>0</v>
      </c>
      <c r="K144" s="10">
        <f>SUMIFS('PLAN BUDGET SAMI-TF'!AT12:AT99999,'PLAN BUDGET SAMI-TF'!D12:D99999,SUMMARY!D144,'PLAN BUDGET SAMI-TF'!J12:J99999,SUMMARY!A144&amp;"*")</f>
        <v>0</v>
      </c>
      <c r="L144" s="10">
        <f>SUMIFS('PLAN BUDGET SAMI-TF'!AU12:AU99999,'PLAN BUDGET SAMI-TF'!D12:D99999,SUMMARY!D144,'PLAN BUDGET SAMI-TF'!J12:J99999,SUMMARY!A144&amp;"*")</f>
        <v>0</v>
      </c>
      <c r="M144" s="10">
        <f>SUMIFS('PLAN BUDGET SAMI-TF'!AV12:AV99999,'PLAN BUDGET SAMI-TF'!D12:D99999,SUMMARY!D144,'PLAN BUDGET SAMI-TF'!J12:J99999,SUMMARY!A144&amp;"*")</f>
        <v>0</v>
      </c>
      <c r="N144" s="10">
        <f>SUMIFS('PLAN BUDGET SAMI-TF'!AW12:AW99999,'PLAN BUDGET SAMI-TF'!D12:D99999,SUMMARY!D144,'PLAN BUDGET SAMI-TF'!J12:J99999,SUMMARY!A144&amp;"*")</f>
        <v>0</v>
      </c>
      <c r="O144" s="10">
        <f>SUMIFS('PLAN BUDGET SAMI-TF'!AX12:AX99999,'PLAN BUDGET SAMI-TF'!D12:D99999,SUMMARY!D144,'PLAN BUDGET SAMI-TF'!J12:J99999,SUMMARY!A144&amp;"*")</f>
        <v>0</v>
      </c>
      <c r="P144" s="10">
        <f>SUMIFS('PLAN BUDGET SAMI-TF'!AY12:AY99999,'PLAN BUDGET SAMI-TF'!D12:D99999,SUMMARY!D144,'PLAN BUDGET SAMI-TF'!J12:J99999,SUMMARY!A144&amp;"*")</f>
        <v>0</v>
      </c>
      <c r="Q144" s="10">
        <f>SUMIFS('PLAN BUDGET SAMI-TF'!BC12:BC99999,'PLAN BUDGET SAMI-TF'!D12:D99999,SUMMARY!D144,'PLAN BUDGET SAMI-TF'!J12:J99999,SUMMARY!A144&amp;"*")</f>
        <v>0</v>
      </c>
      <c r="R144" s="10">
        <f>SUMIFS('PLAN BUDGET SAMI-TF'!BD12:BD99999,'PLAN BUDGET SAMI-TF'!D12:D99999,SUMMARY!D144,'PLAN BUDGET SAMI-TF'!J12:J99999,SUMMARY!A144&amp;"*")</f>
        <v>0</v>
      </c>
      <c r="S144" s="10">
        <f>SUMIFS('PLAN BUDGET SAMI-TF'!BE12:BE99999,'PLAN BUDGET SAMI-TF'!D12:D99999,SUMMARY!D144,'PLAN BUDGET SAMI-TF'!J12:J99999,SUMMARY!A144&amp;"*")</f>
        <v>0</v>
      </c>
      <c r="T144" s="10">
        <f>SUMIFS('PLAN BUDGET SAMI-TF'!BF12:BF99999,'PLAN BUDGET SAMI-TF'!D12:D99999,SUMMARY!D144,'PLAN BUDGET SAMI-TF'!J12:J99999,SUMMARY!A144&amp;"*")</f>
        <v>0</v>
      </c>
      <c r="U144" s="10">
        <f>SUMIFS('PLAN BUDGET SAMI-TF'!BG12:BG99999,'PLAN BUDGET SAMI-TF'!D12:D99999,SUMMARY!D144,'PLAN BUDGET SAMI-TF'!J12:J99999,SUMMARY!A144&amp;"*")</f>
        <v>0</v>
      </c>
      <c r="V144" s="10">
        <f>SUMIFS('PLAN BUDGET SAMI-TF'!BH12:BH99999,'PLAN BUDGET SAMI-TF'!D12:D99999,SUMMARY!D144,'PLAN BUDGET SAMI-TF'!J12:J99999,SUMMARY!A144&amp;"*")</f>
        <v>0</v>
      </c>
      <c r="W144" s="10">
        <f>SUMIFS('PLAN BUDGET SAMI-TF'!BI12:BI99999,'PLAN BUDGET SAMI-TF'!D12:D99999,SUMMARY!D144,'PLAN BUDGET SAMI-TF'!J12:J99999,SUMMARY!A144&amp;"*")</f>
        <v>0</v>
      </c>
      <c r="X144" s="10">
        <f>SUMIFS('PLAN BUDGET SAMI-TF'!BJ12:BJ99999,'PLAN BUDGET SAMI-TF'!D12:D99999,SUMMARY!D144,'PLAN BUDGET SAMI-TF'!J12:J99999,SUMMARY!A144&amp;"*")</f>
        <v>0</v>
      </c>
      <c r="Y144" s="10">
        <f>SUMIFS('PLAN BUDGET SAMI-TF'!BK12:BK99999,'PLAN BUDGET SAMI-TF'!D12:D99999,SUMMARY!D144,'PLAN BUDGET SAMI-TF'!J12:J99999,SUMMARY!A144&amp;"*")</f>
        <v>0</v>
      </c>
      <c r="Z144" s="10">
        <f>SUMIFS('PLAN BUDGET SAMI-TF'!BL12:BL99999,'PLAN BUDGET SAMI-TF'!D12:D99999,SUMMARY!D144,'PLAN BUDGET SAMI-TF'!J12:J99999,SUMMARY!A144&amp;"*")</f>
        <v>0</v>
      </c>
      <c r="AA144" s="10">
        <f>SUMIFS('PLAN BUDGET SAMI-TF'!BM12:BM99999,'PLAN BUDGET SAMI-TF'!D12:D99999,SUMMARY!D144,'PLAN BUDGET SAMI-TF'!J12:J99999,SUMMARY!A144&amp;"*")</f>
        <v>0</v>
      </c>
      <c r="AB144" s="10">
        <f>SUMIFS('PLAN BUDGET SAMI-TF'!BN12:BN99999,'PLAN BUDGET SAMI-TF'!D12:D99999,SUMMARY!D144,'PLAN BUDGET SAMI-TF'!J12:J99999,SUMMARY!A144&amp;"*")</f>
        <v>0</v>
      </c>
      <c r="AC144" s="10">
        <f t="shared" si="16"/>
        <v>0</v>
      </c>
      <c r="AD144" s="10">
        <f t="shared" si="17"/>
        <v>0</v>
      </c>
      <c r="AE144" s="16"/>
      <c r="AF144" s="10">
        <v>1</v>
      </c>
      <c r="AG144" s="10">
        <v>113.93414606358</v>
      </c>
      <c r="AH144" s="20">
        <f t="shared" si="18"/>
        <v>-1</v>
      </c>
      <c r="AI144" s="20">
        <f t="shared" si="19"/>
        <v>-1</v>
      </c>
      <c r="AJ144" s="7" t="s">
        <v>743</v>
      </c>
    </row>
    <row r="145" spans="1:36" x14ac:dyDescent="0.35">
      <c r="A145" s="7" t="s">
        <v>709</v>
      </c>
      <c r="B145" s="7"/>
      <c r="C145" s="7"/>
      <c r="D145" s="7" t="s">
        <v>771</v>
      </c>
      <c r="E145" s="10">
        <f>SUMIFS('PLAN BUDGET SAMI-TF'!AN12:AN99999,'PLAN BUDGET SAMI-TF'!D12:D99999,SUMMARY!D145,'PLAN BUDGET SAMI-TF'!J12:J99999,SUMMARY!A145&amp;"*")</f>
        <v>0</v>
      </c>
      <c r="F145" s="10">
        <f>SUMIFS('PLAN BUDGET SAMI-TF'!AO12:AO99999,'PLAN BUDGET SAMI-TF'!D12:D99999,SUMMARY!D145,'PLAN BUDGET SAMI-TF'!J12:J99999,SUMMARY!A145&amp;"*")</f>
        <v>0</v>
      </c>
      <c r="G145" s="10">
        <f>SUMIFS('PLAN BUDGET SAMI-TF'!AP12:AP99999,'PLAN BUDGET SAMI-TF'!D12:D99999,SUMMARY!D145,'PLAN BUDGET SAMI-TF'!J12:J99999,SUMMARY!A145&amp;"*")</f>
        <v>0</v>
      </c>
      <c r="H145" s="10">
        <f>SUMIFS('PLAN BUDGET SAMI-TF'!AQ12:AQ99999,'PLAN BUDGET SAMI-TF'!D12:D99999,SUMMARY!D145,'PLAN BUDGET SAMI-TF'!J12:J99999,SUMMARY!A145&amp;"*")</f>
        <v>0</v>
      </c>
      <c r="I145" s="10">
        <f>SUMIFS('PLAN BUDGET SAMI-TF'!AR12:AR99999,'PLAN BUDGET SAMI-TF'!D12:D99999,SUMMARY!D145,'PLAN BUDGET SAMI-TF'!J12:J99999,SUMMARY!A145&amp;"*")</f>
        <v>0</v>
      </c>
      <c r="J145" s="10">
        <f>SUMIFS('PLAN BUDGET SAMI-TF'!AS12:AS99999,'PLAN BUDGET SAMI-TF'!D12:D99999,SUMMARY!D145,'PLAN BUDGET SAMI-TF'!J12:J99999,SUMMARY!A145&amp;"*")</f>
        <v>0</v>
      </c>
      <c r="K145" s="10">
        <f>SUMIFS('PLAN BUDGET SAMI-TF'!AT12:AT99999,'PLAN BUDGET SAMI-TF'!D12:D99999,SUMMARY!D145,'PLAN BUDGET SAMI-TF'!J12:J99999,SUMMARY!A145&amp;"*")</f>
        <v>0</v>
      </c>
      <c r="L145" s="10">
        <f>SUMIFS('PLAN BUDGET SAMI-TF'!AU12:AU99999,'PLAN BUDGET SAMI-TF'!D12:D99999,SUMMARY!D145,'PLAN BUDGET SAMI-TF'!J12:J99999,SUMMARY!A145&amp;"*")</f>
        <v>0</v>
      </c>
      <c r="M145" s="10">
        <f>SUMIFS('PLAN BUDGET SAMI-TF'!AV12:AV99999,'PLAN BUDGET SAMI-TF'!D12:D99999,SUMMARY!D145,'PLAN BUDGET SAMI-TF'!J12:J99999,SUMMARY!A145&amp;"*")</f>
        <v>0</v>
      </c>
      <c r="N145" s="10">
        <f>SUMIFS('PLAN BUDGET SAMI-TF'!AW12:AW99999,'PLAN BUDGET SAMI-TF'!D12:D99999,SUMMARY!D145,'PLAN BUDGET SAMI-TF'!J12:J99999,SUMMARY!A145&amp;"*")</f>
        <v>0</v>
      </c>
      <c r="O145" s="10">
        <f>SUMIFS('PLAN BUDGET SAMI-TF'!AX12:AX99999,'PLAN BUDGET SAMI-TF'!D12:D99999,SUMMARY!D145,'PLAN BUDGET SAMI-TF'!J12:J99999,SUMMARY!A145&amp;"*")</f>
        <v>0</v>
      </c>
      <c r="P145" s="10">
        <f>SUMIFS('PLAN BUDGET SAMI-TF'!AY12:AY99999,'PLAN BUDGET SAMI-TF'!D12:D99999,SUMMARY!D145,'PLAN BUDGET SAMI-TF'!J12:J99999,SUMMARY!A145&amp;"*")</f>
        <v>0</v>
      </c>
      <c r="Q145" s="10">
        <f>SUMIFS('PLAN BUDGET SAMI-TF'!BC12:BC99999,'PLAN BUDGET SAMI-TF'!D12:D99999,SUMMARY!D145,'PLAN BUDGET SAMI-TF'!J12:J99999,SUMMARY!A145&amp;"*")</f>
        <v>0</v>
      </c>
      <c r="R145" s="10">
        <f>SUMIFS('PLAN BUDGET SAMI-TF'!BD12:BD99999,'PLAN BUDGET SAMI-TF'!D12:D99999,SUMMARY!D145,'PLAN BUDGET SAMI-TF'!J12:J99999,SUMMARY!A145&amp;"*")</f>
        <v>0</v>
      </c>
      <c r="S145" s="10">
        <f>SUMIFS('PLAN BUDGET SAMI-TF'!BE12:BE99999,'PLAN BUDGET SAMI-TF'!D12:D99999,SUMMARY!D145,'PLAN BUDGET SAMI-TF'!J12:J99999,SUMMARY!A145&amp;"*")</f>
        <v>0</v>
      </c>
      <c r="T145" s="10">
        <f>SUMIFS('PLAN BUDGET SAMI-TF'!BF12:BF99999,'PLAN BUDGET SAMI-TF'!D12:D99999,SUMMARY!D145,'PLAN BUDGET SAMI-TF'!J12:J99999,SUMMARY!A145&amp;"*")</f>
        <v>0</v>
      </c>
      <c r="U145" s="10">
        <f>SUMIFS('PLAN BUDGET SAMI-TF'!BG12:BG99999,'PLAN BUDGET SAMI-TF'!D12:D99999,SUMMARY!D145,'PLAN BUDGET SAMI-TF'!J12:J99999,SUMMARY!A145&amp;"*")</f>
        <v>0</v>
      </c>
      <c r="V145" s="10">
        <f>SUMIFS('PLAN BUDGET SAMI-TF'!BH12:BH99999,'PLAN BUDGET SAMI-TF'!D12:D99999,SUMMARY!D145,'PLAN BUDGET SAMI-TF'!J12:J99999,SUMMARY!A145&amp;"*")</f>
        <v>0</v>
      </c>
      <c r="W145" s="10">
        <f>SUMIFS('PLAN BUDGET SAMI-TF'!BI12:BI99999,'PLAN BUDGET SAMI-TF'!D12:D99999,SUMMARY!D145,'PLAN BUDGET SAMI-TF'!J12:J99999,SUMMARY!A145&amp;"*")</f>
        <v>0</v>
      </c>
      <c r="X145" s="10">
        <f>SUMIFS('PLAN BUDGET SAMI-TF'!BJ12:BJ99999,'PLAN BUDGET SAMI-TF'!D12:D99999,SUMMARY!D145,'PLAN BUDGET SAMI-TF'!J12:J99999,SUMMARY!A145&amp;"*")</f>
        <v>0</v>
      </c>
      <c r="Y145" s="10">
        <f>SUMIFS('PLAN BUDGET SAMI-TF'!BK12:BK99999,'PLAN BUDGET SAMI-TF'!D12:D99999,SUMMARY!D145,'PLAN BUDGET SAMI-TF'!J12:J99999,SUMMARY!A145&amp;"*")</f>
        <v>0</v>
      </c>
      <c r="Z145" s="10">
        <f>SUMIFS('PLAN BUDGET SAMI-TF'!BL12:BL99999,'PLAN BUDGET SAMI-TF'!D12:D99999,SUMMARY!D145,'PLAN BUDGET SAMI-TF'!J12:J99999,SUMMARY!A145&amp;"*")</f>
        <v>0</v>
      </c>
      <c r="AA145" s="10">
        <f>SUMIFS('PLAN BUDGET SAMI-TF'!BM12:BM99999,'PLAN BUDGET SAMI-TF'!D12:D99999,SUMMARY!D145,'PLAN BUDGET SAMI-TF'!J12:J99999,SUMMARY!A145&amp;"*")</f>
        <v>0</v>
      </c>
      <c r="AB145" s="10">
        <f>SUMIFS('PLAN BUDGET SAMI-TF'!BN12:BN99999,'PLAN BUDGET SAMI-TF'!D12:D99999,SUMMARY!D145,'PLAN BUDGET SAMI-TF'!J12:J99999,SUMMARY!A145&amp;"*")</f>
        <v>0</v>
      </c>
      <c r="AC145" s="10">
        <f t="shared" si="16"/>
        <v>0</v>
      </c>
      <c r="AD145" s="10">
        <f t="shared" si="17"/>
        <v>0</v>
      </c>
      <c r="AE145" s="16"/>
      <c r="AF145" s="10">
        <v>27</v>
      </c>
      <c r="AG145" s="10">
        <v>46.048384034027997</v>
      </c>
      <c r="AH145" s="20">
        <f t="shared" si="18"/>
        <v>-1</v>
      </c>
      <c r="AI145" s="20">
        <f t="shared" si="19"/>
        <v>-1</v>
      </c>
      <c r="AJ145" s="7" t="s">
        <v>743</v>
      </c>
    </row>
    <row r="146" spans="1:36" x14ac:dyDescent="0.35">
      <c r="A146" s="7" t="s">
        <v>709</v>
      </c>
      <c r="B146" s="7"/>
      <c r="C146" s="7"/>
      <c r="D146" s="7" t="s">
        <v>772</v>
      </c>
      <c r="E146" s="10">
        <f>SUMIFS('PLAN BUDGET SAMI-TF'!AN12:AN99999,'PLAN BUDGET SAMI-TF'!D12:D99999,SUMMARY!D146,'PLAN BUDGET SAMI-TF'!J12:J99999,SUMMARY!A146&amp;"*")</f>
        <v>0</v>
      </c>
      <c r="F146" s="10">
        <f>SUMIFS('PLAN BUDGET SAMI-TF'!AO12:AO99999,'PLAN BUDGET SAMI-TF'!D12:D99999,SUMMARY!D146,'PLAN BUDGET SAMI-TF'!J12:J99999,SUMMARY!A146&amp;"*")</f>
        <v>0</v>
      </c>
      <c r="G146" s="10">
        <f>SUMIFS('PLAN BUDGET SAMI-TF'!AP12:AP99999,'PLAN BUDGET SAMI-TF'!D12:D99999,SUMMARY!D146,'PLAN BUDGET SAMI-TF'!J12:J99999,SUMMARY!A146&amp;"*")</f>
        <v>0</v>
      </c>
      <c r="H146" s="10">
        <f>SUMIFS('PLAN BUDGET SAMI-TF'!AQ12:AQ99999,'PLAN BUDGET SAMI-TF'!D12:D99999,SUMMARY!D146,'PLAN BUDGET SAMI-TF'!J12:J99999,SUMMARY!A146&amp;"*")</f>
        <v>0</v>
      </c>
      <c r="I146" s="10">
        <f>SUMIFS('PLAN BUDGET SAMI-TF'!AR12:AR99999,'PLAN BUDGET SAMI-TF'!D12:D99999,SUMMARY!D146,'PLAN BUDGET SAMI-TF'!J12:J99999,SUMMARY!A146&amp;"*")</f>
        <v>0</v>
      </c>
      <c r="J146" s="10">
        <f>SUMIFS('PLAN BUDGET SAMI-TF'!AS12:AS99999,'PLAN BUDGET SAMI-TF'!D12:D99999,SUMMARY!D146,'PLAN BUDGET SAMI-TF'!J12:J99999,SUMMARY!A146&amp;"*")</f>
        <v>0</v>
      </c>
      <c r="K146" s="10">
        <f>SUMIFS('PLAN BUDGET SAMI-TF'!AT12:AT99999,'PLAN BUDGET SAMI-TF'!D12:D99999,SUMMARY!D146,'PLAN BUDGET SAMI-TF'!J12:J99999,SUMMARY!A146&amp;"*")</f>
        <v>0</v>
      </c>
      <c r="L146" s="10">
        <f>SUMIFS('PLAN BUDGET SAMI-TF'!AU12:AU99999,'PLAN BUDGET SAMI-TF'!D12:D99999,SUMMARY!D146,'PLAN BUDGET SAMI-TF'!J12:J99999,SUMMARY!A146&amp;"*")</f>
        <v>0</v>
      </c>
      <c r="M146" s="10">
        <f>SUMIFS('PLAN BUDGET SAMI-TF'!AV12:AV99999,'PLAN BUDGET SAMI-TF'!D12:D99999,SUMMARY!D146,'PLAN BUDGET SAMI-TF'!J12:J99999,SUMMARY!A146&amp;"*")</f>
        <v>0</v>
      </c>
      <c r="N146" s="10">
        <f>SUMIFS('PLAN BUDGET SAMI-TF'!AW12:AW99999,'PLAN BUDGET SAMI-TF'!D12:D99999,SUMMARY!D146,'PLAN BUDGET SAMI-TF'!J12:J99999,SUMMARY!A146&amp;"*")</f>
        <v>0</v>
      </c>
      <c r="O146" s="10">
        <f>SUMIFS('PLAN BUDGET SAMI-TF'!AX12:AX99999,'PLAN BUDGET SAMI-TF'!D12:D99999,SUMMARY!D146,'PLAN BUDGET SAMI-TF'!J12:J99999,SUMMARY!A146&amp;"*")</f>
        <v>0</v>
      </c>
      <c r="P146" s="10">
        <f>SUMIFS('PLAN BUDGET SAMI-TF'!AY12:AY99999,'PLAN BUDGET SAMI-TF'!D12:D99999,SUMMARY!D146,'PLAN BUDGET SAMI-TF'!J12:J99999,SUMMARY!A146&amp;"*")</f>
        <v>0</v>
      </c>
      <c r="Q146" s="10">
        <f>SUMIFS('PLAN BUDGET SAMI-TF'!BC12:BC99999,'PLAN BUDGET SAMI-TF'!D12:D99999,SUMMARY!D146,'PLAN BUDGET SAMI-TF'!J12:J99999,SUMMARY!A146&amp;"*")</f>
        <v>0</v>
      </c>
      <c r="R146" s="10">
        <f>SUMIFS('PLAN BUDGET SAMI-TF'!BD12:BD99999,'PLAN BUDGET SAMI-TF'!D12:D99999,SUMMARY!D146,'PLAN BUDGET SAMI-TF'!J12:J99999,SUMMARY!A146&amp;"*")</f>
        <v>0</v>
      </c>
      <c r="S146" s="10">
        <f>SUMIFS('PLAN BUDGET SAMI-TF'!BE12:BE99999,'PLAN BUDGET SAMI-TF'!D12:D99999,SUMMARY!D146,'PLAN BUDGET SAMI-TF'!J12:J99999,SUMMARY!A146&amp;"*")</f>
        <v>0</v>
      </c>
      <c r="T146" s="10">
        <f>SUMIFS('PLAN BUDGET SAMI-TF'!BF12:BF99999,'PLAN BUDGET SAMI-TF'!D12:D99999,SUMMARY!D146,'PLAN BUDGET SAMI-TF'!J12:J99999,SUMMARY!A146&amp;"*")</f>
        <v>0</v>
      </c>
      <c r="U146" s="10">
        <f>SUMIFS('PLAN BUDGET SAMI-TF'!BG12:BG99999,'PLAN BUDGET SAMI-TF'!D12:D99999,SUMMARY!D146,'PLAN BUDGET SAMI-TF'!J12:J99999,SUMMARY!A146&amp;"*")</f>
        <v>0</v>
      </c>
      <c r="V146" s="10">
        <f>SUMIFS('PLAN BUDGET SAMI-TF'!BH12:BH99999,'PLAN BUDGET SAMI-TF'!D12:D99999,SUMMARY!D146,'PLAN BUDGET SAMI-TF'!J12:J99999,SUMMARY!A146&amp;"*")</f>
        <v>0</v>
      </c>
      <c r="W146" s="10">
        <f>SUMIFS('PLAN BUDGET SAMI-TF'!BI12:BI99999,'PLAN BUDGET SAMI-TF'!D12:D99999,SUMMARY!D146,'PLAN BUDGET SAMI-TF'!J12:J99999,SUMMARY!A146&amp;"*")</f>
        <v>0</v>
      </c>
      <c r="X146" s="10">
        <f>SUMIFS('PLAN BUDGET SAMI-TF'!BJ12:BJ99999,'PLAN BUDGET SAMI-TF'!D12:D99999,SUMMARY!D146,'PLAN BUDGET SAMI-TF'!J12:J99999,SUMMARY!A146&amp;"*")</f>
        <v>0</v>
      </c>
      <c r="Y146" s="10">
        <f>SUMIFS('PLAN BUDGET SAMI-TF'!BK12:BK99999,'PLAN BUDGET SAMI-TF'!D12:D99999,SUMMARY!D146,'PLAN BUDGET SAMI-TF'!J12:J99999,SUMMARY!A146&amp;"*")</f>
        <v>0</v>
      </c>
      <c r="Z146" s="10">
        <f>SUMIFS('PLAN BUDGET SAMI-TF'!BL12:BL99999,'PLAN BUDGET SAMI-TF'!D12:D99999,SUMMARY!D146,'PLAN BUDGET SAMI-TF'!J12:J99999,SUMMARY!A146&amp;"*")</f>
        <v>0</v>
      </c>
      <c r="AA146" s="10">
        <f>SUMIFS('PLAN BUDGET SAMI-TF'!BM12:BM99999,'PLAN BUDGET SAMI-TF'!D12:D99999,SUMMARY!D146,'PLAN BUDGET SAMI-TF'!J12:J99999,SUMMARY!A146&amp;"*")</f>
        <v>0</v>
      </c>
      <c r="AB146" s="10">
        <f>SUMIFS('PLAN BUDGET SAMI-TF'!BN12:BN99999,'PLAN BUDGET SAMI-TF'!D12:D99999,SUMMARY!D146,'PLAN BUDGET SAMI-TF'!J12:J99999,SUMMARY!A146&amp;"*")</f>
        <v>0</v>
      </c>
      <c r="AC146" s="10">
        <f t="shared" si="16"/>
        <v>0</v>
      </c>
      <c r="AD146" s="10">
        <f t="shared" si="17"/>
        <v>0</v>
      </c>
      <c r="AE146" s="16"/>
      <c r="AF146" s="10">
        <v>131</v>
      </c>
      <c r="AG146" s="10">
        <v>65.891914473433999</v>
      </c>
      <c r="AH146" s="20">
        <f t="shared" si="18"/>
        <v>-1</v>
      </c>
      <c r="AI146" s="20">
        <f t="shared" si="19"/>
        <v>-1</v>
      </c>
      <c r="AJ146" s="7" t="s">
        <v>743</v>
      </c>
    </row>
    <row r="147" spans="1:36" x14ac:dyDescent="0.35">
      <c r="A147" s="7" t="s">
        <v>709</v>
      </c>
      <c r="B147" s="7"/>
      <c r="C147" s="7"/>
      <c r="D147" s="7" t="s">
        <v>773</v>
      </c>
      <c r="E147" s="10">
        <f>SUMIFS('PLAN BUDGET SAMI-TF'!AN12:AN99999,'PLAN BUDGET SAMI-TF'!D12:D99999,SUMMARY!D147,'PLAN BUDGET SAMI-TF'!J12:J99999,SUMMARY!A147&amp;"*")</f>
        <v>0</v>
      </c>
      <c r="F147" s="10">
        <f>SUMIFS('PLAN BUDGET SAMI-TF'!AO12:AO99999,'PLAN BUDGET SAMI-TF'!D12:D99999,SUMMARY!D147,'PLAN BUDGET SAMI-TF'!J12:J99999,SUMMARY!A147&amp;"*")</f>
        <v>0</v>
      </c>
      <c r="G147" s="10">
        <f>SUMIFS('PLAN BUDGET SAMI-TF'!AP12:AP99999,'PLAN BUDGET SAMI-TF'!D12:D99999,SUMMARY!D147,'PLAN BUDGET SAMI-TF'!J12:J99999,SUMMARY!A147&amp;"*")</f>
        <v>0</v>
      </c>
      <c r="H147" s="10">
        <f>SUMIFS('PLAN BUDGET SAMI-TF'!AQ12:AQ99999,'PLAN BUDGET SAMI-TF'!D12:D99999,SUMMARY!D147,'PLAN BUDGET SAMI-TF'!J12:J99999,SUMMARY!A147&amp;"*")</f>
        <v>0</v>
      </c>
      <c r="I147" s="10">
        <f>SUMIFS('PLAN BUDGET SAMI-TF'!AR12:AR99999,'PLAN BUDGET SAMI-TF'!D12:D99999,SUMMARY!D147,'PLAN BUDGET SAMI-TF'!J12:J99999,SUMMARY!A147&amp;"*")</f>
        <v>0</v>
      </c>
      <c r="J147" s="10">
        <f>SUMIFS('PLAN BUDGET SAMI-TF'!AS12:AS99999,'PLAN BUDGET SAMI-TF'!D12:D99999,SUMMARY!D147,'PLAN BUDGET SAMI-TF'!J12:J99999,SUMMARY!A147&amp;"*")</f>
        <v>0</v>
      </c>
      <c r="K147" s="10">
        <f>SUMIFS('PLAN BUDGET SAMI-TF'!AT12:AT99999,'PLAN BUDGET SAMI-TF'!D12:D99999,SUMMARY!D147,'PLAN BUDGET SAMI-TF'!J12:J99999,SUMMARY!A147&amp;"*")</f>
        <v>0</v>
      </c>
      <c r="L147" s="10">
        <f>SUMIFS('PLAN BUDGET SAMI-TF'!AU12:AU99999,'PLAN BUDGET SAMI-TF'!D12:D99999,SUMMARY!D147,'PLAN BUDGET SAMI-TF'!J12:J99999,SUMMARY!A147&amp;"*")</f>
        <v>0</v>
      </c>
      <c r="M147" s="10">
        <f>SUMIFS('PLAN BUDGET SAMI-TF'!AV12:AV99999,'PLAN BUDGET SAMI-TF'!D12:D99999,SUMMARY!D147,'PLAN BUDGET SAMI-TF'!J12:J99999,SUMMARY!A147&amp;"*")</f>
        <v>0</v>
      </c>
      <c r="N147" s="10">
        <f>SUMIFS('PLAN BUDGET SAMI-TF'!AW12:AW99999,'PLAN BUDGET SAMI-TF'!D12:D99999,SUMMARY!D147,'PLAN BUDGET SAMI-TF'!J12:J99999,SUMMARY!A147&amp;"*")</f>
        <v>0</v>
      </c>
      <c r="O147" s="10">
        <f>SUMIFS('PLAN BUDGET SAMI-TF'!AX12:AX99999,'PLAN BUDGET SAMI-TF'!D12:D99999,SUMMARY!D147,'PLAN BUDGET SAMI-TF'!J12:J99999,SUMMARY!A147&amp;"*")</f>
        <v>0</v>
      </c>
      <c r="P147" s="10">
        <f>SUMIFS('PLAN BUDGET SAMI-TF'!AY12:AY99999,'PLAN BUDGET SAMI-TF'!D12:D99999,SUMMARY!D147,'PLAN BUDGET SAMI-TF'!J12:J99999,SUMMARY!A147&amp;"*")</f>
        <v>0</v>
      </c>
      <c r="Q147" s="10">
        <f>SUMIFS('PLAN BUDGET SAMI-TF'!BC12:BC99999,'PLAN BUDGET SAMI-TF'!D12:D99999,SUMMARY!D147,'PLAN BUDGET SAMI-TF'!J12:J99999,SUMMARY!A147&amp;"*")</f>
        <v>0</v>
      </c>
      <c r="R147" s="10">
        <f>SUMIFS('PLAN BUDGET SAMI-TF'!BD12:BD99999,'PLAN BUDGET SAMI-TF'!D12:D99999,SUMMARY!D147,'PLAN BUDGET SAMI-TF'!J12:J99999,SUMMARY!A147&amp;"*")</f>
        <v>0</v>
      </c>
      <c r="S147" s="10">
        <f>SUMIFS('PLAN BUDGET SAMI-TF'!BE12:BE99999,'PLAN BUDGET SAMI-TF'!D12:D99999,SUMMARY!D147,'PLAN BUDGET SAMI-TF'!J12:J99999,SUMMARY!A147&amp;"*")</f>
        <v>0</v>
      </c>
      <c r="T147" s="10">
        <f>SUMIFS('PLAN BUDGET SAMI-TF'!BF12:BF99999,'PLAN BUDGET SAMI-TF'!D12:D99999,SUMMARY!D147,'PLAN BUDGET SAMI-TF'!J12:J99999,SUMMARY!A147&amp;"*")</f>
        <v>0</v>
      </c>
      <c r="U147" s="10">
        <f>SUMIFS('PLAN BUDGET SAMI-TF'!BG12:BG99999,'PLAN BUDGET SAMI-TF'!D12:D99999,SUMMARY!D147,'PLAN BUDGET SAMI-TF'!J12:J99999,SUMMARY!A147&amp;"*")</f>
        <v>0</v>
      </c>
      <c r="V147" s="10">
        <f>SUMIFS('PLAN BUDGET SAMI-TF'!BH12:BH99999,'PLAN BUDGET SAMI-TF'!D12:D99999,SUMMARY!D147,'PLAN BUDGET SAMI-TF'!J12:J99999,SUMMARY!A147&amp;"*")</f>
        <v>0</v>
      </c>
      <c r="W147" s="10">
        <f>SUMIFS('PLAN BUDGET SAMI-TF'!BI12:BI99999,'PLAN BUDGET SAMI-TF'!D12:D99999,SUMMARY!D147,'PLAN BUDGET SAMI-TF'!J12:J99999,SUMMARY!A147&amp;"*")</f>
        <v>0</v>
      </c>
      <c r="X147" s="10">
        <f>SUMIFS('PLAN BUDGET SAMI-TF'!BJ12:BJ99999,'PLAN BUDGET SAMI-TF'!D12:D99999,SUMMARY!D147,'PLAN BUDGET SAMI-TF'!J12:J99999,SUMMARY!A147&amp;"*")</f>
        <v>0</v>
      </c>
      <c r="Y147" s="10">
        <f>SUMIFS('PLAN BUDGET SAMI-TF'!BK12:BK99999,'PLAN BUDGET SAMI-TF'!D12:D99999,SUMMARY!D147,'PLAN BUDGET SAMI-TF'!J12:J99999,SUMMARY!A147&amp;"*")</f>
        <v>0</v>
      </c>
      <c r="Z147" s="10">
        <f>SUMIFS('PLAN BUDGET SAMI-TF'!BL12:BL99999,'PLAN BUDGET SAMI-TF'!D12:D99999,SUMMARY!D147,'PLAN BUDGET SAMI-TF'!J12:J99999,SUMMARY!A147&amp;"*")</f>
        <v>0</v>
      </c>
      <c r="AA147" s="10">
        <f>SUMIFS('PLAN BUDGET SAMI-TF'!BM12:BM99999,'PLAN BUDGET SAMI-TF'!D12:D99999,SUMMARY!D147,'PLAN BUDGET SAMI-TF'!J12:J99999,SUMMARY!A147&amp;"*")</f>
        <v>0</v>
      </c>
      <c r="AB147" s="10">
        <f>SUMIFS('PLAN BUDGET SAMI-TF'!BN12:BN99999,'PLAN BUDGET SAMI-TF'!D12:D99999,SUMMARY!D147,'PLAN BUDGET SAMI-TF'!J12:J99999,SUMMARY!A147&amp;"*")</f>
        <v>0</v>
      </c>
      <c r="AC147" s="10">
        <f t="shared" si="16"/>
        <v>0</v>
      </c>
      <c r="AD147" s="10">
        <f t="shared" si="17"/>
        <v>0</v>
      </c>
      <c r="AE147" s="16"/>
      <c r="AF147" s="10">
        <v>6</v>
      </c>
      <c r="AG147" s="10">
        <v>1341.84</v>
      </c>
      <c r="AH147" s="20">
        <f t="shared" si="18"/>
        <v>-1</v>
      </c>
      <c r="AI147" s="20">
        <f t="shared" si="19"/>
        <v>-1</v>
      </c>
      <c r="AJ147" s="7" t="s">
        <v>743</v>
      </c>
    </row>
    <row r="148" spans="1:36" x14ac:dyDescent="0.35">
      <c r="A148" s="7" t="s">
        <v>709</v>
      </c>
      <c r="B148" s="7"/>
      <c r="C148" s="7"/>
      <c r="D148" s="7" t="s">
        <v>774</v>
      </c>
      <c r="E148" s="10">
        <f>SUMIFS('PLAN BUDGET SAMI-TF'!AN12:AN99999,'PLAN BUDGET SAMI-TF'!D12:D99999,SUMMARY!D148,'PLAN BUDGET SAMI-TF'!J12:J99999,SUMMARY!A148&amp;"*")</f>
        <v>0</v>
      </c>
      <c r="F148" s="10">
        <f>SUMIFS('PLAN BUDGET SAMI-TF'!AO12:AO99999,'PLAN BUDGET SAMI-TF'!D12:D99999,SUMMARY!D148,'PLAN BUDGET SAMI-TF'!J12:J99999,SUMMARY!A148&amp;"*")</f>
        <v>0</v>
      </c>
      <c r="G148" s="10">
        <f>SUMIFS('PLAN BUDGET SAMI-TF'!AP12:AP99999,'PLAN BUDGET SAMI-TF'!D12:D99999,SUMMARY!D148,'PLAN BUDGET SAMI-TF'!J12:J99999,SUMMARY!A148&amp;"*")</f>
        <v>0</v>
      </c>
      <c r="H148" s="10">
        <f>SUMIFS('PLAN BUDGET SAMI-TF'!AQ12:AQ99999,'PLAN BUDGET SAMI-TF'!D12:D99999,SUMMARY!D148,'PLAN BUDGET SAMI-TF'!J12:J99999,SUMMARY!A148&amp;"*")</f>
        <v>0</v>
      </c>
      <c r="I148" s="10">
        <f>SUMIFS('PLAN BUDGET SAMI-TF'!AR12:AR99999,'PLAN BUDGET SAMI-TF'!D12:D99999,SUMMARY!D148,'PLAN BUDGET SAMI-TF'!J12:J99999,SUMMARY!A148&amp;"*")</f>
        <v>0</v>
      </c>
      <c r="J148" s="10">
        <f>SUMIFS('PLAN BUDGET SAMI-TF'!AS12:AS99999,'PLAN BUDGET SAMI-TF'!D12:D99999,SUMMARY!D148,'PLAN BUDGET SAMI-TF'!J12:J99999,SUMMARY!A148&amp;"*")</f>
        <v>0</v>
      </c>
      <c r="K148" s="10">
        <f>SUMIFS('PLAN BUDGET SAMI-TF'!AT12:AT99999,'PLAN BUDGET SAMI-TF'!D12:D99999,SUMMARY!D148,'PLAN BUDGET SAMI-TF'!J12:J99999,SUMMARY!A148&amp;"*")</f>
        <v>0</v>
      </c>
      <c r="L148" s="10">
        <f>SUMIFS('PLAN BUDGET SAMI-TF'!AU12:AU99999,'PLAN BUDGET SAMI-TF'!D12:D99999,SUMMARY!D148,'PLAN BUDGET SAMI-TF'!J12:J99999,SUMMARY!A148&amp;"*")</f>
        <v>0</v>
      </c>
      <c r="M148" s="10">
        <f>SUMIFS('PLAN BUDGET SAMI-TF'!AV12:AV99999,'PLAN BUDGET SAMI-TF'!D12:D99999,SUMMARY!D148,'PLAN BUDGET SAMI-TF'!J12:J99999,SUMMARY!A148&amp;"*")</f>
        <v>0</v>
      </c>
      <c r="N148" s="10">
        <f>SUMIFS('PLAN BUDGET SAMI-TF'!AW12:AW99999,'PLAN BUDGET SAMI-TF'!D12:D99999,SUMMARY!D148,'PLAN BUDGET SAMI-TF'!J12:J99999,SUMMARY!A148&amp;"*")</f>
        <v>0</v>
      </c>
      <c r="O148" s="10">
        <f>SUMIFS('PLAN BUDGET SAMI-TF'!AX12:AX99999,'PLAN BUDGET SAMI-TF'!D12:D99999,SUMMARY!D148,'PLAN BUDGET SAMI-TF'!J12:J99999,SUMMARY!A148&amp;"*")</f>
        <v>0</v>
      </c>
      <c r="P148" s="10">
        <f>SUMIFS('PLAN BUDGET SAMI-TF'!AY12:AY99999,'PLAN BUDGET SAMI-TF'!D12:D99999,SUMMARY!D148,'PLAN BUDGET SAMI-TF'!J12:J99999,SUMMARY!A148&amp;"*")</f>
        <v>0</v>
      </c>
      <c r="Q148" s="10">
        <f>SUMIFS('PLAN BUDGET SAMI-TF'!BC12:BC99999,'PLAN BUDGET SAMI-TF'!D12:D99999,SUMMARY!D148,'PLAN BUDGET SAMI-TF'!J12:J99999,SUMMARY!A148&amp;"*")</f>
        <v>0</v>
      </c>
      <c r="R148" s="10">
        <f>SUMIFS('PLAN BUDGET SAMI-TF'!BD12:BD99999,'PLAN BUDGET SAMI-TF'!D12:D99999,SUMMARY!D148,'PLAN BUDGET SAMI-TF'!J12:J99999,SUMMARY!A148&amp;"*")</f>
        <v>0</v>
      </c>
      <c r="S148" s="10">
        <f>SUMIFS('PLAN BUDGET SAMI-TF'!BE12:BE99999,'PLAN BUDGET SAMI-TF'!D12:D99999,SUMMARY!D148,'PLAN BUDGET SAMI-TF'!J12:J99999,SUMMARY!A148&amp;"*")</f>
        <v>0</v>
      </c>
      <c r="T148" s="10">
        <f>SUMIFS('PLAN BUDGET SAMI-TF'!BF12:BF99999,'PLAN BUDGET SAMI-TF'!D12:D99999,SUMMARY!D148,'PLAN BUDGET SAMI-TF'!J12:J99999,SUMMARY!A148&amp;"*")</f>
        <v>0</v>
      </c>
      <c r="U148" s="10">
        <f>SUMIFS('PLAN BUDGET SAMI-TF'!BG12:BG99999,'PLAN BUDGET SAMI-TF'!D12:D99999,SUMMARY!D148,'PLAN BUDGET SAMI-TF'!J12:J99999,SUMMARY!A148&amp;"*")</f>
        <v>0</v>
      </c>
      <c r="V148" s="10">
        <f>SUMIFS('PLAN BUDGET SAMI-TF'!BH12:BH99999,'PLAN BUDGET SAMI-TF'!D12:D99999,SUMMARY!D148,'PLAN BUDGET SAMI-TF'!J12:J99999,SUMMARY!A148&amp;"*")</f>
        <v>0</v>
      </c>
      <c r="W148" s="10">
        <f>SUMIFS('PLAN BUDGET SAMI-TF'!BI12:BI99999,'PLAN BUDGET SAMI-TF'!D12:D99999,SUMMARY!D148,'PLAN BUDGET SAMI-TF'!J12:J99999,SUMMARY!A148&amp;"*")</f>
        <v>0</v>
      </c>
      <c r="X148" s="10">
        <f>SUMIFS('PLAN BUDGET SAMI-TF'!BJ12:BJ99999,'PLAN BUDGET SAMI-TF'!D12:D99999,SUMMARY!D148,'PLAN BUDGET SAMI-TF'!J12:J99999,SUMMARY!A148&amp;"*")</f>
        <v>0</v>
      </c>
      <c r="Y148" s="10">
        <f>SUMIFS('PLAN BUDGET SAMI-TF'!BK12:BK99999,'PLAN BUDGET SAMI-TF'!D12:D99999,SUMMARY!D148,'PLAN BUDGET SAMI-TF'!J12:J99999,SUMMARY!A148&amp;"*")</f>
        <v>0</v>
      </c>
      <c r="Z148" s="10">
        <f>SUMIFS('PLAN BUDGET SAMI-TF'!BL12:BL99999,'PLAN BUDGET SAMI-TF'!D12:D99999,SUMMARY!D148,'PLAN BUDGET SAMI-TF'!J12:J99999,SUMMARY!A148&amp;"*")</f>
        <v>0</v>
      </c>
      <c r="AA148" s="10">
        <f>SUMIFS('PLAN BUDGET SAMI-TF'!BM12:BM99999,'PLAN BUDGET SAMI-TF'!D12:D99999,SUMMARY!D148,'PLAN BUDGET SAMI-TF'!J12:J99999,SUMMARY!A148&amp;"*")</f>
        <v>0</v>
      </c>
      <c r="AB148" s="10">
        <f>SUMIFS('PLAN BUDGET SAMI-TF'!BN12:BN99999,'PLAN BUDGET SAMI-TF'!D12:D99999,SUMMARY!D148,'PLAN BUDGET SAMI-TF'!J12:J99999,SUMMARY!A148&amp;"*")</f>
        <v>0</v>
      </c>
      <c r="AC148" s="10">
        <f t="shared" si="16"/>
        <v>0</v>
      </c>
      <c r="AD148" s="10">
        <f t="shared" si="17"/>
        <v>0</v>
      </c>
      <c r="AE148" s="16"/>
      <c r="AF148" s="10">
        <v>10</v>
      </c>
      <c r="AG148" s="10">
        <v>2104.6168647855002</v>
      </c>
      <c r="AH148" s="20">
        <f t="shared" si="18"/>
        <v>-1</v>
      </c>
      <c r="AI148" s="20">
        <f t="shared" si="19"/>
        <v>-1</v>
      </c>
      <c r="AJ148" s="7" t="s">
        <v>743</v>
      </c>
    </row>
    <row r="149" spans="1:36" x14ac:dyDescent="0.35">
      <c r="A149" s="7" t="s">
        <v>709</v>
      </c>
      <c r="B149" s="7"/>
      <c r="C149" s="7"/>
      <c r="D149" s="7" t="s">
        <v>775</v>
      </c>
      <c r="E149" s="10">
        <f>SUMIFS('PLAN BUDGET SAMI-TF'!AN12:AN99999,'PLAN BUDGET SAMI-TF'!D12:D99999,SUMMARY!D149,'PLAN BUDGET SAMI-TF'!J12:J99999,SUMMARY!A149&amp;"*")</f>
        <v>0</v>
      </c>
      <c r="F149" s="10">
        <f>SUMIFS('PLAN BUDGET SAMI-TF'!AO12:AO99999,'PLAN BUDGET SAMI-TF'!D12:D99999,SUMMARY!D149,'PLAN BUDGET SAMI-TF'!J12:J99999,SUMMARY!A149&amp;"*")</f>
        <v>0</v>
      </c>
      <c r="G149" s="10">
        <f>SUMIFS('PLAN BUDGET SAMI-TF'!AP12:AP99999,'PLAN BUDGET SAMI-TF'!D12:D99999,SUMMARY!D149,'PLAN BUDGET SAMI-TF'!J12:J99999,SUMMARY!A149&amp;"*")</f>
        <v>0</v>
      </c>
      <c r="H149" s="10">
        <f>SUMIFS('PLAN BUDGET SAMI-TF'!AQ12:AQ99999,'PLAN BUDGET SAMI-TF'!D12:D99999,SUMMARY!D149,'PLAN BUDGET SAMI-TF'!J12:J99999,SUMMARY!A149&amp;"*")</f>
        <v>0</v>
      </c>
      <c r="I149" s="10">
        <f>SUMIFS('PLAN BUDGET SAMI-TF'!AR12:AR99999,'PLAN BUDGET SAMI-TF'!D12:D99999,SUMMARY!D149,'PLAN BUDGET SAMI-TF'!J12:J99999,SUMMARY!A149&amp;"*")</f>
        <v>0</v>
      </c>
      <c r="J149" s="10">
        <f>SUMIFS('PLAN BUDGET SAMI-TF'!AS12:AS99999,'PLAN BUDGET SAMI-TF'!D12:D99999,SUMMARY!D149,'PLAN BUDGET SAMI-TF'!J12:J99999,SUMMARY!A149&amp;"*")</f>
        <v>0</v>
      </c>
      <c r="K149" s="10">
        <f>SUMIFS('PLAN BUDGET SAMI-TF'!AT12:AT99999,'PLAN BUDGET SAMI-TF'!D12:D99999,SUMMARY!D149,'PLAN BUDGET SAMI-TF'!J12:J99999,SUMMARY!A149&amp;"*")</f>
        <v>0</v>
      </c>
      <c r="L149" s="10">
        <f>SUMIFS('PLAN BUDGET SAMI-TF'!AU12:AU99999,'PLAN BUDGET SAMI-TF'!D12:D99999,SUMMARY!D149,'PLAN BUDGET SAMI-TF'!J12:J99999,SUMMARY!A149&amp;"*")</f>
        <v>0</v>
      </c>
      <c r="M149" s="10">
        <f>SUMIFS('PLAN BUDGET SAMI-TF'!AV12:AV99999,'PLAN BUDGET SAMI-TF'!D12:D99999,SUMMARY!D149,'PLAN BUDGET SAMI-TF'!J12:J99999,SUMMARY!A149&amp;"*")</f>
        <v>0</v>
      </c>
      <c r="N149" s="10">
        <f>SUMIFS('PLAN BUDGET SAMI-TF'!AW12:AW99999,'PLAN BUDGET SAMI-TF'!D12:D99999,SUMMARY!D149,'PLAN BUDGET SAMI-TF'!J12:J99999,SUMMARY!A149&amp;"*")</f>
        <v>0</v>
      </c>
      <c r="O149" s="10">
        <f>SUMIFS('PLAN BUDGET SAMI-TF'!AX12:AX99999,'PLAN BUDGET SAMI-TF'!D12:D99999,SUMMARY!D149,'PLAN BUDGET SAMI-TF'!J12:J99999,SUMMARY!A149&amp;"*")</f>
        <v>0</v>
      </c>
      <c r="P149" s="10">
        <f>SUMIFS('PLAN BUDGET SAMI-TF'!AY12:AY99999,'PLAN BUDGET SAMI-TF'!D12:D99999,SUMMARY!D149,'PLAN BUDGET SAMI-TF'!J12:J99999,SUMMARY!A149&amp;"*")</f>
        <v>0</v>
      </c>
      <c r="Q149" s="10">
        <f>SUMIFS('PLAN BUDGET SAMI-TF'!BC12:BC99999,'PLAN BUDGET SAMI-TF'!D12:D99999,SUMMARY!D149,'PLAN BUDGET SAMI-TF'!J12:J99999,SUMMARY!A149&amp;"*")</f>
        <v>0</v>
      </c>
      <c r="R149" s="10">
        <f>SUMIFS('PLAN BUDGET SAMI-TF'!BD12:BD99999,'PLAN BUDGET SAMI-TF'!D12:D99999,SUMMARY!D149,'PLAN BUDGET SAMI-TF'!J12:J99999,SUMMARY!A149&amp;"*")</f>
        <v>0</v>
      </c>
      <c r="S149" s="10">
        <f>SUMIFS('PLAN BUDGET SAMI-TF'!BE12:BE99999,'PLAN BUDGET SAMI-TF'!D12:D99999,SUMMARY!D149,'PLAN BUDGET SAMI-TF'!J12:J99999,SUMMARY!A149&amp;"*")</f>
        <v>0</v>
      </c>
      <c r="T149" s="10">
        <f>SUMIFS('PLAN BUDGET SAMI-TF'!BF12:BF99999,'PLAN BUDGET SAMI-TF'!D12:D99999,SUMMARY!D149,'PLAN BUDGET SAMI-TF'!J12:J99999,SUMMARY!A149&amp;"*")</f>
        <v>0</v>
      </c>
      <c r="U149" s="10">
        <f>SUMIFS('PLAN BUDGET SAMI-TF'!BG12:BG99999,'PLAN BUDGET SAMI-TF'!D12:D99999,SUMMARY!D149,'PLAN BUDGET SAMI-TF'!J12:J99999,SUMMARY!A149&amp;"*")</f>
        <v>0</v>
      </c>
      <c r="V149" s="10">
        <f>SUMIFS('PLAN BUDGET SAMI-TF'!BH12:BH99999,'PLAN BUDGET SAMI-TF'!D12:D99999,SUMMARY!D149,'PLAN BUDGET SAMI-TF'!J12:J99999,SUMMARY!A149&amp;"*")</f>
        <v>0</v>
      </c>
      <c r="W149" s="10">
        <f>SUMIFS('PLAN BUDGET SAMI-TF'!BI12:BI99999,'PLAN BUDGET SAMI-TF'!D12:D99999,SUMMARY!D149,'PLAN BUDGET SAMI-TF'!J12:J99999,SUMMARY!A149&amp;"*")</f>
        <v>0</v>
      </c>
      <c r="X149" s="10">
        <f>SUMIFS('PLAN BUDGET SAMI-TF'!BJ12:BJ99999,'PLAN BUDGET SAMI-TF'!D12:D99999,SUMMARY!D149,'PLAN BUDGET SAMI-TF'!J12:J99999,SUMMARY!A149&amp;"*")</f>
        <v>0</v>
      </c>
      <c r="Y149" s="10">
        <f>SUMIFS('PLAN BUDGET SAMI-TF'!BK12:BK99999,'PLAN BUDGET SAMI-TF'!D12:D99999,SUMMARY!D149,'PLAN BUDGET SAMI-TF'!J12:J99999,SUMMARY!A149&amp;"*")</f>
        <v>0</v>
      </c>
      <c r="Z149" s="10">
        <f>SUMIFS('PLAN BUDGET SAMI-TF'!BL12:BL99999,'PLAN BUDGET SAMI-TF'!D12:D99999,SUMMARY!D149,'PLAN BUDGET SAMI-TF'!J12:J99999,SUMMARY!A149&amp;"*")</f>
        <v>0</v>
      </c>
      <c r="AA149" s="10">
        <f>SUMIFS('PLAN BUDGET SAMI-TF'!BM12:BM99999,'PLAN BUDGET SAMI-TF'!D12:D99999,SUMMARY!D149,'PLAN BUDGET SAMI-TF'!J12:J99999,SUMMARY!A149&amp;"*")</f>
        <v>0</v>
      </c>
      <c r="AB149" s="10">
        <f>SUMIFS('PLAN BUDGET SAMI-TF'!BN12:BN99999,'PLAN BUDGET SAMI-TF'!D12:D99999,SUMMARY!D149,'PLAN BUDGET SAMI-TF'!J12:J99999,SUMMARY!A149&amp;"*")</f>
        <v>0</v>
      </c>
      <c r="AC149" s="10">
        <f t="shared" si="16"/>
        <v>0</v>
      </c>
      <c r="AD149" s="10">
        <f t="shared" si="17"/>
        <v>0</v>
      </c>
      <c r="AE149" s="16"/>
      <c r="AF149" s="10">
        <v>560</v>
      </c>
      <c r="AG149" s="10">
        <v>94.552681883204997</v>
      </c>
      <c r="AH149" s="20">
        <f t="shared" si="18"/>
        <v>-1</v>
      </c>
      <c r="AI149" s="20">
        <f t="shared" si="19"/>
        <v>-1</v>
      </c>
      <c r="AJ149" s="7" t="s">
        <v>743</v>
      </c>
    </row>
    <row r="150" spans="1:36" x14ac:dyDescent="0.35">
      <c r="A150" s="7" t="s">
        <v>709</v>
      </c>
      <c r="B150" s="7"/>
      <c r="C150" s="7"/>
      <c r="D150" s="7" t="s">
        <v>776</v>
      </c>
      <c r="E150" s="10">
        <f>SUMIFS('PLAN BUDGET SAMI-TF'!AN12:AN99999,'PLAN BUDGET SAMI-TF'!D12:D99999,SUMMARY!D150,'PLAN BUDGET SAMI-TF'!J12:J99999,SUMMARY!A150&amp;"*")</f>
        <v>0</v>
      </c>
      <c r="F150" s="10">
        <f>SUMIFS('PLAN BUDGET SAMI-TF'!AO12:AO99999,'PLAN BUDGET SAMI-TF'!D12:D99999,SUMMARY!D150,'PLAN BUDGET SAMI-TF'!J12:J99999,SUMMARY!A150&amp;"*")</f>
        <v>0</v>
      </c>
      <c r="G150" s="10">
        <f>SUMIFS('PLAN BUDGET SAMI-TF'!AP12:AP99999,'PLAN BUDGET SAMI-TF'!D12:D99999,SUMMARY!D150,'PLAN BUDGET SAMI-TF'!J12:J99999,SUMMARY!A150&amp;"*")</f>
        <v>0</v>
      </c>
      <c r="H150" s="10">
        <f>SUMIFS('PLAN BUDGET SAMI-TF'!AQ12:AQ99999,'PLAN BUDGET SAMI-TF'!D12:D99999,SUMMARY!D150,'PLAN BUDGET SAMI-TF'!J12:J99999,SUMMARY!A150&amp;"*")</f>
        <v>0</v>
      </c>
      <c r="I150" s="10">
        <f>SUMIFS('PLAN BUDGET SAMI-TF'!AR12:AR99999,'PLAN BUDGET SAMI-TF'!D12:D99999,SUMMARY!D150,'PLAN BUDGET SAMI-TF'!J12:J99999,SUMMARY!A150&amp;"*")</f>
        <v>0</v>
      </c>
      <c r="J150" s="10">
        <f>SUMIFS('PLAN BUDGET SAMI-TF'!AS12:AS99999,'PLAN BUDGET SAMI-TF'!D12:D99999,SUMMARY!D150,'PLAN BUDGET SAMI-TF'!J12:J99999,SUMMARY!A150&amp;"*")</f>
        <v>0</v>
      </c>
      <c r="K150" s="10">
        <f>SUMIFS('PLAN BUDGET SAMI-TF'!AT12:AT99999,'PLAN BUDGET SAMI-TF'!D12:D99999,SUMMARY!D150,'PLAN BUDGET SAMI-TF'!J12:J99999,SUMMARY!A150&amp;"*")</f>
        <v>0</v>
      </c>
      <c r="L150" s="10">
        <f>SUMIFS('PLAN BUDGET SAMI-TF'!AU12:AU99999,'PLAN BUDGET SAMI-TF'!D12:D99999,SUMMARY!D150,'PLAN BUDGET SAMI-TF'!J12:J99999,SUMMARY!A150&amp;"*")</f>
        <v>0</v>
      </c>
      <c r="M150" s="10">
        <f>SUMIFS('PLAN BUDGET SAMI-TF'!AV12:AV99999,'PLAN BUDGET SAMI-TF'!D12:D99999,SUMMARY!D150,'PLAN BUDGET SAMI-TF'!J12:J99999,SUMMARY!A150&amp;"*")</f>
        <v>0</v>
      </c>
      <c r="N150" s="10">
        <f>SUMIFS('PLAN BUDGET SAMI-TF'!AW12:AW99999,'PLAN BUDGET SAMI-TF'!D12:D99999,SUMMARY!D150,'PLAN BUDGET SAMI-TF'!J12:J99999,SUMMARY!A150&amp;"*")</f>
        <v>0</v>
      </c>
      <c r="O150" s="10">
        <f>SUMIFS('PLAN BUDGET SAMI-TF'!AX12:AX99999,'PLAN BUDGET SAMI-TF'!D12:D99999,SUMMARY!D150,'PLAN BUDGET SAMI-TF'!J12:J99999,SUMMARY!A150&amp;"*")</f>
        <v>0</v>
      </c>
      <c r="P150" s="10">
        <f>SUMIFS('PLAN BUDGET SAMI-TF'!AY12:AY99999,'PLAN BUDGET SAMI-TF'!D12:D99999,SUMMARY!D150,'PLAN BUDGET SAMI-TF'!J12:J99999,SUMMARY!A150&amp;"*")</f>
        <v>0</v>
      </c>
      <c r="Q150" s="10">
        <f>SUMIFS('PLAN BUDGET SAMI-TF'!BC12:BC99999,'PLAN BUDGET SAMI-TF'!D12:D99999,SUMMARY!D150,'PLAN BUDGET SAMI-TF'!J12:J99999,SUMMARY!A150&amp;"*")</f>
        <v>0</v>
      </c>
      <c r="R150" s="10">
        <f>SUMIFS('PLAN BUDGET SAMI-TF'!BD12:BD99999,'PLAN BUDGET SAMI-TF'!D12:D99999,SUMMARY!D150,'PLAN BUDGET SAMI-TF'!J12:J99999,SUMMARY!A150&amp;"*")</f>
        <v>0</v>
      </c>
      <c r="S150" s="10">
        <f>SUMIFS('PLAN BUDGET SAMI-TF'!BE12:BE99999,'PLAN BUDGET SAMI-TF'!D12:D99999,SUMMARY!D150,'PLAN BUDGET SAMI-TF'!J12:J99999,SUMMARY!A150&amp;"*")</f>
        <v>0</v>
      </c>
      <c r="T150" s="10">
        <f>SUMIFS('PLAN BUDGET SAMI-TF'!BF12:BF99999,'PLAN BUDGET SAMI-TF'!D12:D99999,SUMMARY!D150,'PLAN BUDGET SAMI-TF'!J12:J99999,SUMMARY!A150&amp;"*")</f>
        <v>0</v>
      </c>
      <c r="U150" s="10">
        <f>SUMIFS('PLAN BUDGET SAMI-TF'!BG12:BG99999,'PLAN BUDGET SAMI-TF'!D12:D99999,SUMMARY!D150,'PLAN BUDGET SAMI-TF'!J12:J99999,SUMMARY!A150&amp;"*")</f>
        <v>0</v>
      </c>
      <c r="V150" s="10">
        <f>SUMIFS('PLAN BUDGET SAMI-TF'!BH12:BH99999,'PLAN BUDGET SAMI-TF'!D12:D99999,SUMMARY!D150,'PLAN BUDGET SAMI-TF'!J12:J99999,SUMMARY!A150&amp;"*")</f>
        <v>0</v>
      </c>
      <c r="W150" s="10">
        <f>SUMIFS('PLAN BUDGET SAMI-TF'!BI12:BI99999,'PLAN BUDGET SAMI-TF'!D12:D99999,SUMMARY!D150,'PLAN BUDGET SAMI-TF'!J12:J99999,SUMMARY!A150&amp;"*")</f>
        <v>0</v>
      </c>
      <c r="X150" s="10">
        <f>SUMIFS('PLAN BUDGET SAMI-TF'!BJ12:BJ99999,'PLAN BUDGET SAMI-TF'!D12:D99999,SUMMARY!D150,'PLAN BUDGET SAMI-TF'!J12:J99999,SUMMARY!A150&amp;"*")</f>
        <v>0</v>
      </c>
      <c r="Y150" s="10">
        <f>SUMIFS('PLAN BUDGET SAMI-TF'!BK12:BK99999,'PLAN BUDGET SAMI-TF'!D12:D99999,SUMMARY!D150,'PLAN BUDGET SAMI-TF'!J12:J99999,SUMMARY!A150&amp;"*")</f>
        <v>0</v>
      </c>
      <c r="Z150" s="10">
        <f>SUMIFS('PLAN BUDGET SAMI-TF'!BL12:BL99999,'PLAN BUDGET SAMI-TF'!D12:D99999,SUMMARY!D150,'PLAN BUDGET SAMI-TF'!J12:J99999,SUMMARY!A150&amp;"*")</f>
        <v>0</v>
      </c>
      <c r="AA150" s="10">
        <f>SUMIFS('PLAN BUDGET SAMI-TF'!BM12:BM99999,'PLAN BUDGET SAMI-TF'!D12:D99999,SUMMARY!D150,'PLAN BUDGET SAMI-TF'!J12:J99999,SUMMARY!A150&amp;"*")</f>
        <v>0</v>
      </c>
      <c r="AB150" s="10">
        <f>SUMIFS('PLAN BUDGET SAMI-TF'!BN12:BN99999,'PLAN BUDGET SAMI-TF'!D12:D99999,SUMMARY!D150,'PLAN BUDGET SAMI-TF'!J12:J99999,SUMMARY!A150&amp;"*")</f>
        <v>0</v>
      </c>
      <c r="AC150" s="10">
        <f t="shared" si="16"/>
        <v>0</v>
      </c>
      <c r="AD150" s="10">
        <f t="shared" si="17"/>
        <v>0</v>
      </c>
      <c r="AE150" s="16"/>
      <c r="AF150" s="10">
        <v>36</v>
      </c>
      <c r="AG150" s="10">
        <v>394.97170635372999</v>
      </c>
      <c r="AH150" s="20">
        <f t="shared" si="18"/>
        <v>-1</v>
      </c>
      <c r="AI150" s="20">
        <f t="shared" si="19"/>
        <v>-1</v>
      </c>
      <c r="AJ150" s="7" t="s">
        <v>743</v>
      </c>
    </row>
    <row r="151" spans="1:36" x14ac:dyDescent="0.35">
      <c r="A151" s="7" t="s">
        <v>709</v>
      </c>
      <c r="B151" s="7"/>
      <c r="C151" s="7"/>
      <c r="D151" s="7" t="s">
        <v>777</v>
      </c>
      <c r="E151" s="10">
        <f>SUMIFS('PLAN BUDGET SAMI-TF'!AN12:AN99999,'PLAN BUDGET SAMI-TF'!D12:D99999,SUMMARY!D151,'PLAN BUDGET SAMI-TF'!J12:J99999,SUMMARY!A151&amp;"*")</f>
        <v>0</v>
      </c>
      <c r="F151" s="10">
        <f>SUMIFS('PLAN BUDGET SAMI-TF'!AO12:AO99999,'PLAN BUDGET SAMI-TF'!D12:D99999,SUMMARY!D151,'PLAN BUDGET SAMI-TF'!J12:J99999,SUMMARY!A151&amp;"*")</f>
        <v>0</v>
      </c>
      <c r="G151" s="10">
        <f>SUMIFS('PLAN BUDGET SAMI-TF'!AP12:AP99999,'PLAN BUDGET SAMI-TF'!D12:D99999,SUMMARY!D151,'PLAN BUDGET SAMI-TF'!J12:J99999,SUMMARY!A151&amp;"*")</f>
        <v>0</v>
      </c>
      <c r="H151" s="10">
        <f>SUMIFS('PLAN BUDGET SAMI-TF'!AQ12:AQ99999,'PLAN BUDGET SAMI-TF'!D12:D99999,SUMMARY!D151,'PLAN BUDGET SAMI-TF'!J12:J99999,SUMMARY!A151&amp;"*")</f>
        <v>0</v>
      </c>
      <c r="I151" s="10">
        <f>SUMIFS('PLAN BUDGET SAMI-TF'!AR12:AR99999,'PLAN BUDGET SAMI-TF'!D12:D99999,SUMMARY!D151,'PLAN BUDGET SAMI-TF'!J12:J99999,SUMMARY!A151&amp;"*")</f>
        <v>0</v>
      </c>
      <c r="J151" s="10">
        <f>SUMIFS('PLAN BUDGET SAMI-TF'!AS12:AS99999,'PLAN BUDGET SAMI-TF'!D12:D99999,SUMMARY!D151,'PLAN BUDGET SAMI-TF'!J12:J99999,SUMMARY!A151&amp;"*")</f>
        <v>0</v>
      </c>
      <c r="K151" s="10">
        <f>SUMIFS('PLAN BUDGET SAMI-TF'!AT12:AT99999,'PLAN BUDGET SAMI-TF'!D12:D99999,SUMMARY!D151,'PLAN BUDGET SAMI-TF'!J12:J99999,SUMMARY!A151&amp;"*")</f>
        <v>0</v>
      </c>
      <c r="L151" s="10">
        <f>SUMIFS('PLAN BUDGET SAMI-TF'!AU12:AU99999,'PLAN BUDGET SAMI-TF'!D12:D99999,SUMMARY!D151,'PLAN BUDGET SAMI-TF'!J12:J99999,SUMMARY!A151&amp;"*")</f>
        <v>0</v>
      </c>
      <c r="M151" s="10">
        <f>SUMIFS('PLAN BUDGET SAMI-TF'!AV12:AV99999,'PLAN BUDGET SAMI-TF'!D12:D99999,SUMMARY!D151,'PLAN BUDGET SAMI-TF'!J12:J99999,SUMMARY!A151&amp;"*")</f>
        <v>0</v>
      </c>
      <c r="N151" s="10">
        <f>SUMIFS('PLAN BUDGET SAMI-TF'!AW12:AW99999,'PLAN BUDGET SAMI-TF'!D12:D99999,SUMMARY!D151,'PLAN BUDGET SAMI-TF'!J12:J99999,SUMMARY!A151&amp;"*")</f>
        <v>0</v>
      </c>
      <c r="O151" s="10">
        <f>SUMIFS('PLAN BUDGET SAMI-TF'!AX12:AX99999,'PLAN BUDGET SAMI-TF'!D12:D99999,SUMMARY!D151,'PLAN BUDGET SAMI-TF'!J12:J99999,SUMMARY!A151&amp;"*")</f>
        <v>0</v>
      </c>
      <c r="P151" s="10">
        <f>SUMIFS('PLAN BUDGET SAMI-TF'!AY12:AY99999,'PLAN BUDGET SAMI-TF'!D12:D99999,SUMMARY!D151,'PLAN BUDGET SAMI-TF'!J12:J99999,SUMMARY!A151&amp;"*")</f>
        <v>0</v>
      </c>
      <c r="Q151" s="10">
        <f>SUMIFS('PLAN BUDGET SAMI-TF'!BC12:BC99999,'PLAN BUDGET SAMI-TF'!D12:D99999,SUMMARY!D151,'PLAN BUDGET SAMI-TF'!J12:J99999,SUMMARY!A151&amp;"*")</f>
        <v>0</v>
      </c>
      <c r="R151" s="10">
        <f>SUMIFS('PLAN BUDGET SAMI-TF'!BD12:BD99999,'PLAN BUDGET SAMI-TF'!D12:D99999,SUMMARY!D151,'PLAN BUDGET SAMI-TF'!J12:J99999,SUMMARY!A151&amp;"*")</f>
        <v>0</v>
      </c>
      <c r="S151" s="10">
        <f>SUMIFS('PLAN BUDGET SAMI-TF'!BE12:BE99999,'PLAN BUDGET SAMI-TF'!D12:D99999,SUMMARY!D151,'PLAN BUDGET SAMI-TF'!J12:J99999,SUMMARY!A151&amp;"*")</f>
        <v>0</v>
      </c>
      <c r="T151" s="10">
        <f>SUMIFS('PLAN BUDGET SAMI-TF'!BF12:BF99999,'PLAN BUDGET SAMI-TF'!D12:D99999,SUMMARY!D151,'PLAN BUDGET SAMI-TF'!J12:J99999,SUMMARY!A151&amp;"*")</f>
        <v>0</v>
      </c>
      <c r="U151" s="10">
        <f>SUMIFS('PLAN BUDGET SAMI-TF'!BG12:BG99999,'PLAN BUDGET SAMI-TF'!D12:D99999,SUMMARY!D151,'PLAN BUDGET SAMI-TF'!J12:J99999,SUMMARY!A151&amp;"*")</f>
        <v>0</v>
      </c>
      <c r="V151" s="10">
        <f>SUMIFS('PLAN BUDGET SAMI-TF'!BH12:BH99999,'PLAN BUDGET SAMI-TF'!D12:D99999,SUMMARY!D151,'PLAN BUDGET SAMI-TF'!J12:J99999,SUMMARY!A151&amp;"*")</f>
        <v>0</v>
      </c>
      <c r="W151" s="10">
        <f>SUMIFS('PLAN BUDGET SAMI-TF'!BI12:BI99999,'PLAN BUDGET SAMI-TF'!D12:D99999,SUMMARY!D151,'PLAN BUDGET SAMI-TF'!J12:J99999,SUMMARY!A151&amp;"*")</f>
        <v>0</v>
      </c>
      <c r="X151" s="10">
        <f>SUMIFS('PLAN BUDGET SAMI-TF'!BJ12:BJ99999,'PLAN BUDGET SAMI-TF'!D12:D99999,SUMMARY!D151,'PLAN BUDGET SAMI-TF'!J12:J99999,SUMMARY!A151&amp;"*")</f>
        <v>0</v>
      </c>
      <c r="Y151" s="10">
        <f>SUMIFS('PLAN BUDGET SAMI-TF'!BK12:BK99999,'PLAN BUDGET SAMI-TF'!D12:D99999,SUMMARY!D151,'PLAN BUDGET SAMI-TF'!J12:J99999,SUMMARY!A151&amp;"*")</f>
        <v>0</v>
      </c>
      <c r="Z151" s="10">
        <f>SUMIFS('PLAN BUDGET SAMI-TF'!BL12:BL99999,'PLAN BUDGET SAMI-TF'!D12:D99999,SUMMARY!D151,'PLAN BUDGET SAMI-TF'!J12:J99999,SUMMARY!A151&amp;"*")</f>
        <v>0</v>
      </c>
      <c r="AA151" s="10">
        <f>SUMIFS('PLAN BUDGET SAMI-TF'!BM12:BM99999,'PLAN BUDGET SAMI-TF'!D12:D99999,SUMMARY!D151,'PLAN BUDGET SAMI-TF'!J12:J99999,SUMMARY!A151&amp;"*")</f>
        <v>0</v>
      </c>
      <c r="AB151" s="10">
        <f>SUMIFS('PLAN BUDGET SAMI-TF'!BN12:BN99999,'PLAN BUDGET SAMI-TF'!D12:D99999,SUMMARY!D151,'PLAN BUDGET SAMI-TF'!J12:J99999,SUMMARY!A151&amp;"*")</f>
        <v>0</v>
      </c>
      <c r="AC151" s="10">
        <f t="shared" si="16"/>
        <v>0</v>
      </c>
      <c r="AD151" s="10">
        <f t="shared" si="17"/>
        <v>0</v>
      </c>
      <c r="AE151" s="16"/>
      <c r="AF151" s="10">
        <v>1</v>
      </c>
      <c r="AG151" s="10">
        <v>9.3046219285253002</v>
      </c>
      <c r="AH151" s="20">
        <f t="shared" si="18"/>
        <v>-1</v>
      </c>
      <c r="AI151" s="20">
        <f t="shared" si="19"/>
        <v>-1</v>
      </c>
      <c r="AJ151" s="7" t="s">
        <v>743</v>
      </c>
    </row>
    <row r="152" spans="1:36" x14ac:dyDescent="0.35">
      <c r="A152" s="7" t="s">
        <v>709</v>
      </c>
      <c r="B152" s="7"/>
      <c r="C152" s="7"/>
      <c r="D152" s="7" t="s">
        <v>778</v>
      </c>
      <c r="E152" s="10">
        <f>SUMIFS('PLAN BUDGET SAMI-TF'!AN12:AN99999,'PLAN BUDGET SAMI-TF'!D12:D99999,SUMMARY!D152,'PLAN BUDGET SAMI-TF'!J12:J99999,SUMMARY!A152&amp;"*")</f>
        <v>0</v>
      </c>
      <c r="F152" s="10">
        <f>SUMIFS('PLAN BUDGET SAMI-TF'!AO12:AO99999,'PLAN BUDGET SAMI-TF'!D12:D99999,SUMMARY!D152,'PLAN BUDGET SAMI-TF'!J12:J99999,SUMMARY!A152&amp;"*")</f>
        <v>0</v>
      </c>
      <c r="G152" s="10">
        <f>SUMIFS('PLAN BUDGET SAMI-TF'!AP12:AP99999,'PLAN BUDGET SAMI-TF'!D12:D99999,SUMMARY!D152,'PLAN BUDGET SAMI-TF'!J12:J99999,SUMMARY!A152&amp;"*")</f>
        <v>0</v>
      </c>
      <c r="H152" s="10">
        <f>SUMIFS('PLAN BUDGET SAMI-TF'!AQ12:AQ99999,'PLAN BUDGET SAMI-TF'!D12:D99999,SUMMARY!D152,'PLAN BUDGET SAMI-TF'!J12:J99999,SUMMARY!A152&amp;"*")</f>
        <v>0</v>
      </c>
      <c r="I152" s="10">
        <f>SUMIFS('PLAN BUDGET SAMI-TF'!AR12:AR99999,'PLAN BUDGET SAMI-TF'!D12:D99999,SUMMARY!D152,'PLAN BUDGET SAMI-TF'!J12:J99999,SUMMARY!A152&amp;"*")</f>
        <v>0</v>
      </c>
      <c r="J152" s="10">
        <f>SUMIFS('PLAN BUDGET SAMI-TF'!AS12:AS99999,'PLAN BUDGET SAMI-TF'!D12:D99999,SUMMARY!D152,'PLAN BUDGET SAMI-TF'!J12:J99999,SUMMARY!A152&amp;"*")</f>
        <v>0</v>
      </c>
      <c r="K152" s="10">
        <f>SUMIFS('PLAN BUDGET SAMI-TF'!AT12:AT99999,'PLAN BUDGET SAMI-TF'!D12:D99999,SUMMARY!D152,'PLAN BUDGET SAMI-TF'!J12:J99999,SUMMARY!A152&amp;"*")</f>
        <v>0</v>
      </c>
      <c r="L152" s="10">
        <f>SUMIFS('PLAN BUDGET SAMI-TF'!AU12:AU99999,'PLAN BUDGET SAMI-TF'!D12:D99999,SUMMARY!D152,'PLAN BUDGET SAMI-TF'!J12:J99999,SUMMARY!A152&amp;"*")</f>
        <v>0</v>
      </c>
      <c r="M152" s="10">
        <f>SUMIFS('PLAN BUDGET SAMI-TF'!AV12:AV99999,'PLAN BUDGET SAMI-TF'!D12:D99999,SUMMARY!D152,'PLAN BUDGET SAMI-TF'!J12:J99999,SUMMARY!A152&amp;"*")</f>
        <v>0</v>
      </c>
      <c r="N152" s="10">
        <f>SUMIFS('PLAN BUDGET SAMI-TF'!AW12:AW99999,'PLAN BUDGET SAMI-TF'!D12:D99999,SUMMARY!D152,'PLAN BUDGET SAMI-TF'!J12:J99999,SUMMARY!A152&amp;"*")</f>
        <v>0</v>
      </c>
      <c r="O152" s="10">
        <f>SUMIFS('PLAN BUDGET SAMI-TF'!AX12:AX99999,'PLAN BUDGET SAMI-TF'!D12:D99999,SUMMARY!D152,'PLAN BUDGET SAMI-TF'!J12:J99999,SUMMARY!A152&amp;"*")</f>
        <v>0</v>
      </c>
      <c r="P152" s="10">
        <f>SUMIFS('PLAN BUDGET SAMI-TF'!AY12:AY99999,'PLAN BUDGET SAMI-TF'!D12:D99999,SUMMARY!D152,'PLAN BUDGET SAMI-TF'!J12:J99999,SUMMARY!A152&amp;"*")</f>
        <v>0</v>
      </c>
      <c r="Q152" s="10">
        <f>SUMIFS('PLAN BUDGET SAMI-TF'!BC12:BC99999,'PLAN BUDGET SAMI-TF'!D12:D99999,SUMMARY!D152,'PLAN BUDGET SAMI-TF'!J12:J99999,SUMMARY!A152&amp;"*")</f>
        <v>0</v>
      </c>
      <c r="R152" s="10">
        <f>SUMIFS('PLAN BUDGET SAMI-TF'!BD12:BD99999,'PLAN BUDGET SAMI-TF'!D12:D99999,SUMMARY!D152,'PLAN BUDGET SAMI-TF'!J12:J99999,SUMMARY!A152&amp;"*")</f>
        <v>0</v>
      </c>
      <c r="S152" s="10">
        <f>SUMIFS('PLAN BUDGET SAMI-TF'!BE12:BE99999,'PLAN BUDGET SAMI-TF'!D12:D99999,SUMMARY!D152,'PLAN BUDGET SAMI-TF'!J12:J99999,SUMMARY!A152&amp;"*")</f>
        <v>0</v>
      </c>
      <c r="T152" s="10">
        <f>SUMIFS('PLAN BUDGET SAMI-TF'!BF12:BF99999,'PLAN BUDGET SAMI-TF'!D12:D99999,SUMMARY!D152,'PLAN BUDGET SAMI-TF'!J12:J99999,SUMMARY!A152&amp;"*")</f>
        <v>0</v>
      </c>
      <c r="U152" s="10">
        <f>SUMIFS('PLAN BUDGET SAMI-TF'!BG12:BG99999,'PLAN BUDGET SAMI-TF'!D12:D99999,SUMMARY!D152,'PLAN BUDGET SAMI-TF'!J12:J99999,SUMMARY!A152&amp;"*")</f>
        <v>0</v>
      </c>
      <c r="V152" s="10">
        <f>SUMIFS('PLAN BUDGET SAMI-TF'!BH12:BH99999,'PLAN BUDGET SAMI-TF'!D12:D99999,SUMMARY!D152,'PLAN BUDGET SAMI-TF'!J12:J99999,SUMMARY!A152&amp;"*")</f>
        <v>0</v>
      </c>
      <c r="W152" s="10">
        <f>SUMIFS('PLAN BUDGET SAMI-TF'!BI12:BI99999,'PLAN BUDGET SAMI-TF'!D12:D99999,SUMMARY!D152,'PLAN BUDGET SAMI-TF'!J12:J99999,SUMMARY!A152&amp;"*")</f>
        <v>0</v>
      </c>
      <c r="X152" s="10">
        <f>SUMIFS('PLAN BUDGET SAMI-TF'!BJ12:BJ99999,'PLAN BUDGET SAMI-TF'!D12:D99999,SUMMARY!D152,'PLAN BUDGET SAMI-TF'!J12:J99999,SUMMARY!A152&amp;"*")</f>
        <v>0</v>
      </c>
      <c r="Y152" s="10">
        <f>SUMIFS('PLAN BUDGET SAMI-TF'!BK12:BK99999,'PLAN BUDGET SAMI-TF'!D12:D99999,SUMMARY!D152,'PLAN BUDGET SAMI-TF'!J12:J99999,SUMMARY!A152&amp;"*")</f>
        <v>0</v>
      </c>
      <c r="Z152" s="10">
        <f>SUMIFS('PLAN BUDGET SAMI-TF'!BL12:BL99999,'PLAN BUDGET SAMI-TF'!D12:D99999,SUMMARY!D152,'PLAN BUDGET SAMI-TF'!J12:J99999,SUMMARY!A152&amp;"*")</f>
        <v>0</v>
      </c>
      <c r="AA152" s="10">
        <f>SUMIFS('PLAN BUDGET SAMI-TF'!BM12:BM99999,'PLAN BUDGET SAMI-TF'!D12:D99999,SUMMARY!D152,'PLAN BUDGET SAMI-TF'!J12:J99999,SUMMARY!A152&amp;"*")</f>
        <v>0</v>
      </c>
      <c r="AB152" s="10">
        <f>SUMIFS('PLAN BUDGET SAMI-TF'!BN12:BN99999,'PLAN BUDGET SAMI-TF'!D12:D99999,SUMMARY!D152,'PLAN BUDGET SAMI-TF'!J12:J99999,SUMMARY!A152&amp;"*")</f>
        <v>0</v>
      </c>
      <c r="AC152" s="10">
        <f t="shared" si="16"/>
        <v>0</v>
      </c>
      <c r="AD152" s="10">
        <f t="shared" si="17"/>
        <v>0</v>
      </c>
      <c r="AE152" s="16"/>
      <c r="AF152" s="10">
        <v>2</v>
      </c>
      <c r="AG152" s="10">
        <v>60.745888876229998</v>
      </c>
      <c r="AH152" s="20">
        <f t="shared" si="18"/>
        <v>-1</v>
      </c>
      <c r="AI152" s="20">
        <f t="shared" si="19"/>
        <v>-1</v>
      </c>
      <c r="AJ152" s="7" t="s">
        <v>743</v>
      </c>
    </row>
    <row r="153" spans="1:36" x14ac:dyDescent="0.35">
      <c r="A153" s="7" t="s">
        <v>709</v>
      </c>
      <c r="B153" s="7"/>
      <c r="C153" s="7"/>
      <c r="D153" s="7" t="s">
        <v>779</v>
      </c>
      <c r="E153" s="10">
        <f>SUMIFS('PLAN BUDGET SAMI-TF'!AN12:AN99999,'PLAN BUDGET SAMI-TF'!D12:D99999,SUMMARY!D153,'PLAN BUDGET SAMI-TF'!J12:J99999,SUMMARY!A153&amp;"*")</f>
        <v>0</v>
      </c>
      <c r="F153" s="10">
        <f>SUMIFS('PLAN BUDGET SAMI-TF'!AO12:AO99999,'PLAN BUDGET SAMI-TF'!D12:D99999,SUMMARY!D153,'PLAN BUDGET SAMI-TF'!J12:J99999,SUMMARY!A153&amp;"*")</f>
        <v>0</v>
      </c>
      <c r="G153" s="10">
        <f>SUMIFS('PLAN BUDGET SAMI-TF'!AP12:AP99999,'PLAN BUDGET SAMI-TF'!D12:D99999,SUMMARY!D153,'PLAN BUDGET SAMI-TF'!J12:J99999,SUMMARY!A153&amp;"*")</f>
        <v>0</v>
      </c>
      <c r="H153" s="10">
        <f>SUMIFS('PLAN BUDGET SAMI-TF'!AQ12:AQ99999,'PLAN BUDGET SAMI-TF'!D12:D99999,SUMMARY!D153,'PLAN BUDGET SAMI-TF'!J12:J99999,SUMMARY!A153&amp;"*")</f>
        <v>0</v>
      </c>
      <c r="I153" s="10">
        <f>SUMIFS('PLAN BUDGET SAMI-TF'!AR12:AR99999,'PLAN BUDGET SAMI-TF'!D12:D99999,SUMMARY!D153,'PLAN BUDGET SAMI-TF'!J12:J99999,SUMMARY!A153&amp;"*")</f>
        <v>0</v>
      </c>
      <c r="J153" s="10">
        <f>SUMIFS('PLAN BUDGET SAMI-TF'!AS12:AS99999,'PLAN BUDGET SAMI-TF'!D12:D99999,SUMMARY!D153,'PLAN BUDGET SAMI-TF'!J12:J99999,SUMMARY!A153&amp;"*")</f>
        <v>0</v>
      </c>
      <c r="K153" s="10">
        <f>SUMIFS('PLAN BUDGET SAMI-TF'!AT12:AT99999,'PLAN BUDGET SAMI-TF'!D12:D99999,SUMMARY!D153,'PLAN BUDGET SAMI-TF'!J12:J99999,SUMMARY!A153&amp;"*")</f>
        <v>0</v>
      </c>
      <c r="L153" s="10">
        <f>SUMIFS('PLAN BUDGET SAMI-TF'!AU12:AU99999,'PLAN BUDGET SAMI-TF'!D12:D99999,SUMMARY!D153,'PLAN BUDGET SAMI-TF'!J12:J99999,SUMMARY!A153&amp;"*")</f>
        <v>0</v>
      </c>
      <c r="M153" s="10">
        <f>SUMIFS('PLAN BUDGET SAMI-TF'!AV12:AV99999,'PLAN BUDGET SAMI-TF'!D12:D99999,SUMMARY!D153,'PLAN BUDGET SAMI-TF'!J12:J99999,SUMMARY!A153&amp;"*")</f>
        <v>0</v>
      </c>
      <c r="N153" s="10">
        <f>SUMIFS('PLAN BUDGET SAMI-TF'!AW12:AW99999,'PLAN BUDGET SAMI-TF'!D12:D99999,SUMMARY!D153,'PLAN BUDGET SAMI-TF'!J12:J99999,SUMMARY!A153&amp;"*")</f>
        <v>0</v>
      </c>
      <c r="O153" s="10">
        <f>SUMIFS('PLAN BUDGET SAMI-TF'!AX12:AX99999,'PLAN BUDGET SAMI-TF'!D12:D99999,SUMMARY!D153,'PLAN BUDGET SAMI-TF'!J12:J99999,SUMMARY!A153&amp;"*")</f>
        <v>0</v>
      </c>
      <c r="P153" s="10">
        <f>SUMIFS('PLAN BUDGET SAMI-TF'!AY12:AY99999,'PLAN BUDGET SAMI-TF'!D12:D99999,SUMMARY!D153,'PLAN BUDGET SAMI-TF'!J12:J99999,SUMMARY!A153&amp;"*")</f>
        <v>0</v>
      </c>
      <c r="Q153" s="10">
        <f>SUMIFS('PLAN BUDGET SAMI-TF'!BC12:BC99999,'PLAN BUDGET SAMI-TF'!D12:D99999,SUMMARY!D153,'PLAN BUDGET SAMI-TF'!J12:J99999,SUMMARY!A153&amp;"*")</f>
        <v>0</v>
      </c>
      <c r="R153" s="10">
        <f>SUMIFS('PLAN BUDGET SAMI-TF'!BD12:BD99999,'PLAN BUDGET SAMI-TF'!D12:D99999,SUMMARY!D153,'PLAN BUDGET SAMI-TF'!J12:J99999,SUMMARY!A153&amp;"*")</f>
        <v>0</v>
      </c>
      <c r="S153" s="10">
        <f>SUMIFS('PLAN BUDGET SAMI-TF'!BE12:BE99999,'PLAN BUDGET SAMI-TF'!D12:D99999,SUMMARY!D153,'PLAN BUDGET SAMI-TF'!J12:J99999,SUMMARY!A153&amp;"*")</f>
        <v>0</v>
      </c>
      <c r="T153" s="10">
        <f>SUMIFS('PLAN BUDGET SAMI-TF'!BF12:BF99999,'PLAN BUDGET SAMI-TF'!D12:D99999,SUMMARY!D153,'PLAN BUDGET SAMI-TF'!J12:J99999,SUMMARY!A153&amp;"*")</f>
        <v>0</v>
      </c>
      <c r="U153" s="10">
        <f>SUMIFS('PLAN BUDGET SAMI-TF'!BG12:BG99999,'PLAN BUDGET SAMI-TF'!D12:D99999,SUMMARY!D153,'PLAN BUDGET SAMI-TF'!J12:J99999,SUMMARY!A153&amp;"*")</f>
        <v>0</v>
      </c>
      <c r="V153" s="10">
        <f>SUMIFS('PLAN BUDGET SAMI-TF'!BH12:BH99999,'PLAN BUDGET SAMI-TF'!D12:D99999,SUMMARY!D153,'PLAN BUDGET SAMI-TF'!J12:J99999,SUMMARY!A153&amp;"*")</f>
        <v>0</v>
      </c>
      <c r="W153" s="10">
        <f>SUMIFS('PLAN BUDGET SAMI-TF'!BI12:BI99999,'PLAN BUDGET SAMI-TF'!D12:D99999,SUMMARY!D153,'PLAN BUDGET SAMI-TF'!J12:J99999,SUMMARY!A153&amp;"*")</f>
        <v>0</v>
      </c>
      <c r="X153" s="10">
        <f>SUMIFS('PLAN BUDGET SAMI-TF'!BJ12:BJ99999,'PLAN BUDGET SAMI-TF'!D12:D99999,SUMMARY!D153,'PLAN BUDGET SAMI-TF'!J12:J99999,SUMMARY!A153&amp;"*")</f>
        <v>0</v>
      </c>
      <c r="Y153" s="10">
        <f>SUMIFS('PLAN BUDGET SAMI-TF'!BK12:BK99999,'PLAN BUDGET SAMI-TF'!D12:D99999,SUMMARY!D153,'PLAN BUDGET SAMI-TF'!J12:J99999,SUMMARY!A153&amp;"*")</f>
        <v>0</v>
      </c>
      <c r="Z153" s="10">
        <f>SUMIFS('PLAN BUDGET SAMI-TF'!BL12:BL99999,'PLAN BUDGET SAMI-TF'!D12:D99999,SUMMARY!D153,'PLAN BUDGET SAMI-TF'!J12:J99999,SUMMARY!A153&amp;"*")</f>
        <v>0</v>
      </c>
      <c r="AA153" s="10">
        <f>SUMIFS('PLAN BUDGET SAMI-TF'!BM12:BM99999,'PLAN BUDGET SAMI-TF'!D12:D99999,SUMMARY!D153,'PLAN BUDGET SAMI-TF'!J12:J99999,SUMMARY!A153&amp;"*")</f>
        <v>0</v>
      </c>
      <c r="AB153" s="10">
        <f>SUMIFS('PLAN BUDGET SAMI-TF'!BN12:BN99999,'PLAN BUDGET SAMI-TF'!D12:D99999,SUMMARY!D153,'PLAN BUDGET SAMI-TF'!J12:J99999,SUMMARY!A153&amp;"*")</f>
        <v>0</v>
      </c>
      <c r="AC153" s="10">
        <f t="shared" si="16"/>
        <v>0</v>
      </c>
      <c r="AD153" s="10">
        <f t="shared" si="17"/>
        <v>0</v>
      </c>
      <c r="AE153" s="16"/>
      <c r="AF153" s="10">
        <v>5</v>
      </c>
      <c r="AG153" s="10">
        <v>1661.5396300938</v>
      </c>
      <c r="AH153" s="20">
        <f t="shared" si="18"/>
        <v>-1</v>
      </c>
      <c r="AI153" s="20">
        <f t="shared" si="19"/>
        <v>-1</v>
      </c>
      <c r="AJ153" s="7" t="s">
        <v>743</v>
      </c>
    </row>
    <row r="154" spans="1:36" x14ac:dyDescent="0.35">
      <c r="A154" s="7" t="s">
        <v>709</v>
      </c>
      <c r="B154" s="7"/>
      <c r="C154" s="7"/>
      <c r="D154" s="7" t="s">
        <v>780</v>
      </c>
      <c r="E154" s="10">
        <f>SUMIFS('PLAN BUDGET SAMI-TF'!AN12:AN99999,'PLAN BUDGET SAMI-TF'!D12:D99999,SUMMARY!D154,'PLAN BUDGET SAMI-TF'!J12:J99999,SUMMARY!A154&amp;"*")</f>
        <v>0</v>
      </c>
      <c r="F154" s="10">
        <f>SUMIFS('PLAN BUDGET SAMI-TF'!AO12:AO99999,'PLAN BUDGET SAMI-TF'!D12:D99999,SUMMARY!D154,'PLAN BUDGET SAMI-TF'!J12:J99999,SUMMARY!A154&amp;"*")</f>
        <v>0</v>
      </c>
      <c r="G154" s="10">
        <f>SUMIFS('PLAN BUDGET SAMI-TF'!AP12:AP99999,'PLAN BUDGET SAMI-TF'!D12:D99999,SUMMARY!D154,'PLAN BUDGET SAMI-TF'!J12:J99999,SUMMARY!A154&amp;"*")</f>
        <v>0</v>
      </c>
      <c r="H154" s="10">
        <f>SUMIFS('PLAN BUDGET SAMI-TF'!AQ12:AQ99999,'PLAN BUDGET SAMI-TF'!D12:D99999,SUMMARY!D154,'PLAN BUDGET SAMI-TF'!J12:J99999,SUMMARY!A154&amp;"*")</f>
        <v>0</v>
      </c>
      <c r="I154" s="10">
        <f>SUMIFS('PLAN BUDGET SAMI-TF'!AR12:AR99999,'PLAN BUDGET SAMI-TF'!D12:D99999,SUMMARY!D154,'PLAN BUDGET SAMI-TF'!J12:J99999,SUMMARY!A154&amp;"*")</f>
        <v>0</v>
      </c>
      <c r="J154" s="10">
        <f>SUMIFS('PLAN BUDGET SAMI-TF'!AS12:AS99999,'PLAN BUDGET SAMI-TF'!D12:D99999,SUMMARY!D154,'PLAN BUDGET SAMI-TF'!J12:J99999,SUMMARY!A154&amp;"*")</f>
        <v>0</v>
      </c>
      <c r="K154" s="10">
        <f>SUMIFS('PLAN BUDGET SAMI-TF'!AT12:AT99999,'PLAN BUDGET SAMI-TF'!D12:D99999,SUMMARY!D154,'PLAN BUDGET SAMI-TF'!J12:J99999,SUMMARY!A154&amp;"*")</f>
        <v>0</v>
      </c>
      <c r="L154" s="10">
        <f>SUMIFS('PLAN BUDGET SAMI-TF'!AU12:AU99999,'PLAN BUDGET SAMI-TF'!D12:D99999,SUMMARY!D154,'PLAN BUDGET SAMI-TF'!J12:J99999,SUMMARY!A154&amp;"*")</f>
        <v>0</v>
      </c>
      <c r="M154" s="10">
        <f>SUMIFS('PLAN BUDGET SAMI-TF'!AV12:AV99999,'PLAN BUDGET SAMI-TF'!D12:D99999,SUMMARY!D154,'PLAN BUDGET SAMI-TF'!J12:J99999,SUMMARY!A154&amp;"*")</f>
        <v>0</v>
      </c>
      <c r="N154" s="10">
        <f>SUMIFS('PLAN BUDGET SAMI-TF'!AW12:AW99999,'PLAN BUDGET SAMI-TF'!D12:D99999,SUMMARY!D154,'PLAN BUDGET SAMI-TF'!J12:J99999,SUMMARY!A154&amp;"*")</f>
        <v>0</v>
      </c>
      <c r="O154" s="10">
        <f>SUMIFS('PLAN BUDGET SAMI-TF'!AX12:AX99999,'PLAN BUDGET SAMI-TF'!D12:D99999,SUMMARY!D154,'PLAN BUDGET SAMI-TF'!J12:J99999,SUMMARY!A154&amp;"*")</f>
        <v>0</v>
      </c>
      <c r="P154" s="10">
        <f>SUMIFS('PLAN BUDGET SAMI-TF'!AY12:AY99999,'PLAN BUDGET SAMI-TF'!D12:D99999,SUMMARY!D154,'PLAN BUDGET SAMI-TF'!J12:J99999,SUMMARY!A154&amp;"*")</f>
        <v>0</v>
      </c>
      <c r="Q154" s="10">
        <f>SUMIFS('PLAN BUDGET SAMI-TF'!BC12:BC99999,'PLAN BUDGET SAMI-TF'!D12:D99999,SUMMARY!D154,'PLAN BUDGET SAMI-TF'!J12:J99999,SUMMARY!A154&amp;"*")</f>
        <v>0</v>
      </c>
      <c r="R154" s="10">
        <f>SUMIFS('PLAN BUDGET SAMI-TF'!BD12:BD99999,'PLAN BUDGET SAMI-TF'!D12:D99999,SUMMARY!D154,'PLAN BUDGET SAMI-TF'!J12:J99999,SUMMARY!A154&amp;"*")</f>
        <v>0</v>
      </c>
      <c r="S154" s="10">
        <f>SUMIFS('PLAN BUDGET SAMI-TF'!BE12:BE99999,'PLAN BUDGET SAMI-TF'!D12:D99999,SUMMARY!D154,'PLAN BUDGET SAMI-TF'!J12:J99999,SUMMARY!A154&amp;"*")</f>
        <v>0</v>
      </c>
      <c r="T154" s="10">
        <f>SUMIFS('PLAN BUDGET SAMI-TF'!BF12:BF99999,'PLAN BUDGET SAMI-TF'!D12:D99999,SUMMARY!D154,'PLAN BUDGET SAMI-TF'!J12:J99999,SUMMARY!A154&amp;"*")</f>
        <v>0</v>
      </c>
      <c r="U154" s="10">
        <f>SUMIFS('PLAN BUDGET SAMI-TF'!BG12:BG99999,'PLAN BUDGET SAMI-TF'!D12:D99999,SUMMARY!D154,'PLAN BUDGET SAMI-TF'!J12:J99999,SUMMARY!A154&amp;"*")</f>
        <v>0</v>
      </c>
      <c r="V154" s="10">
        <f>SUMIFS('PLAN BUDGET SAMI-TF'!BH12:BH99999,'PLAN BUDGET SAMI-TF'!D12:D99999,SUMMARY!D154,'PLAN BUDGET SAMI-TF'!J12:J99999,SUMMARY!A154&amp;"*")</f>
        <v>0</v>
      </c>
      <c r="W154" s="10">
        <f>SUMIFS('PLAN BUDGET SAMI-TF'!BI12:BI99999,'PLAN BUDGET SAMI-TF'!D12:D99999,SUMMARY!D154,'PLAN BUDGET SAMI-TF'!J12:J99999,SUMMARY!A154&amp;"*")</f>
        <v>0</v>
      </c>
      <c r="X154" s="10">
        <f>SUMIFS('PLAN BUDGET SAMI-TF'!BJ12:BJ99999,'PLAN BUDGET SAMI-TF'!D12:D99999,SUMMARY!D154,'PLAN BUDGET SAMI-TF'!J12:J99999,SUMMARY!A154&amp;"*")</f>
        <v>0</v>
      </c>
      <c r="Y154" s="10">
        <f>SUMIFS('PLAN BUDGET SAMI-TF'!BK12:BK99999,'PLAN BUDGET SAMI-TF'!D12:D99999,SUMMARY!D154,'PLAN BUDGET SAMI-TF'!J12:J99999,SUMMARY!A154&amp;"*")</f>
        <v>0</v>
      </c>
      <c r="Z154" s="10">
        <f>SUMIFS('PLAN BUDGET SAMI-TF'!BL12:BL99999,'PLAN BUDGET SAMI-TF'!D12:D99999,SUMMARY!D154,'PLAN BUDGET SAMI-TF'!J12:J99999,SUMMARY!A154&amp;"*")</f>
        <v>0</v>
      </c>
      <c r="AA154" s="10">
        <f>SUMIFS('PLAN BUDGET SAMI-TF'!BM12:BM99999,'PLAN BUDGET SAMI-TF'!D12:D99999,SUMMARY!D154,'PLAN BUDGET SAMI-TF'!J12:J99999,SUMMARY!A154&amp;"*")</f>
        <v>0</v>
      </c>
      <c r="AB154" s="10">
        <f>SUMIFS('PLAN BUDGET SAMI-TF'!BN12:BN99999,'PLAN BUDGET SAMI-TF'!D12:D99999,SUMMARY!D154,'PLAN BUDGET SAMI-TF'!J12:J99999,SUMMARY!A154&amp;"*")</f>
        <v>0</v>
      </c>
      <c r="AC154" s="10">
        <f t="shared" si="16"/>
        <v>0</v>
      </c>
      <c r="AD154" s="10">
        <f t="shared" si="17"/>
        <v>0</v>
      </c>
      <c r="AE154" s="16"/>
      <c r="AF154" s="10">
        <v>6</v>
      </c>
      <c r="AG154" s="10">
        <v>417.75853556644</v>
      </c>
      <c r="AH154" s="20">
        <f t="shared" si="18"/>
        <v>-1</v>
      </c>
      <c r="AI154" s="20">
        <f t="shared" si="19"/>
        <v>-1</v>
      </c>
      <c r="AJ154" s="7" t="s">
        <v>743</v>
      </c>
    </row>
    <row r="155" spans="1:36" x14ac:dyDescent="0.35">
      <c r="A155" s="7" t="s">
        <v>709</v>
      </c>
      <c r="B155" s="7"/>
      <c r="C155" s="7"/>
      <c r="D155" s="7" t="s">
        <v>781</v>
      </c>
      <c r="E155" s="10">
        <f>SUMIFS('PLAN BUDGET SAMI-TF'!AN12:AN99999,'PLAN BUDGET SAMI-TF'!D12:D99999,SUMMARY!D155,'PLAN BUDGET SAMI-TF'!J12:J99999,SUMMARY!A155&amp;"*")</f>
        <v>0</v>
      </c>
      <c r="F155" s="10">
        <f>SUMIFS('PLAN BUDGET SAMI-TF'!AO12:AO99999,'PLAN BUDGET SAMI-TF'!D12:D99999,SUMMARY!D155,'PLAN BUDGET SAMI-TF'!J12:J99999,SUMMARY!A155&amp;"*")</f>
        <v>0</v>
      </c>
      <c r="G155" s="10">
        <f>SUMIFS('PLAN BUDGET SAMI-TF'!AP12:AP99999,'PLAN BUDGET SAMI-TF'!D12:D99999,SUMMARY!D155,'PLAN BUDGET SAMI-TF'!J12:J99999,SUMMARY!A155&amp;"*")</f>
        <v>0</v>
      </c>
      <c r="H155" s="10">
        <f>SUMIFS('PLAN BUDGET SAMI-TF'!AQ12:AQ99999,'PLAN BUDGET SAMI-TF'!D12:D99999,SUMMARY!D155,'PLAN BUDGET SAMI-TF'!J12:J99999,SUMMARY!A155&amp;"*")</f>
        <v>0</v>
      </c>
      <c r="I155" s="10">
        <f>SUMIFS('PLAN BUDGET SAMI-TF'!AR12:AR99999,'PLAN BUDGET SAMI-TF'!D12:D99999,SUMMARY!D155,'PLAN BUDGET SAMI-TF'!J12:J99999,SUMMARY!A155&amp;"*")</f>
        <v>0</v>
      </c>
      <c r="J155" s="10">
        <f>SUMIFS('PLAN BUDGET SAMI-TF'!AS12:AS99999,'PLAN BUDGET SAMI-TF'!D12:D99999,SUMMARY!D155,'PLAN BUDGET SAMI-TF'!J12:J99999,SUMMARY!A155&amp;"*")</f>
        <v>0</v>
      </c>
      <c r="K155" s="10">
        <f>SUMIFS('PLAN BUDGET SAMI-TF'!AT12:AT99999,'PLAN BUDGET SAMI-TF'!D12:D99999,SUMMARY!D155,'PLAN BUDGET SAMI-TF'!J12:J99999,SUMMARY!A155&amp;"*")</f>
        <v>0</v>
      </c>
      <c r="L155" s="10">
        <f>SUMIFS('PLAN BUDGET SAMI-TF'!AU12:AU99999,'PLAN BUDGET SAMI-TF'!D12:D99999,SUMMARY!D155,'PLAN BUDGET SAMI-TF'!J12:J99999,SUMMARY!A155&amp;"*")</f>
        <v>0</v>
      </c>
      <c r="M155" s="10">
        <f>SUMIFS('PLAN BUDGET SAMI-TF'!AV12:AV99999,'PLAN BUDGET SAMI-TF'!D12:D99999,SUMMARY!D155,'PLAN BUDGET SAMI-TF'!J12:J99999,SUMMARY!A155&amp;"*")</f>
        <v>0</v>
      </c>
      <c r="N155" s="10">
        <f>SUMIFS('PLAN BUDGET SAMI-TF'!AW12:AW99999,'PLAN BUDGET SAMI-TF'!D12:D99999,SUMMARY!D155,'PLAN BUDGET SAMI-TF'!J12:J99999,SUMMARY!A155&amp;"*")</f>
        <v>0</v>
      </c>
      <c r="O155" s="10">
        <f>SUMIFS('PLAN BUDGET SAMI-TF'!AX12:AX99999,'PLAN BUDGET SAMI-TF'!D12:D99999,SUMMARY!D155,'PLAN BUDGET SAMI-TF'!J12:J99999,SUMMARY!A155&amp;"*")</f>
        <v>0</v>
      </c>
      <c r="P155" s="10">
        <f>SUMIFS('PLAN BUDGET SAMI-TF'!AY12:AY99999,'PLAN BUDGET SAMI-TF'!D12:D99999,SUMMARY!D155,'PLAN BUDGET SAMI-TF'!J12:J99999,SUMMARY!A155&amp;"*")</f>
        <v>0</v>
      </c>
      <c r="Q155" s="10">
        <f>SUMIFS('PLAN BUDGET SAMI-TF'!BC12:BC99999,'PLAN BUDGET SAMI-TF'!D12:D99999,SUMMARY!D155,'PLAN BUDGET SAMI-TF'!J12:J99999,SUMMARY!A155&amp;"*")</f>
        <v>0</v>
      </c>
      <c r="R155" s="10">
        <f>SUMIFS('PLAN BUDGET SAMI-TF'!BD12:BD99999,'PLAN BUDGET SAMI-TF'!D12:D99999,SUMMARY!D155,'PLAN BUDGET SAMI-TF'!J12:J99999,SUMMARY!A155&amp;"*")</f>
        <v>0</v>
      </c>
      <c r="S155" s="10">
        <f>SUMIFS('PLAN BUDGET SAMI-TF'!BE12:BE99999,'PLAN BUDGET SAMI-TF'!D12:D99999,SUMMARY!D155,'PLAN BUDGET SAMI-TF'!J12:J99999,SUMMARY!A155&amp;"*")</f>
        <v>0</v>
      </c>
      <c r="T155" s="10">
        <f>SUMIFS('PLAN BUDGET SAMI-TF'!BF12:BF99999,'PLAN BUDGET SAMI-TF'!D12:D99999,SUMMARY!D155,'PLAN BUDGET SAMI-TF'!J12:J99999,SUMMARY!A155&amp;"*")</f>
        <v>0</v>
      </c>
      <c r="U155" s="10">
        <f>SUMIFS('PLAN BUDGET SAMI-TF'!BG12:BG99999,'PLAN BUDGET SAMI-TF'!D12:D99999,SUMMARY!D155,'PLAN BUDGET SAMI-TF'!J12:J99999,SUMMARY!A155&amp;"*")</f>
        <v>0</v>
      </c>
      <c r="V155" s="10">
        <f>SUMIFS('PLAN BUDGET SAMI-TF'!BH12:BH99999,'PLAN BUDGET SAMI-TF'!D12:D99999,SUMMARY!D155,'PLAN BUDGET SAMI-TF'!J12:J99999,SUMMARY!A155&amp;"*")</f>
        <v>0</v>
      </c>
      <c r="W155" s="10">
        <f>SUMIFS('PLAN BUDGET SAMI-TF'!BI12:BI99999,'PLAN BUDGET SAMI-TF'!D12:D99999,SUMMARY!D155,'PLAN BUDGET SAMI-TF'!J12:J99999,SUMMARY!A155&amp;"*")</f>
        <v>0</v>
      </c>
      <c r="X155" s="10">
        <f>SUMIFS('PLAN BUDGET SAMI-TF'!BJ12:BJ99999,'PLAN BUDGET SAMI-TF'!D12:D99999,SUMMARY!D155,'PLAN BUDGET SAMI-TF'!J12:J99999,SUMMARY!A155&amp;"*")</f>
        <v>0</v>
      </c>
      <c r="Y155" s="10">
        <f>SUMIFS('PLAN BUDGET SAMI-TF'!BK12:BK99999,'PLAN BUDGET SAMI-TF'!D12:D99999,SUMMARY!D155,'PLAN BUDGET SAMI-TF'!J12:J99999,SUMMARY!A155&amp;"*")</f>
        <v>0</v>
      </c>
      <c r="Z155" s="10">
        <f>SUMIFS('PLAN BUDGET SAMI-TF'!BL12:BL99999,'PLAN BUDGET SAMI-TF'!D12:D99999,SUMMARY!D155,'PLAN BUDGET SAMI-TF'!J12:J99999,SUMMARY!A155&amp;"*")</f>
        <v>0</v>
      </c>
      <c r="AA155" s="10">
        <f>SUMIFS('PLAN BUDGET SAMI-TF'!BM12:BM99999,'PLAN BUDGET SAMI-TF'!D12:D99999,SUMMARY!D155,'PLAN BUDGET SAMI-TF'!J12:J99999,SUMMARY!A155&amp;"*")</f>
        <v>0</v>
      </c>
      <c r="AB155" s="10">
        <f>SUMIFS('PLAN BUDGET SAMI-TF'!BN12:BN99999,'PLAN BUDGET SAMI-TF'!D12:D99999,SUMMARY!D155,'PLAN BUDGET SAMI-TF'!J12:J99999,SUMMARY!A155&amp;"*")</f>
        <v>0</v>
      </c>
      <c r="AC155" s="10">
        <f t="shared" si="16"/>
        <v>0</v>
      </c>
      <c r="AD155" s="10">
        <f t="shared" si="17"/>
        <v>0</v>
      </c>
      <c r="AE155" s="16"/>
      <c r="AF155" s="10">
        <v>280</v>
      </c>
      <c r="AG155" s="10">
        <v>35.960148367576998</v>
      </c>
      <c r="AH155" s="20">
        <f t="shared" si="18"/>
        <v>-1</v>
      </c>
      <c r="AI155" s="20">
        <f t="shared" si="19"/>
        <v>-1</v>
      </c>
      <c r="AJ155" s="7" t="s">
        <v>743</v>
      </c>
    </row>
    <row r="156" spans="1:36" x14ac:dyDescent="0.35">
      <c r="A156" s="7" t="s">
        <v>709</v>
      </c>
      <c r="B156" s="7"/>
      <c r="C156" s="7"/>
      <c r="D156" s="7" t="s">
        <v>782</v>
      </c>
      <c r="E156" s="10">
        <f>SUMIFS('PLAN BUDGET SAMI-TF'!AN12:AN99999,'PLAN BUDGET SAMI-TF'!D12:D99999,SUMMARY!D156,'PLAN BUDGET SAMI-TF'!J12:J99999,SUMMARY!A156&amp;"*")</f>
        <v>0</v>
      </c>
      <c r="F156" s="10">
        <f>SUMIFS('PLAN BUDGET SAMI-TF'!AO12:AO99999,'PLAN BUDGET SAMI-TF'!D12:D99999,SUMMARY!D156,'PLAN BUDGET SAMI-TF'!J12:J99999,SUMMARY!A156&amp;"*")</f>
        <v>0</v>
      </c>
      <c r="G156" s="10">
        <f>SUMIFS('PLAN BUDGET SAMI-TF'!AP12:AP99999,'PLAN BUDGET SAMI-TF'!D12:D99999,SUMMARY!D156,'PLAN BUDGET SAMI-TF'!J12:J99999,SUMMARY!A156&amp;"*")</f>
        <v>0</v>
      </c>
      <c r="H156" s="10">
        <f>SUMIFS('PLAN BUDGET SAMI-TF'!AQ12:AQ99999,'PLAN BUDGET SAMI-TF'!D12:D99999,SUMMARY!D156,'PLAN BUDGET SAMI-TF'!J12:J99999,SUMMARY!A156&amp;"*")</f>
        <v>0</v>
      </c>
      <c r="I156" s="10">
        <f>SUMIFS('PLAN BUDGET SAMI-TF'!AR12:AR99999,'PLAN BUDGET SAMI-TF'!D12:D99999,SUMMARY!D156,'PLAN BUDGET SAMI-TF'!J12:J99999,SUMMARY!A156&amp;"*")</f>
        <v>0</v>
      </c>
      <c r="J156" s="10">
        <f>SUMIFS('PLAN BUDGET SAMI-TF'!AS12:AS99999,'PLAN BUDGET SAMI-TF'!D12:D99999,SUMMARY!D156,'PLAN BUDGET SAMI-TF'!J12:J99999,SUMMARY!A156&amp;"*")</f>
        <v>0</v>
      </c>
      <c r="K156" s="10">
        <f>SUMIFS('PLAN BUDGET SAMI-TF'!AT12:AT99999,'PLAN BUDGET SAMI-TF'!D12:D99999,SUMMARY!D156,'PLAN BUDGET SAMI-TF'!J12:J99999,SUMMARY!A156&amp;"*")</f>
        <v>0</v>
      </c>
      <c r="L156" s="10">
        <f>SUMIFS('PLAN BUDGET SAMI-TF'!AU12:AU99999,'PLAN BUDGET SAMI-TF'!D12:D99999,SUMMARY!D156,'PLAN BUDGET SAMI-TF'!J12:J99999,SUMMARY!A156&amp;"*")</f>
        <v>0</v>
      </c>
      <c r="M156" s="10">
        <f>SUMIFS('PLAN BUDGET SAMI-TF'!AV12:AV99999,'PLAN BUDGET SAMI-TF'!D12:D99999,SUMMARY!D156,'PLAN BUDGET SAMI-TF'!J12:J99999,SUMMARY!A156&amp;"*")</f>
        <v>0</v>
      </c>
      <c r="N156" s="10">
        <f>SUMIFS('PLAN BUDGET SAMI-TF'!AW12:AW99999,'PLAN BUDGET SAMI-TF'!D12:D99999,SUMMARY!D156,'PLAN BUDGET SAMI-TF'!J12:J99999,SUMMARY!A156&amp;"*")</f>
        <v>0</v>
      </c>
      <c r="O156" s="10">
        <f>SUMIFS('PLAN BUDGET SAMI-TF'!AX12:AX99999,'PLAN BUDGET SAMI-TF'!D12:D99999,SUMMARY!D156,'PLAN BUDGET SAMI-TF'!J12:J99999,SUMMARY!A156&amp;"*")</f>
        <v>0</v>
      </c>
      <c r="P156" s="10">
        <f>SUMIFS('PLAN BUDGET SAMI-TF'!AY12:AY99999,'PLAN BUDGET SAMI-TF'!D12:D99999,SUMMARY!D156,'PLAN BUDGET SAMI-TF'!J12:J99999,SUMMARY!A156&amp;"*")</f>
        <v>0</v>
      </c>
      <c r="Q156" s="10">
        <f>SUMIFS('PLAN BUDGET SAMI-TF'!BC12:BC99999,'PLAN BUDGET SAMI-TF'!D12:D99999,SUMMARY!D156,'PLAN BUDGET SAMI-TF'!J12:J99999,SUMMARY!A156&amp;"*")</f>
        <v>0</v>
      </c>
      <c r="R156" s="10">
        <f>SUMIFS('PLAN BUDGET SAMI-TF'!BD12:BD99999,'PLAN BUDGET SAMI-TF'!D12:D99999,SUMMARY!D156,'PLAN BUDGET SAMI-TF'!J12:J99999,SUMMARY!A156&amp;"*")</f>
        <v>0</v>
      </c>
      <c r="S156" s="10">
        <f>SUMIFS('PLAN BUDGET SAMI-TF'!BE12:BE99999,'PLAN BUDGET SAMI-TF'!D12:D99999,SUMMARY!D156,'PLAN BUDGET SAMI-TF'!J12:J99999,SUMMARY!A156&amp;"*")</f>
        <v>0</v>
      </c>
      <c r="T156" s="10">
        <f>SUMIFS('PLAN BUDGET SAMI-TF'!BF12:BF99999,'PLAN BUDGET SAMI-TF'!D12:D99999,SUMMARY!D156,'PLAN BUDGET SAMI-TF'!J12:J99999,SUMMARY!A156&amp;"*")</f>
        <v>0</v>
      </c>
      <c r="U156" s="10">
        <f>SUMIFS('PLAN BUDGET SAMI-TF'!BG12:BG99999,'PLAN BUDGET SAMI-TF'!D12:D99999,SUMMARY!D156,'PLAN BUDGET SAMI-TF'!J12:J99999,SUMMARY!A156&amp;"*")</f>
        <v>0</v>
      </c>
      <c r="V156" s="10">
        <f>SUMIFS('PLAN BUDGET SAMI-TF'!BH12:BH99999,'PLAN BUDGET SAMI-TF'!D12:D99999,SUMMARY!D156,'PLAN BUDGET SAMI-TF'!J12:J99999,SUMMARY!A156&amp;"*")</f>
        <v>0</v>
      </c>
      <c r="W156" s="10">
        <f>SUMIFS('PLAN BUDGET SAMI-TF'!BI12:BI99999,'PLAN BUDGET SAMI-TF'!D12:D99999,SUMMARY!D156,'PLAN BUDGET SAMI-TF'!J12:J99999,SUMMARY!A156&amp;"*")</f>
        <v>0</v>
      </c>
      <c r="X156" s="10">
        <f>SUMIFS('PLAN BUDGET SAMI-TF'!BJ12:BJ99999,'PLAN BUDGET SAMI-TF'!D12:D99999,SUMMARY!D156,'PLAN BUDGET SAMI-TF'!J12:J99999,SUMMARY!A156&amp;"*")</f>
        <v>0</v>
      </c>
      <c r="Y156" s="10">
        <f>SUMIFS('PLAN BUDGET SAMI-TF'!BK12:BK99999,'PLAN BUDGET SAMI-TF'!D12:D99999,SUMMARY!D156,'PLAN BUDGET SAMI-TF'!J12:J99999,SUMMARY!A156&amp;"*")</f>
        <v>0</v>
      </c>
      <c r="Z156" s="10">
        <f>SUMIFS('PLAN BUDGET SAMI-TF'!BL12:BL99999,'PLAN BUDGET SAMI-TF'!D12:D99999,SUMMARY!D156,'PLAN BUDGET SAMI-TF'!J12:J99999,SUMMARY!A156&amp;"*")</f>
        <v>0</v>
      </c>
      <c r="AA156" s="10">
        <f>SUMIFS('PLAN BUDGET SAMI-TF'!BM12:BM99999,'PLAN BUDGET SAMI-TF'!D12:D99999,SUMMARY!D156,'PLAN BUDGET SAMI-TF'!J12:J99999,SUMMARY!A156&amp;"*")</f>
        <v>0</v>
      </c>
      <c r="AB156" s="10">
        <f>SUMIFS('PLAN BUDGET SAMI-TF'!BN12:BN99999,'PLAN BUDGET SAMI-TF'!D12:D99999,SUMMARY!D156,'PLAN BUDGET SAMI-TF'!J12:J99999,SUMMARY!A156&amp;"*")</f>
        <v>0</v>
      </c>
      <c r="AC156" s="10">
        <f t="shared" si="16"/>
        <v>0</v>
      </c>
      <c r="AD156" s="10">
        <f t="shared" si="17"/>
        <v>0</v>
      </c>
      <c r="AE156" s="16"/>
      <c r="AF156" s="10">
        <v>1</v>
      </c>
      <c r="AG156" s="10">
        <v>0.63296747813096998</v>
      </c>
      <c r="AH156" s="20">
        <f t="shared" si="18"/>
        <v>-1</v>
      </c>
      <c r="AI156" s="20">
        <f t="shared" si="19"/>
        <v>-1</v>
      </c>
      <c r="AJ156" s="7" t="s">
        <v>743</v>
      </c>
    </row>
    <row r="157" spans="1:36" x14ac:dyDescent="0.35">
      <c r="A157" s="7" t="s">
        <v>709</v>
      </c>
      <c r="B157" s="7"/>
      <c r="C157" s="7"/>
      <c r="D157" s="7" t="s">
        <v>783</v>
      </c>
      <c r="E157" s="10">
        <f>SUMIFS('PLAN BUDGET SAMI-TF'!AN12:AN99999,'PLAN BUDGET SAMI-TF'!D12:D99999,SUMMARY!D157,'PLAN BUDGET SAMI-TF'!J12:J99999,SUMMARY!A157&amp;"*")</f>
        <v>0</v>
      </c>
      <c r="F157" s="10">
        <f>SUMIFS('PLAN BUDGET SAMI-TF'!AO12:AO99999,'PLAN BUDGET SAMI-TF'!D12:D99999,SUMMARY!D157,'PLAN BUDGET SAMI-TF'!J12:J99999,SUMMARY!A157&amp;"*")</f>
        <v>0</v>
      </c>
      <c r="G157" s="10">
        <f>SUMIFS('PLAN BUDGET SAMI-TF'!AP12:AP99999,'PLAN BUDGET SAMI-TF'!D12:D99999,SUMMARY!D157,'PLAN BUDGET SAMI-TF'!J12:J99999,SUMMARY!A157&amp;"*")</f>
        <v>0</v>
      </c>
      <c r="H157" s="10">
        <f>SUMIFS('PLAN BUDGET SAMI-TF'!AQ12:AQ99999,'PLAN BUDGET SAMI-TF'!D12:D99999,SUMMARY!D157,'PLAN BUDGET SAMI-TF'!J12:J99999,SUMMARY!A157&amp;"*")</f>
        <v>0</v>
      </c>
      <c r="I157" s="10">
        <f>SUMIFS('PLAN BUDGET SAMI-TF'!AR12:AR99999,'PLAN BUDGET SAMI-TF'!D12:D99999,SUMMARY!D157,'PLAN BUDGET SAMI-TF'!J12:J99999,SUMMARY!A157&amp;"*")</f>
        <v>0</v>
      </c>
      <c r="J157" s="10">
        <f>SUMIFS('PLAN BUDGET SAMI-TF'!AS12:AS99999,'PLAN BUDGET SAMI-TF'!D12:D99999,SUMMARY!D157,'PLAN BUDGET SAMI-TF'!J12:J99999,SUMMARY!A157&amp;"*")</f>
        <v>0</v>
      </c>
      <c r="K157" s="10">
        <f>SUMIFS('PLAN BUDGET SAMI-TF'!AT12:AT99999,'PLAN BUDGET SAMI-TF'!D12:D99999,SUMMARY!D157,'PLAN BUDGET SAMI-TF'!J12:J99999,SUMMARY!A157&amp;"*")</f>
        <v>0</v>
      </c>
      <c r="L157" s="10">
        <f>SUMIFS('PLAN BUDGET SAMI-TF'!AU12:AU99999,'PLAN BUDGET SAMI-TF'!D12:D99999,SUMMARY!D157,'PLAN BUDGET SAMI-TF'!J12:J99999,SUMMARY!A157&amp;"*")</f>
        <v>0</v>
      </c>
      <c r="M157" s="10">
        <f>SUMIFS('PLAN BUDGET SAMI-TF'!AV12:AV99999,'PLAN BUDGET SAMI-TF'!D12:D99999,SUMMARY!D157,'PLAN BUDGET SAMI-TF'!J12:J99999,SUMMARY!A157&amp;"*")</f>
        <v>0</v>
      </c>
      <c r="N157" s="10">
        <f>SUMIFS('PLAN BUDGET SAMI-TF'!AW12:AW99999,'PLAN BUDGET SAMI-TF'!D12:D99999,SUMMARY!D157,'PLAN BUDGET SAMI-TF'!J12:J99999,SUMMARY!A157&amp;"*")</f>
        <v>0</v>
      </c>
      <c r="O157" s="10">
        <f>SUMIFS('PLAN BUDGET SAMI-TF'!AX12:AX99999,'PLAN BUDGET SAMI-TF'!D12:D99999,SUMMARY!D157,'PLAN BUDGET SAMI-TF'!J12:J99999,SUMMARY!A157&amp;"*")</f>
        <v>0</v>
      </c>
      <c r="P157" s="10">
        <f>SUMIFS('PLAN BUDGET SAMI-TF'!AY12:AY99999,'PLAN BUDGET SAMI-TF'!D12:D99999,SUMMARY!D157,'PLAN BUDGET SAMI-TF'!J12:J99999,SUMMARY!A157&amp;"*")</f>
        <v>0</v>
      </c>
      <c r="Q157" s="10">
        <f>SUMIFS('PLAN BUDGET SAMI-TF'!BC12:BC99999,'PLAN BUDGET SAMI-TF'!D12:D99999,SUMMARY!D157,'PLAN BUDGET SAMI-TF'!J12:J99999,SUMMARY!A157&amp;"*")</f>
        <v>0</v>
      </c>
      <c r="R157" s="10">
        <f>SUMIFS('PLAN BUDGET SAMI-TF'!BD12:BD99999,'PLAN BUDGET SAMI-TF'!D12:D99999,SUMMARY!D157,'PLAN BUDGET SAMI-TF'!J12:J99999,SUMMARY!A157&amp;"*")</f>
        <v>0</v>
      </c>
      <c r="S157" s="10">
        <f>SUMIFS('PLAN BUDGET SAMI-TF'!BE12:BE99999,'PLAN BUDGET SAMI-TF'!D12:D99999,SUMMARY!D157,'PLAN BUDGET SAMI-TF'!J12:J99999,SUMMARY!A157&amp;"*")</f>
        <v>0</v>
      </c>
      <c r="T157" s="10">
        <f>SUMIFS('PLAN BUDGET SAMI-TF'!BF12:BF99999,'PLAN BUDGET SAMI-TF'!D12:D99999,SUMMARY!D157,'PLAN BUDGET SAMI-TF'!J12:J99999,SUMMARY!A157&amp;"*")</f>
        <v>0</v>
      </c>
      <c r="U157" s="10">
        <f>SUMIFS('PLAN BUDGET SAMI-TF'!BG12:BG99999,'PLAN BUDGET SAMI-TF'!D12:D99999,SUMMARY!D157,'PLAN BUDGET SAMI-TF'!J12:J99999,SUMMARY!A157&amp;"*")</f>
        <v>0</v>
      </c>
      <c r="V157" s="10">
        <f>SUMIFS('PLAN BUDGET SAMI-TF'!BH12:BH99999,'PLAN BUDGET SAMI-TF'!D12:D99999,SUMMARY!D157,'PLAN BUDGET SAMI-TF'!J12:J99999,SUMMARY!A157&amp;"*")</f>
        <v>0</v>
      </c>
      <c r="W157" s="10">
        <f>SUMIFS('PLAN BUDGET SAMI-TF'!BI12:BI99999,'PLAN BUDGET SAMI-TF'!D12:D99999,SUMMARY!D157,'PLAN BUDGET SAMI-TF'!J12:J99999,SUMMARY!A157&amp;"*")</f>
        <v>0</v>
      </c>
      <c r="X157" s="10">
        <f>SUMIFS('PLAN BUDGET SAMI-TF'!BJ12:BJ99999,'PLAN BUDGET SAMI-TF'!D12:D99999,SUMMARY!D157,'PLAN BUDGET SAMI-TF'!J12:J99999,SUMMARY!A157&amp;"*")</f>
        <v>0</v>
      </c>
      <c r="Y157" s="10">
        <f>SUMIFS('PLAN BUDGET SAMI-TF'!BK12:BK99999,'PLAN BUDGET SAMI-TF'!D12:D99999,SUMMARY!D157,'PLAN BUDGET SAMI-TF'!J12:J99999,SUMMARY!A157&amp;"*")</f>
        <v>0</v>
      </c>
      <c r="Z157" s="10">
        <f>SUMIFS('PLAN BUDGET SAMI-TF'!BL12:BL99999,'PLAN BUDGET SAMI-TF'!D12:D99999,SUMMARY!D157,'PLAN BUDGET SAMI-TF'!J12:J99999,SUMMARY!A157&amp;"*")</f>
        <v>0</v>
      </c>
      <c r="AA157" s="10">
        <f>SUMIFS('PLAN BUDGET SAMI-TF'!BM12:BM99999,'PLAN BUDGET SAMI-TF'!D12:D99999,SUMMARY!D157,'PLAN BUDGET SAMI-TF'!J12:J99999,SUMMARY!A157&amp;"*")</f>
        <v>0</v>
      </c>
      <c r="AB157" s="10">
        <f>SUMIFS('PLAN BUDGET SAMI-TF'!BN12:BN99999,'PLAN BUDGET SAMI-TF'!D12:D99999,SUMMARY!D157,'PLAN BUDGET SAMI-TF'!J12:J99999,SUMMARY!A157&amp;"*")</f>
        <v>0</v>
      </c>
      <c r="AC157" s="10">
        <f t="shared" si="16"/>
        <v>0</v>
      </c>
      <c r="AD157" s="10">
        <f t="shared" si="17"/>
        <v>0</v>
      </c>
      <c r="AE157" s="16"/>
      <c r="AF157" s="10">
        <v>110</v>
      </c>
      <c r="AG157" s="10">
        <v>49.434760042028998</v>
      </c>
      <c r="AH157" s="20">
        <f t="shared" si="18"/>
        <v>-1</v>
      </c>
      <c r="AI157" s="20">
        <f t="shared" si="19"/>
        <v>-1</v>
      </c>
      <c r="AJ157" s="7" t="s">
        <v>743</v>
      </c>
    </row>
    <row r="158" spans="1:36" x14ac:dyDescent="0.35">
      <c r="A158" s="7" t="s">
        <v>709</v>
      </c>
      <c r="B158" s="7"/>
      <c r="C158" s="7"/>
      <c r="D158" s="7" t="s">
        <v>784</v>
      </c>
      <c r="E158" s="10">
        <f>SUMIFS('PLAN BUDGET SAMI-TF'!AN12:AN99999,'PLAN BUDGET SAMI-TF'!D12:D99999,SUMMARY!D158,'PLAN BUDGET SAMI-TF'!J12:J99999,SUMMARY!A158&amp;"*")</f>
        <v>0</v>
      </c>
      <c r="F158" s="10">
        <f>SUMIFS('PLAN BUDGET SAMI-TF'!AO12:AO99999,'PLAN BUDGET SAMI-TF'!D12:D99999,SUMMARY!D158,'PLAN BUDGET SAMI-TF'!J12:J99999,SUMMARY!A158&amp;"*")</f>
        <v>0</v>
      </c>
      <c r="G158" s="10">
        <f>SUMIFS('PLAN BUDGET SAMI-TF'!AP12:AP99999,'PLAN BUDGET SAMI-TF'!D12:D99999,SUMMARY!D158,'PLAN BUDGET SAMI-TF'!J12:J99999,SUMMARY!A158&amp;"*")</f>
        <v>0</v>
      </c>
      <c r="H158" s="10">
        <f>SUMIFS('PLAN BUDGET SAMI-TF'!AQ12:AQ99999,'PLAN BUDGET SAMI-TF'!D12:D99999,SUMMARY!D158,'PLAN BUDGET SAMI-TF'!J12:J99999,SUMMARY!A158&amp;"*")</f>
        <v>0</v>
      </c>
      <c r="I158" s="10">
        <f>SUMIFS('PLAN BUDGET SAMI-TF'!AR12:AR99999,'PLAN BUDGET SAMI-TF'!D12:D99999,SUMMARY!D158,'PLAN BUDGET SAMI-TF'!J12:J99999,SUMMARY!A158&amp;"*")</f>
        <v>0</v>
      </c>
      <c r="J158" s="10">
        <f>SUMIFS('PLAN BUDGET SAMI-TF'!AS12:AS99999,'PLAN BUDGET SAMI-TF'!D12:D99999,SUMMARY!D158,'PLAN BUDGET SAMI-TF'!J12:J99999,SUMMARY!A158&amp;"*")</f>
        <v>0</v>
      </c>
      <c r="K158" s="10">
        <f>SUMIFS('PLAN BUDGET SAMI-TF'!AT12:AT99999,'PLAN BUDGET SAMI-TF'!D12:D99999,SUMMARY!D158,'PLAN BUDGET SAMI-TF'!J12:J99999,SUMMARY!A158&amp;"*")</f>
        <v>0</v>
      </c>
      <c r="L158" s="10">
        <f>SUMIFS('PLAN BUDGET SAMI-TF'!AU12:AU99999,'PLAN BUDGET SAMI-TF'!D12:D99999,SUMMARY!D158,'PLAN BUDGET SAMI-TF'!J12:J99999,SUMMARY!A158&amp;"*")</f>
        <v>0</v>
      </c>
      <c r="M158" s="10">
        <f>SUMIFS('PLAN BUDGET SAMI-TF'!AV12:AV99999,'PLAN BUDGET SAMI-TF'!D12:D99999,SUMMARY!D158,'PLAN BUDGET SAMI-TF'!J12:J99999,SUMMARY!A158&amp;"*")</f>
        <v>0</v>
      </c>
      <c r="N158" s="10">
        <f>SUMIFS('PLAN BUDGET SAMI-TF'!AW12:AW99999,'PLAN BUDGET SAMI-TF'!D12:D99999,SUMMARY!D158,'PLAN BUDGET SAMI-TF'!J12:J99999,SUMMARY!A158&amp;"*")</f>
        <v>0</v>
      </c>
      <c r="O158" s="10">
        <f>SUMIFS('PLAN BUDGET SAMI-TF'!AX12:AX99999,'PLAN BUDGET SAMI-TF'!D12:D99999,SUMMARY!D158,'PLAN BUDGET SAMI-TF'!J12:J99999,SUMMARY!A158&amp;"*")</f>
        <v>0</v>
      </c>
      <c r="P158" s="10">
        <f>SUMIFS('PLAN BUDGET SAMI-TF'!AY12:AY99999,'PLAN BUDGET SAMI-TF'!D12:D99999,SUMMARY!D158,'PLAN BUDGET SAMI-TF'!J12:J99999,SUMMARY!A158&amp;"*")</f>
        <v>0</v>
      </c>
      <c r="Q158" s="10">
        <f>SUMIFS('PLAN BUDGET SAMI-TF'!BC12:BC99999,'PLAN BUDGET SAMI-TF'!D12:D99999,SUMMARY!D158,'PLAN BUDGET SAMI-TF'!J12:J99999,SUMMARY!A158&amp;"*")</f>
        <v>0</v>
      </c>
      <c r="R158" s="10">
        <f>SUMIFS('PLAN BUDGET SAMI-TF'!BD12:BD99999,'PLAN BUDGET SAMI-TF'!D12:D99999,SUMMARY!D158,'PLAN BUDGET SAMI-TF'!J12:J99999,SUMMARY!A158&amp;"*")</f>
        <v>0</v>
      </c>
      <c r="S158" s="10">
        <f>SUMIFS('PLAN BUDGET SAMI-TF'!BE12:BE99999,'PLAN BUDGET SAMI-TF'!D12:D99999,SUMMARY!D158,'PLAN BUDGET SAMI-TF'!J12:J99999,SUMMARY!A158&amp;"*")</f>
        <v>0</v>
      </c>
      <c r="T158" s="10">
        <f>SUMIFS('PLAN BUDGET SAMI-TF'!BF12:BF99999,'PLAN BUDGET SAMI-TF'!D12:D99999,SUMMARY!D158,'PLAN BUDGET SAMI-TF'!J12:J99999,SUMMARY!A158&amp;"*")</f>
        <v>0</v>
      </c>
      <c r="U158" s="10">
        <f>SUMIFS('PLAN BUDGET SAMI-TF'!BG12:BG99999,'PLAN BUDGET SAMI-TF'!D12:D99999,SUMMARY!D158,'PLAN BUDGET SAMI-TF'!J12:J99999,SUMMARY!A158&amp;"*")</f>
        <v>0</v>
      </c>
      <c r="V158" s="10">
        <f>SUMIFS('PLAN BUDGET SAMI-TF'!BH12:BH99999,'PLAN BUDGET SAMI-TF'!D12:D99999,SUMMARY!D158,'PLAN BUDGET SAMI-TF'!J12:J99999,SUMMARY!A158&amp;"*")</f>
        <v>0</v>
      </c>
      <c r="W158" s="10">
        <f>SUMIFS('PLAN BUDGET SAMI-TF'!BI12:BI99999,'PLAN BUDGET SAMI-TF'!D12:D99999,SUMMARY!D158,'PLAN BUDGET SAMI-TF'!J12:J99999,SUMMARY!A158&amp;"*")</f>
        <v>0</v>
      </c>
      <c r="X158" s="10">
        <f>SUMIFS('PLAN BUDGET SAMI-TF'!BJ12:BJ99999,'PLAN BUDGET SAMI-TF'!D12:D99999,SUMMARY!D158,'PLAN BUDGET SAMI-TF'!J12:J99999,SUMMARY!A158&amp;"*")</f>
        <v>0</v>
      </c>
      <c r="Y158" s="10">
        <f>SUMIFS('PLAN BUDGET SAMI-TF'!BK12:BK99999,'PLAN BUDGET SAMI-TF'!D12:D99999,SUMMARY!D158,'PLAN BUDGET SAMI-TF'!J12:J99999,SUMMARY!A158&amp;"*")</f>
        <v>0</v>
      </c>
      <c r="Z158" s="10">
        <f>SUMIFS('PLAN BUDGET SAMI-TF'!BL12:BL99999,'PLAN BUDGET SAMI-TF'!D12:D99999,SUMMARY!D158,'PLAN BUDGET SAMI-TF'!J12:J99999,SUMMARY!A158&amp;"*")</f>
        <v>0</v>
      </c>
      <c r="AA158" s="10">
        <f>SUMIFS('PLAN BUDGET SAMI-TF'!BM12:BM99999,'PLAN BUDGET SAMI-TF'!D12:D99999,SUMMARY!D158,'PLAN BUDGET SAMI-TF'!J12:J99999,SUMMARY!A158&amp;"*")</f>
        <v>0</v>
      </c>
      <c r="AB158" s="10">
        <f>SUMIFS('PLAN BUDGET SAMI-TF'!BN12:BN99999,'PLAN BUDGET SAMI-TF'!D12:D99999,SUMMARY!D158,'PLAN BUDGET SAMI-TF'!J12:J99999,SUMMARY!A158&amp;"*")</f>
        <v>0</v>
      </c>
      <c r="AC158" s="10">
        <f t="shared" si="16"/>
        <v>0</v>
      </c>
      <c r="AD158" s="10">
        <f t="shared" si="17"/>
        <v>0</v>
      </c>
      <c r="AE158" s="16"/>
      <c r="AF158" s="10">
        <v>5</v>
      </c>
      <c r="AG158" s="10">
        <v>1021.9</v>
      </c>
      <c r="AH158" s="20">
        <f t="shared" si="18"/>
        <v>-1</v>
      </c>
      <c r="AI158" s="20">
        <f t="shared" si="19"/>
        <v>-1</v>
      </c>
      <c r="AJ158" s="7" t="s">
        <v>743</v>
      </c>
    </row>
    <row r="159" spans="1:36" x14ac:dyDescent="0.35">
      <c r="A159" s="7" t="s">
        <v>709</v>
      </c>
      <c r="B159" s="7"/>
      <c r="C159" s="7"/>
      <c r="D159" s="7" t="s">
        <v>785</v>
      </c>
      <c r="E159" s="10">
        <f>SUMIFS('PLAN BUDGET SAMI-TF'!AN12:AN99999,'PLAN BUDGET SAMI-TF'!D12:D99999,SUMMARY!D159,'PLAN BUDGET SAMI-TF'!J12:J99999,SUMMARY!A159&amp;"*")</f>
        <v>0</v>
      </c>
      <c r="F159" s="10">
        <f>SUMIFS('PLAN BUDGET SAMI-TF'!AO12:AO99999,'PLAN BUDGET SAMI-TF'!D12:D99999,SUMMARY!D159,'PLAN BUDGET SAMI-TF'!J12:J99999,SUMMARY!A159&amp;"*")</f>
        <v>0</v>
      </c>
      <c r="G159" s="10">
        <f>SUMIFS('PLAN BUDGET SAMI-TF'!AP12:AP99999,'PLAN BUDGET SAMI-TF'!D12:D99999,SUMMARY!D159,'PLAN BUDGET SAMI-TF'!J12:J99999,SUMMARY!A159&amp;"*")</f>
        <v>0</v>
      </c>
      <c r="H159" s="10">
        <f>SUMIFS('PLAN BUDGET SAMI-TF'!AQ12:AQ99999,'PLAN BUDGET SAMI-TF'!D12:D99999,SUMMARY!D159,'PLAN BUDGET SAMI-TF'!J12:J99999,SUMMARY!A159&amp;"*")</f>
        <v>0</v>
      </c>
      <c r="I159" s="10">
        <f>SUMIFS('PLAN BUDGET SAMI-TF'!AR12:AR99999,'PLAN BUDGET SAMI-TF'!D12:D99999,SUMMARY!D159,'PLAN BUDGET SAMI-TF'!J12:J99999,SUMMARY!A159&amp;"*")</f>
        <v>0</v>
      </c>
      <c r="J159" s="10">
        <f>SUMIFS('PLAN BUDGET SAMI-TF'!AS12:AS99999,'PLAN BUDGET SAMI-TF'!D12:D99999,SUMMARY!D159,'PLAN BUDGET SAMI-TF'!J12:J99999,SUMMARY!A159&amp;"*")</f>
        <v>0</v>
      </c>
      <c r="K159" s="10">
        <f>SUMIFS('PLAN BUDGET SAMI-TF'!AT12:AT99999,'PLAN BUDGET SAMI-TF'!D12:D99999,SUMMARY!D159,'PLAN BUDGET SAMI-TF'!J12:J99999,SUMMARY!A159&amp;"*")</f>
        <v>0</v>
      </c>
      <c r="L159" s="10">
        <f>SUMIFS('PLAN BUDGET SAMI-TF'!AU12:AU99999,'PLAN BUDGET SAMI-TF'!D12:D99999,SUMMARY!D159,'PLAN BUDGET SAMI-TF'!J12:J99999,SUMMARY!A159&amp;"*")</f>
        <v>0</v>
      </c>
      <c r="M159" s="10">
        <f>SUMIFS('PLAN BUDGET SAMI-TF'!AV12:AV99999,'PLAN BUDGET SAMI-TF'!D12:D99999,SUMMARY!D159,'PLAN BUDGET SAMI-TF'!J12:J99999,SUMMARY!A159&amp;"*")</f>
        <v>0</v>
      </c>
      <c r="N159" s="10">
        <f>SUMIFS('PLAN BUDGET SAMI-TF'!AW12:AW99999,'PLAN BUDGET SAMI-TF'!D12:D99999,SUMMARY!D159,'PLAN BUDGET SAMI-TF'!J12:J99999,SUMMARY!A159&amp;"*")</f>
        <v>0</v>
      </c>
      <c r="O159" s="10">
        <f>SUMIFS('PLAN BUDGET SAMI-TF'!AX12:AX99999,'PLAN BUDGET SAMI-TF'!D12:D99999,SUMMARY!D159,'PLAN BUDGET SAMI-TF'!J12:J99999,SUMMARY!A159&amp;"*")</f>
        <v>0</v>
      </c>
      <c r="P159" s="10">
        <f>SUMIFS('PLAN BUDGET SAMI-TF'!AY12:AY99999,'PLAN BUDGET SAMI-TF'!D12:D99999,SUMMARY!D159,'PLAN BUDGET SAMI-TF'!J12:J99999,SUMMARY!A159&amp;"*")</f>
        <v>0</v>
      </c>
      <c r="Q159" s="10">
        <f>SUMIFS('PLAN BUDGET SAMI-TF'!BC12:BC99999,'PLAN BUDGET SAMI-TF'!D12:D99999,SUMMARY!D159,'PLAN BUDGET SAMI-TF'!J12:J99999,SUMMARY!A159&amp;"*")</f>
        <v>0</v>
      </c>
      <c r="R159" s="10">
        <f>SUMIFS('PLAN BUDGET SAMI-TF'!BD12:BD99999,'PLAN BUDGET SAMI-TF'!D12:D99999,SUMMARY!D159,'PLAN BUDGET SAMI-TF'!J12:J99999,SUMMARY!A159&amp;"*")</f>
        <v>0</v>
      </c>
      <c r="S159" s="10">
        <f>SUMIFS('PLAN BUDGET SAMI-TF'!BE12:BE99999,'PLAN BUDGET SAMI-TF'!D12:D99999,SUMMARY!D159,'PLAN BUDGET SAMI-TF'!J12:J99999,SUMMARY!A159&amp;"*")</f>
        <v>0</v>
      </c>
      <c r="T159" s="10">
        <f>SUMIFS('PLAN BUDGET SAMI-TF'!BF12:BF99999,'PLAN BUDGET SAMI-TF'!D12:D99999,SUMMARY!D159,'PLAN BUDGET SAMI-TF'!J12:J99999,SUMMARY!A159&amp;"*")</f>
        <v>0</v>
      </c>
      <c r="U159" s="10">
        <f>SUMIFS('PLAN BUDGET SAMI-TF'!BG12:BG99999,'PLAN BUDGET SAMI-TF'!D12:D99999,SUMMARY!D159,'PLAN BUDGET SAMI-TF'!J12:J99999,SUMMARY!A159&amp;"*")</f>
        <v>0</v>
      </c>
      <c r="V159" s="10">
        <f>SUMIFS('PLAN BUDGET SAMI-TF'!BH12:BH99999,'PLAN BUDGET SAMI-TF'!D12:D99999,SUMMARY!D159,'PLAN BUDGET SAMI-TF'!J12:J99999,SUMMARY!A159&amp;"*")</f>
        <v>0</v>
      </c>
      <c r="W159" s="10">
        <f>SUMIFS('PLAN BUDGET SAMI-TF'!BI12:BI99999,'PLAN BUDGET SAMI-TF'!D12:D99999,SUMMARY!D159,'PLAN BUDGET SAMI-TF'!J12:J99999,SUMMARY!A159&amp;"*")</f>
        <v>0</v>
      </c>
      <c r="X159" s="10">
        <f>SUMIFS('PLAN BUDGET SAMI-TF'!BJ12:BJ99999,'PLAN BUDGET SAMI-TF'!D12:D99999,SUMMARY!D159,'PLAN BUDGET SAMI-TF'!J12:J99999,SUMMARY!A159&amp;"*")</f>
        <v>0</v>
      </c>
      <c r="Y159" s="10">
        <f>SUMIFS('PLAN BUDGET SAMI-TF'!BK12:BK99999,'PLAN BUDGET SAMI-TF'!D12:D99999,SUMMARY!D159,'PLAN BUDGET SAMI-TF'!J12:J99999,SUMMARY!A159&amp;"*")</f>
        <v>0</v>
      </c>
      <c r="Z159" s="10">
        <f>SUMIFS('PLAN BUDGET SAMI-TF'!BL12:BL99999,'PLAN BUDGET SAMI-TF'!D12:D99999,SUMMARY!D159,'PLAN BUDGET SAMI-TF'!J12:J99999,SUMMARY!A159&amp;"*")</f>
        <v>0</v>
      </c>
      <c r="AA159" s="10">
        <f>SUMIFS('PLAN BUDGET SAMI-TF'!BM12:BM99999,'PLAN BUDGET SAMI-TF'!D12:D99999,SUMMARY!D159,'PLAN BUDGET SAMI-TF'!J12:J99999,SUMMARY!A159&amp;"*")</f>
        <v>0</v>
      </c>
      <c r="AB159" s="10">
        <f>SUMIFS('PLAN BUDGET SAMI-TF'!BN12:BN99999,'PLAN BUDGET SAMI-TF'!D12:D99999,SUMMARY!D159,'PLAN BUDGET SAMI-TF'!J12:J99999,SUMMARY!A159&amp;"*")</f>
        <v>0</v>
      </c>
      <c r="AC159" s="10">
        <f t="shared" si="16"/>
        <v>0</v>
      </c>
      <c r="AD159" s="10">
        <f t="shared" si="17"/>
        <v>0</v>
      </c>
      <c r="AE159" s="16"/>
      <c r="AF159" s="10">
        <v>1</v>
      </c>
      <c r="AG159" s="10">
        <v>60.131910422441997</v>
      </c>
      <c r="AH159" s="20">
        <f t="shared" si="18"/>
        <v>-1</v>
      </c>
      <c r="AI159" s="20">
        <f t="shared" si="19"/>
        <v>-1</v>
      </c>
      <c r="AJ159" s="7" t="s">
        <v>743</v>
      </c>
    </row>
    <row r="160" spans="1:36" x14ac:dyDescent="0.35">
      <c r="A160" s="7" t="s">
        <v>709</v>
      </c>
      <c r="B160" s="7"/>
      <c r="C160" s="7"/>
      <c r="D160" s="7" t="s">
        <v>786</v>
      </c>
      <c r="E160" s="10">
        <f>SUMIFS('PLAN BUDGET SAMI-TF'!AN12:AN99999,'PLAN BUDGET SAMI-TF'!D12:D99999,SUMMARY!D160,'PLAN BUDGET SAMI-TF'!J12:J99999,SUMMARY!A160&amp;"*")</f>
        <v>0</v>
      </c>
      <c r="F160" s="10">
        <f>SUMIFS('PLAN BUDGET SAMI-TF'!AO12:AO99999,'PLAN BUDGET SAMI-TF'!D12:D99999,SUMMARY!D160,'PLAN BUDGET SAMI-TF'!J12:J99999,SUMMARY!A160&amp;"*")</f>
        <v>0</v>
      </c>
      <c r="G160" s="10">
        <f>SUMIFS('PLAN BUDGET SAMI-TF'!AP12:AP99999,'PLAN BUDGET SAMI-TF'!D12:D99999,SUMMARY!D160,'PLAN BUDGET SAMI-TF'!J12:J99999,SUMMARY!A160&amp;"*")</f>
        <v>0</v>
      </c>
      <c r="H160" s="10">
        <f>SUMIFS('PLAN BUDGET SAMI-TF'!AQ12:AQ99999,'PLAN BUDGET SAMI-TF'!D12:D99999,SUMMARY!D160,'PLAN BUDGET SAMI-TF'!J12:J99999,SUMMARY!A160&amp;"*")</f>
        <v>0</v>
      </c>
      <c r="I160" s="10">
        <f>SUMIFS('PLAN BUDGET SAMI-TF'!AR12:AR99999,'PLAN BUDGET SAMI-TF'!D12:D99999,SUMMARY!D160,'PLAN BUDGET SAMI-TF'!J12:J99999,SUMMARY!A160&amp;"*")</f>
        <v>0</v>
      </c>
      <c r="J160" s="10">
        <f>SUMIFS('PLAN BUDGET SAMI-TF'!AS12:AS99999,'PLAN BUDGET SAMI-TF'!D12:D99999,SUMMARY!D160,'PLAN BUDGET SAMI-TF'!J12:J99999,SUMMARY!A160&amp;"*")</f>
        <v>0</v>
      </c>
      <c r="K160" s="10">
        <f>SUMIFS('PLAN BUDGET SAMI-TF'!AT12:AT99999,'PLAN BUDGET SAMI-TF'!D12:D99999,SUMMARY!D160,'PLAN BUDGET SAMI-TF'!J12:J99999,SUMMARY!A160&amp;"*")</f>
        <v>0</v>
      </c>
      <c r="L160" s="10">
        <f>SUMIFS('PLAN BUDGET SAMI-TF'!AU12:AU99999,'PLAN BUDGET SAMI-TF'!D12:D99999,SUMMARY!D160,'PLAN BUDGET SAMI-TF'!J12:J99999,SUMMARY!A160&amp;"*")</f>
        <v>0</v>
      </c>
      <c r="M160" s="10">
        <f>SUMIFS('PLAN BUDGET SAMI-TF'!AV12:AV99999,'PLAN BUDGET SAMI-TF'!D12:D99999,SUMMARY!D160,'PLAN BUDGET SAMI-TF'!J12:J99999,SUMMARY!A160&amp;"*")</f>
        <v>0</v>
      </c>
      <c r="N160" s="10">
        <f>SUMIFS('PLAN BUDGET SAMI-TF'!AW12:AW99999,'PLAN BUDGET SAMI-TF'!D12:D99999,SUMMARY!D160,'PLAN BUDGET SAMI-TF'!J12:J99999,SUMMARY!A160&amp;"*")</f>
        <v>0</v>
      </c>
      <c r="O160" s="10">
        <f>SUMIFS('PLAN BUDGET SAMI-TF'!AX12:AX99999,'PLAN BUDGET SAMI-TF'!D12:D99999,SUMMARY!D160,'PLAN BUDGET SAMI-TF'!J12:J99999,SUMMARY!A160&amp;"*")</f>
        <v>0</v>
      </c>
      <c r="P160" s="10">
        <f>SUMIFS('PLAN BUDGET SAMI-TF'!AY12:AY99999,'PLAN BUDGET SAMI-TF'!D12:D99999,SUMMARY!D160,'PLAN BUDGET SAMI-TF'!J12:J99999,SUMMARY!A160&amp;"*")</f>
        <v>0</v>
      </c>
      <c r="Q160" s="10">
        <f>SUMIFS('PLAN BUDGET SAMI-TF'!BC12:BC99999,'PLAN BUDGET SAMI-TF'!D12:D99999,SUMMARY!D160,'PLAN BUDGET SAMI-TF'!J12:J99999,SUMMARY!A160&amp;"*")</f>
        <v>0</v>
      </c>
      <c r="R160" s="10">
        <f>SUMIFS('PLAN BUDGET SAMI-TF'!BD12:BD99999,'PLAN BUDGET SAMI-TF'!D12:D99999,SUMMARY!D160,'PLAN BUDGET SAMI-TF'!J12:J99999,SUMMARY!A160&amp;"*")</f>
        <v>0</v>
      </c>
      <c r="S160" s="10">
        <f>SUMIFS('PLAN BUDGET SAMI-TF'!BE12:BE99999,'PLAN BUDGET SAMI-TF'!D12:D99999,SUMMARY!D160,'PLAN BUDGET SAMI-TF'!J12:J99999,SUMMARY!A160&amp;"*")</f>
        <v>0</v>
      </c>
      <c r="T160" s="10">
        <f>SUMIFS('PLAN BUDGET SAMI-TF'!BF12:BF99999,'PLAN BUDGET SAMI-TF'!D12:D99999,SUMMARY!D160,'PLAN BUDGET SAMI-TF'!J12:J99999,SUMMARY!A160&amp;"*")</f>
        <v>0</v>
      </c>
      <c r="U160" s="10">
        <f>SUMIFS('PLAN BUDGET SAMI-TF'!BG12:BG99999,'PLAN BUDGET SAMI-TF'!D12:D99999,SUMMARY!D160,'PLAN BUDGET SAMI-TF'!J12:J99999,SUMMARY!A160&amp;"*")</f>
        <v>0</v>
      </c>
      <c r="V160" s="10">
        <f>SUMIFS('PLAN BUDGET SAMI-TF'!BH12:BH99999,'PLAN BUDGET SAMI-TF'!D12:D99999,SUMMARY!D160,'PLAN BUDGET SAMI-TF'!J12:J99999,SUMMARY!A160&amp;"*")</f>
        <v>0</v>
      </c>
      <c r="W160" s="10">
        <f>SUMIFS('PLAN BUDGET SAMI-TF'!BI12:BI99999,'PLAN BUDGET SAMI-TF'!D12:D99999,SUMMARY!D160,'PLAN BUDGET SAMI-TF'!J12:J99999,SUMMARY!A160&amp;"*")</f>
        <v>0</v>
      </c>
      <c r="X160" s="10">
        <f>SUMIFS('PLAN BUDGET SAMI-TF'!BJ12:BJ99999,'PLAN BUDGET SAMI-TF'!D12:D99999,SUMMARY!D160,'PLAN BUDGET SAMI-TF'!J12:J99999,SUMMARY!A160&amp;"*")</f>
        <v>0</v>
      </c>
      <c r="Y160" s="10">
        <f>SUMIFS('PLAN BUDGET SAMI-TF'!BK12:BK99999,'PLAN BUDGET SAMI-TF'!D12:D99999,SUMMARY!D160,'PLAN BUDGET SAMI-TF'!J12:J99999,SUMMARY!A160&amp;"*")</f>
        <v>0</v>
      </c>
      <c r="Z160" s="10">
        <f>SUMIFS('PLAN BUDGET SAMI-TF'!BL12:BL99999,'PLAN BUDGET SAMI-TF'!D12:D99999,SUMMARY!D160,'PLAN BUDGET SAMI-TF'!J12:J99999,SUMMARY!A160&amp;"*")</f>
        <v>0</v>
      </c>
      <c r="AA160" s="10">
        <f>SUMIFS('PLAN BUDGET SAMI-TF'!BM12:BM99999,'PLAN BUDGET SAMI-TF'!D12:D99999,SUMMARY!D160,'PLAN BUDGET SAMI-TF'!J12:J99999,SUMMARY!A160&amp;"*")</f>
        <v>0</v>
      </c>
      <c r="AB160" s="10">
        <f>SUMIFS('PLAN BUDGET SAMI-TF'!BN12:BN99999,'PLAN BUDGET SAMI-TF'!D12:D99999,SUMMARY!D160,'PLAN BUDGET SAMI-TF'!J12:J99999,SUMMARY!A160&amp;"*")</f>
        <v>0</v>
      </c>
      <c r="AC160" s="10">
        <f t="shared" si="16"/>
        <v>0</v>
      </c>
      <c r="AD160" s="10">
        <f t="shared" si="17"/>
        <v>0</v>
      </c>
      <c r="AE160" s="16"/>
      <c r="AF160" s="10">
        <v>10</v>
      </c>
      <c r="AG160" s="10">
        <v>29.4</v>
      </c>
      <c r="AH160" s="20">
        <f t="shared" si="18"/>
        <v>-1</v>
      </c>
      <c r="AI160" s="20">
        <f t="shared" si="19"/>
        <v>-1</v>
      </c>
      <c r="AJ160" s="7" t="s">
        <v>743</v>
      </c>
    </row>
    <row r="161" spans="1:36" x14ac:dyDescent="0.35">
      <c r="A161" s="7" t="s">
        <v>709</v>
      </c>
      <c r="B161" s="7"/>
      <c r="C161" s="7"/>
      <c r="D161" s="7" t="s">
        <v>787</v>
      </c>
      <c r="E161" s="10">
        <f>SUMIFS('PLAN BUDGET SAMI-TF'!AN12:AN99999,'PLAN BUDGET SAMI-TF'!D12:D99999,SUMMARY!D161,'PLAN BUDGET SAMI-TF'!J12:J99999,SUMMARY!A161&amp;"*")</f>
        <v>0</v>
      </c>
      <c r="F161" s="10">
        <f>SUMIFS('PLAN BUDGET SAMI-TF'!AO12:AO99999,'PLAN BUDGET SAMI-TF'!D12:D99999,SUMMARY!D161,'PLAN BUDGET SAMI-TF'!J12:J99999,SUMMARY!A161&amp;"*")</f>
        <v>0</v>
      </c>
      <c r="G161" s="10">
        <f>SUMIFS('PLAN BUDGET SAMI-TF'!AP12:AP99999,'PLAN BUDGET SAMI-TF'!D12:D99999,SUMMARY!D161,'PLAN BUDGET SAMI-TF'!J12:J99999,SUMMARY!A161&amp;"*")</f>
        <v>0</v>
      </c>
      <c r="H161" s="10">
        <f>SUMIFS('PLAN BUDGET SAMI-TF'!AQ12:AQ99999,'PLAN BUDGET SAMI-TF'!D12:D99999,SUMMARY!D161,'PLAN BUDGET SAMI-TF'!J12:J99999,SUMMARY!A161&amp;"*")</f>
        <v>0</v>
      </c>
      <c r="I161" s="10">
        <f>SUMIFS('PLAN BUDGET SAMI-TF'!AR12:AR99999,'PLAN BUDGET SAMI-TF'!D12:D99999,SUMMARY!D161,'PLAN BUDGET SAMI-TF'!J12:J99999,SUMMARY!A161&amp;"*")</f>
        <v>0</v>
      </c>
      <c r="J161" s="10">
        <f>SUMIFS('PLAN BUDGET SAMI-TF'!AS12:AS99999,'PLAN BUDGET SAMI-TF'!D12:D99999,SUMMARY!D161,'PLAN BUDGET SAMI-TF'!J12:J99999,SUMMARY!A161&amp;"*")</f>
        <v>0</v>
      </c>
      <c r="K161" s="10">
        <f>SUMIFS('PLAN BUDGET SAMI-TF'!AT12:AT99999,'PLAN BUDGET SAMI-TF'!D12:D99999,SUMMARY!D161,'PLAN BUDGET SAMI-TF'!J12:J99999,SUMMARY!A161&amp;"*")</f>
        <v>0</v>
      </c>
      <c r="L161" s="10">
        <f>SUMIFS('PLAN BUDGET SAMI-TF'!AU12:AU99999,'PLAN BUDGET SAMI-TF'!D12:D99999,SUMMARY!D161,'PLAN BUDGET SAMI-TF'!J12:J99999,SUMMARY!A161&amp;"*")</f>
        <v>0</v>
      </c>
      <c r="M161" s="10">
        <f>SUMIFS('PLAN BUDGET SAMI-TF'!AV12:AV99999,'PLAN BUDGET SAMI-TF'!D12:D99999,SUMMARY!D161,'PLAN BUDGET SAMI-TF'!J12:J99999,SUMMARY!A161&amp;"*")</f>
        <v>0</v>
      </c>
      <c r="N161" s="10">
        <f>SUMIFS('PLAN BUDGET SAMI-TF'!AW12:AW99999,'PLAN BUDGET SAMI-TF'!D12:D99999,SUMMARY!D161,'PLAN BUDGET SAMI-TF'!J12:J99999,SUMMARY!A161&amp;"*")</f>
        <v>0</v>
      </c>
      <c r="O161" s="10">
        <f>SUMIFS('PLAN BUDGET SAMI-TF'!AX12:AX99999,'PLAN BUDGET SAMI-TF'!D12:D99999,SUMMARY!D161,'PLAN BUDGET SAMI-TF'!J12:J99999,SUMMARY!A161&amp;"*")</f>
        <v>0</v>
      </c>
      <c r="P161" s="10">
        <f>SUMIFS('PLAN BUDGET SAMI-TF'!AY12:AY99999,'PLAN BUDGET SAMI-TF'!D12:D99999,SUMMARY!D161,'PLAN BUDGET SAMI-TF'!J12:J99999,SUMMARY!A161&amp;"*")</f>
        <v>0</v>
      </c>
      <c r="Q161" s="10">
        <f>SUMIFS('PLAN BUDGET SAMI-TF'!BC12:BC99999,'PLAN BUDGET SAMI-TF'!D12:D99999,SUMMARY!D161,'PLAN BUDGET SAMI-TF'!J12:J99999,SUMMARY!A161&amp;"*")</f>
        <v>0</v>
      </c>
      <c r="R161" s="10">
        <f>SUMIFS('PLAN BUDGET SAMI-TF'!BD12:BD99999,'PLAN BUDGET SAMI-TF'!D12:D99999,SUMMARY!D161,'PLAN BUDGET SAMI-TF'!J12:J99999,SUMMARY!A161&amp;"*")</f>
        <v>0</v>
      </c>
      <c r="S161" s="10">
        <f>SUMIFS('PLAN BUDGET SAMI-TF'!BE12:BE99999,'PLAN BUDGET SAMI-TF'!D12:D99999,SUMMARY!D161,'PLAN BUDGET SAMI-TF'!J12:J99999,SUMMARY!A161&amp;"*")</f>
        <v>0</v>
      </c>
      <c r="T161" s="10">
        <f>SUMIFS('PLAN BUDGET SAMI-TF'!BF12:BF99999,'PLAN BUDGET SAMI-TF'!D12:D99999,SUMMARY!D161,'PLAN BUDGET SAMI-TF'!J12:J99999,SUMMARY!A161&amp;"*")</f>
        <v>0</v>
      </c>
      <c r="U161" s="10">
        <f>SUMIFS('PLAN BUDGET SAMI-TF'!BG12:BG99999,'PLAN BUDGET SAMI-TF'!D12:D99999,SUMMARY!D161,'PLAN BUDGET SAMI-TF'!J12:J99999,SUMMARY!A161&amp;"*")</f>
        <v>0</v>
      </c>
      <c r="V161" s="10">
        <f>SUMIFS('PLAN BUDGET SAMI-TF'!BH12:BH99999,'PLAN BUDGET SAMI-TF'!D12:D99999,SUMMARY!D161,'PLAN BUDGET SAMI-TF'!J12:J99999,SUMMARY!A161&amp;"*")</f>
        <v>0</v>
      </c>
      <c r="W161" s="10">
        <f>SUMIFS('PLAN BUDGET SAMI-TF'!BI12:BI99999,'PLAN BUDGET SAMI-TF'!D12:D99999,SUMMARY!D161,'PLAN BUDGET SAMI-TF'!J12:J99999,SUMMARY!A161&amp;"*")</f>
        <v>0</v>
      </c>
      <c r="X161" s="10">
        <f>SUMIFS('PLAN BUDGET SAMI-TF'!BJ12:BJ99999,'PLAN BUDGET SAMI-TF'!D12:D99999,SUMMARY!D161,'PLAN BUDGET SAMI-TF'!J12:J99999,SUMMARY!A161&amp;"*")</f>
        <v>0</v>
      </c>
      <c r="Y161" s="10">
        <f>SUMIFS('PLAN BUDGET SAMI-TF'!BK12:BK99999,'PLAN BUDGET SAMI-TF'!D12:D99999,SUMMARY!D161,'PLAN BUDGET SAMI-TF'!J12:J99999,SUMMARY!A161&amp;"*")</f>
        <v>0</v>
      </c>
      <c r="Z161" s="10">
        <f>SUMIFS('PLAN BUDGET SAMI-TF'!BL12:BL99999,'PLAN BUDGET SAMI-TF'!D12:D99999,SUMMARY!D161,'PLAN BUDGET SAMI-TF'!J12:J99999,SUMMARY!A161&amp;"*")</f>
        <v>0</v>
      </c>
      <c r="AA161" s="10">
        <f>SUMIFS('PLAN BUDGET SAMI-TF'!BM12:BM99999,'PLAN BUDGET SAMI-TF'!D12:D99999,SUMMARY!D161,'PLAN BUDGET SAMI-TF'!J12:J99999,SUMMARY!A161&amp;"*")</f>
        <v>0</v>
      </c>
      <c r="AB161" s="10">
        <f>SUMIFS('PLAN BUDGET SAMI-TF'!BN12:BN99999,'PLAN BUDGET SAMI-TF'!D12:D99999,SUMMARY!D161,'PLAN BUDGET SAMI-TF'!J12:J99999,SUMMARY!A161&amp;"*")</f>
        <v>0</v>
      </c>
      <c r="AC161" s="10">
        <f t="shared" si="16"/>
        <v>0</v>
      </c>
      <c r="AD161" s="10">
        <f t="shared" si="17"/>
        <v>0</v>
      </c>
      <c r="AE161" s="16"/>
      <c r="AF161" s="10">
        <v>990</v>
      </c>
      <c r="AG161" s="10">
        <v>250.65512133986999</v>
      </c>
      <c r="AH161" s="20">
        <f t="shared" si="18"/>
        <v>-1</v>
      </c>
      <c r="AI161" s="20">
        <f t="shared" si="19"/>
        <v>-1</v>
      </c>
      <c r="AJ161" s="7" t="s">
        <v>743</v>
      </c>
    </row>
    <row r="162" spans="1:36" x14ac:dyDescent="0.35">
      <c r="A162" s="7" t="s">
        <v>709</v>
      </c>
      <c r="B162" s="7"/>
      <c r="C162" s="7"/>
      <c r="D162" s="7" t="s">
        <v>788</v>
      </c>
      <c r="E162" s="10">
        <f>SUMIFS('PLAN BUDGET SAMI-TF'!AN12:AN99999,'PLAN BUDGET SAMI-TF'!D12:D99999,SUMMARY!D162,'PLAN BUDGET SAMI-TF'!J12:J99999,SUMMARY!A162&amp;"*")</f>
        <v>0</v>
      </c>
      <c r="F162" s="10">
        <f>SUMIFS('PLAN BUDGET SAMI-TF'!AO12:AO99999,'PLAN BUDGET SAMI-TF'!D12:D99999,SUMMARY!D162,'PLAN BUDGET SAMI-TF'!J12:J99999,SUMMARY!A162&amp;"*")</f>
        <v>0</v>
      </c>
      <c r="G162" s="10">
        <f>SUMIFS('PLAN BUDGET SAMI-TF'!AP12:AP99999,'PLAN BUDGET SAMI-TF'!D12:D99999,SUMMARY!D162,'PLAN BUDGET SAMI-TF'!J12:J99999,SUMMARY!A162&amp;"*")</f>
        <v>0</v>
      </c>
      <c r="H162" s="10">
        <f>SUMIFS('PLAN BUDGET SAMI-TF'!AQ12:AQ99999,'PLAN BUDGET SAMI-TF'!D12:D99999,SUMMARY!D162,'PLAN BUDGET SAMI-TF'!J12:J99999,SUMMARY!A162&amp;"*")</f>
        <v>0</v>
      </c>
      <c r="I162" s="10">
        <f>SUMIFS('PLAN BUDGET SAMI-TF'!AR12:AR99999,'PLAN BUDGET SAMI-TF'!D12:D99999,SUMMARY!D162,'PLAN BUDGET SAMI-TF'!J12:J99999,SUMMARY!A162&amp;"*")</f>
        <v>0</v>
      </c>
      <c r="J162" s="10">
        <f>SUMIFS('PLAN BUDGET SAMI-TF'!AS12:AS99999,'PLAN BUDGET SAMI-TF'!D12:D99999,SUMMARY!D162,'PLAN BUDGET SAMI-TF'!J12:J99999,SUMMARY!A162&amp;"*")</f>
        <v>0</v>
      </c>
      <c r="K162" s="10">
        <f>SUMIFS('PLAN BUDGET SAMI-TF'!AT12:AT99999,'PLAN BUDGET SAMI-TF'!D12:D99999,SUMMARY!D162,'PLAN BUDGET SAMI-TF'!J12:J99999,SUMMARY!A162&amp;"*")</f>
        <v>0</v>
      </c>
      <c r="L162" s="10">
        <f>SUMIFS('PLAN BUDGET SAMI-TF'!AU12:AU99999,'PLAN BUDGET SAMI-TF'!D12:D99999,SUMMARY!D162,'PLAN BUDGET SAMI-TF'!J12:J99999,SUMMARY!A162&amp;"*")</f>
        <v>0</v>
      </c>
      <c r="M162" s="10">
        <f>SUMIFS('PLAN BUDGET SAMI-TF'!AV12:AV99999,'PLAN BUDGET SAMI-TF'!D12:D99999,SUMMARY!D162,'PLAN BUDGET SAMI-TF'!J12:J99999,SUMMARY!A162&amp;"*")</f>
        <v>0</v>
      </c>
      <c r="N162" s="10">
        <f>SUMIFS('PLAN BUDGET SAMI-TF'!AW12:AW99999,'PLAN BUDGET SAMI-TF'!D12:D99999,SUMMARY!D162,'PLAN BUDGET SAMI-TF'!J12:J99999,SUMMARY!A162&amp;"*")</f>
        <v>0</v>
      </c>
      <c r="O162" s="10">
        <f>SUMIFS('PLAN BUDGET SAMI-TF'!AX12:AX99999,'PLAN BUDGET SAMI-TF'!D12:D99999,SUMMARY!D162,'PLAN BUDGET SAMI-TF'!J12:J99999,SUMMARY!A162&amp;"*")</f>
        <v>0</v>
      </c>
      <c r="P162" s="10">
        <f>SUMIFS('PLAN BUDGET SAMI-TF'!AY12:AY99999,'PLAN BUDGET SAMI-TF'!D12:D99999,SUMMARY!D162,'PLAN BUDGET SAMI-TF'!J12:J99999,SUMMARY!A162&amp;"*")</f>
        <v>0</v>
      </c>
      <c r="Q162" s="10">
        <f>SUMIFS('PLAN BUDGET SAMI-TF'!BC12:BC99999,'PLAN BUDGET SAMI-TF'!D12:D99999,SUMMARY!D162,'PLAN BUDGET SAMI-TF'!J12:J99999,SUMMARY!A162&amp;"*")</f>
        <v>0</v>
      </c>
      <c r="R162" s="10">
        <f>SUMIFS('PLAN BUDGET SAMI-TF'!BD12:BD99999,'PLAN BUDGET SAMI-TF'!D12:D99999,SUMMARY!D162,'PLAN BUDGET SAMI-TF'!J12:J99999,SUMMARY!A162&amp;"*")</f>
        <v>0</v>
      </c>
      <c r="S162" s="10">
        <f>SUMIFS('PLAN BUDGET SAMI-TF'!BE12:BE99999,'PLAN BUDGET SAMI-TF'!D12:D99999,SUMMARY!D162,'PLAN BUDGET SAMI-TF'!J12:J99999,SUMMARY!A162&amp;"*")</f>
        <v>0</v>
      </c>
      <c r="T162" s="10">
        <f>SUMIFS('PLAN BUDGET SAMI-TF'!BF12:BF99999,'PLAN BUDGET SAMI-TF'!D12:D99999,SUMMARY!D162,'PLAN BUDGET SAMI-TF'!J12:J99999,SUMMARY!A162&amp;"*")</f>
        <v>0</v>
      </c>
      <c r="U162" s="10">
        <f>SUMIFS('PLAN BUDGET SAMI-TF'!BG12:BG99999,'PLAN BUDGET SAMI-TF'!D12:D99999,SUMMARY!D162,'PLAN BUDGET SAMI-TF'!J12:J99999,SUMMARY!A162&amp;"*")</f>
        <v>0</v>
      </c>
      <c r="V162" s="10">
        <f>SUMIFS('PLAN BUDGET SAMI-TF'!BH12:BH99999,'PLAN BUDGET SAMI-TF'!D12:D99999,SUMMARY!D162,'PLAN BUDGET SAMI-TF'!J12:J99999,SUMMARY!A162&amp;"*")</f>
        <v>0</v>
      </c>
      <c r="W162" s="10">
        <f>SUMIFS('PLAN BUDGET SAMI-TF'!BI12:BI99999,'PLAN BUDGET SAMI-TF'!D12:D99999,SUMMARY!D162,'PLAN BUDGET SAMI-TF'!J12:J99999,SUMMARY!A162&amp;"*")</f>
        <v>0</v>
      </c>
      <c r="X162" s="10">
        <f>SUMIFS('PLAN BUDGET SAMI-TF'!BJ12:BJ99999,'PLAN BUDGET SAMI-TF'!D12:D99999,SUMMARY!D162,'PLAN BUDGET SAMI-TF'!J12:J99999,SUMMARY!A162&amp;"*")</f>
        <v>0</v>
      </c>
      <c r="Y162" s="10">
        <f>SUMIFS('PLAN BUDGET SAMI-TF'!BK12:BK99999,'PLAN BUDGET SAMI-TF'!D12:D99999,SUMMARY!D162,'PLAN BUDGET SAMI-TF'!J12:J99999,SUMMARY!A162&amp;"*")</f>
        <v>0</v>
      </c>
      <c r="Z162" s="10">
        <f>SUMIFS('PLAN BUDGET SAMI-TF'!BL12:BL99999,'PLAN BUDGET SAMI-TF'!D12:D99999,SUMMARY!D162,'PLAN BUDGET SAMI-TF'!J12:J99999,SUMMARY!A162&amp;"*")</f>
        <v>0</v>
      </c>
      <c r="AA162" s="10">
        <f>SUMIFS('PLAN BUDGET SAMI-TF'!BM12:BM99999,'PLAN BUDGET SAMI-TF'!D12:D99999,SUMMARY!D162,'PLAN BUDGET SAMI-TF'!J12:J99999,SUMMARY!A162&amp;"*")</f>
        <v>0</v>
      </c>
      <c r="AB162" s="10">
        <f>SUMIFS('PLAN BUDGET SAMI-TF'!BN12:BN99999,'PLAN BUDGET SAMI-TF'!D12:D99999,SUMMARY!D162,'PLAN BUDGET SAMI-TF'!J12:J99999,SUMMARY!A162&amp;"*")</f>
        <v>0</v>
      </c>
      <c r="AC162" s="10">
        <f t="shared" si="16"/>
        <v>0</v>
      </c>
      <c r="AD162" s="10">
        <f t="shared" si="17"/>
        <v>0</v>
      </c>
      <c r="AE162" s="16"/>
      <c r="AF162" s="10">
        <v>1</v>
      </c>
      <c r="AG162" s="10">
        <v>1.5824186953274</v>
      </c>
      <c r="AH162" s="20">
        <f t="shared" si="18"/>
        <v>-1</v>
      </c>
      <c r="AI162" s="20">
        <f t="shared" si="19"/>
        <v>-1</v>
      </c>
      <c r="AJ162" s="7" t="s">
        <v>743</v>
      </c>
    </row>
    <row r="163" spans="1:36" x14ac:dyDescent="0.35">
      <c r="A163" s="7" t="s">
        <v>709</v>
      </c>
      <c r="B163" s="7"/>
      <c r="C163" s="7"/>
      <c r="D163" s="7" t="s">
        <v>789</v>
      </c>
      <c r="E163" s="10">
        <f>SUMIFS('PLAN BUDGET SAMI-TF'!AN12:AN99999,'PLAN BUDGET SAMI-TF'!D12:D99999,SUMMARY!D163,'PLAN BUDGET SAMI-TF'!J12:J99999,SUMMARY!A163&amp;"*")</f>
        <v>0</v>
      </c>
      <c r="F163" s="10">
        <f>SUMIFS('PLAN BUDGET SAMI-TF'!AO12:AO99999,'PLAN BUDGET SAMI-TF'!D12:D99999,SUMMARY!D163,'PLAN BUDGET SAMI-TF'!J12:J99999,SUMMARY!A163&amp;"*")</f>
        <v>0</v>
      </c>
      <c r="G163" s="10">
        <f>SUMIFS('PLAN BUDGET SAMI-TF'!AP12:AP99999,'PLAN BUDGET SAMI-TF'!D12:D99999,SUMMARY!D163,'PLAN BUDGET SAMI-TF'!J12:J99999,SUMMARY!A163&amp;"*")</f>
        <v>0</v>
      </c>
      <c r="H163" s="10">
        <f>SUMIFS('PLAN BUDGET SAMI-TF'!AQ12:AQ99999,'PLAN BUDGET SAMI-TF'!D12:D99999,SUMMARY!D163,'PLAN BUDGET SAMI-TF'!J12:J99999,SUMMARY!A163&amp;"*")</f>
        <v>0</v>
      </c>
      <c r="I163" s="10">
        <f>SUMIFS('PLAN BUDGET SAMI-TF'!AR12:AR99999,'PLAN BUDGET SAMI-TF'!D12:D99999,SUMMARY!D163,'PLAN BUDGET SAMI-TF'!J12:J99999,SUMMARY!A163&amp;"*")</f>
        <v>0</v>
      </c>
      <c r="J163" s="10">
        <f>SUMIFS('PLAN BUDGET SAMI-TF'!AS12:AS99999,'PLAN BUDGET SAMI-TF'!D12:D99999,SUMMARY!D163,'PLAN BUDGET SAMI-TF'!J12:J99999,SUMMARY!A163&amp;"*")</f>
        <v>0</v>
      </c>
      <c r="K163" s="10">
        <f>SUMIFS('PLAN BUDGET SAMI-TF'!AT12:AT99999,'PLAN BUDGET SAMI-TF'!D12:D99999,SUMMARY!D163,'PLAN BUDGET SAMI-TF'!J12:J99999,SUMMARY!A163&amp;"*")</f>
        <v>0</v>
      </c>
      <c r="L163" s="10">
        <f>SUMIFS('PLAN BUDGET SAMI-TF'!AU12:AU99999,'PLAN BUDGET SAMI-TF'!D12:D99999,SUMMARY!D163,'PLAN BUDGET SAMI-TF'!J12:J99999,SUMMARY!A163&amp;"*")</f>
        <v>0</v>
      </c>
      <c r="M163" s="10">
        <f>SUMIFS('PLAN BUDGET SAMI-TF'!AV12:AV99999,'PLAN BUDGET SAMI-TF'!D12:D99999,SUMMARY!D163,'PLAN BUDGET SAMI-TF'!J12:J99999,SUMMARY!A163&amp;"*")</f>
        <v>0</v>
      </c>
      <c r="N163" s="10">
        <f>SUMIFS('PLAN BUDGET SAMI-TF'!AW12:AW99999,'PLAN BUDGET SAMI-TF'!D12:D99999,SUMMARY!D163,'PLAN BUDGET SAMI-TF'!J12:J99999,SUMMARY!A163&amp;"*")</f>
        <v>0</v>
      </c>
      <c r="O163" s="10">
        <f>SUMIFS('PLAN BUDGET SAMI-TF'!AX12:AX99999,'PLAN BUDGET SAMI-TF'!D12:D99999,SUMMARY!D163,'PLAN BUDGET SAMI-TF'!J12:J99999,SUMMARY!A163&amp;"*")</f>
        <v>0</v>
      </c>
      <c r="P163" s="10">
        <f>SUMIFS('PLAN BUDGET SAMI-TF'!AY12:AY99999,'PLAN BUDGET SAMI-TF'!D12:D99999,SUMMARY!D163,'PLAN BUDGET SAMI-TF'!J12:J99999,SUMMARY!A163&amp;"*")</f>
        <v>0</v>
      </c>
      <c r="Q163" s="10">
        <f>SUMIFS('PLAN BUDGET SAMI-TF'!BC12:BC99999,'PLAN BUDGET SAMI-TF'!D12:D99999,SUMMARY!D163,'PLAN BUDGET SAMI-TF'!J12:J99999,SUMMARY!A163&amp;"*")</f>
        <v>0</v>
      </c>
      <c r="R163" s="10">
        <f>SUMIFS('PLAN BUDGET SAMI-TF'!BD12:BD99999,'PLAN BUDGET SAMI-TF'!D12:D99999,SUMMARY!D163,'PLAN BUDGET SAMI-TF'!J12:J99999,SUMMARY!A163&amp;"*")</f>
        <v>0</v>
      </c>
      <c r="S163" s="10">
        <f>SUMIFS('PLAN BUDGET SAMI-TF'!BE12:BE99999,'PLAN BUDGET SAMI-TF'!D12:D99999,SUMMARY!D163,'PLAN BUDGET SAMI-TF'!J12:J99999,SUMMARY!A163&amp;"*")</f>
        <v>0</v>
      </c>
      <c r="T163" s="10">
        <f>SUMIFS('PLAN BUDGET SAMI-TF'!BF12:BF99999,'PLAN BUDGET SAMI-TF'!D12:D99999,SUMMARY!D163,'PLAN BUDGET SAMI-TF'!J12:J99999,SUMMARY!A163&amp;"*")</f>
        <v>0</v>
      </c>
      <c r="U163" s="10">
        <f>SUMIFS('PLAN BUDGET SAMI-TF'!BG12:BG99999,'PLAN BUDGET SAMI-TF'!D12:D99999,SUMMARY!D163,'PLAN BUDGET SAMI-TF'!J12:J99999,SUMMARY!A163&amp;"*")</f>
        <v>0</v>
      </c>
      <c r="V163" s="10">
        <f>SUMIFS('PLAN BUDGET SAMI-TF'!BH12:BH99999,'PLAN BUDGET SAMI-TF'!D12:D99999,SUMMARY!D163,'PLAN BUDGET SAMI-TF'!J12:J99999,SUMMARY!A163&amp;"*")</f>
        <v>0</v>
      </c>
      <c r="W163" s="10">
        <f>SUMIFS('PLAN BUDGET SAMI-TF'!BI12:BI99999,'PLAN BUDGET SAMI-TF'!D12:D99999,SUMMARY!D163,'PLAN BUDGET SAMI-TF'!J12:J99999,SUMMARY!A163&amp;"*")</f>
        <v>0</v>
      </c>
      <c r="X163" s="10">
        <f>SUMIFS('PLAN BUDGET SAMI-TF'!BJ12:BJ99999,'PLAN BUDGET SAMI-TF'!D12:D99999,SUMMARY!D163,'PLAN BUDGET SAMI-TF'!J12:J99999,SUMMARY!A163&amp;"*")</f>
        <v>0</v>
      </c>
      <c r="Y163" s="10">
        <f>SUMIFS('PLAN BUDGET SAMI-TF'!BK12:BK99999,'PLAN BUDGET SAMI-TF'!D12:D99999,SUMMARY!D163,'PLAN BUDGET SAMI-TF'!J12:J99999,SUMMARY!A163&amp;"*")</f>
        <v>0</v>
      </c>
      <c r="Z163" s="10">
        <f>SUMIFS('PLAN BUDGET SAMI-TF'!BL12:BL99999,'PLAN BUDGET SAMI-TF'!D12:D99999,SUMMARY!D163,'PLAN BUDGET SAMI-TF'!J12:J99999,SUMMARY!A163&amp;"*")</f>
        <v>0</v>
      </c>
      <c r="AA163" s="10">
        <f>SUMIFS('PLAN BUDGET SAMI-TF'!BM12:BM99999,'PLAN BUDGET SAMI-TF'!D12:D99999,SUMMARY!D163,'PLAN BUDGET SAMI-TF'!J12:J99999,SUMMARY!A163&amp;"*")</f>
        <v>0</v>
      </c>
      <c r="AB163" s="10">
        <f>SUMIFS('PLAN BUDGET SAMI-TF'!BN12:BN99999,'PLAN BUDGET SAMI-TF'!D12:D99999,SUMMARY!D163,'PLAN BUDGET SAMI-TF'!J12:J99999,SUMMARY!A163&amp;"*")</f>
        <v>0</v>
      </c>
      <c r="AC163" s="10">
        <f t="shared" si="16"/>
        <v>0</v>
      </c>
      <c r="AD163" s="10">
        <f t="shared" si="17"/>
        <v>0</v>
      </c>
      <c r="AE163" s="16"/>
      <c r="AF163" s="10">
        <v>40</v>
      </c>
      <c r="AG163" s="10">
        <v>363.2</v>
      </c>
      <c r="AH163" s="20">
        <f t="shared" si="18"/>
        <v>-1</v>
      </c>
      <c r="AI163" s="20">
        <f t="shared" si="19"/>
        <v>-1</v>
      </c>
      <c r="AJ163" s="7" t="s">
        <v>743</v>
      </c>
    </row>
    <row r="164" spans="1:36" x14ac:dyDescent="0.35">
      <c r="A164" s="7" t="s">
        <v>498</v>
      </c>
      <c r="B164" s="7"/>
      <c r="C164" s="7"/>
      <c r="D164" s="7" t="s">
        <v>790</v>
      </c>
      <c r="E164" s="10">
        <f>SUMIFS('PLAN BUDGET SAMI-TF'!AN12:AN99999,'PLAN BUDGET SAMI-TF'!D12:D99999,SUMMARY!D164,'PLAN BUDGET SAMI-TF'!J12:J99999,SUMMARY!A164&amp;"*")</f>
        <v>0</v>
      </c>
      <c r="F164" s="10">
        <f>SUMIFS('PLAN BUDGET SAMI-TF'!AO12:AO99999,'PLAN BUDGET SAMI-TF'!D12:D99999,SUMMARY!D164,'PLAN BUDGET SAMI-TF'!J12:J99999,SUMMARY!A164&amp;"*")</f>
        <v>0</v>
      </c>
      <c r="G164" s="10">
        <f>SUMIFS('PLAN BUDGET SAMI-TF'!AP12:AP99999,'PLAN BUDGET SAMI-TF'!D12:D99999,SUMMARY!D164,'PLAN BUDGET SAMI-TF'!J12:J99999,SUMMARY!A164&amp;"*")</f>
        <v>0</v>
      </c>
      <c r="H164" s="10">
        <f>SUMIFS('PLAN BUDGET SAMI-TF'!AQ12:AQ99999,'PLAN BUDGET SAMI-TF'!D12:D99999,SUMMARY!D164,'PLAN BUDGET SAMI-TF'!J12:J99999,SUMMARY!A164&amp;"*")</f>
        <v>0</v>
      </c>
      <c r="I164" s="10">
        <f>SUMIFS('PLAN BUDGET SAMI-TF'!AR12:AR99999,'PLAN BUDGET SAMI-TF'!D12:D99999,SUMMARY!D164,'PLAN BUDGET SAMI-TF'!J12:J99999,SUMMARY!A164&amp;"*")</f>
        <v>0</v>
      </c>
      <c r="J164" s="10">
        <f>SUMIFS('PLAN BUDGET SAMI-TF'!AS12:AS99999,'PLAN BUDGET SAMI-TF'!D12:D99999,SUMMARY!D164,'PLAN BUDGET SAMI-TF'!J12:J99999,SUMMARY!A164&amp;"*")</f>
        <v>0</v>
      </c>
      <c r="K164" s="10">
        <f>SUMIFS('PLAN BUDGET SAMI-TF'!AT12:AT99999,'PLAN BUDGET SAMI-TF'!D12:D99999,SUMMARY!D164,'PLAN BUDGET SAMI-TF'!J12:J99999,SUMMARY!A164&amp;"*")</f>
        <v>0</v>
      </c>
      <c r="L164" s="10">
        <f>SUMIFS('PLAN BUDGET SAMI-TF'!AU12:AU99999,'PLAN BUDGET SAMI-TF'!D12:D99999,SUMMARY!D164,'PLAN BUDGET SAMI-TF'!J12:J99999,SUMMARY!A164&amp;"*")</f>
        <v>0</v>
      </c>
      <c r="M164" s="10">
        <f>SUMIFS('PLAN BUDGET SAMI-TF'!AV12:AV99999,'PLAN BUDGET SAMI-TF'!D12:D99999,SUMMARY!D164,'PLAN BUDGET SAMI-TF'!J12:J99999,SUMMARY!A164&amp;"*")</f>
        <v>0</v>
      </c>
      <c r="N164" s="10">
        <f>SUMIFS('PLAN BUDGET SAMI-TF'!AW12:AW99999,'PLAN BUDGET SAMI-TF'!D12:D99999,SUMMARY!D164,'PLAN BUDGET SAMI-TF'!J12:J99999,SUMMARY!A164&amp;"*")</f>
        <v>0</v>
      </c>
      <c r="O164" s="10">
        <f>SUMIFS('PLAN BUDGET SAMI-TF'!AX12:AX99999,'PLAN BUDGET SAMI-TF'!D12:D99999,SUMMARY!D164,'PLAN BUDGET SAMI-TF'!J12:J99999,SUMMARY!A164&amp;"*")</f>
        <v>0</v>
      </c>
      <c r="P164" s="10">
        <f>SUMIFS('PLAN BUDGET SAMI-TF'!AY12:AY99999,'PLAN BUDGET SAMI-TF'!D12:D99999,SUMMARY!D164,'PLAN BUDGET SAMI-TF'!J12:J99999,SUMMARY!A164&amp;"*")</f>
        <v>0</v>
      </c>
      <c r="Q164" s="10">
        <f>SUMIFS('PLAN BUDGET SAMI-TF'!BC12:BC99999,'PLAN BUDGET SAMI-TF'!D12:D99999,SUMMARY!D164,'PLAN BUDGET SAMI-TF'!J12:J99999,SUMMARY!A164&amp;"*")</f>
        <v>0</v>
      </c>
      <c r="R164" s="10">
        <f>SUMIFS('PLAN BUDGET SAMI-TF'!BD12:BD99999,'PLAN BUDGET SAMI-TF'!D12:D99999,SUMMARY!D164,'PLAN BUDGET SAMI-TF'!J12:J99999,SUMMARY!A164&amp;"*")</f>
        <v>0</v>
      </c>
      <c r="S164" s="10">
        <f>SUMIFS('PLAN BUDGET SAMI-TF'!BE12:BE99999,'PLAN BUDGET SAMI-TF'!D12:D99999,SUMMARY!D164,'PLAN BUDGET SAMI-TF'!J12:J99999,SUMMARY!A164&amp;"*")</f>
        <v>0</v>
      </c>
      <c r="T164" s="10">
        <f>SUMIFS('PLAN BUDGET SAMI-TF'!BF12:BF99999,'PLAN BUDGET SAMI-TF'!D12:D99999,SUMMARY!D164,'PLAN BUDGET SAMI-TF'!J12:J99999,SUMMARY!A164&amp;"*")</f>
        <v>0</v>
      </c>
      <c r="U164" s="10">
        <f>SUMIFS('PLAN BUDGET SAMI-TF'!BG12:BG99999,'PLAN BUDGET SAMI-TF'!D12:D99999,SUMMARY!D164,'PLAN BUDGET SAMI-TF'!J12:J99999,SUMMARY!A164&amp;"*")</f>
        <v>0</v>
      </c>
      <c r="V164" s="10">
        <f>SUMIFS('PLAN BUDGET SAMI-TF'!BH12:BH99999,'PLAN BUDGET SAMI-TF'!D12:D99999,SUMMARY!D164,'PLAN BUDGET SAMI-TF'!J12:J99999,SUMMARY!A164&amp;"*")</f>
        <v>0</v>
      </c>
      <c r="W164" s="10">
        <f>SUMIFS('PLAN BUDGET SAMI-TF'!BI12:BI99999,'PLAN BUDGET SAMI-TF'!D12:D99999,SUMMARY!D164,'PLAN BUDGET SAMI-TF'!J12:J99999,SUMMARY!A164&amp;"*")</f>
        <v>0</v>
      </c>
      <c r="X164" s="10">
        <f>SUMIFS('PLAN BUDGET SAMI-TF'!BJ12:BJ99999,'PLAN BUDGET SAMI-TF'!D12:D99999,SUMMARY!D164,'PLAN BUDGET SAMI-TF'!J12:J99999,SUMMARY!A164&amp;"*")</f>
        <v>0</v>
      </c>
      <c r="Y164" s="10">
        <f>SUMIFS('PLAN BUDGET SAMI-TF'!BK12:BK99999,'PLAN BUDGET SAMI-TF'!D12:D99999,SUMMARY!D164,'PLAN BUDGET SAMI-TF'!J12:J99999,SUMMARY!A164&amp;"*")</f>
        <v>0</v>
      </c>
      <c r="Z164" s="10">
        <f>SUMIFS('PLAN BUDGET SAMI-TF'!BL12:BL99999,'PLAN BUDGET SAMI-TF'!D12:D99999,SUMMARY!D164,'PLAN BUDGET SAMI-TF'!J12:J99999,SUMMARY!A164&amp;"*")</f>
        <v>0</v>
      </c>
      <c r="AA164" s="10">
        <f>SUMIFS('PLAN BUDGET SAMI-TF'!BM12:BM99999,'PLAN BUDGET SAMI-TF'!D12:D99999,SUMMARY!D164,'PLAN BUDGET SAMI-TF'!J12:J99999,SUMMARY!A164&amp;"*")</f>
        <v>0</v>
      </c>
      <c r="AB164" s="10">
        <f>SUMIFS('PLAN BUDGET SAMI-TF'!BN12:BN99999,'PLAN BUDGET SAMI-TF'!D12:D99999,SUMMARY!D164,'PLAN BUDGET SAMI-TF'!J12:J99999,SUMMARY!A164&amp;"*")</f>
        <v>0</v>
      </c>
      <c r="AC164" s="10">
        <f t="shared" si="16"/>
        <v>0</v>
      </c>
      <c r="AD164" s="10">
        <f t="shared" si="17"/>
        <v>0</v>
      </c>
      <c r="AE164" s="16"/>
      <c r="AF164" s="10">
        <v>1</v>
      </c>
      <c r="AG164" s="10">
        <v>0.50422189307913001</v>
      </c>
      <c r="AH164" s="20">
        <f t="shared" si="18"/>
        <v>-1</v>
      </c>
      <c r="AI164" s="20">
        <f t="shared" si="19"/>
        <v>-1</v>
      </c>
      <c r="AJ164" s="7" t="s">
        <v>743</v>
      </c>
    </row>
    <row r="165" spans="1:36" x14ac:dyDescent="0.35">
      <c r="A165" s="7" t="s">
        <v>498</v>
      </c>
      <c r="B165" s="7"/>
      <c r="C165" s="7"/>
      <c r="D165" s="7" t="s">
        <v>288</v>
      </c>
      <c r="E165" s="10">
        <f>SUMIFS('PLAN BUDGET SAMI-TF'!AN12:AN99999,'PLAN BUDGET SAMI-TF'!D12:D99999,SUMMARY!D165,'PLAN BUDGET SAMI-TF'!J12:J99999,SUMMARY!A165&amp;"*")</f>
        <v>0</v>
      </c>
      <c r="F165" s="10">
        <f>SUMIFS('PLAN BUDGET SAMI-TF'!AO12:AO99999,'PLAN BUDGET SAMI-TF'!D12:D99999,SUMMARY!D165,'PLAN BUDGET SAMI-TF'!J12:J99999,SUMMARY!A165&amp;"*")</f>
        <v>0</v>
      </c>
      <c r="G165" s="10">
        <f>SUMIFS('PLAN BUDGET SAMI-TF'!AP12:AP99999,'PLAN BUDGET SAMI-TF'!D12:D99999,SUMMARY!D165,'PLAN BUDGET SAMI-TF'!J12:J99999,SUMMARY!A165&amp;"*")</f>
        <v>0</v>
      </c>
      <c r="H165" s="10">
        <f>SUMIFS('PLAN BUDGET SAMI-TF'!AQ12:AQ99999,'PLAN BUDGET SAMI-TF'!D12:D99999,SUMMARY!D165,'PLAN BUDGET SAMI-TF'!J12:J99999,SUMMARY!A165&amp;"*")</f>
        <v>0</v>
      </c>
      <c r="I165" s="10">
        <f>SUMIFS('PLAN BUDGET SAMI-TF'!AR12:AR99999,'PLAN BUDGET SAMI-TF'!D12:D99999,SUMMARY!D165,'PLAN BUDGET SAMI-TF'!J12:J99999,SUMMARY!A165&amp;"*")</f>
        <v>0</v>
      </c>
      <c r="J165" s="10">
        <f>SUMIFS('PLAN BUDGET SAMI-TF'!AS12:AS99999,'PLAN BUDGET SAMI-TF'!D12:D99999,SUMMARY!D165,'PLAN BUDGET SAMI-TF'!J12:J99999,SUMMARY!A165&amp;"*")</f>
        <v>0</v>
      </c>
      <c r="K165" s="10">
        <f>SUMIFS('PLAN BUDGET SAMI-TF'!AT12:AT99999,'PLAN BUDGET SAMI-TF'!D12:D99999,SUMMARY!D165,'PLAN BUDGET SAMI-TF'!J12:J99999,SUMMARY!A165&amp;"*")</f>
        <v>0</v>
      </c>
      <c r="L165" s="10">
        <f>SUMIFS('PLAN BUDGET SAMI-TF'!AU12:AU99999,'PLAN BUDGET SAMI-TF'!D12:D99999,SUMMARY!D165,'PLAN BUDGET SAMI-TF'!J12:J99999,SUMMARY!A165&amp;"*")</f>
        <v>0</v>
      </c>
      <c r="M165" s="10">
        <f>SUMIFS('PLAN BUDGET SAMI-TF'!AV12:AV99999,'PLAN BUDGET SAMI-TF'!D12:D99999,SUMMARY!D165,'PLAN BUDGET SAMI-TF'!J12:J99999,SUMMARY!A165&amp;"*")</f>
        <v>0</v>
      </c>
      <c r="N165" s="10">
        <f>SUMIFS('PLAN BUDGET SAMI-TF'!AW12:AW99999,'PLAN BUDGET SAMI-TF'!D12:D99999,SUMMARY!D165,'PLAN BUDGET SAMI-TF'!J12:J99999,SUMMARY!A165&amp;"*")</f>
        <v>0</v>
      </c>
      <c r="O165" s="10">
        <f>SUMIFS('PLAN BUDGET SAMI-TF'!AX12:AX99999,'PLAN BUDGET SAMI-TF'!D12:D99999,SUMMARY!D165,'PLAN BUDGET SAMI-TF'!J12:J99999,SUMMARY!A165&amp;"*")</f>
        <v>0</v>
      </c>
      <c r="P165" s="10">
        <f>SUMIFS('PLAN BUDGET SAMI-TF'!AY12:AY99999,'PLAN BUDGET SAMI-TF'!D12:D99999,SUMMARY!D165,'PLAN BUDGET SAMI-TF'!J12:J99999,SUMMARY!A165&amp;"*")</f>
        <v>0</v>
      </c>
      <c r="Q165" s="10">
        <f>SUMIFS('PLAN BUDGET SAMI-TF'!BC12:BC99999,'PLAN BUDGET SAMI-TF'!D12:D99999,SUMMARY!D165,'PLAN BUDGET SAMI-TF'!J12:J99999,SUMMARY!A165&amp;"*")</f>
        <v>0</v>
      </c>
      <c r="R165" s="10">
        <f>SUMIFS('PLAN BUDGET SAMI-TF'!BD12:BD99999,'PLAN BUDGET SAMI-TF'!D12:D99999,SUMMARY!D165,'PLAN BUDGET SAMI-TF'!J12:J99999,SUMMARY!A165&amp;"*")</f>
        <v>0</v>
      </c>
      <c r="S165" s="10">
        <f>SUMIFS('PLAN BUDGET SAMI-TF'!BE12:BE99999,'PLAN BUDGET SAMI-TF'!D12:D99999,SUMMARY!D165,'PLAN BUDGET SAMI-TF'!J12:J99999,SUMMARY!A165&amp;"*")</f>
        <v>0</v>
      </c>
      <c r="T165" s="10">
        <f>SUMIFS('PLAN BUDGET SAMI-TF'!BF12:BF99999,'PLAN BUDGET SAMI-TF'!D12:D99999,SUMMARY!D165,'PLAN BUDGET SAMI-TF'!J12:J99999,SUMMARY!A165&amp;"*")</f>
        <v>0</v>
      </c>
      <c r="U165" s="10">
        <f>SUMIFS('PLAN BUDGET SAMI-TF'!BG12:BG99999,'PLAN BUDGET SAMI-TF'!D12:D99999,SUMMARY!D165,'PLAN BUDGET SAMI-TF'!J12:J99999,SUMMARY!A165&amp;"*")</f>
        <v>0</v>
      </c>
      <c r="V165" s="10">
        <f>SUMIFS('PLAN BUDGET SAMI-TF'!BH12:BH99999,'PLAN BUDGET SAMI-TF'!D12:D99999,SUMMARY!D165,'PLAN BUDGET SAMI-TF'!J12:J99999,SUMMARY!A165&amp;"*")</f>
        <v>0</v>
      </c>
      <c r="W165" s="10">
        <f>SUMIFS('PLAN BUDGET SAMI-TF'!BI12:BI99999,'PLAN BUDGET SAMI-TF'!D12:D99999,SUMMARY!D165,'PLAN BUDGET SAMI-TF'!J12:J99999,SUMMARY!A165&amp;"*")</f>
        <v>0</v>
      </c>
      <c r="X165" s="10">
        <f>SUMIFS('PLAN BUDGET SAMI-TF'!BJ12:BJ99999,'PLAN BUDGET SAMI-TF'!D12:D99999,SUMMARY!D165,'PLAN BUDGET SAMI-TF'!J12:J99999,SUMMARY!A165&amp;"*")</f>
        <v>0</v>
      </c>
      <c r="Y165" s="10">
        <f>SUMIFS('PLAN BUDGET SAMI-TF'!BK12:BK99999,'PLAN BUDGET SAMI-TF'!D12:D99999,SUMMARY!D165,'PLAN BUDGET SAMI-TF'!J12:J99999,SUMMARY!A165&amp;"*")</f>
        <v>0</v>
      </c>
      <c r="Z165" s="10">
        <f>SUMIFS('PLAN BUDGET SAMI-TF'!BL12:BL99999,'PLAN BUDGET SAMI-TF'!D12:D99999,SUMMARY!D165,'PLAN BUDGET SAMI-TF'!J12:J99999,SUMMARY!A165&amp;"*")</f>
        <v>0</v>
      </c>
      <c r="AA165" s="10">
        <f>SUMIFS('PLAN BUDGET SAMI-TF'!BM12:BM99999,'PLAN BUDGET SAMI-TF'!D12:D99999,SUMMARY!D165,'PLAN BUDGET SAMI-TF'!J12:J99999,SUMMARY!A165&amp;"*")</f>
        <v>0</v>
      </c>
      <c r="AB165" s="10">
        <f>SUMIFS('PLAN BUDGET SAMI-TF'!BN12:BN99999,'PLAN BUDGET SAMI-TF'!D12:D99999,SUMMARY!D165,'PLAN BUDGET SAMI-TF'!J12:J99999,SUMMARY!A165&amp;"*")</f>
        <v>0</v>
      </c>
      <c r="AC165" s="10">
        <f t="shared" si="16"/>
        <v>0</v>
      </c>
      <c r="AD165" s="10">
        <f t="shared" si="17"/>
        <v>0</v>
      </c>
      <c r="AE165" s="16"/>
      <c r="AF165" s="10">
        <v>4</v>
      </c>
      <c r="AG165" s="10">
        <v>88.615446938336007</v>
      </c>
      <c r="AH165" s="20">
        <f t="shared" si="18"/>
        <v>-1</v>
      </c>
      <c r="AI165" s="20">
        <f t="shared" si="19"/>
        <v>-1</v>
      </c>
      <c r="AJ165" s="7" t="s">
        <v>743</v>
      </c>
    </row>
    <row r="166" spans="1:36" x14ac:dyDescent="0.35">
      <c r="A166" s="7" t="s">
        <v>498</v>
      </c>
      <c r="B166" s="7"/>
      <c r="C166" s="7"/>
      <c r="D166" s="7" t="s">
        <v>791</v>
      </c>
      <c r="E166" s="10">
        <f>SUMIFS('PLAN BUDGET SAMI-TF'!AN12:AN99999,'PLAN BUDGET SAMI-TF'!D12:D99999,SUMMARY!D166,'PLAN BUDGET SAMI-TF'!J12:J99999,SUMMARY!A166&amp;"*")</f>
        <v>0</v>
      </c>
      <c r="F166" s="10">
        <f>SUMIFS('PLAN BUDGET SAMI-TF'!AO12:AO99999,'PLAN BUDGET SAMI-TF'!D12:D99999,SUMMARY!D166,'PLAN BUDGET SAMI-TF'!J12:J99999,SUMMARY!A166&amp;"*")</f>
        <v>0</v>
      </c>
      <c r="G166" s="10">
        <f>SUMIFS('PLAN BUDGET SAMI-TF'!AP12:AP99999,'PLAN BUDGET SAMI-TF'!D12:D99999,SUMMARY!D166,'PLAN BUDGET SAMI-TF'!J12:J99999,SUMMARY!A166&amp;"*")</f>
        <v>0</v>
      </c>
      <c r="H166" s="10">
        <f>SUMIFS('PLAN BUDGET SAMI-TF'!AQ12:AQ99999,'PLAN BUDGET SAMI-TF'!D12:D99999,SUMMARY!D166,'PLAN BUDGET SAMI-TF'!J12:J99999,SUMMARY!A166&amp;"*")</f>
        <v>0</v>
      </c>
      <c r="I166" s="10">
        <f>SUMIFS('PLAN BUDGET SAMI-TF'!AR12:AR99999,'PLAN BUDGET SAMI-TF'!D12:D99999,SUMMARY!D166,'PLAN BUDGET SAMI-TF'!J12:J99999,SUMMARY!A166&amp;"*")</f>
        <v>0</v>
      </c>
      <c r="J166" s="10">
        <f>SUMIFS('PLAN BUDGET SAMI-TF'!AS12:AS99999,'PLAN BUDGET SAMI-TF'!D12:D99999,SUMMARY!D166,'PLAN BUDGET SAMI-TF'!J12:J99999,SUMMARY!A166&amp;"*")</f>
        <v>0</v>
      </c>
      <c r="K166" s="10">
        <f>SUMIFS('PLAN BUDGET SAMI-TF'!AT12:AT99999,'PLAN BUDGET SAMI-TF'!D12:D99999,SUMMARY!D166,'PLAN BUDGET SAMI-TF'!J12:J99999,SUMMARY!A166&amp;"*")</f>
        <v>0</v>
      </c>
      <c r="L166" s="10">
        <f>SUMIFS('PLAN BUDGET SAMI-TF'!AU12:AU99999,'PLAN BUDGET SAMI-TF'!D12:D99999,SUMMARY!D166,'PLAN BUDGET SAMI-TF'!J12:J99999,SUMMARY!A166&amp;"*")</f>
        <v>0</v>
      </c>
      <c r="M166" s="10">
        <f>SUMIFS('PLAN BUDGET SAMI-TF'!AV12:AV99999,'PLAN BUDGET SAMI-TF'!D12:D99999,SUMMARY!D166,'PLAN BUDGET SAMI-TF'!J12:J99999,SUMMARY!A166&amp;"*")</f>
        <v>0</v>
      </c>
      <c r="N166" s="10">
        <f>SUMIFS('PLAN BUDGET SAMI-TF'!AW12:AW99999,'PLAN BUDGET SAMI-TF'!D12:D99999,SUMMARY!D166,'PLAN BUDGET SAMI-TF'!J12:J99999,SUMMARY!A166&amp;"*")</f>
        <v>0</v>
      </c>
      <c r="O166" s="10">
        <f>SUMIFS('PLAN BUDGET SAMI-TF'!AX12:AX99999,'PLAN BUDGET SAMI-TF'!D12:D99999,SUMMARY!D166,'PLAN BUDGET SAMI-TF'!J12:J99999,SUMMARY!A166&amp;"*")</f>
        <v>0</v>
      </c>
      <c r="P166" s="10">
        <f>SUMIFS('PLAN BUDGET SAMI-TF'!AY12:AY99999,'PLAN BUDGET SAMI-TF'!D12:D99999,SUMMARY!D166,'PLAN BUDGET SAMI-TF'!J12:J99999,SUMMARY!A166&amp;"*")</f>
        <v>0</v>
      </c>
      <c r="Q166" s="10">
        <f>SUMIFS('PLAN BUDGET SAMI-TF'!BC12:BC99999,'PLAN BUDGET SAMI-TF'!D12:D99999,SUMMARY!D166,'PLAN BUDGET SAMI-TF'!J12:J99999,SUMMARY!A166&amp;"*")</f>
        <v>0</v>
      </c>
      <c r="R166" s="10">
        <f>SUMIFS('PLAN BUDGET SAMI-TF'!BD12:BD99999,'PLAN BUDGET SAMI-TF'!D12:D99999,SUMMARY!D166,'PLAN BUDGET SAMI-TF'!J12:J99999,SUMMARY!A166&amp;"*")</f>
        <v>0</v>
      </c>
      <c r="S166" s="10">
        <f>SUMIFS('PLAN BUDGET SAMI-TF'!BE12:BE99999,'PLAN BUDGET SAMI-TF'!D12:D99999,SUMMARY!D166,'PLAN BUDGET SAMI-TF'!J12:J99999,SUMMARY!A166&amp;"*")</f>
        <v>0</v>
      </c>
      <c r="T166" s="10">
        <f>SUMIFS('PLAN BUDGET SAMI-TF'!BF12:BF99999,'PLAN BUDGET SAMI-TF'!D12:D99999,SUMMARY!D166,'PLAN BUDGET SAMI-TF'!J12:J99999,SUMMARY!A166&amp;"*")</f>
        <v>0</v>
      </c>
      <c r="U166" s="10">
        <f>SUMIFS('PLAN BUDGET SAMI-TF'!BG12:BG99999,'PLAN BUDGET SAMI-TF'!D12:D99999,SUMMARY!D166,'PLAN BUDGET SAMI-TF'!J12:J99999,SUMMARY!A166&amp;"*")</f>
        <v>0</v>
      </c>
      <c r="V166" s="10">
        <f>SUMIFS('PLAN BUDGET SAMI-TF'!BH12:BH99999,'PLAN BUDGET SAMI-TF'!D12:D99999,SUMMARY!D166,'PLAN BUDGET SAMI-TF'!J12:J99999,SUMMARY!A166&amp;"*")</f>
        <v>0</v>
      </c>
      <c r="W166" s="10">
        <f>SUMIFS('PLAN BUDGET SAMI-TF'!BI12:BI99999,'PLAN BUDGET SAMI-TF'!D12:D99999,SUMMARY!D166,'PLAN BUDGET SAMI-TF'!J12:J99999,SUMMARY!A166&amp;"*")</f>
        <v>0</v>
      </c>
      <c r="X166" s="10">
        <f>SUMIFS('PLAN BUDGET SAMI-TF'!BJ12:BJ99999,'PLAN BUDGET SAMI-TF'!D12:D99999,SUMMARY!D166,'PLAN BUDGET SAMI-TF'!J12:J99999,SUMMARY!A166&amp;"*")</f>
        <v>0</v>
      </c>
      <c r="Y166" s="10">
        <f>SUMIFS('PLAN BUDGET SAMI-TF'!BK12:BK99999,'PLAN BUDGET SAMI-TF'!D12:D99999,SUMMARY!D166,'PLAN BUDGET SAMI-TF'!J12:J99999,SUMMARY!A166&amp;"*")</f>
        <v>0</v>
      </c>
      <c r="Z166" s="10">
        <f>SUMIFS('PLAN BUDGET SAMI-TF'!BL12:BL99999,'PLAN BUDGET SAMI-TF'!D12:D99999,SUMMARY!D166,'PLAN BUDGET SAMI-TF'!J12:J99999,SUMMARY!A166&amp;"*")</f>
        <v>0</v>
      </c>
      <c r="AA166" s="10">
        <f>SUMIFS('PLAN BUDGET SAMI-TF'!BM12:BM99999,'PLAN BUDGET SAMI-TF'!D12:D99999,SUMMARY!D166,'PLAN BUDGET SAMI-TF'!J12:J99999,SUMMARY!A166&amp;"*")</f>
        <v>0</v>
      </c>
      <c r="AB166" s="10">
        <f>SUMIFS('PLAN BUDGET SAMI-TF'!BN12:BN99999,'PLAN BUDGET SAMI-TF'!D12:D99999,SUMMARY!D166,'PLAN BUDGET SAMI-TF'!J12:J99999,SUMMARY!A166&amp;"*")</f>
        <v>0</v>
      </c>
      <c r="AC166" s="10">
        <f t="shared" si="16"/>
        <v>0</v>
      </c>
      <c r="AD166" s="10">
        <f t="shared" si="17"/>
        <v>0</v>
      </c>
      <c r="AE166" s="16"/>
      <c r="AF166" s="10">
        <v>7</v>
      </c>
      <c r="AG166" s="10">
        <v>845.01158330484998</v>
      </c>
      <c r="AH166" s="20">
        <f t="shared" si="18"/>
        <v>-1</v>
      </c>
      <c r="AI166" s="20">
        <f t="shared" si="19"/>
        <v>-1</v>
      </c>
      <c r="AJ166" s="7" t="s">
        <v>743</v>
      </c>
    </row>
    <row r="167" spans="1:36" x14ac:dyDescent="0.35">
      <c r="A167" s="7" t="s">
        <v>498</v>
      </c>
      <c r="B167" s="7"/>
      <c r="C167" s="7"/>
      <c r="D167" s="7" t="s">
        <v>792</v>
      </c>
      <c r="E167" s="10">
        <f>SUMIFS('PLAN BUDGET SAMI-TF'!AN12:AN99999,'PLAN BUDGET SAMI-TF'!D12:D99999,SUMMARY!D167,'PLAN BUDGET SAMI-TF'!J12:J99999,SUMMARY!A167&amp;"*")</f>
        <v>0</v>
      </c>
      <c r="F167" s="10">
        <f>SUMIFS('PLAN BUDGET SAMI-TF'!AO12:AO99999,'PLAN BUDGET SAMI-TF'!D12:D99999,SUMMARY!D167,'PLAN BUDGET SAMI-TF'!J12:J99999,SUMMARY!A167&amp;"*")</f>
        <v>0</v>
      </c>
      <c r="G167" s="10">
        <f>SUMIFS('PLAN BUDGET SAMI-TF'!AP12:AP99999,'PLAN BUDGET SAMI-TF'!D12:D99999,SUMMARY!D167,'PLAN BUDGET SAMI-TF'!J12:J99999,SUMMARY!A167&amp;"*")</f>
        <v>0</v>
      </c>
      <c r="H167" s="10">
        <f>SUMIFS('PLAN BUDGET SAMI-TF'!AQ12:AQ99999,'PLAN BUDGET SAMI-TF'!D12:D99999,SUMMARY!D167,'PLAN BUDGET SAMI-TF'!J12:J99999,SUMMARY!A167&amp;"*")</f>
        <v>0</v>
      </c>
      <c r="I167" s="10">
        <f>SUMIFS('PLAN BUDGET SAMI-TF'!AR12:AR99999,'PLAN BUDGET SAMI-TF'!D12:D99999,SUMMARY!D167,'PLAN BUDGET SAMI-TF'!J12:J99999,SUMMARY!A167&amp;"*")</f>
        <v>0</v>
      </c>
      <c r="J167" s="10">
        <f>SUMIFS('PLAN BUDGET SAMI-TF'!AS12:AS99999,'PLAN BUDGET SAMI-TF'!D12:D99999,SUMMARY!D167,'PLAN BUDGET SAMI-TF'!J12:J99999,SUMMARY!A167&amp;"*")</f>
        <v>0</v>
      </c>
      <c r="K167" s="10">
        <f>SUMIFS('PLAN BUDGET SAMI-TF'!AT12:AT99999,'PLAN BUDGET SAMI-TF'!D12:D99999,SUMMARY!D167,'PLAN BUDGET SAMI-TF'!J12:J99999,SUMMARY!A167&amp;"*")</f>
        <v>0</v>
      </c>
      <c r="L167" s="10">
        <f>SUMIFS('PLAN BUDGET SAMI-TF'!AU12:AU99999,'PLAN BUDGET SAMI-TF'!D12:D99999,SUMMARY!D167,'PLAN BUDGET SAMI-TF'!J12:J99999,SUMMARY!A167&amp;"*")</f>
        <v>0</v>
      </c>
      <c r="M167" s="10">
        <f>SUMIFS('PLAN BUDGET SAMI-TF'!AV12:AV99999,'PLAN BUDGET SAMI-TF'!D12:D99999,SUMMARY!D167,'PLAN BUDGET SAMI-TF'!J12:J99999,SUMMARY!A167&amp;"*")</f>
        <v>0</v>
      </c>
      <c r="N167" s="10">
        <f>SUMIFS('PLAN BUDGET SAMI-TF'!AW12:AW99999,'PLAN BUDGET SAMI-TF'!D12:D99999,SUMMARY!D167,'PLAN BUDGET SAMI-TF'!J12:J99999,SUMMARY!A167&amp;"*")</f>
        <v>0</v>
      </c>
      <c r="O167" s="10">
        <f>SUMIFS('PLAN BUDGET SAMI-TF'!AX12:AX99999,'PLAN BUDGET SAMI-TF'!D12:D99999,SUMMARY!D167,'PLAN BUDGET SAMI-TF'!J12:J99999,SUMMARY!A167&amp;"*")</f>
        <v>0</v>
      </c>
      <c r="P167" s="10">
        <f>SUMIFS('PLAN BUDGET SAMI-TF'!AY12:AY99999,'PLAN BUDGET SAMI-TF'!D12:D99999,SUMMARY!D167,'PLAN BUDGET SAMI-TF'!J12:J99999,SUMMARY!A167&amp;"*")</f>
        <v>0</v>
      </c>
      <c r="Q167" s="10">
        <f>SUMIFS('PLAN BUDGET SAMI-TF'!BC12:BC99999,'PLAN BUDGET SAMI-TF'!D12:D99999,SUMMARY!D167,'PLAN BUDGET SAMI-TF'!J12:J99999,SUMMARY!A167&amp;"*")</f>
        <v>0</v>
      </c>
      <c r="R167" s="10">
        <f>SUMIFS('PLAN BUDGET SAMI-TF'!BD12:BD99999,'PLAN BUDGET SAMI-TF'!D12:D99999,SUMMARY!D167,'PLAN BUDGET SAMI-TF'!J12:J99999,SUMMARY!A167&amp;"*")</f>
        <v>0</v>
      </c>
      <c r="S167" s="10">
        <f>SUMIFS('PLAN BUDGET SAMI-TF'!BE12:BE99999,'PLAN BUDGET SAMI-TF'!D12:D99999,SUMMARY!D167,'PLAN BUDGET SAMI-TF'!J12:J99999,SUMMARY!A167&amp;"*")</f>
        <v>0</v>
      </c>
      <c r="T167" s="10">
        <f>SUMIFS('PLAN BUDGET SAMI-TF'!BF12:BF99999,'PLAN BUDGET SAMI-TF'!D12:D99999,SUMMARY!D167,'PLAN BUDGET SAMI-TF'!J12:J99999,SUMMARY!A167&amp;"*")</f>
        <v>0</v>
      </c>
      <c r="U167" s="10">
        <f>SUMIFS('PLAN BUDGET SAMI-TF'!BG12:BG99999,'PLAN BUDGET SAMI-TF'!D12:D99999,SUMMARY!D167,'PLAN BUDGET SAMI-TF'!J12:J99999,SUMMARY!A167&amp;"*")</f>
        <v>0</v>
      </c>
      <c r="V167" s="10">
        <f>SUMIFS('PLAN BUDGET SAMI-TF'!BH12:BH99999,'PLAN BUDGET SAMI-TF'!D12:D99999,SUMMARY!D167,'PLAN BUDGET SAMI-TF'!J12:J99999,SUMMARY!A167&amp;"*")</f>
        <v>0</v>
      </c>
      <c r="W167" s="10">
        <f>SUMIFS('PLAN BUDGET SAMI-TF'!BI12:BI99999,'PLAN BUDGET SAMI-TF'!D12:D99999,SUMMARY!D167,'PLAN BUDGET SAMI-TF'!J12:J99999,SUMMARY!A167&amp;"*")</f>
        <v>0</v>
      </c>
      <c r="X167" s="10">
        <f>SUMIFS('PLAN BUDGET SAMI-TF'!BJ12:BJ99999,'PLAN BUDGET SAMI-TF'!D12:D99999,SUMMARY!D167,'PLAN BUDGET SAMI-TF'!J12:J99999,SUMMARY!A167&amp;"*")</f>
        <v>0</v>
      </c>
      <c r="Y167" s="10">
        <f>SUMIFS('PLAN BUDGET SAMI-TF'!BK12:BK99999,'PLAN BUDGET SAMI-TF'!D12:D99999,SUMMARY!D167,'PLAN BUDGET SAMI-TF'!J12:J99999,SUMMARY!A167&amp;"*")</f>
        <v>0</v>
      </c>
      <c r="Z167" s="10">
        <f>SUMIFS('PLAN BUDGET SAMI-TF'!BL12:BL99999,'PLAN BUDGET SAMI-TF'!D12:D99999,SUMMARY!D167,'PLAN BUDGET SAMI-TF'!J12:J99999,SUMMARY!A167&amp;"*")</f>
        <v>0</v>
      </c>
      <c r="AA167" s="10">
        <f>SUMIFS('PLAN BUDGET SAMI-TF'!BM12:BM99999,'PLAN BUDGET SAMI-TF'!D12:D99999,SUMMARY!D167,'PLAN BUDGET SAMI-TF'!J12:J99999,SUMMARY!A167&amp;"*")</f>
        <v>0</v>
      </c>
      <c r="AB167" s="10">
        <f>SUMIFS('PLAN BUDGET SAMI-TF'!BN12:BN99999,'PLAN BUDGET SAMI-TF'!D12:D99999,SUMMARY!D167,'PLAN BUDGET SAMI-TF'!J12:J99999,SUMMARY!A167&amp;"*")</f>
        <v>0</v>
      </c>
      <c r="AC167" s="10">
        <f t="shared" si="16"/>
        <v>0</v>
      </c>
      <c r="AD167" s="10">
        <f t="shared" si="17"/>
        <v>0</v>
      </c>
      <c r="AE167" s="16"/>
      <c r="AF167" s="10">
        <v>2</v>
      </c>
      <c r="AG167" s="10">
        <v>18.613041661918999</v>
      </c>
      <c r="AH167" s="20">
        <f t="shared" si="18"/>
        <v>-1</v>
      </c>
      <c r="AI167" s="20">
        <f t="shared" si="19"/>
        <v>-1</v>
      </c>
      <c r="AJ167" s="7" t="s">
        <v>743</v>
      </c>
    </row>
    <row r="168" spans="1:36" x14ac:dyDescent="0.35">
      <c r="A168" s="7" t="s">
        <v>498</v>
      </c>
      <c r="B168" s="7"/>
      <c r="C168" s="7"/>
      <c r="D168" s="7" t="s">
        <v>341</v>
      </c>
      <c r="E168" s="10">
        <f>SUMIFS('PLAN BUDGET SAMI-TF'!AN12:AN99999,'PLAN BUDGET SAMI-TF'!D12:D99999,SUMMARY!D168,'PLAN BUDGET SAMI-TF'!J12:J99999,SUMMARY!A168&amp;"*")</f>
        <v>0</v>
      </c>
      <c r="F168" s="10">
        <f>SUMIFS('PLAN BUDGET SAMI-TF'!AO12:AO99999,'PLAN BUDGET SAMI-TF'!D12:D99999,SUMMARY!D168,'PLAN BUDGET SAMI-TF'!J12:J99999,SUMMARY!A168&amp;"*")</f>
        <v>0</v>
      </c>
      <c r="G168" s="10">
        <f>SUMIFS('PLAN BUDGET SAMI-TF'!AP12:AP99999,'PLAN BUDGET SAMI-TF'!D12:D99999,SUMMARY!D168,'PLAN BUDGET SAMI-TF'!J12:J99999,SUMMARY!A168&amp;"*")</f>
        <v>0</v>
      </c>
      <c r="H168" s="10">
        <f>SUMIFS('PLAN BUDGET SAMI-TF'!AQ12:AQ99999,'PLAN BUDGET SAMI-TF'!D12:D99999,SUMMARY!D168,'PLAN BUDGET SAMI-TF'!J12:J99999,SUMMARY!A168&amp;"*")</f>
        <v>0</v>
      </c>
      <c r="I168" s="10">
        <f>SUMIFS('PLAN BUDGET SAMI-TF'!AR12:AR99999,'PLAN BUDGET SAMI-TF'!D12:D99999,SUMMARY!D168,'PLAN BUDGET SAMI-TF'!J12:J99999,SUMMARY!A168&amp;"*")</f>
        <v>0</v>
      </c>
      <c r="J168" s="10">
        <f>SUMIFS('PLAN BUDGET SAMI-TF'!AS12:AS99999,'PLAN BUDGET SAMI-TF'!D12:D99999,SUMMARY!D168,'PLAN BUDGET SAMI-TF'!J12:J99999,SUMMARY!A168&amp;"*")</f>
        <v>0</v>
      </c>
      <c r="K168" s="10">
        <f>SUMIFS('PLAN BUDGET SAMI-TF'!AT12:AT99999,'PLAN BUDGET SAMI-TF'!D12:D99999,SUMMARY!D168,'PLAN BUDGET SAMI-TF'!J12:J99999,SUMMARY!A168&amp;"*")</f>
        <v>0</v>
      </c>
      <c r="L168" s="10">
        <f>SUMIFS('PLAN BUDGET SAMI-TF'!AU12:AU99999,'PLAN BUDGET SAMI-TF'!D12:D99999,SUMMARY!D168,'PLAN BUDGET SAMI-TF'!J12:J99999,SUMMARY!A168&amp;"*")</f>
        <v>0</v>
      </c>
      <c r="M168" s="10">
        <f>SUMIFS('PLAN BUDGET SAMI-TF'!AV12:AV99999,'PLAN BUDGET SAMI-TF'!D12:D99999,SUMMARY!D168,'PLAN BUDGET SAMI-TF'!J12:J99999,SUMMARY!A168&amp;"*")</f>
        <v>0</v>
      </c>
      <c r="N168" s="10">
        <f>SUMIFS('PLAN BUDGET SAMI-TF'!AW12:AW99999,'PLAN BUDGET SAMI-TF'!D12:D99999,SUMMARY!D168,'PLAN BUDGET SAMI-TF'!J12:J99999,SUMMARY!A168&amp;"*")</f>
        <v>0</v>
      </c>
      <c r="O168" s="10">
        <f>SUMIFS('PLAN BUDGET SAMI-TF'!AX12:AX99999,'PLAN BUDGET SAMI-TF'!D12:D99999,SUMMARY!D168,'PLAN BUDGET SAMI-TF'!J12:J99999,SUMMARY!A168&amp;"*")</f>
        <v>0</v>
      </c>
      <c r="P168" s="10">
        <f>SUMIFS('PLAN BUDGET SAMI-TF'!AY12:AY99999,'PLAN BUDGET SAMI-TF'!D12:D99999,SUMMARY!D168,'PLAN BUDGET SAMI-TF'!J12:J99999,SUMMARY!A168&amp;"*")</f>
        <v>0</v>
      </c>
      <c r="Q168" s="10">
        <f>SUMIFS('PLAN BUDGET SAMI-TF'!BC12:BC99999,'PLAN BUDGET SAMI-TF'!D12:D99999,SUMMARY!D168,'PLAN BUDGET SAMI-TF'!J12:J99999,SUMMARY!A168&amp;"*")</f>
        <v>0</v>
      </c>
      <c r="R168" s="10">
        <f>SUMIFS('PLAN BUDGET SAMI-TF'!BD12:BD99999,'PLAN BUDGET SAMI-TF'!D12:D99999,SUMMARY!D168,'PLAN BUDGET SAMI-TF'!J12:J99999,SUMMARY!A168&amp;"*")</f>
        <v>0</v>
      </c>
      <c r="S168" s="10">
        <f>SUMIFS('PLAN BUDGET SAMI-TF'!BE12:BE99999,'PLAN BUDGET SAMI-TF'!D12:D99999,SUMMARY!D168,'PLAN BUDGET SAMI-TF'!J12:J99999,SUMMARY!A168&amp;"*")</f>
        <v>0</v>
      </c>
      <c r="T168" s="10">
        <f>SUMIFS('PLAN BUDGET SAMI-TF'!BF12:BF99999,'PLAN BUDGET SAMI-TF'!D12:D99999,SUMMARY!D168,'PLAN BUDGET SAMI-TF'!J12:J99999,SUMMARY!A168&amp;"*")</f>
        <v>0</v>
      </c>
      <c r="U168" s="10">
        <f>SUMIFS('PLAN BUDGET SAMI-TF'!BG12:BG99999,'PLAN BUDGET SAMI-TF'!D12:D99999,SUMMARY!D168,'PLAN BUDGET SAMI-TF'!J12:J99999,SUMMARY!A168&amp;"*")</f>
        <v>0</v>
      </c>
      <c r="V168" s="10">
        <f>SUMIFS('PLAN BUDGET SAMI-TF'!BH12:BH99999,'PLAN BUDGET SAMI-TF'!D12:D99999,SUMMARY!D168,'PLAN BUDGET SAMI-TF'!J12:J99999,SUMMARY!A168&amp;"*")</f>
        <v>0</v>
      </c>
      <c r="W168" s="10">
        <f>SUMIFS('PLAN BUDGET SAMI-TF'!BI12:BI99999,'PLAN BUDGET SAMI-TF'!D12:D99999,SUMMARY!D168,'PLAN BUDGET SAMI-TF'!J12:J99999,SUMMARY!A168&amp;"*")</f>
        <v>0</v>
      </c>
      <c r="X168" s="10">
        <f>SUMIFS('PLAN BUDGET SAMI-TF'!BJ12:BJ99999,'PLAN BUDGET SAMI-TF'!D12:D99999,SUMMARY!D168,'PLAN BUDGET SAMI-TF'!J12:J99999,SUMMARY!A168&amp;"*")</f>
        <v>0</v>
      </c>
      <c r="Y168" s="10">
        <f>SUMIFS('PLAN BUDGET SAMI-TF'!BK12:BK99999,'PLAN BUDGET SAMI-TF'!D12:D99999,SUMMARY!D168,'PLAN BUDGET SAMI-TF'!J12:J99999,SUMMARY!A168&amp;"*")</f>
        <v>0</v>
      </c>
      <c r="Z168" s="10">
        <f>SUMIFS('PLAN BUDGET SAMI-TF'!BL12:BL99999,'PLAN BUDGET SAMI-TF'!D12:D99999,SUMMARY!D168,'PLAN BUDGET SAMI-TF'!J12:J99999,SUMMARY!A168&amp;"*")</f>
        <v>0</v>
      </c>
      <c r="AA168" s="10">
        <f>SUMIFS('PLAN BUDGET SAMI-TF'!BM12:BM99999,'PLAN BUDGET SAMI-TF'!D12:D99999,SUMMARY!D168,'PLAN BUDGET SAMI-TF'!J12:J99999,SUMMARY!A168&amp;"*")</f>
        <v>0</v>
      </c>
      <c r="AB168" s="10">
        <f>SUMIFS('PLAN BUDGET SAMI-TF'!BN12:BN99999,'PLAN BUDGET SAMI-TF'!D12:D99999,SUMMARY!D168,'PLAN BUDGET SAMI-TF'!J12:J99999,SUMMARY!A168&amp;"*")</f>
        <v>0</v>
      </c>
      <c r="AC168" s="10">
        <f t="shared" si="16"/>
        <v>0</v>
      </c>
      <c r="AD168" s="10">
        <f t="shared" si="17"/>
        <v>0</v>
      </c>
      <c r="AE168" s="16"/>
      <c r="AF168" s="10">
        <v>1</v>
      </c>
      <c r="AG168" s="10">
        <v>24.005924575594999</v>
      </c>
      <c r="AH168" s="20">
        <f t="shared" si="18"/>
        <v>-1</v>
      </c>
      <c r="AI168" s="20">
        <f t="shared" si="19"/>
        <v>-1</v>
      </c>
      <c r="AJ168" s="7" t="s">
        <v>743</v>
      </c>
    </row>
    <row r="169" spans="1:36" x14ac:dyDescent="0.35">
      <c r="A169" s="7" t="s">
        <v>498</v>
      </c>
      <c r="B169" s="7"/>
      <c r="C169" s="7"/>
      <c r="D169" s="7" t="s">
        <v>104</v>
      </c>
      <c r="E169" s="10">
        <f>SUMIFS('PLAN BUDGET SAMI-TF'!AN12:AN99999,'PLAN BUDGET SAMI-TF'!D12:D99999,SUMMARY!D169,'PLAN BUDGET SAMI-TF'!J12:J99999,SUMMARY!A169&amp;"*")</f>
        <v>0</v>
      </c>
      <c r="F169" s="10">
        <f>SUMIFS('PLAN BUDGET SAMI-TF'!AO12:AO99999,'PLAN BUDGET SAMI-TF'!D12:D99999,SUMMARY!D169,'PLAN BUDGET SAMI-TF'!J12:J99999,SUMMARY!A169&amp;"*")</f>
        <v>0</v>
      </c>
      <c r="G169" s="10">
        <f>SUMIFS('PLAN BUDGET SAMI-TF'!AP12:AP99999,'PLAN BUDGET SAMI-TF'!D12:D99999,SUMMARY!D169,'PLAN BUDGET SAMI-TF'!J12:J99999,SUMMARY!A169&amp;"*")</f>
        <v>0</v>
      </c>
      <c r="H169" s="10">
        <f>SUMIFS('PLAN BUDGET SAMI-TF'!AQ12:AQ99999,'PLAN BUDGET SAMI-TF'!D12:D99999,SUMMARY!D169,'PLAN BUDGET SAMI-TF'!J12:J99999,SUMMARY!A169&amp;"*")</f>
        <v>0</v>
      </c>
      <c r="I169" s="10">
        <f>SUMIFS('PLAN BUDGET SAMI-TF'!AR12:AR99999,'PLAN BUDGET SAMI-TF'!D12:D99999,SUMMARY!D169,'PLAN BUDGET SAMI-TF'!J12:J99999,SUMMARY!A169&amp;"*")</f>
        <v>0</v>
      </c>
      <c r="J169" s="10">
        <f>SUMIFS('PLAN BUDGET SAMI-TF'!AS12:AS99999,'PLAN BUDGET SAMI-TF'!D12:D99999,SUMMARY!D169,'PLAN BUDGET SAMI-TF'!J12:J99999,SUMMARY!A169&amp;"*")</f>
        <v>0</v>
      </c>
      <c r="K169" s="10">
        <f>SUMIFS('PLAN BUDGET SAMI-TF'!AT12:AT99999,'PLAN BUDGET SAMI-TF'!D12:D99999,SUMMARY!D169,'PLAN BUDGET SAMI-TF'!J12:J99999,SUMMARY!A169&amp;"*")</f>
        <v>0</v>
      </c>
      <c r="L169" s="10">
        <f>SUMIFS('PLAN BUDGET SAMI-TF'!AU12:AU99999,'PLAN BUDGET SAMI-TF'!D12:D99999,SUMMARY!D169,'PLAN BUDGET SAMI-TF'!J12:J99999,SUMMARY!A169&amp;"*")</f>
        <v>0</v>
      </c>
      <c r="M169" s="10">
        <f>SUMIFS('PLAN BUDGET SAMI-TF'!AV12:AV99999,'PLAN BUDGET SAMI-TF'!D12:D99999,SUMMARY!D169,'PLAN BUDGET SAMI-TF'!J12:J99999,SUMMARY!A169&amp;"*")</f>
        <v>0</v>
      </c>
      <c r="N169" s="10">
        <f>SUMIFS('PLAN BUDGET SAMI-TF'!AW12:AW99999,'PLAN BUDGET SAMI-TF'!D12:D99999,SUMMARY!D169,'PLAN BUDGET SAMI-TF'!J12:J99999,SUMMARY!A169&amp;"*")</f>
        <v>0</v>
      </c>
      <c r="O169" s="10">
        <f>SUMIFS('PLAN BUDGET SAMI-TF'!AX12:AX99999,'PLAN BUDGET SAMI-TF'!D12:D99999,SUMMARY!D169,'PLAN BUDGET SAMI-TF'!J12:J99999,SUMMARY!A169&amp;"*")</f>
        <v>0</v>
      </c>
      <c r="P169" s="10">
        <f>SUMIFS('PLAN BUDGET SAMI-TF'!AY12:AY99999,'PLAN BUDGET SAMI-TF'!D12:D99999,SUMMARY!D169,'PLAN BUDGET SAMI-TF'!J12:J99999,SUMMARY!A169&amp;"*")</f>
        <v>0</v>
      </c>
      <c r="Q169" s="10">
        <f>SUMIFS('PLAN BUDGET SAMI-TF'!BC12:BC99999,'PLAN BUDGET SAMI-TF'!D12:D99999,SUMMARY!D169,'PLAN BUDGET SAMI-TF'!J12:J99999,SUMMARY!A169&amp;"*")</f>
        <v>0</v>
      </c>
      <c r="R169" s="10">
        <f>SUMIFS('PLAN BUDGET SAMI-TF'!BD12:BD99999,'PLAN BUDGET SAMI-TF'!D12:D99999,SUMMARY!D169,'PLAN BUDGET SAMI-TF'!J12:J99999,SUMMARY!A169&amp;"*")</f>
        <v>0</v>
      </c>
      <c r="S169" s="10">
        <f>SUMIFS('PLAN BUDGET SAMI-TF'!BE12:BE99999,'PLAN BUDGET SAMI-TF'!D12:D99999,SUMMARY!D169,'PLAN BUDGET SAMI-TF'!J12:J99999,SUMMARY!A169&amp;"*")</f>
        <v>0</v>
      </c>
      <c r="T169" s="10">
        <f>SUMIFS('PLAN BUDGET SAMI-TF'!BF12:BF99999,'PLAN BUDGET SAMI-TF'!D12:D99999,SUMMARY!D169,'PLAN BUDGET SAMI-TF'!J12:J99999,SUMMARY!A169&amp;"*")</f>
        <v>0</v>
      </c>
      <c r="U169" s="10">
        <f>SUMIFS('PLAN BUDGET SAMI-TF'!BG12:BG99999,'PLAN BUDGET SAMI-TF'!D12:D99999,SUMMARY!D169,'PLAN BUDGET SAMI-TF'!J12:J99999,SUMMARY!A169&amp;"*")</f>
        <v>0</v>
      </c>
      <c r="V169" s="10">
        <f>SUMIFS('PLAN BUDGET SAMI-TF'!BH12:BH99999,'PLAN BUDGET SAMI-TF'!D12:D99999,SUMMARY!D169,'PLAN BUDGET SAMI-TF'!J12:J99999,SUMMARY!A169&amp;"*")</f>
        <v>0</v>
      </c>
      <c r="W169" s="10">
        <f>SUMIFS('PLAN BUDGET SAMI-TF'!BI12:BI99999,'PLAN BUDGET SAMI-TF'!D12:D99999,SUMMARY!D169,'PLAN BUDGET SAMI-TF'!J12:J99999,SUMMARY!A169&amp;"*")</f>
        <v>0</v>
      </c>
      <c r="X169" s="10">
        <f>SUMIFS('PLAN BUDGET SAMI-TF'!BJ12:BJ99999,'PLAN BUDGET SAMI-TF'!D12:D99999,SUMMARY!D169,'PLAN BUDGET SAMI-TF'!J12:J99999,SUMMARY!A169&amp;"*")</f>
        <v>0</v>
      </c>
      <c r="Y169" s="10">
        <f>SUMIFS('PLAN BUDGET SAMI-TF'!BK12:BK99999,'PLAN BUDGET SAMI-TF'!D12:D99999,SUMMARY!D169,'PLAN BUDGET SAMI-TF'!J12:J99999,SUMMARY!A169&amp;"*")</f>
        <v>0</v>
      </c>
      <c r="Z169" s="10">
        <f>SUMIFS('PLAN BUDGET SAMI-TF'!BL12:BL99999,'PLAN BUDGET SAMI-TF'!D12:D99999,SUMMARY!D169,'PLAN BUDGET SAMI-TF'!J12:J99999,SUMMARY!A169&amp;"*")</f>
        <v>0</v>
      </c>
      <c r="AA169" s="10">
        <f>SUMIFS('PLAN BUDGET SAMI-TF'!BM12:BM99999,'PLAN BUDGET SAMI-TF'!D12:D99999,SUMMARY!D169,'PLAN BUDGET SAMI-TF'!J12:J99999,SUMMARY!A169&amp;"*")</f>
        <v>0</v>
      </c>
      <c r="AB169" s="10">
        <f>SUMIFS('PLAN BUDGET SAMI-TF'!BN12:BN99999,'PLAN BUDGET SAMI-TF'!D12:D99999,SUMMARY!D169,'PLAN BUDGET SAMI-TF'!J12:J99999,SUMMARY!A169&amp;"*")</f>
        <v>0</v>
      </c>
      <c r="AC169" s="10">
        <f t="shared" ref="AC169:AC184" si="20">SUM(E169:P169)</f>
        <v>0</v>
      </c>
      <c r="AD169" s="10">
        <f t="shared" ref="AD169:AD184" si="21">SUM(Q169:AB169)</f>
        <v>0</v>
      </c>
      <c r="AE169" s="16"/>
      <c r="AF169" s="10">
        <v>48</v>
      </c>
      <c r="AG169" s="10">
        <v>22804.635761589001</v>
      </c>
      <c r="AH169" s="20">
        <f t="shared" ref="AH169:AH184" si="22">IFERROR((AC169-AF169)/AF169,1)</f>
        <v>-1</v>
      </c>
      <c r="AI169" s="20">
        <f t="shared" ref="AI169:AI184" si="23">IFERROR((AD169-AG169)/AG169,1)</f>
        <v>-1</v>
      </c>
      <c r="AJ169" s="7" t="s">
        <v>743</v>
      </c>
    </row>
    <row r="170" spans="1:36" x14ac:dyDescent="0.35">
      <c r="A170" s="7" t="s">
        <v>498</v>
      </c>
      <c r="B170" s="7"/>
      <c r="C170" s="7"/>
      <c r="D170" s="7" t="s">
        <v>226</v>
      </c>
      <c r="E170" s="10">
        <f>SUMIFS('PLAN BUDGET SAMI-TF'!AN12:AN99999,'PLAN BUDGET SAMI-TF'!D12:D99999,SUMMARY!D170,'PLAN BUDGET SAMI-TF'!J12:J99999,SUMMARY!A170&amp;"*")</f>
        <v>0</v>
      </c>
      <c r="F170" s="10">
        <f>SUMIFS('PLAN BUDGET SAMI-TF'!AO12:AO99999,'PLAN BUDGET SAMI-TF'!D12:D99999,SUMMARY!D170,'PLAN BUDGET SAMI-TF'!J12:J99999,SUMMARY!A170&amp;"*")</f>
        <v>0</v>
      </c>
      <c r="G170" s="10">
        <f>SUMIFS('PLAN BUDGET SAMI-TF'!AP12:AP99999,'PLAN BUDGET SAMI-TF'!D12:D99999,SUMMARY!D170,'PLAN BUDGET SAMI-TF'!J12:J99999,SUMMARY!A170&amp;"*")</f>
        <v>0</v>
      </c>
      <c r="H170" s="10">
        <f>SUMIFS('PLAN BUDGET SAMI-TF'!AQ12:AQ99999,'PLAN BUDGET SAMI-TF'!D12:D99999,SUMMARY!D170,'PLAN BUDGET SAMI-TF'!J12:J99999,SUMMARY!A170&amp;"*")</f>
        <v>0</v>
      </c>
      <c r="I170" s="10">
        <f>SUMIFS('PLAN BUDGET SAMI-TF'!AR12:AR99999,'PLAN BUDGET SAMI-TF'!D12:D99999,SUMMARY!D170,'PLAN BUDGET SAMI-TF'!J12:J99999,SUMMARY!A170&amp;"*")</f>
        <v>0</v>
      </c>
      <c r="J170" s="10">
        <f>SUMIFS('PLAN BUDGET SAMI-TF'!AS12:AS99999,'PLAN BUDGET SAMI-TF'!D12:D99999,SUMMARY!D170,'PLAN BUDGET SAMI-TF'!J12:J99999,SUMMARY!A170&amp;"*")</f>
        <v>0</v>
      </c>
      <c r="K170" s="10">
        <f>SUMIFS('PLAN BUDGET SAMI-TF'!AT12:AT99999,'PLAN BUDGET SAMI-TF'!D12:D99999,SUMMARY!D170,'PLAN BUDGET SAMI-TF'!J12:J99999,SUMMARY!A170&amp;"*")</f>
        <v>0</v>
      </c>
      <c r="L170" s="10">
        <f>SUMIFS('PLAN BUDGET SAMI-TF'!AU12:AU99999,'PLAN BUDGET SAMI-TF'!D12:D99999,SUMMARY!D170,'PLAN BUDGET SAMI-TF'!J12:J99999,SUMMARY!A170&amp;"*")</f>
        <v>0</v>
      </c>
      <c r="M170" s="10">
        <f>SUMIFS('PLAN BUDGET SAMI-TF'!AV12:AV99999,'PLAN BUDGET SAMI-TF'!D12:D99999,SUMMARY!D170,'PLAN BUDGET SAMI-TF'!J12:J99999,SUMMARY!A170&amp;"*")</f>
        <v>0</v>
      </c>
      <c r="N170" s="10">
        <f>SUMIFS('PLAN BUDGET SAMI-TF'!AW12:AW99999,'PLAN BUDGET SAMI-TF'!D12:D99999,SUMMARY!D170,'PLAN BUDGET SAMI-TF'!J12:J99999,SUMMARY!A170&amp;"*")</f>
        <v>0</v>
      </c>
      <c r="O170" s="10">
        <f>SUMIFS('PLAN BUDGET SAMI-TF'!AX12:AX99999,'PLAN BUDGET SAMI-TF'!D12:D99999,SUMMARY!D170,'PLAN BUDGET SAMI-TF'!J12:J99999,SUMMARY!A170&amp;"*")</f>
        <v>0</v>
      </c>
      <c r="P170" s="10">
        <f>SUMIFS('PLAN BUDGET SAMI-TF'!AY12:AY99999,'PLAN BUDGET SAMI-TF'!D12:D99999,SUMMARY!D170,'PLAN BUDGET SAMI-TF'!J12:J99999,SUMMARY!A170&amp;"*")</f>
        <v>0</v>
      </c>
      <c r="Q170" s="10">
        <f>SUMIFS('PLAN BUDGET SAMI-TF'!BC12:BC99999,'PLAN BUDGET SAMI-TF'!D12:D99999,SUMMARY!D170,'PLAN BUDGET SAMI-TF'!J12:J99999,SUMMARY!A170&amp;"*")</f>
        <v>0</v>
      </c>
      <c r="R170" s="10">
        <f>SUMIFS('PLAN BUDGET SAMI-TF'!BD12:BD99999,'PLAN BUDGET SAMI-TF'!D12:D99999,SUMMARY!D170,'PLAN BUDGET SAMI-TF'!J12:J99999,SUMMARY!A170&amp;"*")</f>
        <v>0</v>
      </c>
      <c r="S170" s="10">
        <f>SUMIFS('PLAN BUDGET SAMI-TF'!BE12:BE99999,'PLAN BUDGET SAMI-TF'!D12:D99999,SUMMARY!D170,'PLAN BUDGET SAMI-TF'!J12:J99999,SUMMARY!A170&amp;"*")</f>
        <v>0</v>
      </c>
      <c r="T170" s="10">
        <f>SUMIFS('PLAN BUDGET SAMI-TF'!BF12:BF99999,'PLAN BUDGET SAMI-TF'!D12:D99999,SUMMARY!D170,'PLAN BUDGET SAMI-TF'!J12:J99999,SUMMARY!A170&amp;"*")</f>
        <v>0</v>
      </c>
      <c r="U170" s="10">
        <f>SUMIFS('PLAN BUDGET SAMI-TF'!BG12:BG99999,'PLAN BUDGET SAMI-TF'!D12:D99999,SUMMARY!D170,'PLAN BUDGET SAMI-TF'!J12:J99999,SUMMARY!A170&amp;"*")</f>
        <v>0</v>
      </c>
      <c r="V170" s="10">
        <f>SUMIFS('PLAN BUDGET SAMI-TF'!BH12:BH99999,'PLAN BUDGET SAMI-TF'!D12:D99999,SUMMARY!D170,'PLAN BUDGET SAMI-TF'!J12:J99999,SUMMARY!A170&amp;"*")</f>
        <v>0</v>
      </c>
      <c r="W170" s="10">
        <f>SUMIFS('PLAN BUDGET SAMI-TF'!BI12:BI99999,'PLAN BUDGET SAMI-TF'!D12:D99999,SUMMARY!D170,'PLAN BUDGET SAMI-TF'!J12:J99999,SUMMARY!A170&amp;"*")</f>
        <v>0</v>
      </c>
      <c r="X170" s="10">
        <f>SUMIFS('PLAN BUDGET SAMI-TF'!BJ12:BJ99999,'PLAN BUDGET SAMI-TF'!D12:D99999,SUMMARY!D170,'PLAN BUDGET SAMI-TF'!J12:J99999,SUMMARY!A170&amp;"*")</f>
        <v>0</v>
      </c>
      <c r="Y170" s="10">
        <f>SUMIFS('PLAN BUDGET SAMI-TF'!BK12:BK99999,'PLAN BUDGET SAMI-TF'!D12:D99999,SUMMARY!D170,'PLAN BUDGET SAMI-TF'!J12:J99999,SUMMARY!A170&amp;"*")</f>
        <v>0</v>
      </c>
      <c r="Z170" s="10">
        <f>SUMIFS('PLAN BUDGET SAMI-TF'!BL12:BL99999,'PLAN BUDGET SAMI-TF'!D12:D99999,SUMMARY!D170,'PLAN BUDGET SAMI-TF'!J12:J99999,SUMMARY!A170&amp;"*")</f>
        <v>0</v>
      </c>
      <c r="AA170" s="10">
        <f>SUMIFS('PLAN BUDGET SAMI-TF'!BM12:BM99999,'PLAN BUDGET SAMI-TF'!D12:D99999,SUMMARY!D170,'PLAN BUDGET SAMI-TF'!J12:J99999,SUMMARY!A170&amp;"*")</f>
        <v>0</v>
      </c>
      <c r="AB170" s="10">
        <f>SUMIFS('PLAN BUDGET SAMI-TF'!BN12:BN99999,'PLAN BUDGET SAMI-TF'!D12:D99999,SUMMARY!D170,'PLAN BUDGET SAMI-TF'!J12:J99999,SUMMARY!A170&amp;"*")</f>
        <v>0</v>
      </c>
      <c r="AC170" s="10">
        <f t="shared" si="20"/>
        <v>0</v>
      </c>
      <c r="AD170" s="10">
        <f t="shared" si="21"/>
        <v>0</v>
      </c>
      <c r="AE170" s="16"/>
      <c r="AF170" s="10">
        <v>2</v>
      </c>
      <c r="AG170" s="10">
        <v>1.8989024343929</v>
      </c>
      <c r="AH170" s="20">
        <f t="shared" si="22"/>
        <v>-1</v>
      </c>
      <c r="AI170" s="20">
        <f t="shared" si="23"/>
        <v>-1</v>
      </c>
      <c r="AJ170" s="7" t="s">
        <v>743</v>
      </c>
    </row>
    <row r="171" spans="1:36" x14ac:dyDescent="0.35">
      <c r="A171" s="7" t="s">
        <v>498</v>
      </c>
      <c r="B171" s="7"/>
      <c r="C171" s="7"/>
      <c r="D171" s="7" t="s">
        <v>75</v>
      </c>
      <c r="E171" s="10">
        <f>SUMIFS('PLAN BUDGET SAMI-TF'!AN12:AN99999,'PLAN BUDGET SAMI-TF'!D12:D99999,SUMMARY!D171,'PLAN BUDGET SAMI-TF'!J12:J99999,SUMMARY!A171&amp;"*")</f>
        <v>0</v>
      </c>
      <c r="F171" s="10">
        <f>SUMIFS('PLAN BUDGET SAMI-TF'!AO12:AO99999,'PLAN BUDGET SAMI-TF'!D12:D99999,SUMMARY!D171,'PLAN BUDGET SAMI-TF'!J12:J99999,SUMMARY!A171&amp;"*")</f>
        <v>0</v>
      </c>
      <c r="G171" s="10">
        <f>SUMIFS('PLAN BUDGET SAMI-TF'!AP12:AP99999,'PLAN BUDGET SAMI-TF'!D12:D99999,SUMMARY!D171,'PLAN BUDGET SAMI-TF'!J12:J99999,SUMMARY!A171&amp;"*")</f>
        <v>0</v>
      </c>
      <c r="H171" s="10">
        <f>SUMIFS('PLAN BUDGET SAMI-TF'!AQ12:AQ99999,'PLAN BUDGET SAMI-TF'!D12:D99999,SUMMARY!D171,'PLAN BUDGET SAMI-TF'!J12:J99999,SUMMARY!A171&amp;"*")</f>
        <v>0</v>
      </c>
      <c r="I171" s="10">
        <f>SUMIFS('PLAN BUDGET SAMI-TF'!AR12:AR99999,'PLAN BUDGET SAMI-TF'!D12:D99999,SUMMARY!D171,'PLAN BUDGET SAMI-TF'!J12:J99999,SUMMARY!A171&amp;"*")</f>
        <v>0</v>
      </c>
      <c r="J171" s="10">
        <f>SUMIFS('PLAN BUDGET SAMI-TF'!AS12:AS99999,'PLAN BUDGET SAMI-TF'!D12:D99999,SUMMARY!D171,'PLAN BUDGET SAMI-TF'!J12:J99999,SUMMARY!A171&amp;"*")</f>
        <v>0</v>
      </c>
      <c r="K171" s="10">
        <f>SUMIFS('PLAN BUDGET SAMI-TF'!AT12:AT99999,'PLAN BUDGET SAMI-TF'!D12:D99999,SUMMARY!D171,'PLAN BUDGET SAMI-TF'!J12:J99999,SUMMARY!A171&amp;"*")</f>
        <v>0</v>
      </c>
      <c r="L171" s="10">
        <f>SUMIFS('PLAN BUDGET SAMI-TF'!AU12:AU99999,'PLAN BUDGET SAMI-TF'!D12:D99999,SUMMARY!D171,'PLAN BUDGET SAMI-TF'!J12:J99999,SUMMARY!A171&amp;"*")</f>
        <v>0</v>
      </c>
      <c r="M171" s="10">
        <f>SUMIFS('PLAN BUDGET SAMI-TF'!AV12:AV99999,'PLAN BUDGET SAMI-TF'!D12:D99999,SUMMARY!D171,'PLAN BUDGET SAMI-TF'!J12:J99999,SUMMARY!A171&amp;"*")</f>
        <v>0</v>
      </c>
      <c r="N171" s="10">
        <f>SUMIFS('PLAN BUDGET SAMI-TF'!AW12:AW99999,'PLAN BUDGET SAMI-TF'!D12:D99999,SUMMARY!D171,'PLAN BUDGET SAMI-TF'!J12:J99999,SUMMARY!A171&amp;"*")</f>
        <v>0</v>
      </c>
      <c r="O171" s="10">
        <f>SUMIFS('PLAN BUDGET SAMI-TF'!AX12:AX99999,'PLAN BUDGET SAMI-TF'!D12:D99999,SUMMARY!D171,'PLAN BUDGET SAMI-TF'!J12:J99999,SUMMARY!A171&amp;"*")</f>
        <v>0</v>
      </c>
      <c r="P171" s="10">
        <f>SUMIFS('PLAN BUDGET SAMI-TF'!AY12:AY99999,'PLAN BUDGET SAMI-TF'!D12:D99999,SUMMARY!D171,'PLAN BUDGET SAMI-TF'!J12:J99999,SUMMARY!A171&amp;"*")</f>
        <v>0</v>
      </c>
      <c r="Q171" s="10">
        <f>SUMIFS('PLAN BUDGET SAMI-TF'!BC12:BC99999,'PLAN BUDGET SAMI-TF'!D12:D99999,SUMMARY!D171,'PLAN BUDGET SAMI-TF'!J12:J99999,SUMMARY!A171&amp;"*")</f>
        <v>0</v>
      </c>
      <c r="R171" s="10">
        <f>SUMIFS('PLAN BUDGET SAMI-TF'!BD12:BD99999,'PLAN BUDGET SAMI-TF'!D12:D99999,SUMMARY!D171,'PLAN BUDGET SAMI-TF'!J12:J99999,SUMMARY!A171&amp;"*")</f>
        <v>0</v>
      </c>
      <c r="S171" s="10">
        <f>SUMIFS('PLAN BUDGET SAMI-TF'!BE12:BE99999,'PLAN BUDGET SAMI-TF'!D12:D99999,SUMMARY!D171,'PLAN BUDGET SAMI-TF'!J12:J99999,SUMMARY!A171&amp;"*")</f>
        <v>0</v>
      </c>
      <c r="T171" s="10">
        <f>SUMIFS('PLAN BUDGET SAMI-TF'!BF12:BF99999,'PLAN BUDGET SAMI-TF'!D12:D99999,SUMMARY!D171,'PLAN BUDGET SAMI-TF'!J12:J99999,SUMMARY!A171&amp;"*")</f>
        <v>0</v>
      </c>
      <c r="U171" s="10">
        <f>SUMIFS('PLAN BUDGET SAMI-TF'!BG12:BG99999,'PLAN BUDGET SAMI-TF'!D12:D99999,SUMMARY!D171,'PLAN BUDGET SAMI-TF'!J12:J99999,SUMMARY!A171&amp;"*")</f>
        <v>0</v>
      </c>
      <c r="V171" s="10">
        <f>SUMIFS('PLAN BUDGET SAMI-TF'!BH12:BH99999,'PLAN BUDGET SAMI-TF'!D12:D99999,SUMMARY!D171,'PLAN BUDGET SAMI-TF'!J12:J99999,SUMMARY!A171&amp;"*")</f>
        <v>0</v>
      </c>
      <c r="W171" s="10">
        <f>SUMIFS('PLAN BUDGET SAMI-TF'!BI12:BI99999,'PLAN BUDGET SAMI-TF'!D12:D99999,SUMMARY!D171,'PLAN BUDGET SAMI-TF'!J12:J99999,SUMMARY!A171&amp;"*")</f>
        <v>0</v>
      </c>
      <c r="X171" s="10">
        <f>SUMIFS('PLAN BUDGET SAMI-TF'!BJ12:BJ99999,'PLAN BUDGET SAMI-TF'!D12:D99999,SUMMARY!D171,'PLAN BUDGET SAMI-TF'!J12:J99999,SUMMARY!A171&amp;"*")</f>
        <v>0</v>
      </c>
      <c r="Y171" s="10">
        <f>SUMIFS('PLAN BUDGET SAMI-TF'!BK12:BK99999,'PLAN BUDGET SAMI-TF'!D12:D99999,SUMMARY!D171,'PLAN BUDGET SAMI-TF'!J12:J99999,SUMMARY!A171&amp;"*")</f>
        <v>0</v>
      </c>
      <c r="Z171" s="10">
        <f>SUMIFS('PLAN BUDGET SAMI-TF'!BL12:BL99999,'PLAN BUDGET SAMI-TF'!D12:D99999,SUMMARY!D171,'PLAN BUDGET SAMI-TF'!J12:J99999,SUMMARY!A171&amp;"*")</f>
        <v>0</v>
      </c>
      <c r="AA171" s="10">
        <f>SUMIFS('PLAN BUDGET SAMI-TF'!BM12:BM99999,'PLAN BUDGET SAMI-TF'!D12:D99999,SUMMARY!D171,'PLAN BUDGET SAMI-TF'!J12:J99999,SUMMARY!A171&amp;"*")</f>
        <v>0</v>
      </c>
      <c r="AB171" s="10">
        <f>SUMIFS('PLAN BUDGET SAMI-TF'!BN12:BN99999,'PLAN BUDGET SAMI-TF'!D12:D99999,SUMMARY!D171,'PLAN BUDGET SAMI-TF'!J12:J99999,SUMMARY!A171&amp;"*")</f>
        <v>0</v>
      </c>
      <c r="AC171" s="10">
        <f t="shared" si="20"/>
        <v>0</v>
      </c>
      <c r="AD171" s="10">
        <f t="shared" si="21"/>
        <v>0</v>
      </c>
      <c r="AE171" s="16"/>
      <c r="AF171" s="10">
        <v>50</v>
      </c>
      <c r="AG171" s="10">
        <v>23.736280429912</v>
      </c>
      <c r="AH171" s="20">
        <f t="shared" si="22"/>
        <v>-1</v>
      </c>
      <c r="AI171" s="20">
        <f t="shared" si="23"/>
        <v>-1</v>
      </c>
      <c r="AJ171" s="7" t="s">
        <v>743</v>
      </c>
    </row>
    <row r="172" spans="1:36" x14ac:dyDescent="0.35">
      <c r="A172" s="7" t="s">
        <v>498</v>
      </c>
      <c r="B172" s="7"/>
      <c r="C172" s="7"/>
      <c r="D172" s="7" t="s">
        <v>793</v>
      </c>
      <c r="E172" s="10">
        <f>SUMIFS('PLAN BUDGET SAMI-TF'!AN12:AN99999,'PLAN BUDGET SAMI-TF'!D12:D99999,SUMMARY!D172,'PLAN BUDGET SAMI-TF'!J12:J99999,SUMMARY!A172&amp;"*")</f>
        <v>0</v>
      </c>
      <c r="F172" s="10">
        <f>SUMIFS('PLAN BUDGET SAMI-TF'!AO12:AO99999,'PLAN BUDGET SAMI-TF'!D12:D99999,SUMMARY!D172,'PLAN BUDGET SAMI-TF'!J12:J99999,SUMMARY!A172&amp;"*")</f>
        <v>0</v>
      </c>
      <c r="G172" s="10">
        <f>SUMIFS('PLAN BUDGET SAMI-TF'!AP12:AP99999,'PLAN BUDGET SAMI-TF'!D12:D99999,SUMMARY!D172,'PLAN BUDGET SAMI-TF'!J12:J99999,SUMMARY!A172&amp;"*")</f>
        <v>0</v>
      </c>
      <c r="H172" s="10">
        <f>SUMIFS('PLAN BUDGET SAMI-TF'!AQ12:AQ99999,'PLAN BUDGET SAMI-TF'!D12:D99999,SUMMARY!D172,'PLAN BUDGET SAMI-TF'!J12:J99999,SUMMARY!A172&amp;"*")</f>
        <v>0</v>
      </c>
      <c r="I172" s="10">
        <f>SUMIFS('PLAN BUDGET SAMI-TF'!AR12:AR99999,'PLAN BUDGET SAMI-TF'!D12:D99999,SUMMARY!D172,'PLAN BUDGET SAMI-TF'!J12:J99999,SUMMARY!A172&amp;"*")</f>
        <v>0</v>
      </c>
      <c r="J172" s="10">
        <f>SUMIFS('PLAN BUDGET SAMI-TF'!AS12:AS99999,'PLAN BUDGET SAMI-TF'!D12:D99999,SUMMARY!D172,'PLAN BUDGET SAMI-TF'!J12:J99999,SUMMARY!A172&amp;"*")</f>
        <v>0</v>
      </c>
      <c r="K172" s="10">
        <f>SUMIFS('PLAN BUDGET SAMI-TF'!AT12:AT99999,'PLAN BUDGET SAMI-TF'!D12:D99999,SUMMARY!D172,'PLAN BUDGET SAMI-TF'!J12:J99999,SUMMARY!A172&amp;"*")</f>
        <v>0</v>
      </c>
      <c r="L172" s="10">
        <f>SUMIFS('PLAN BUDGET SAMI-TF'!AU12:AU99999,'PLAN BUDGET SAMI-TF'!D12:D99999,SUMMARY!D172,'PLAN BUDGET SAMI-TF'!J12:J99999,SUMMARY!A172&amp;"*")</f>
        <v>0</v>
      </c>
      <c r="M172" s="10">
        <f>SUMIFS('PLAN BUDGET SAMI-TF'!AV12:AV99999,'PLAN BUDGET SAMI-TF'!D12:D99999,SUMMARY!D172,'PLAN BUDGET SAMI-TF'!J12:J99999,SUMMARY!A172&amp;"*")</f>
        <v>0</v>
      </c>
      <c r="N172" s="10">
        <f>SUMIFS('PLAN BUDGET SAMI-TF'!AW12:AW99999,'PLAN BUDGET SAMI-TF'!D12:D99999,SUMMARY!D172,'PLAN BUDGET SAMI-TF'!J12:J99999,SUMMARY!A172&amp;"*")</f>
        <v>0</v>
      </c>
      <c r="O172" s="10">
        <f>SUMIFS('PLAN BUDGET SAMI-TF'!AX12:AX99999,'PLAN BUDGET SAMI-TF'!D12:D99999,SUMMARY!D172,'PLAN BUDGET SAMI-TF'!J12:J99999,SUMMARY!A172&amp;"*")</f>
        <v>0</v>
      </c>
      <c r="P172" s="10">
        <f>SUMIFS('PLAN BUDGET SAMI-TF'!AY12:AY99999,'PLAN BUDGET SAMI-TF'!D12:D99999,SUMMARY!D172,'PLAN BUDGET SAMI-TF'!J12:J99999,SUMMARY!A172&amp;"*")</f>
        <v>0</v>
      </c>
      <c r="Q172" s="10">
        <f>SUMIFS('PLAN BUDGET SAMI-TF'!BC12:BC99999,'PLAN BUDGET SAMI-TF'!D12:D99999,SUMMARY!D172,'PLAN BUDGET SAMI-TF'!J12:J99999,SUMMARY!A172&amp;"*")</f>
        <v>0</v>
      </c>
      <c r="R172" s="10">
        <f>SUMIFS('PLAN BUDGET SAMI-TF'!BD12:BD99999,'PLAN BUDGET SAMI-TF'!D12:D99999,SUMMARY!D172,'PLAN BUDGET SAMI-TF'!J12:J99999,SUMMARY!A172&amp;"*")</f>
        <v>0</v>
      </c>
      <c r="S172" s="10">
        <f>SUMIFS('PLAN BUDGET SAMI-TF'!BE12:BE99999,'PLAN BUDGET SAMI-TF'!D12:D99999,SUMMARY!D172,'PLAN BUDGET SAMI-TF'!J12:J99999,SUMMARY!A172&amp;"*")</f>
        <v>0</v>
      </c>
      <c r="T172" s="10">
        <f>SUMIFS('PLAN BUDGET SAMI-TF'!BF12:BF99999,'PLAN BUDGET SAMI-TF'!D12:D99999,SUMMARY!D172,'PLAN BUDGET SAMI-TF'!J12:J99999,SUMMARY!A172&amp;"*")</f>
        <v>0</v>
      </c>
      <c r="U172" s="10">
        <f>SUMIFS('PLAN BUDGET SAMI-TF'!BG12:BG99999,'PLAN BUDGET SAMI-TF'!D12:D99999,SUMMARY!D172,'PLAN BUDGET SAMI-TF'!J12:J99999,SUMMARY!A172&amp;"*")</f>
        <v>0</v>
      </c>
      <c r="V172" s="10">
        <f>SUMIFS('PLAN BUDGET SAMI-TF'!BH12:BH99999,'PLAN BUDGET SAMI-TF'!D12:D99999,SUMMARY!D172,'PLAN BUDGET SAMI-TF'!J12:J99999,SUMMARY!A172&amp;"*")</f>
        <v>0</v>
      </c>
      <c r="W172" s="10">
        <f>SUMIFS('PLAN BUDGET SAMI-TF'!BI12:BI99999,'PLAN BUDGET SAMI-TF'!D12:D99999,SUMMARY!D172,'PLAN BUDGET SAMI-TF'!J12:J99999,SUMMARY!A172&amp;"*")</f>
        <v>0</v>
      </c>
      <c r="X172" s="10">
        <f>SUMIFS('PLAN BUDGET SAMI-TF'!BJ12:BJ99999,'PLAN BUDGET SAMI-TF'!D12:D99999,SUMMARY!D172,'PLAN BUDGET SAMI-TF'!J12:J99999,SUMMARY!A172&amp;"*")</f>
        <v>0</v>
      </c>
      <c r="Y172" s="10">
        <f>SUMIFS('PLAN BUDGET SAMI-TF'!BK12:BK99999,'PLAN BUDGET SAMI-TF'!D12:D99999,SUMMARY!D172,'PLAN BUDGET SAMI-TF'!J12:J99999,SUMMARY!A172&amp;"*")</f>
        <v>0</v>
      </c>
      <c r="Z172" s="10">
        <f>SUMIFS('PLAN BUDGET SAMI-TF'!BL12:BL99999,'PLAN BUDGET SAMI-TF'!D12:D99999,SUMMARY!D172,'PLAN BUDGET SAMI-TF'!J12:J99999,SUMMARY!A172&amp;"*")</f>
        <v>0</v>
      </c>
      <c r="AA172" s="10">
        <f>SUMIFS('PLAN BUDGET SAMI-TF'!BM12:BM99999,'PLAN BUDGET SAMI-TF'!D12:D99999,SUMMARY!D172,'PLAN BUDGET SAMI-TF'!J12:J99999,SUMMARY!A172&amp;"*")</f>
        <v>0</v>
      </c>
      <c r="AB172" s="10">
        <f>SUMIFS('PLAN BUDGET SAMI-TF'!BN12:BN99999,'PLAN BUDGET SAMI-TF'!D12:D99999,SUMMARY!D172,'PLAN BUDGET SAMI-TF'!J12:J99999,SUMMARY!A172&amp;"*")</f>
        <v>0</v>
      </c>
      <c r="AC172" s="10">
        <f t="shared" si="20"/>
        <v>0</v>
      </c>
      <c r="AD172" s="10">
        <f t="shared" si="21"/>
        <v>0</v>
      </c>
      <c r="AE172" s="16"/>
      <c r="AF172" s="10">
        <v>1</v>
      </c>
      <c r="AG172" s="10">
        <v>15.824186953273999</v>
      </c>
      <c r="AH172" s="20">
        <f t="shared" si="22"/>
        <v>-1</v>
      </c>
      <c r="AI172" s="20">
        <f t="shared" si="23"/>
        <v>-1</v>
      </c>
      <c r="AJ172" s="7" t="s">
        <v>743</v>
      </c>
    </row>
    <row r="173" spans="1:36" x14ac:dyDescent="0.35">
      <c r="A173" s="7" t="s">
        <v>498</v>
      </c>
      <c r="B173" s="7"/>
      <c r="C173" s="7"/>
      <c r="D173" s="7" t="s">
        <v>87</v>
      </c>
      <c r="E173" s="10">
        <f>SUMIFS('PLAN BUDGET SAMI-TF'!AN12:AN99999,'PLAN BUDGET SAMI-TF'!D12:D99999,SUMMARY!D173,'PLAN BUDGET SAMI-TF'!J12:J99999,SUMMARY!A173&amp;"*")</f>
        <v>0</v>
      </c>
      <c r="F173" s="10">
        <f>SUMIFS('PLAN BUDGET SAMI-TF'!AO12:AO99999,'PLAN BUDGET SAMI-TF'!D12:D99999,SUMMARY!D173,'PLAN BUDGET SAMI-TF'!J12:J99999,SUMMARY!A173&amp;"*")</f>
        <v>0</v>
      </c>
      <c r="G173" s="10">
        <f>SUMIFS('PLAN BUDGET SAMI-TF'!AP12:AP99999,'PLAN BUDGET SAMI-TF'!D12:D99999,SUMMARY!D173,'PLAN BUDGET SAMI-TF'!J12:J99999,SUMMARY!A173&amp;"*")</f>
        <v>0</v>
      </c>
      <c r="H173" s="10">
        <f>SUMIFS('PLAN BUDGET SAMI-TF'!AQ12:AQ99999,'PLAN BUDGET SAMI-TF'!D12:D99999,SUMMARY!D173,'PLAN BUDGET SAMI-TF'!J12:J99999,SUMMARY!A173&amp;"*")</f>
        <v>0</v>
      </c>
      <c r="I173" s="10">
        <f>SUMIFS('PLAN BUDGET SAMI-TF'!AR12:AR99999,'PLAN BUDGET SAMI-TF'!D12:D99999,SUMMARY!D173,'PLAN BUDGET SAMI-TF'!J12:J99999,SUMMARY!A173&amp;"*")</f>
        <v>0</v>
      </c>
      <c r="J173" s="10">
        <f>SUMIFS('PLAN BUDGET SAMI-TF'!AS12:AS99999,'PLAN BUDGET SAMI-TF'!D12:D99999,SUMMARY!D173,'PLAN BUDGET SAMI-TF'!J12:J99999,SUMMARY!A173&amp;"*")</f>
        <v>0</v>
      </c>
      <c r="K173" s="10">
        <f>SUMIFS('PLAN BUDGET SAMI-TF'!AT12:AT99999,'PLAN BUDGET SAMI-TF'!D12:D99999,SUMMARY!D173,'PLAN BUDGET SAMI-TF'!J12:J99999,SUMMARY!A173&amp;"*")</f>
        <v>0</v>
      </c>
      <c r="L173" s="10">
        <f>SUMIFS('PLAN BUDGET SAMI-TF'!AU12:AU99999,'PLAN BUDGET SAMI-TF'!D12:D99999,SUMMARY!D173,'PLAN BUDGET SAMI-TF'!J12:J99999,SUMMARY!A173&amp;"*")</f>
        <v>0</v>
      </c>
      <c r="M173" s="10">
        <f>SUMIFS('PLAN BUDGET SAMI-TF'!AV12:AV99999,'PLAN BUDGET SAMI-TF'!D12:D99999,SUMMARY!D173,'PLAN BUDGET SAMI-TF'!J12:J99999,SUMMARY!A173&amp;"*")</f>
        <v>0</v>
      </c>
      <c r="N173" s="10">
        <f>SUMIFS('PLAN BUDGET SAMI-TF'!AW12:AW99999,'PLAN BUDGET SAMI-TF'!D12:D99999,SUMMARY!D173,'PLAN BUDGET SAMI-TF'!J12:J99999,SUMMARY!A173&amp;"*")</f>
        <v>0</v>
      </c>
      <c r="O173" s="10">
        <f>SUMIFS('PLAN BUDGET SAMI-TF'!AX12:AX99999,'PLAN BUDGET SAMI-TF'!D12:D99999,SUMMARY!D173,'PLAN BUDGET SAMI-TF'!J12:J99999,SUMMARY!A173&amp;"*")</f>
        <v>0</v>
      </c>
      <c r="P173" s="10">
        <f>SUMIFS('PLAN BUDGET SAMI-TF'!AY12:AY99999,'PLAN BUDGET SAMI-TF'!D12:D99999,SUMMARY!D173,'PLAN BUDGET SAMI-TF'!J12:J99999,SUMMARY!A173&amp;"*")</f>
        <v>0</v>
      </c>
      <c r="Q173" s="10">
        <f>SUMIFS('PLAN BUDGET SAMI-TF'!BC12:BC99999,'PLAN BUDGET SAMI-TF'!D12:D99999,SUMMARY!D173,'PLAN BUDGET SAMI-TF'!J12:J99999,SUMMARY!A173&amp;"*")</f>
        <v>0</v>
      </c>
      <c r="R173" s="10">
        <f>SUMIFS('PLAN BUDGET SAMI-TF'!BD12:BD99999,'PLAN BUDGET SAMI-TF'!D12:D99999,SUMMARY!D173,'PLAN BUDGET SAMI-TF'!J12:J99999,SUMMARY!A173&amp;"*")</f>
        <v>0</v>
      </c>
      <c r="S173" s="10">
        <f>SUMIFS('PLAN BUDGET SAMI-TF'!BE12:BE99999,'PLAN BUDGET SAMI-TF'!D12:D99999,SUMMARY!D173,'PLAN BUDGET SAMI-TF'!J12:J99999,SUMMARY!A173&amp;"*")</f>
        <v>0</v>
      </c>
      <c r="T173" s="10">
        <f>SUMIFS('PLAN BUDGET SAMI-TF'!BF12:BF99999,'PLAN BUDGET SAMI-TF'!D12:D99999,SUMMARY!D173,'PLAN BUDGET SAMI-TF'!J12:J99999,SUMMARY!A173&amp;"*")</f>
        <v>0</v>
      </c>
      <c r="U173" s="10">
        <f>SUMIFS('PLAN BUDGET SAMI-TF'!BG12:BG99999,'PLAN BUDGET SAMI-TF'!D12:D99999,SUMMARY!D173,'PLAN BUDGET SAMI-TF'!J12:J99999,SUMMARY!A173&amp;"*")</f>
        <v>0</v>
      </c>
      <c r="V173" s="10">
        <f>SUMIFS('PLAN BUDGET SAMI-TF'!BH12:BH99999,'PLAN BUDGET SAMI-TF'!D12:D99999,SUMMARY!D173,'PLAN BUDGET SAMI-TF'!J12:J99999,SUMMARY!A173&amp;"*")</f>
        <v>0</v>
      </c>
      <c r="W173" s="10">
        <f>SUMIFS('PLAN BUDGET SAMI-TF'!BI12:BI99999,'PLAN BUDGET SAMI-TF'!D12:D99999,SUMMARY!D173,'PLAN BUDGET SAMI-TF'!J12:J99999,SUMMARY!A173&amp;"*")</f>
        <v>0</v>
      </c>
      <c r="X173" s="10">
        <f>SUMIFS('PLAN BUDGET SAMI-TF'!BJ12:BJ99999,'PLAN BUDGET SAMI-TF'!D12:D99999,SUMMARY!D173,'PLAN BUDGET SAMI-TF'!J12:J99999,SUMMARY!A173&amp;"*")</f>
        <v>0</v>
      </c>
      <c r="Y173" s="10">
        <f>SUMIFS('PLAN BUDGET SAMI-TF'!BK12:BK99999,'PLAN BUDGET SAMI-TF'!D12:D99999,SUMMARY!D173,'PLAN BUDGET SAMI-TF'!J12:J99999,SUMMARY!A173&amp;"*")</f>
        <v>0</v>
      </c>
      <c r="Z173" s="10">
        <f>SUMIFS('PLAN BUDGET SAMI-TF'!BL12:BL99999,'PLAN BUDGET SAMI-TF'!D12:D99999,SUMMARY!D173,'PLAN BUDGET SAMI-TF'!J12:J99999,SUMMARY!A173&amp;"*")</f>
        <v>0</v>
      </c>
      <c r="AA173" s="10">
        <f>SUMIFS('PLAN BUDGET SAMI-TF'!BM12:BM99999,'PLAN BUDGET SAMI-TF'!D12:D99999,SUMMARY!D173,'PLAN BUDGET SAMI-TF'!J12:J99999,SUMMARY!A173&amp;"*")</f>
        <v>0</v>
      </c>
      <c r="AB173" s="10">
        <f>SUMIFS('PLAN BUDGET SAMI-TF'!BN12:BN99999,'PLAN BUDGET SAMI-TF'!D12:D99999,SUMMARY!D173,'PLAN BUDGET SAMI-TF'!J12:J99999,SUMMARY!A173&amp;"*")</f>
        <v>0</v>
      </c>
      <c r="AC173" s="10">
        <f t="shared" si="20"/>
        <v>0</v>
      </c>
      <c r="AD173" s="10">
        <f t="shared" si="21"/>
        <v>0</v>
      </c>
      <c r="AE173" s="16"/>
      <c r="AF173" s="10">
        <v>86</v>
      </c>
      <c r="AG173" s="10">
        <v>313.00241793576998</v>
      </c>
      <c r="AH173" s="20">
        <f t="shared" si="22"/>
        <v>-1</v>
      </c>
      <c r="AI173" s="20">
        <f t="shared" si="23"/>
        <v>-1</v>
      </c>
      <c r="AJ173" s="7" t="s">
        <v>743</v>
      </c>
    </row>
    <row r="174" spans="1:36" x14ac:dyDescent="0.35">
      <c r="A174" s="7" t="s">
        <v>498</v>
      </c>
      <c r="B174" s="7"/>
      <c r="C174" s="7"/>
      <c r="D174" s="7" t="s">
        <v>794</v>
      </c>
      <c r="E174" s="10">
        <f>SUMIFS('PLAN BUDGET SAMI-TF'!AN12:AN99999,'PLAN BUDGET SAMI-TF'!D12:D99999,SUMMARY!D174,'PLAN BUDGET SAMI-TF'!J12:J99999,SUMMARY!A174&amp;"*")</f>
        <v>0</v>
      </c>
      <c r="F174" s="10">
        <f>SUMIFS('PLAN BUDGET SAMI-TF'!AO12:AO99999,'PLAN BUDGET SAMI-TF'!D12:D99999,SUMMARY!D174,'PLAN BUDGET SAMI-TF'!J12:J99999,SUMMARY!A174&amp;"*")</f>
        <v>0</v>
      </c>
      <c r="G174" s="10">
        <f>SUMIFS('PLAN BUDGET SAMI-TF'!AP12:AP99999,'PLAN BUDGET SAMI-TF'!D12:D99999,SUMMARY!D174,'PLAN BUDGET SAMI-TF'!J12:J99999,SUMMARY!A174&amp;"*")</f>
        <v>0</v>
      </c>
      <c r="H174" s="10">
        <f>SUMIFS('PLAN BUDGET SAMI-TF'!AQ12:AQ99999,'PLAN BUDGET SAMI-TF'!D12:D99999,SUMMARY!D174,'PLAN BUDGET SAMI-TF'!J12:J99999,SUMMARY!A174&amp;"*")</f>
        <v>0</v>
      </c>
      <c r="I174" s="10">
        <f>SUMIFS('PLAN BUDGET SAMI-TF'!AR12:AR99999,'PLAN BUDGET SAMI-TF'!D12:D99999,SUMMARY!D174,'PLAN BUDGET SAMI-TF'!J12:J99999,SUMMARY!A174&amp;"*")</f>
        <v>0</v>
      </c>
      <c r="J174" s="10">
        <f>SUMIFS('PLAN BUDGET SAMI-TF'!AS12:AS99999,'PLAN BUDGET SAMI-TF'!D12:D99999,SUMMARY!D174,'PLAN BUDGET SAMI-TF'!J12:J99999,SUMMARY!A174&amp;"*")</f>
        <v>0</v>
      </c>
      <c r="K174" s="10">
        <f>SUMIFS('PLAN BUDGET SAMI-TF'!AT12:AT99999,'PLAN BUDGET SAMI-TF'!D12:D99999,SUMMARY!D174,'PLAN BUDGET SAMI-TF'!J12:J99999,SUMMARY!A174&amp;"*")</f>
        <v>0</v>
      </c>
      <c r="L174" s="10">
        <f>SUMIFS('PLAN BUDGET SAMI-TF'!AU12:AU99999,'PLAN BUDGET SAMI-TF'!D12:D99999,SUMMARY!D174,'PLAN BUDGET SAMI-TF'!J12:J99999,SUMMARY!A174&amp;"*")</f>
        <v>0</v>
      </c>
      <c r="M174" s="10">
        <f>SUMIFS('PLAN BUDGET SAMI-TF'!AV12:AV99999,'PLAN BUDGET SAMI-TF'!D12:D99999,SUMMARY!D174,'PLAN BUDGET SAMI-TF'!J12:J99999,SUMMARY!A174&amp;"*")</f>
        <v>0</v>
      </c>
      <c r="N174" s="10">
        <f>SUMIFS('PLAN BUDGET SAMI-TF'!AW12:AW99999,'PLAN BUDGET SAMI-TF'!D12:D99999,SUMMARY!D174,'PLAN BUDGET SAMI-TF'!J12:J99999,SUMMARY!A174&amp;"*")</f>
        <v>0</v>
      </c>
      <c r="O174" s="10">
        <f>SUMIFS('PLAN BUDGET SAMI-TF'!AX12:AX99999,'PLAN BUDGET SAMI-TF'!D12:D99999,SUMMARY!D174,'PLAN BUDGET SAMI-TF'!J12:J99999,SUMMARY!A174&amp;"*")</f>
        <v>0</v>
      </c>
      <c r="P174" s="10">
        <f>SUMIFS('PLAN BUDGET SAMI-TF'!AY12:AY99999,'PLAN BUDGET SAMI-TF'!D12:D99999,SUMMARY!D174,'PLAN BUDGET SAMI-TF'!J12:J99999,SUMMARY!A174&amp;"*")</f>
        <v>0</v>
      </c>
      <c r="Q174" s="10">
        <f>SUMIFS('PLAN BUDGET SAMI-TF'!BC12:BC99999,'PLAN BUDGET SAMI-TF'!D12:D99999,SUMMARY!D174,'PLAN BUDGET SAMI-TF'!J12:J99999,SUMMARY!A174&amp;"*")</f>
        <v>0</v>
      </c>
      <c r="R174" s="10">
        <f>SUMIFS('PLAN BUDGET SAMI-TF'!BD12:BD99999,'PLAN BUDGET SAMI-TF'!D12:D99999,SUMMARY!D174,'PLAN BUDGET SAMI-TF'!J12:J99999,SUMMARY!A174&amp;"*")</f>
        <v>0</v>
      </c>
      <c r="S174" s="10">
        <f>SUMIFS('PLAN BUDGET SAMI-TF'!BE12:BE99999,'PLAN BUDGET SAMI-TF'!D12:D99999,SUMMARY!D174,'PLAN BUDGET SAMI-TF'!J12:J99999,SUMMARY!A174&amp;"*")</f>
        <v>0</v>
      </c>
      <c r="T174" s="10">
        <f>SUMIFS('PLAN BUDGET SAMI-TF'!BF12:BF99999,'PLAN BUDGET SAMI-TF'!D12:D99999,SUMMARY!D174,'PLAN BUDGET SAMI-TF'!J12:J99999,SUMMARY!A174&amp;"*")</f>
        <v>0</v>
      </c>
      <c r="U174" s="10">
        <f>SUMIFS('PLAN BUDGET SAMI-TF'!BG12:BG99999,'PLAN BUDGET SAMI-TF'!D12:D99999,SUMMARY!D174,'PLAN BUDGET SAMI-TF'!J12:J99999,SUMMARY!A174&amp;"*")</f>
        <v>0</v>
      </c>
      <c r="V174" s="10">
        <f>SUMIFS('PLAN BUDGET SAMI-TF'!BH12:BH99999,'PLAN BUDGET SAMI-TF'!D12:D99999,SUMMARY!D174,'PLAN BUDGET SAMI-TF'!J12:J99999,SUMMARY!A174&amp;"*")</f>
        <v>0</v>
      </c>
      <c r="W174" s="10">
        <f>SUMIFS('PLAN BUDGET SAMI-TF'!BI12:BI99999,'PLAN BUDGET SAMI-TF'!D12:D99999,SUMMARY!D174,'PLAN BUDGET SAMI-TF'!J12:J99999,SUMMARY!A174&amp;"*")</f>
        <v>0</v>
      </c>
      <c r="X174" s="10">
        <f>SUMIFS('PLAN BUDGET SAMI-TF'!BJ12:BJ99999,'PLAN BUDGET SAMI-TF'!D12:D99999,SUMMARY!D174,'PLAN BUDGET SAMI-TF'!J12:J99999,SUMMARY!A174&amp;"*")</f>
        <v>0</v>
      </c>
      <c r="Y174" s="10">
        <f>SUMIFS('PLAN BUDGET SAMI-TF'!BK12:BK99999,'PLAN BUDGET SAMI-TF'!D12:D99999,SUMMARY!D174,'PLAN BUDGET SAMI-TF'!J12:J99999,SUMMARY!A174&amp;"*")</f>
        <v>0</v>
      </c>
      <c r="Z174" s="10">
        <f>SUMIFS('PLAN BUDGET SAMI-TF'!BL12:BL99999,'PLAN BUDGET SAMI-TF'!D12:D99999,SUMMARY!D174,'PLAN BUDGET SAMI-TF'!J12:J99999,SUMMARY!A174&amp;"*")</f>
        <v>0</v>
      </c>
      <c r="AA174" s="10">
        <f>SUMIFS('PLAN BUDGET SAMI-TF'!BM12:BM99999,'PLAN BUDGET SAMI-TF'!D12:D99999,SUMMARY!D174,'PLAN BUDGET SAMI-TF'!J12:J99999,SUMMARY!A174&amp;"*")</f>
        <v>0</v>
      </c>
      <c r="AB174" s="10">
        <f>SUMIFS('PLAN BUDGET SAMI-TF'!BN12:BN99999,'PLAN BUDGET SAMI-TF'!D12:D99999,SUMMARY!D174,'PLAN BUDGET SAMI-TF'!J12:J99999,SUMMARY!A174&amp;"*")</f>
        <v>0</v>
      </c>
      <c r="AC174" s="10">
        <f t="shared" si="20"/>
        <v>0</v>
      </c>
      <c r="AD174" s="10">
        <f t="shared" si="21"/>
        <v>0</v>
      </c>
      <c r="AE174" s="16"/>
      <c r="AF174" s="10">
        <v>3</v>
      </c>
      <c r="AG174" s="10">
        <v>4.7472560859822996</v>
      </c>
      <c r="AH174" s="20">
        <f t="shared" si="22"/>
        <v>-1</v>
      </c>
      <c r="AI174" s="20">
        <f t="shared" si="23"/>
        <v>-1</v>
      </c>
      <c r="AJ174" s="7" t="s">
        <v>743</v>
      </c>
    </row>
    <row r="175" spans="1:36" x14ac:dyDescent="0.35">
      <c r="A175" s="7" t="s">
        <v>498</v>
      </c>
      <c r="B175" s="7"/>
      <c r="C175" s="7"/>
      <c r="D175" s="7" t="s">
        <v>79</v>
      </c>
      <c r="E175" s="10">
        <f>SUMIFS('PLAN BUDGET SAMI-TF'!AN12:AN99999,'PLAN BUDGET SAMI-TF'!D12:D99999,SUMMARY!D175,'PLAN BUDGET SAMI-TF'!J12:J99999,SUMMARY!A175&amp;"*")</f>
        <v>0</v>
      </c>
      <c r="F175" s="10">
        <f>SUMIFS('PLAN BUDGET SAMI-TF'!AO12:AO99999,'PLAN BUDGET SAMI-TF'!D12:D99999,SUMMARY!D175,'PLAN BUDGET SAMI-TF'!J12:J99999,SUMMARY!A175&amp;"*")</f>
        <v>0</v>
      </c>
      <c r="G175" s="10">
        <f>SUMIFS('PLAN BUDGET SAMI-TF'!AP12:AP99999,'PLAN BUDGET SAMI-TF'!D12:D99999,SUMMARY!D175,'PLAN BUDGET SAMI-TF'!J12:J99999,SUMMARY!A175&amp;"*")</f>
        <v>0</v>
      </c>
      <c r="H175" s="10">
        <f>SUMIFS('PLAN BUDGET SAMI-TF'!AQ12:AQ99999,'PLAN BUDGET SAMI-TF'!D12:D99999,SUMMARY!D175,'PLAN BUDGET SAMI-TF'!J12:J99999,SUMMARY!A175&amp;"*")</f>
        <v>0</v>
      </c>
      <c r="I175" s="10">
        <f>SUMIFS('PLAN BUDGET SAMI-TF'!AR12:AR99999,'PLAN BUDGET SAMI-TF'!D12:D99999,SUMMARY!D175,'PLAN BUDGET SAMI-TF'!J12:J99999,SUMMARY!A175&amp;"*")</f>
        <v>0</v>
      </c>
      <c r="J175" s="10">
        <f>SUMIFS('PLAN BUDGET SAMI-TF'!AS12:AS99999,'PLAN BUDGET SAMI-TF'!D12:D99999,SUMMARY!D175,'PLAN BUDGET SAMI-TF'!J12:J99999,SUMMARY!A175&amp;"*")</f>
        <v>0</v>
      </c>
      <c r="K175" s="10">
        <f>SUMIFS('PLAN BUDGET SAMI-TF'!AT12:AT99999,'PLAN BUDGET SAMI-TF'!D12:D99999,SUMMARY!D175,'PLAN BUDGET SAMI-TF'!J12:J99999,SUMMARY!A175&amp;"*")</f>
        <v>0</v>
      </c>
      <c r="L175" s="10">
        <f>SUMIFS('PLAN BUDGET SAMI-TF'!AU12:AU99999,'PLAN BUDGET SAMI-TF'!D12:D99999,SUMMARY!D175,'PLAN BUDGET SAMI-TF'!J12:J99999,SUMMARY!A175&amp;"*")</f>
        <v>0</v>
      </c>
      <c r="M175" s="10">
        <f>SUMIFS('PLAN BUDGET SAMI-TF'!AV12:AV99999,'PLAN BUDGET SAMI-TF'!D12:D99999,SUMMARY!D175,'PLAN BUDGET SAMI-TF'!J12:J99999,SUMMARY!A175&amp;"*")</f>
        <v>0</v>
      </c>
      <c r="N175" s="10">
        <f>SUMIFS('PLAN BUDGET SAMI-TF'!AW12:AW99999,'PLAN BUDGET SAMI-TF'!D12:D99999,SUMMARY!D175,'PLAN BUDGET SAMI-TF'!J12:J99999,SUMMARY!A175&amp;"*")</f>
        <v>0</v>
      </c>
      <c r="O175" s="10">
        <f>SUMIFS('PLAN BUDGET SAMI-TF'!AX12:AX99999,'PLAN BUDGET SAMI-TF'!D12:D99999,SUMMARY!D175,'PLAN BUDGET SAMI-TF'!J12:J99999,SUMMARY!A175&amp;"*")</f>
        <v>0</v>
      </c>
      <c r="P175" s="10">
        <f>SUMIFS('PLAN BUDGET SAMI-TF'!AY12:AY99999,'PLAN BUDGET SAMI-TF'!D12:D99999,SUMMARY!D175,'PLAN BUDGET SAMI-TF'!J12:J99999,SUMMARY!A175&amp;"*")</f>
        <v>0</v>
      </c>
      <c r="Q175" s="10">
        <f>SUMIFS('PLAN BUDGET SAMI-TF'!BC12:BC99999,'PLAN BUDGET SAMI-TF'!D12:D99999,SUMMARY!D175,'PLAN BUDGET SAMI-TF'!J12:J99999,SUMMARY!A175&amp;"*")</f>
        <v>0</v>
      </c>
      <c r="R175" s="10">
        <f>SUMIFS('PLAN BUDGET SAMI-TF'!BD12:BD99999,'PLAN BUDGET SAMI-TF'!D12:D99999,SUMMARY!D175,'PLAN BUDGET SAMI-TF'!J12:J99999,SUMMARY!A175&amp;"*")</f>
        <v>0</v>
      </c>
      <c r="S175" s="10">
        <f>SUMIFS('PLAN BUDGET SAMI-TF'!BE12:BE99999,'PLAN BUDGET SAMI-TF'!D12:D99999,SUMMARY!D175,'PLAN BUDGET SAMI-TF'!J12:J99999,SUMMARY!A175&amp;"*")</f>
        <v>0</v>
      </c>
      <c r="T175" s="10">
        <f>SUMIFS('PLAN BUDGET SAMI-TF'!BF12:BF99999,'PLAN BUDGET SAMI-TF'!D12:D99999,SUMMARY!D175,'PLAN BUDGET SAMI-TF'!J12:J99999,SUMMARY!A175&amp;"*")</f>
        <v>0</v>
      </c>
      <c r="U175" s="10">
        <f>SUMIFS('PLAN BUDGET SAMI-TF'!BG12:BG99999,'PLAN BUDGET SAMI-TF'!D12:D99999,SUMMARY!D175,'PLAN BUDGET SAMI-TF'!J12:J99999,SUMMARY!A175&amp;"*")</f>
        <v>0</v>
      </c>
      <c r="V175" s="10">
        <f>SUMIFS('PLAN BUDGET SAMI-TF'!BH12:BH99999,'PLAN BUDGET SAMI-TF'!D12:D99999,SUMMARY!D175,'PLAN BUDGET SAMI-TF'!J12:J99999,SUMMARY!A175&amp;"*")</f>
        <v>0</v>
      </c>
      <c r="W175" s="10">
        <f>SUMIFS('PLAN BUDGET SAMI-TF'!BI12:BI99999,'PLAN BUDGET SAMI-TF'!D12:D99999,SUMMARY!D175,'PLAN BUDGET SAMI-TF'!J12:J99999,SUMMARY!A175&amp;"*")</f>
        <v>0</v>
      </c>
      <c r="X175" s="10">
        <f>SUMIFS('PLAN BUDGET SAMI-TF'!BJ12:BJ99999,'PLAN BUDGET SAMI-TF'!D12:D99999,SUMMARY!D175,'PLAN BUDGET SAMI-TF'!J12:J99999,SUMMARY!A175&amp;"*")</f>
        <v>0</v>
      </c>
      <c r="Y175" s="10">
        <f>SUMIFS('PLAN BUDGET SAMI-TF'!BK12:BK99999,'PLAN BUDGET SAMI-TF'!D12:D99999,SUMMARY!D175,'PLAN BUDGET SAMI-TF'!J12:J99999,SUMMARY!A175&amp;"*")</f>
        <v>0</v>
      </c>
      <c r="Z175" s="10">
        <f>SUMIFS('PLAN BUDGET SAMI-TF'!BL12:BL99999,'PLAN BUDGET SAMI-TF'!D12:D99999,SUMMARY!D175,'PLAN BUDGET SAMI-TF'!J12:J99999,SUMMARY!A175&amp;"*")</f>
        <v>0</v>
      </c>
      <c r="AA175" s="10">
        <f>SUMIFS('PLAN BUDGET SAMI-TF'!BM12:BM99999,'PLAN BUDGET SAMI-TF'!D12:D99999,SUMMARY!D175,'PLAN BUDGET SAMI-TF'!J12:J99999,SUMMARY!A175&amp;"*")</f>
        <v>0</v>
      </c>
      <c r="AB175" s="10">
        <f>SUMIFS('PLAN BUDGET SAMI-TF'!BN12:BN99999,'PLAN BUDGET SAMI-TF'!D12:D99999,SUMMARY!D175,'PLAN BUDGET SAMI-TF'!J12:J99999,SUMMARY!A175&amp;"*")</f>
        <v>0</v>
      </c>
      <c r="AC175" s="10">
        <f t="shared" si="20"/>
        <v>0</v>
      </c>
      <c r="AD175" s="10">
        <f t="shared" si="21"/>
        <v>0</v>
      </c>
      <c r="AE175" s="16"/>
      <c r="AF175" s="10">
        <v>15</v>
      </c>
      <c r="AG175" s="10">
        <v>71.208841289735005</v>
      </c>
      <c r="AH175" s="20">
        <f t="shared" si="22"/>
        <v>-1</v>
      </c>
      <c r="AI175" s="20">
        <f t="shared" si="23"/>
        <v>-1</v>
      </c>
      <c r="AJ175" s="7" t="s">
        <v>743</v>
      </c>
    </row>
    <row r="176" spans="1:36" x14ac:dyDescent="0.35">
      <c r="A176" s="7" t="s">
        <v>498</v>
      </c>
      <c r="B176" s="7"/>
      <c r="C176" s="7"/>
      <c r="D176" s="7" t="s">
        <v>795</v>
      </c>
      <c r="E176" s="10">
        <f>SUMIFS('PLAN BUDGET SAMI-TF'!AN12:AN99999,'PLAN BUDGET SAMI-TF'!D12:D99999,SUMMARY!D176,'PLAN BUDGET SAMI-TF'!J12:J99999,SUMMARY!A176&amp;"*")</f>
        <v>0</v>
      </c>
      <c r="F176" s="10">
        <f>SUMIFS('PLAN BUDGET SAMI-TF'!AO12:AO99999,'PLAN BUDGET SAMI-TF'!D12:D99999,SUMMARY!D176,'PLAN BUDGET SAMI-TF'!J12:J99999,SUMMARY!A176&amp;"*")</f>
        <v>0</v>
      </c>
      <c r="G176" s="10">
        <f>SUMIFS('PLAN BUDGET SAMI-TF'!AP12:AP99999,'PLAN BUDGET SAMI-TF'!D12:D99999,SUMMARY!D176,'PLAN BUDGET SAMI-TF'!J12:J99999,SUMMARY!A176&amp;"*")</f>
        <v>0</v>
      </c>
      <c r="H176" s="10">
        <f>SUMIFS('PLAN BUDGET SAMI-TF'!AQ12:AQ99999,'PLAN BUDGET SAMI-TF'!D12:D99999,SUMMARY!D176,'PLAN BUDGET SAMI-TF'!J12:J99999,SUMMARY!A176&amp;"*")</f>
        <v>0</v>
      </c>
      <c r="I176" s="10">
        <f>SUMIFS('PLAN BUDGET SAMI-TF'!AR12:AR99999,'PLAN BUDGET SAMI-TF'!D12:D99999,SUMMARY!D176,'PLAN BUDGET SAMI-TF'!J12:J99999,SUMMARY!A176&amp;"*")</f>
        <v>0</v>
      </c>
      <c r="J176" s="10">
        <f>SUMIFS('PLAN BUDGET SAMI-TF'!AS12:AS99999,'PLAN BUDGET SAMI-TF'!D12:D99999,SUMMARY!D176,'PLAN BUDGET SAMI-TF'!J12:J99999,SUMMARY!A176&amp;"*")</f>
        <v>0</v>
      </c>
      <c r="K176" s="10">
        <f>SUMIFS('PLAN BUDGET SAMI-TF'!AT12:AT99999,'PLAN BUDGET SAMI-TF'!D12:D99999,SUMMARY!D176,'PLAN BUDGET SAMI-TF'!J12:J99999,SUMMARY!A176&amp;"*")</f>
        <v>0</v>
      </c>
      <c r="L176" s="10">
        <f>SUMIFS('PLAN BUDGET SAMI-TF'!AU12:AU99999,'PLAN BUDGET SAMI-TF'!D12:D99999,SUMMARY!D176,'PLAN BUDGET SAMI-TF'!J12:J99999,SUMMARY!A176&amp;"*")</f>
        <v>0</v>
      </c>
      <c r="M176" s="10">
        <f>SUMIFS('PLAN BUDGET SAMI-TF'!AV12:AV99999,'PLAN BUDGET SAMI-TF'!D12:D99999,SUMMARY!D176,'PLAN BUDGET SAMI-TF'!J12:J99999,SUMMARY!A176&amp;"*")</f>
        <v>0</v>
      </c>
      <c r="N176" s="10">
        <f>SUMIFS('PLAN BUDGET SAMI-TF'!AW12:AW99999,'PLAN BUDGET SAMI-TF'!D12:D99999,SUMMARY!D176,'PLAN BUDGET SAMI-TF'!J12:J99999,SUMMARY!A176&amp;"*")</f>
        <v>0</v>
      </c>
      <c r="O176" s="10">
        <f>SUMIFS('PLAN BUDGET SAMI-TF'!AX12:AX99999,'PLAN BUDGET SAMI-TF'!D12:D99999,SUMMARY!D176,'PLAN BUDGET SAMI-TF'!J12:J99999,SUMMARY!A176&amp;"*")</f>
        <v>0</v>
      </c>
      <c r="P176" s="10">
        <f>SUMIFS('PLAN BUDGET SAMI-TF'!AY12:AY99999,'PLAN BUDGET SAMI-TF'!D12:D99999,SUMMARY!D176,'PLAN BUDGET SAMI-TF'!J12:J99999,SUMMARY!A176&amp;"*")</f>
        <v>0</v>
      </c>
      <c r="Q176" s="10">
        <f>SUMIFS('PLAN BUDGET SAMI-TF'!BC12:BC99999,'PLAN BUDGET SAMI-TF'!D12:D99999,SUMMARY!D176,'PLAN BUDGET SAMI-TF'!J12:J99999,SUMMARY!A176&amp;"*")</f>
        <v>0</v>
      </c>
      <c r="R176" s="10">
        <f>SUMIFS('PLAN BUDGET SAMI-TF'!BD12:BD99999,'PLAN BUDGET SAMI-TF'!D12:D99999,SUMMARY!D176,'PLAN BUDGET SAMI-TF'!J12:J99999,SUMMARY!A176&amp;"*")</f>
        <v>0</v>
      </c>
      <c r="S176" s="10">
        <f>SUMIFS('PLAN BUDGET SAMI-TF'!BE12:BE99999,'PLAN BUDGET SAMI-TF'!D12:D99999,SUMMARY!D176,'PLAN BUDGET SAMI-TF'!J12:J99999,SUMMARY!A176&amp;"*")</f>
        <v>0</v>
      </c>
      <c r="T176" s="10">
        <f>SUMIFS('PLAN BUDGET SAMI-TF'!BF12:BF99999,'PLAN BUDGET SAMI-TF'!D12:D99999,SUMMARY!D176,'PLAN BUDGET SAMI-TF'!J12:J99999,SUMMARY!A176&amp;"*")</f>
        <v>0</v>
      </c>
      <c r="U176" s="10">
        <f>SUMIFS('PLAN BUDGET SAMI-TF'!BG12:BG99999,'PLAN BUDGET SAMI-TF'!D12:D99999,SUMMARY!D176,'PLAN BUDGET SAMI-TF'!J12:J99999,SUMMARY!A176&amp;"*")</f>
        <v>0</v>
      </c>
      <c r="V176" s="10">
        <f>SUMIFS('PLAN BUDGET SAMI-TF'!BH12:BH99999,'PLAN BUDGET SAMI-TF'!D12:D99999,SUMMARY!D176,'PLAN BUDGET SAMI-TF'!J12:J99999,SUMMARY!A176&amp;"*")</f>
        <v>0</v>
      </c>
      <c r="W176" s="10">
        <f>SUMIFS('PLAN BUDGET SAMI-TF'!BI12:BI99999,'PLAN BUDGET SAMI-TF'!D12:D99999,SUMMARY!D176,'PLAN BUDGET SAMI-TF'!J12:J99999,SUMMARY!A176&amp;"*")</f>
        <v>0</v>
      </c>
      <c r="X176" s="10">
        <f>SUMIFS('PLAN BUDGET SAMI-TF'!BJ12:BJ99999,'PLAN BUDGET SAMI-TF'!D12:D99999,SUMMARY!D176,'PLAN BUDGET SAMI-TF'!J12:J99999,SUMMARY!A176&amp;"*")</f>
        <v>0</v>
      </c>
      <c r="Y176" s="10">
        <f>SUMIFS('PLAN BUDGET SAMI-TF'!BK12:BK99999,'PLAN BUDGET SAMI-TF'!D12:D99999,SUMMARY!D176,'PLAN BUDGET SAMI-TF'!J12:J99999,SUMMARY!A176&amp;"*")</f>
        <v>0</v>
      </c>
      <c r="Z176" s="10">
        <f>SUMIFS('PLAN BUDGET SAMI-TF'!BL12:BL99999,'PLAN BUDGET SAMI-TF'!D12:D99999,SUMMARY!D176,'PLAN BUDGET SAMI-TF'!J12:J99999,SUMMARY!A176&amp;"*")</f>
        <v>0</v>
      </c>
      <c r="AA176" s="10">
        <f>SUMIFS('PLAN BUDGET SAMI-TF'!BM12:BM99999,'PLAN BUDGET SAMI-TF'!D12:D99999,SUMMARY!D176,'PLAN BUDGET SAMI-TF'!J12:J99999,SUMMARY!A176&amp;"*")</f>
        <v>0</v>
      </c>
      <c r="AB176" s="10">
        <f>SUMIFS('PLAN BUDGET SAMI-TF'!BN12:BN99999,'PLAN BUDGET SAMI-TF'!D12:D99999,SUMMARY!D176,'PLAN BUDGET SAMI-TF'!J12:J99999,SUMMARY!A176&amp;"*")</f>
        <v>0</v>
      </c>
      <c r="AC176" s="10">
        <f t="shared" si="20"/>
        <v>0</v>
      </c>
      <c r="AD176" s="10">
        <f t="shared" si="21"/>
        <v>0</v>
      </c>
      <c r="AE176" s="16"/>
      <c r="AF176" s="10">
        <v>11</v>
      </c>
      <c r="AG176" s="10">
        <v>4842.1315812794001</v>
      </c>
      <c r="AH176" s="20">
        <f t="shared" si="22"/>
        <v>-1</v>
      </c>
      <c r="AI176" s="20">
        <f t="shared" si="23"/>
        <v>-1</v>
      </c>
      <c r="AJ176" s="7" t="s">
        <v>743</v>
      </c>
    </row>
    <row r="177" spans="1:36" x14ac:dyDescent="0.35">
      <c r="A177" s="7" t="s">
        <v>498</v>
      </c>
      <c r="B177" s="7"/>
      <c r="C177" s="7"/>
      <c r="D177" s="7" t="s">
        <v>126</v>
      </c>
      <c r="E177" s="10">
        <f>SUMIFS('PLAN BUDGET SAMI-TF'!AN12:AN99999,'PLAN BUDGET SAMI-TF'!D12:D99999,SUMMARY!D177,'PLAN BUDGET SAMI-TF'!J12:J99999,SUMMARY!A177&amp;"*")</f>
        <v>0</v>
      </c>
      <c r="F177" s="10">
        <f>SUMIFS('PLAN BUDGET SAMI-TF'!AO12:AO99999,'PLAN BUDGET SAMI-TF'!D12:D99999,SUMMARY!D177,'PLAN BUDGET SAMI-TF'!J12:J99999,SUMMARY!A177&amp;"*")</f>
        <v>0</v>
      </c>
      <c r="G177" s="10">
        <f>SUMIFS('PLAN BUDGET SAMI-TF'!AP12:AP99999,'PLAN BUDGET SAMI-TF'!D12:D99999,SUMMARY!D177,'PLAN BUDGET SAMI-TF'!J12:J99999,SUMMARY!A177&amp;"*")</f>
        <v>0</v>
      </c>
      <c r="H177" s="10">
        <f>SUMIFS('PLAN BUDGET SAMI-TF'!AQ12:AQ99999,'PLAN BUDGET SAMI-TF'!D12:D99999,SUMMARY!D177,'PLAN BUDGET SAMI-TF'!J12:J99999,SUMMARY!A177&amp;"*")</f>
        <v>0</v>
      </c>
      <c r="I177" s="10">
        <f>SUMIFS('PLAN BUDGET SAMI-TF'!AR12:AR99999,'PLAN BUDGET SAMI-TF'!D12:D99999,SUMMARY!D177,'PLAN BUDGET SAMI-TF'!J12:J99999,SUMMARY!A177&amp;"*")</f>
        <v>0</v>
      </c>
      <c r="J177" s="10">
        <f>SUMIFS('PLAN BUDGET SAMI-TF'!AS12:AS99999,'PLAN BUDGET SAMI-TF'!D12:D99999,SUMMARY!D177,'PLAN BUDGET SAMI-TF'!J12:J99999,SUMMARY!A177&amp;"*")</f>
        <v>0</v>
      </c>
      <c r="K177" s="10">
        <f>SUMIFS('PLAN BUDGET SAMI-TF'!AT12:AT99999,'PLAN BUDGET SAMI-TF'!D12:D99999,SUMMARY!D177,'PLAN BUDGET SAMI-TF'!J12:J99999,SUMMARY!A177&amp;"*")</f>
        <v>0</v>
      </c>
      <c r="L177" s="10">
        <f>SUMIFS('PLAN BUDGET SAMI-TF'!AU12:AU99999,'PLAN BUDGET SAMI-TF'!D12:D99999,SUMMARY!D177,'PLAN BUDGET SAMI-TF'!J12:J99999,SUMMARY!A177&amp;"*")</f>
        <v>0</v>
      </c>
      <c r="M177" s="10">
        <f>SUMIFS('PLAN BUDGET SAMI-TF'!AV12:AV99999,'PLAN BUDGET SAMI-TF'!D12:D99999,SUMMARY!D177,'PLAN BUDGET SAMI-TF'!J12:J99999,SUMMARY!A177&amp;"*")</f>
        <v>0</v>
      </c>
      <c r="N177" s="10">
        <f>SUMIFS('PLAN BUDGET SAMI-TF'!AW12:AW99999,'PLAN BUDGET SAMI-TF'!D12:D99999,SUMMARY!D177,'PLAN BUDGET SAMI-TF'!J12:J99999,SUMMARY!A177&amp;"*")</f>
        <v>0</v>
      </c>
      <c r="O177" s="10">
        <f>SUMIFS('PLAN BUDGET SAMI-TF'!AX12:AX99999,'PLAN BUDGET SAMI-TF'!D12:D99999,SUMMARY!D177,'PLAN BUDGET SAMI-TF'!J12:J99999,SUMMARY!A177&amp;"*")</f>
        <v>0</v>
      </c>
      <c r="P177" s="10">
        <f>SUMIFS('PLAN BUDGET SAMI-TF'!AY12:AY99999,'PLAN BUDGET SAMI-TF'!D12:D99999,SUMMARY!D177,'PLAN BUDGET SAMI-TF'!J12:J99999,SUMMARY!A177&amp;"*")</f>
        <v>0</v>
      </c>
      <c r="Q177" s="10">
        <f>SUMIFS('PLAN BUDGET SAMI-TF'!BC12:BC99999,'PLAN BUDGET SAMI-TF'!D12:D99999,SUMMARY!D177,'PLAN BUDGET SAMI-TF'!J12:J99999,SUMMARY!A177&amp;"*")</f>
        <v>0</v>
      </c>
      <c r="R177" s="10">
        <f>SUMIFS('PLAN BUDGET SAMI-TF'!BD12:BD99999,'PLAN BUDGET SAMI-TF'!D12:D99999,SUMMARY!D177,'PLAN BUDGET SAMI-TF'!J12:J99999,SUMMARY!A177&amp;"*")</f>
        <v>0</v>
      </c>
      <c r="S177" s="10">
        <f>SUMIFS('PLAN BUDGET SAMI-TF'!BE12:BE99999,'PLAN BUDGET SAMI-TF'!D12:D99999,SUMMARY!D177,'PLAN BUDGET SAMI-TF'!J12:J99999,SUMMARY!A177&amp;"*")</f>
        <v>0</v>
      </c>
      <c r="T177" s="10">
        <f>SUMIFS('PLAN BUDGET SAMI-TF'!BF12:BF99999,'PLAN BUDGET SAMI-TF'!D12:D99999,SUMMARY!D177,'PLAN BUDGET SAMI-TF'!J12:J99999,SUMMARY!A177&amp;"*")</f>
        <v>0</v>
      </c>
      <c r="U177" s="10">
        <f>SUMIFS('PLAN BUDGET SAMI-TF'!BG12:BG99999,'PLAN BUDGET SAMI-TF'!D12:D99999,SUMMARY!D177,'PLAN BUDGET SAMI-TF'!J12:J99999,SUMMARY!A177&amp;"*")</f>
        <v>0</v>
      </c>
      <c r="V177" s="10">
        <f>SUMIFS('PLAN BUDGET SAMI-TF'!BH12:BH99999,'PLAN BUDGET SAMI-TF'!D12:D99999,SUMMARY!D177,'PLAN BUDGET SAMI-TF'!J12:J99999,SUMMARY!A177&amp;"*")</f>
        <v>0</v>
      </c>
      <c r="W177" s="10">
        <f>SUMIFS('PLAN BUDGET SAMI-TF'!BI12:BI99999,'PLAN BUDGET SAMI-TF'!D12:D99999,SUMMARY!D177,'PLAN BUDGET SAMI-TF'!J12:J99999,SUMMARY!A177&amp;"*")</f>
        <v>0</v>
      </c>
      <c r="X177" s="10">
        <f>SUMIFS('PLAN BUDGET SAMI-TF'!BJ12:BJ99999,'PLAN BUDGET SAMI-TF'!D12:D99999,SUMMARY!D177,'PLAN BUDGET SAMI-TF'!J12:J99999,SUMMARY!A177&amp;"*")</f>
        <v>0</v>
      </c>
      <c r="Y177" s="10">
        <f>SUMIFS('PLAN BUDGET SAMI-TF'!BK12:BK99999,'PLAN BUDGET SAMI-TF'!D12:D99999,SUMMARY!D177,'PLAN BUDGET SAMI-TF'!J12:J99999,SUMMARY!A177&amp;"*")</f>
        <v>0</v>
      </c>
      <c r="Z177" s="10">
        <f>SUMIFS('PLAN BUDGET SAMI-TF'!BL12:BL99999,'PLAN BUDGET SAMI-TF'!D12:D99999,SUMMARY!D177,'PLAN BUDGET SAMI-TF'!J12:J99999,SUMMARY!A177&amp;"*")</f>
        <v>0</v>
      </c>
      <c r="AA177" s="10">
        <f>SUMIFS('PLAN BUDGET SAMI-TF'!BM12:BM99999,'PLAN BUDGET SAMI-TF'!D12:D99999,SUMMARY!D177,'PLAN BUDGET SAMI-TF'!J12:J99999,SUMMARY!A177&amp;"*")</f>
        <v>0</v>
      </c>
      <c r="AB177" s="10">
        <f>SUMIFS('PLAN BUDGET SAMI-TF'!BN12:BN99999,'PLAN BUDGET SAMI-TF'!D12:D99999,SUMMARY!D177,'PLAN BUDGET SAMI-TF'!J12:J99999,SUMMARY!A177&amp;"*")</f>
        <v>0</v>
      </c>
      <c r="AC177" s="10">
        <f t="shared" si="20"/>
        <v>0</v>
      </c>
      <c r="AD177" s="10">
        <f t="shared" si="21"/>
        <v>0</v>
      </c>
      <c r="AE177" s="16"/>
      <c r="AF177" s="10">
        <v>37</v>
      </c>
      <c r="AG177" s="10">
        <v>10795.102187779001</v>
      </c>
      <c r="AH177" s="20">
        <f t="shared" si="22"/>
        <v>-1</v>
      </c>
      <c r="AI177" s="20">
        <f t="shared" si="23"/>
        <v>-1</v>
      </c>
      <c r="AJ177" s="7" t="s">
        <v>743</v>
      </c>
    </row>
    <row r="178" spans="1:36" x14ac:dyDescent="0.35">
      <c r="A178" s="7" t="s">
        <v>498</v>
      </c>
      <c r="B178" s="7"/>
      <c r="C178" s="7"/>
      <c r="D178" s="7" t="s">
        <v>796</v>
      </c>
      <c r="E178" s="10">
        <f>SUMIFS('PLAN BUDGET SAMI-TF'!AN12:AN99999,'PLAN BUDGET SAMI-TF'!D12:D99999,SUMMARY!D178,'PLAN BUDGET SAMI-TF'!J12:J99999,SUMMARY!A178&amp;"*")</f>
        <v>0</v>
      </c>
      <c r="F178" s="10">
        <f>SUMIFS('PLAN BUDGET SAMI-TF'!AO12:AO99999,'PLAN BUDGET SAMI-TF'!D12:D99999,SUMMARY!D178,'PLAN BUDGET SAMI-TF'!J12:J99999,SUMMARY!A178&amp;"*")</f>
        <v>0</v>
      </c>
      <c r="G178" s="10">
        <f>SUMIFS('PLAN BUDGET SAMI-TF'!AP12:AP99999,'PLAN BUDGET SAMI-TF'!D12:D99999,SUMMARY!D178,'PLAN BUDGET SAMI-TF'!J12:J99999,SUMMARY!A178&amp;"*")</f>
        <v>0</v>
      </c>
      <c r="H178" s="10">
        <f>SUMIFS('PLAN BUDGET SAMI-TF'!AQ12:AQ99999,'PLAN BUDGET SAMI-TF'!D12:D99999,SUMMARY!D178,'PLAN BUDGET SAMI-TF'!J12:J99999,SUMMARY!A178&amp;"*")</f>
        <v>0</v>
      </c>
      <c r="I178" s="10">
        <f>SUMIFS('PLAN BUDGET SAMI-TF'!AR12:AR99999,'PLAN BUDGET SAMI-TF'!D12:D99999,SUMMARY!D178,'PLAN BUDGET SAMI-TF'!J12:J99999,SUMMARY!A178&amp;"*")</f>
        <v>0</v>
      </c>
      <c r="J178" s="10">
        <f>SUMIFS('PLAN BUDGET SAMI-TF'!AS12:AS99999,'PLAN BUDGET SAMI-TF'!D12:D99999,SUMMARY!D178,'PLAN BUDGET SAMI-TF'!J12:J99999,SUMMARY!A178&amp;"*")</f>
        <v>0</v>
      </c>
      <c r="K178" s="10">
        <f>SUMIFS('PLAN BUDGET SAMI-TF'!AT12:AT99999,'PLAN BUDGET SAMI-TF'!D12:D99999,SUMMARY!D178,'PLAN BUDGET SAMI-TF'!J12:J99999,SUMMARY!A178&amp;"*")</f>
        <v>0</v>
      </c>
      <c r="L178" s="10">
        <f>SUMIFS('PLAN BUDGET SAMI-TF'!AU12:AU99999,'PLAN BUDGET SAMI-TF'!D12:D99999,SUMMARY!D178,'PLAN BUDGET SAMI-TF'!J12:J99999,SUMMARY!A178&amp;"*")</f>
        <v>0</v>
      </c>
      <c r="M178" s="10">
        <f>SUMIFS('PLAN BUDGET SAMI-TF'!AV12:AV99999,'PLAN BUDGET SAMI-TF'!D12:D99999,SUMMARY!D178,'PLAN BUDGET SAMI-TF'!J12:J99999,SUMMARY!A178&amp;"*")</f>
        <v>0</v>
      </c>
      <c r="N178" s="10">
        <f>SUMIFS('PLAN BUDGET SAMI-TF'!AW12:AW99999,'PLAN BUDGET SAMI-TF'!D12:D99999,SUMMARY!D178,'PLAN BUDGET SAMI-TF'!J12:J99999,SUMMARY!A178&amp;"*")</f>
        <v>0</v>
      </c>
      <c r="O178" s="10">
        <f>SUMIFS('PLAN BUDGET SAMI-TF'!AX12:AX99999,'PLAN BUDGET SAMI-TF'!D12:D99999,SUMMARY!D178,'PLAN BUDGET SAMI-TF'!J12:J99999,SUMMARY!A178&amp;"*")</f>
        <v>0</v>
      </c>
      <c r="P178" s="10">
        <f>SUMIFS('PLAN BUDGET SAMI-TF'!AY12:AY99999,'PLAN BUDGET SAMI-TF'!D12:D99999,SUMMARY!D178,'PLAN BUDGET SAMI-TF'!J12:J99999,SUMMARY!A178&amp;"*")</f>
        <v>0</v>
      </c>
      <c r="Q178" s="10">
        <f>SUMIFS('PLAN BUDGET SAMI-TF'!BC12:BC99999,'PLAN BUDGET SAMI-TF'!D12:D99999,SUMMARY!D178,'PLAN BUDGET SAMI-TF'!J12:J99999,SUMMARY!A178&amp;"*")</f>
        <v>0</v>
      </c>
      <c r="R178" s="10">
        <f>SUMIFS('PLAN BUDGET SAMI-TF'!BD12:BD99999,'PLAN BUDGET SAMI-TF'!D12:D99999,SUMMARY!D178,'PLAN BUDGET SAMI-TF'!J12:J99999,SUMMARY!A178&amp;"*")</f>
        <v>0</v>
      </c>
      <c r="S178" s="10">
        <f>SUMIFS('PLAN BUDGET SAMI-TF'!BE12:BE99999,'PLAN BUDGET SAMI-TF'!D12:D99999,SUMMARY!D178,'PLAN BUDGET SAMI-TF'!J12:J99999,SUMMARY!A178&amp;"*")</f>
        <v>0</v>
      </c>
      <c r="T178" s="10">
        <f>SUMIFS('PLAN BUDGET SAMI-TF'!BF12:BF99999,'PLAN BUDGET SAMI-TF'!D12:D99999,SUMMARY!D178,'PLAN BUDGET SAMI-TF'!J12:J99999,SUMMARY!A178&amp;"*")</f>
        <v>0</v>
      </c>
      <c r="U178" s="10">
        <f>SUMIFS('PLAN BUDGET SAMI-TF'!BG12:BG99999,'PLAN BUDGET SAMI-TF'!D12:D99999,SUMMARY!D178,'PLAN BUDGET SAMI-TF'!J12:J99999,SUMMARY!A178&amp;"*")</f>
        <v>0</v>
      </c>
      <c r="V178" s="10">
        <f>SUMIFS('PLAN BUDGET SAMI-TF'!BH12:BH99999,'PLAN BUDGET SAMI-TF'!D12:D99999,SUMMARY!D178,'PLAN BUDGET SAMI-TF'!J12:J99999,SUMMARY!A178&amp;"*")</f>
        <v>0</v>
      </c>
      <c r="W178" s="10">
        <f>SUMIFS('PLAN BUDGET SAMI-TF'!BI12:BI99999,'PLAN BUDGET SAMI-TF'!D12:D99999,SUMMARY!D178,'PLAN BUDGET SAMI-TF'!J12:J99999,SUMMARY!A178&amp;"*")</f>
        <v>0</v>
      </c>
      <c r="X178" s="10">
        <f>SUMIFS('PLAN BUDGET SAMI-TF'!BJ12:BJ99999,'PLAN BUDGET SAMI-TF'!D12:D99999,SUMMARY!D178,'PLAN BUDGET SAMI-TF'!J12:J99999,SUMMARY!A178&amp;"*")</f>
        <v>0</v>
      </c>
      <c r="Y178" s="10">
        <f>SUMIFS('PLAN BUDGET SAMI-TF'!BK12:BK99999,'PLAN BUDGET SAMI-TF'!D12:D99999,SUMMARY!D178,'PLAN BUDGET SAMI-TF'!J12:J99999,SUMMARY!A178&amp;"*")</f>
        <v>0</v>
      </c>
      <c r="Z178" s="10">
        <f>SUMIFS('PLAN BUDGET SAMI-TF'!BL12:BL99999,'PLAN BUDGET SAMI-TF'!D12:D99999,SUMMARY!D178,'PLAN BUDGET SAMI-TF'!J12:J99999,SUMMARY!A178&amp;"*")</f>
        <v>0</v>
      </c>
      <c r="AA178" s="10">
        <f>SUMIFS('PLAN BUDGET SAMI-TF'!BM12:BM99999,'PLAN BUDGET SAMI-TF'!D12:D99999,SUMMARY!D178,'PLAN BUDGET SAMI-TF'!J12:J99999,SUMMARY!A178&amp;"*")</f>
        <v>0</v>
      </c>
      <c r="AB178" s="10">
        <f>SUMIFS('PLAN BUDGET SAMI-TF'!BN12:BN99999,'PLAN BUDGET SAMI-TF'!D12:D99999,SUMMARY!D178,'PLAN BUDGET SAMI-TF'!J12:J99999,SUMMARY!A178&amp;"*")</f>
        <v>0</v>
      </c>
      <c r="AC178" s="10">
        <f t="shared" si="20"/>
        <v>0</v>
      </c>
      <c r="AD178" s="10">
        <f t="shared" si="21"/>
        <v>0</v>
      </c>
      <c r="AE178" s="16"/>
      <c r="AF178" s="10">
        <v>1</v>
      </c>
      <c r="AG178" s="10">
        <v>43.421568999785002</v>
      </c>
      <c r="AH178" s="20">
        <f t="shared" si="22"/>
        <v>-1</v>
      </c>
      <c r="AI178" s="20">
        <f t="shared" si="23"/>
        <v>-1</v>
      </c>
      <c r="AJ178" s="7" t="s">
        <v>743</v>
      </c>
    </row>
    <row r="179" spans="1:36" x14ac:dyDescent="0.35">
      <c r="A179" s="7" t="s">
        <v>498</v>
      </c>
      <c r="B179" s="7"/>
      <c r="C179" s="7"/>
      <c r="D179" s="7" t="s">
        <v>435</v>
      </c>
      <c r="E179" s="10">
        <f>SUMIFS('PLAN BUDGET SAMI-TF'!AN12:AN99999,'PLAN BUDGET SAMI-TF'!D12:D99999,SUMMARY!D179,'PLAN BUDGET SAMI-TF'!J12:J99999,SUMMARY!A179&amp;"*")</f>
        <v>0</v>
      </c>
      <c r="F179" s="10">
        <f>SUMIFS('PLAN BUDGET SAMI-TF'!AO12:AO99999,'PLAN BUDGET SAMI-TF'!D12:D99999,SUMMARY!D179,'PLAN BUDGET SAMI-TF'!J12:J99999,SUMMARY!A179&amp;"*")</f>
        <v>0</v>
      </c>
      <c r="G179" s="10">
        <f>SUMIFS('PLAN BUDGET SAMI-TF'!AP12:AP99999,'PLAN BUDGET SAMI-TF'!D12:D99999,SUMMARY!D179,'PLAN BUDGET SAMI-TF'!J12:J99999,SUMMARY!A179&amp;"*")</f>
        <v>0</v>
      </c>
      <c r="H179" s="10">
        <f>SUMIFS('PLAN BUDGET SAMI-TF'!AQ12:AQ99999,'PLAN BUDGET SAMI-TF'!D12:D99999,SUMMARY!D179,'PLAN BUDGET SAMI-TF'!J12:J99999,SUMMARY!A179&amp;"*")</f>
        <v>0</v>
      </c>
      <c r="I179" s="10">
        <f>SUMIFS('PLAN BUDGET SAMI-TF'!AR12:AR99999,'PLAN BUDGET SAMI-TF'!D12:D99999,SUMMARY!D179,'PLAN BUDGET SAMI-TF'!J12:J99999,SUMMARY!A179&amp;"*")</f>
        <v>0</v>
      </c>
      <c r="J179" s="10">
        <f>SUMIFS('PLAN BUDGET SAMI-TF'!AS12:AS99999,'PLAN BUDGET SAMI-TF'!D12:D99999,SUMMARY!D179,'PLAN BUDGET SAMI-TF'!J12:J99999,SUMMARY!A179&amp;"*")</f>
        <v>0</v>
      </c>
      <c r="K179" s="10">
        <f>SUMIFS('PLAN BUDGET SAMI-TF'!AT12:AT99999,'PLAN BUDGET SAMI-TF'!D12:D99999,SUMMARY!D179,'PLAN BUDGET SAMI-TF'!J12:J99999,SUMMARY!A179&amp;"*")</f>
        <v>0</v>
      </c>
      <c r="L179" s="10">
        <f>SUMIFS('PLAN BUDGET SAMI-TF'!AU12:AU99999,'PLAN BUDGET SAMI-TF'!D12:D99999,SUMMARY!D179,'PLAN BUDGET SAMI-TF'!J12:J99999,SUMMARY!A179&amp;"*")</f>
        <v>0</v>
      </c>
      <c r="M179" s="10">
        <f>SUMIFS('PLAN BUDGET SAMI-TF'!AV12:AV99999,'PLAN BUDGET SAMI-TF'!D12:D99999,SUMMARY!D179,'PLAN BUDGET SAMI-TF'!J12:J99999,SUMMARY!A179&amp;"*")</f>
        <v>0</v>
      </c>
      <c r="N179" s="10">
        <f>SUMIFS('PLAN BUDGET SAMI-TF'!AW12:AW99999,'PLAN BUDGET SAMI-TF'!D12:D99999,SUMMARY!D179,'PLAN BUDGET SAMI-TF'!J12:J99999,SUMMARY!A179&amp;"*")</f>
        <v>0</v>
      </c>
      <c r="O179" s="10">
        <f>SUMIFS('PLAN BUDGET SAMI-TF'!AX12:AX99999,'PLAN BUDGET SAMI-TF'!D12:D99999,SUMMARY!D179,'PLAN BUDGET SAMI-TF'!J12:J99999,SUMMARY!A179&amp;"*")</f>
        <v>0</v>
      </c>
      <c r="P179" s="10">
        <f>SUMIFS('PLAN BUDGET SAMI-TF'!AY12:AY99999,'PLAN BUDGET SAMI-TF'!D12:D99999,SUMMARY!D179,'PLAN BUDGET SAMI-TF'!J12:J99999,SUMMARY!A179&amp;"*")</f>
        <v>0</v>
      </c>
      <c r="Q179" s="10">
        <f>SUMIFS('PLAN BUDGET SAMI-TF'!BC12:BC99999,'PLAN BUDGET SAMI-TF'!D12:D99999,SUMMARY!D179,'PLAN BUDGET SAMI-TF'!J12:J99999,SUMMARY!A179&amp;"*")</f>
        <v>0</v>
      </c>
      <c r="R179" s="10">
        <f>SUMIFS('PLAN BUDGET SAMI-TF'!BD12:BD99999,'PLAN BUDGET SAMI-TF'!D12:D99999,SUMMARY!D179,'PLAN BUDGET SAMI-TF'!J12:J99999,SUMMARY!A179&amp;"*")</f>
        <v>0</v>
      </c>
      <c r="S179" s="10">
        <f>SUMIFS('PLAN BUDGET SAMI-TF'!BE12:BE99999,'PLAN BUDGET SAMI-TF'!D12:D99999,SUMMARY!D179,'PLAN BUDGET SAMI-TF'!J12:J99999,SUMMARY!A179&amp;"*")</f>
        <v>0</v>
      </c>
      <c r="T179" s="10">
        <f>SUMIFS('PLAN BUDGET SAMI-TF'!BF12:BF99999,'PLAN BUDGET SAMI-TF'!D12:D99999,SUMMARY!D179,'PLAN BUDGET SAMI-TF'!J12:J99999,SUMMARY!A179&amp;"*")</f>
        <v>0</v>
      </c>
      <c r="U179" s="10">
        <f>SUMIFS('PLAN BUDGET SAMI-TF'!BG12:BG99999,'PLAN BUDGET SAMI-TF'!D12:D99999,SUMMARY!D179,'PLAN BUDGET SAMI-TF'!J12:J99999,SUMMARY!A179&amp;"*")</f>
        <v>0</v>
      </c>
      <c r="V179" s="10">
        <f>SUMIFS('PLAN BUDGET SAMI-TF'!BH12:BH99999,'PLAN BUDGET SAMI-TF'!D12:D99999,SUMMARY!D179,'PLAN BUDGET SAMI-TF'!J12:J99999,SUMMARY!A179&amp;"*")</f>
        <v>0</v>
      </c>
      <c r="W179" s="10">
        <f>SUMIFS('PLAN BUDGET SAMI-TF'!BI12:BI99999,'PLAN BUDGET SAMI-TF'!D12:D99999,SUMMARY!D179,'PLAN BUDGET SAMI-TF'!J12:J99999,SUMMARY!A179&amp;"*")</f>
        <v>0</v>
      </c>
      <c r="X179" s="10">
        <f>SUMIFS('PLAN BUDGET SAMI-TF'!BJ12:BJ99999,'PLAN BUDGET SAMI-TF'!D12:D99999,SUMMARY!D179,'PLAN BUDGET SAMI-TF'!J12:J99999,SUMMARY!A179&amp;"*")</f>
        <v>0</v>
      </c>
      <c r="Y179" s="10">
        <f>SUMIFS('PLAN BUDGET SAMI-TF'!BK12:BK99999,'PLAN BUDGET SAMI-TF'!D12:D99999,SUMMARY!D179,'PLAN BUDGET SAMI-TF'!J12:J99999,SUMMARY!A179&amp;"*")</f>
        <v>0</v>
      </c>
      <c r="Z179" s="10">
        <f>SUMIFS('PLAN BUDGET SAMI-TF'!BL12:BL99999,'PLAN BUDGET SAMI-TF'!D12:D99999,SUMMARY!D179,'PLAN BUDGET SAMI-TF'!J12:J99999,SUMMARY!A179&amp;"*")</f>
        <v>0</v>
      </c>
      <c r="AA179" s="10">
        <f>SUMIFS('PLAN BUDGET SAMI-TF'!BM12:BM99999,'PLAN BUDGET SAMI-TF'!D12:D99999,SUMMARY!D179,'PLAN BUDGET SAMI-TF'!J12:J99999,SUMMARY!A179&amp;"*")</f>
        <v>0</v>
      </c>
      <c r="AB179" s="10">
        <f>SUMIFS('PLAN BUDGET SAMI-TF'!BN12:BN99999,'PLAN BUDGET SAMI-TF'!D12:D99999,SUMMARY!D179,'PLAN BUDGET SAMI-TF'!J12:J99999,SUMMARY!A179&amp;"*")</f>
        <v>0</v>
      </c>
      <c r="AC179" s="10">
        <f t="shared" si="20"/>
        <v>0</v>
      </c>
      <c r="AD179" s="10">
        <f t="shared" si="21"/>
        <v>0</v>
      </c>
      <c r="AE179" s="16"/>
      <c r="AF179" s="10">
        <v>7</v>
      </c>
      <c r="AG179" s="10">
        <v>426.36689326902001</v>
      </c>
      <c r="AH179" s="20">
        <f t="shared" si="22"/>
        <v>-1</v>
      </c>
      <c r="AI179" s="20">
        <f t="shared" si="23"/>
        <v>-1</v>
      </c>
      <c r="AJ179" s="7" t="s">
        <v>743</v>
      </c>
    </row>
    <row r="180" spans="1:36" x14ac:dyDescent="0.35">
      <c r="A180" s="7" t="s">
        <v>498</v>
      </c>
      <c r="B180" s="7"/>
      <c r="C180" s="7"/>
      <c r="D180" s="7" t="s">
        <v>797</v>
      </c>
      <c r="E180" s="10">
        <f>SUMIFS('PLAN BUDGET SAMI-TF'!AN12:AN99999,'PLAN BUDGET SAMI-TF'!D12:D99999,SUMMARY!D180,'PLAN BUDGET SAMI-TF'!J12:J99999,SUMMARY!A180&amp;"*")</f>
        <v>0</v>
      </c>
      <c r="F180" s="10">
        <f>SUMIFS('PLAN BUDGET SAMI-TF'!AO12:AO99999,'PLAN BUDGET SAMI-TF'!D12:D99999,SUMMARY!D180,'PLAN BUDGET SAMI-TF'!J12:J99999,SUMMARY!A180&amp;"*")</f>
        <v>0</v>
      </c>
      <c r="G180" s="10">
        <f>SUMIFS('PLAN BUDGET SAMI-TF'!AP12:AP99999,'PLAN BUDGET SAMI-TF'!D12:D99999,SUMMARY!D180,'PLAN BUDGET SAMI-TF'!J12:J99999,SUMMARY!A180&amp;"*")</f>
        <v>0</v>
      </c>
      <c r="H180" s="10">
        <f>SUMIFS('PLAN BUDGET SAMI-TF'!AQ12:AQ99999,'PLAN BUDGET SAMI-TF'!D12:D99999,SUMMARY!D180,'PLAN BUDGET SAMI-TF'!J12:J99999,SUMMARY!A180&amp;"*")</f>
        <v>0</v>
      </c>
      <c r="I180" s="10">
        <f>SUMIFS('PLAN BUDGET SAMI-TF'!AR12:AR99999,'PLAN BUDGET SAMI-TF'!D12:D99999,SUMMARY!D180,'PLAN BUDGET SAMI-TF'!J12:J99999,SUMMARY!A180&amp;"*")</f>
        <v>0</v>
      </c>
      <c r="J180" s="10">
        <f>SUMIFS('PLAN BUDGET SAMI-TF'!AS12:AS99999,'PLAN BUDGET SAMI-TF'!D12:D99999,SUMMARY!D180,'PLAN BUDGET SAMI-TF'!J12:J99999,SUMMARY!A180&amp;"*")</f>
        <v>0</v>
      </c>
      <c r="K180" s="10">
        <f>SUMIFS('PLAN BUDGET SAMI-TF'!AT12:AT99999,'PLAN BUDGET SAMI-TF'!D12:D99999,SUMMARY!D180,'PLAN BUDGET SAMI-TF'!J12:J99999,SUMMARY!A180&amp;"*")</f>
        <v>0</v>
      </c>
      <c r="L180" s="10">
        <f>SUMIFS('PLAN BUDGET SAMI-TF'!AU12:AU99999,'PLAN BUDGET SAMI-TF'!D12:D99999,SUMMARY!D180,'PLAN BUDGET SAMI-TF'!J12:J99999,SUMMARY!A180&amp;"*")</f>
        <v>0</v>
      </c>
      <c r="M180" s="10">
        <f>SUMIFS('PLAN BUDGET SAMI-TF'!AV12:AV99999,'PLAN BUDGET SAMI-TF'!D12:D99999,SUMMARY!D180,'PLAN BUDGET SAMI-TF'!J12:J99999,SUMMARY!A180&amp;"*")</f>
        <v>0</v>
      </c>
      <c r="N180" s="10">
        <f>SUMIFS('PLAN BUDGET SAMI-TF'!AW12:AW99999,'PLAN BUDGET SAMI-TF'!D12:D99999,SUMMARY!D180,'PLAN BUDGET SAMI-TF'!J12:J99999,SUMMARY!A180&amp;"*")</f>
        <v>0</v>
      </c>
      <c r="O180" s="10">
        <f>SUMIFS('PLAN BUDGET SAMI-TF'!AX12:AX99999,'PLAN BUDGET SAMI-TF'!D12:D99999,SUMMARY!D180,'PLAN BUDGET SAMI-TF'!J12:J99999,SUMMARY!A180&amp;"*")</f>
        <v>0</v>
      </c>
      <c r="P180" s="10">
        <f>SUMIFS('PLAN BUDGET SAMI-TF'!AY12:AY99999,'PLAN BUDGET SAMI-TF'!D12:D99999,SUMMARY!D180,'PLAN BUDGET SAMI-TF'!J12:J99999,SUMMARY!A180&amp;"*")</f>
        <v>0</v>
      </c>
      <c r="Q180" s="10">
        <f>SUMIFS('PLAN BUDGET SAMI-TF'!BC12:BC99999,'PLAN BUDGET SAMI-TF'!D12:D99999,SUMMARY!D180,'PLAN BUDGET SAMI-TF'!J12:J99999,SUMMARY!A180&amp;"*")</f>
        <v>0</v>
      </c>
      <c r="R180" s="10">
        <f>SUMIFS('PLAN BUDGET SAMI-TF'!BD12:BD99999,'PLAN BUDGET SAMI-TF'!D12:D99999,SUMMARY!D180,'PLAN BUDGET SAMI-TF'!J12:J99999,SUMMARY!A180&amp;"*")</f>
        <v>0</v>
      </c>
      <c r="S180" s="10">
        <f>SUMIFS('PLAN BUDGET SAMI-TF'!BE12:BE99999,'PLAN BUDGET SAMI-TF'!D12:D99999,SUMMARY!D180,'PLAN BUDGET SAMI-TF'!J12:J99999,SUMMARY!A180&amp;"*")</f>
        <v>0</v>
      </c>
      <c r="T180" s="10">
        <f>SUMIFS('PLAN BUDGET SAMI-TF'!BF12:BF99999,'PLAN BUDGET SAMI-TF'!D12:D99999,SUMMARY!D180,'PLAN BUDGET SAMI-TF'!J12:J99999,SUMMARY!A180&amp;"*")</f>
        <v>0</v>
      </c>
      <c r="U180" s="10">
        <f>SUMIFS('PLAN BUDGET SAMI-TF'!BG12:BG99999,'PLAN BUDGET SAMI-TF'!D12:D99999,SUMMARY!D180,'PLAN BUDGET SAMI-TF'!J12:J99999,SUMMARY!A180&amp;"*")</f>
        <v>0</v>
      </c>
      <c r="V180" s="10">
        <f>SUMIFS('PLAN BUDGET SAMI-TF'!BH12:BH99999,'PLAN BUDGET SAMI-TF'!D12:D99999,SUMMARY!D180,'PLAN BUDGET SAMI-TF'!J12:J99999,SUMMARY!A180&amp;"*")</f>
        <v>0</v>
      </c>
      <c r="W180" s="10">
        <f>SUMIFS('PLAN BUDGET SAMI-TF'!BI12:BI99999,'PLAN BUDGET SAMI-TF'!D12:D99999,SUMMARY!D180,'PLAN BUDGET SAMI-TF'!J12:J99999,SUMMARY!A180&amp;"*")</f>
        <v>0</v>
      </c>
      <c r="X180" s="10">
        <f>SUMIFS('PLAN BUDGET SAMI-TF'!BJ12:BJ99999,'PLAN BUDGET SAMI-TF'!D12:D99999,SUMMARY!D180,'PLAN BUDGET SAMI-TF'!J12:J99999,SUMMARY!A180&amp;"*")</f>
        <v>0</v>
      </c>
      <c r="Y180" s="10">
        <f>SUMIFS('PLAN BUDGET SAMI-TF'!BK12:BK99999,'PLAN BUDGET SAMI-TF'!D12:D99999,SUMMARY!D180,'PLAN BUDGET SAMI-TF'!J12:J99999,SUMMARY!A180&amp;"*")</f>
        <v>0</v>
      </c>
      <c r="Z180" s="10">
        <f>SUMIFS('PLAN BUDGET SAMI-TF'!BL12:BL99999,'PLAN BUDGET SAMI-TF'!D12:D99999,SUMMARY!D180,'PLAN BUDGET SAMI-TF'!J12:J99999,SUMMARY!A180&amp;"*")</f>
        <v>0</v>
      </c>
      <c r="AA180" s="10">
        <f>SUMIFS('PLAN BUDGET SAMI-TF'!BM12:BM99999,'PLAN BUDGET SAMI-TF'!D12:D99999,SUMMARY!D180,'PLAN BUDGET SAMI-TF'!J12:J99999,SUMMARY!A180&amp;"*")</f>
        <v>0</v>
      </c>
      <c r="AB180" s="10">
        <f>SUMIFS('PLAN BUDGET SAMI-TF'!BN12:BN99999,'PLAN BUDGET SAMI-TF'!D12:D99999,SUMMARY!D180,'PLAN BUDGET SAMI-TF'!J12:J99999,SUMMARY!A180&amp;"*")</f>
        <v>0</v>
      </c>
      <c r="AC180" s="10">
        <f t="shared" si="20"/>
        <v>0</v>
      </c>
      <c r="AD180" s="10">
        <f t="shared" si="21"/>
        <v>0</v>
      </c>
      <c r="AE180" s="16"/>
      <c r="AF180" s="10">
        <v>1</v>
      </c>
      <c r="AG180" s="10">
        <v>513.71640525110001</v>
      </c>
      <c r="AH180" s="20">
        <f t="shared" si="22"/>
        <v>-1</v>
      </c>
      <c r="AI180" s="20">
        <f t="shared" si="23"/>
        <v>-1</v>
      </c>
      <c r="AJ180" s="7" t="s">
        <v>743</v>
      </c>
    </row>
    <row r="181" spans="1:36" x14ac:dyDescent="0.35">
      <c r="A181" s="7" t="s">
        <v>798</v>
      </c>
      <c r="B181" s="7"/>
      <c r="C181" s="7"/>
      <c r="D181" s="7" t="s">
        <v>799</v>
      </c>
      <c r="E181" s="10">
        <f>SUMIFS('PLAN BUDGET SAMI-TF'!AN12:AN99999,'PLAN BUDGET SAMI-TF'!D12:D99999,SUMMARY!D181,'PLAN BUDGET SAMI-TF'!J12:J99999,SUMMARY!A181&amp;"*")</f>
        <v>0</v>
      </c>
      <c r="F181" s="10">
        <f>SUMIFS('PLAN BUDGET SAMI-TF'!AO12:AO99999,'PLAN BUDGET SAMI-TF'!D12:D99999,SUMMARY!D181,'PLAN BUDGET SAMI-TF'!J12:J99999,SUMMARY!A181&amp;"*")</f>
        <v>0</v>
      </c>
      <c r="G181" s="10">
        <f>SUMIFS('PLAN BUDGET SAMI-TF'!AP12:AP99999,'PLAN BUDGET SAMI-TF'!D12:D99999,SUMMARY!D181,'PLAN BUDGET SAMI-TF'!J12:J99999,SUMMARY!A181&amp;"*")</f>
        <v>0</v>
      </c>
      <c r="H181" s="10">
        <f>SUMIFS('PLAN BUDGET SAMI-TF'!AQ12:AQ99999,'PLAN BUDGET SAMI-TF'!D12:D99999,SUMMARY!D181,'PLAN BUDGET SAMI-TF'!J12:J99999,SUMMARY!A181&amp;"*")</f>
        <v>0</v>
      </c>
      <c r="I181" s="10">
        <f>SUMIFS('PLAN BUDGET SAMI-TF'!AR12:AR99999,'PLAN BUDGET SAMI-TF'!D12:D99999,SUMMARY!D181,'PLAN BUDGET SAMI-TF'!J12:J99999,SUMMARY!A181&amp;"*")</f>
        <v>0</v>
      </c>
      <c r="J181" s="10">
        <f>SUMIFS('PLAN BUDGET SAMI-TF'!AS12:AS99999,'PLAN BUDGET SAMI-TF'!D12:D99999,SUMMARY!D181,'PLAN BUDGET SAMI-TF'!J12:J99999,SUMMARY!A181&amp;"*")</f>
        <v>0</v>
      </c>
      <c r="K181" s="10">
        <f>SUMIFS('PLAN BUDGET SAMI-TF'!AT12:AT99999,'PLAN BUDGET SAMI-TF'!D12:D99999,SUMMARY!D181,'PLAN BUDGET SAMI-TF'!J12:J99999,SUMMARY!A181&amp;"*")</f>
        <v>0</v>
      </c>
      <c r="L181" s="10">
        <f>SUMIFS('PLAN BUDGET SAMI-TF'!AU12:AU99999,'PLAN BUDGET SAMI-TF'!D12:D99999,SUMMARY!D181,'PLAN BUDGET SAMI-TF'!J12:J99999,SUMMARY!A181&amp;"*")</f>
        <v>0</v>
      </c>
      <c r="M181" s="10">
        <f>SUMIFS('PLAN BUDGET SAMI-TF'!AV12:AV99999,'PLAN BUDGET SAMI-TF'!D12:D99999,SUMMARY!D181,'PLAN BUDGET SAMI-TF'!J12:J99999,SUMMARY!A181&amp;"*")</f>
        <v>0</v>
      </c>
      <c r="N181" s="10">
        <f>SUMIFS('PLAN BUDGET SAMI-TF'!AW12:AW99999,'PLAN BUDGET SAMI-TF'!D12:D99999,SUMMARY!D181,'PLAN BUDGET SAMI-TF'!J12:J99999,SUMMARY!A181&amp;"*")</f>
        <v>0</v>
      </c>
      <c r="O181" s="10">
        <f>SUMIFS('PLAN BUDGET SAMI-TF'!AX12:AX99999,'PLAN BUDGET SAMI-TF'!D12:D99999,SUMMARY!D181,'PLAN BUDGET SAMI-TF'!J12:J99999,SUMMARY!A181&amp;"*")</f>
        <v>0</v>
      </c>
      <c r="P181" s="10">
        <f>SUMIFS('PLAN BUDGET SAMI-TF'!AY12:AY99999,'PLAN BUDGET SAMI-TF'!D12:D99999,SUMMARY!D181,'PLAN BUDGET SAMI-TF'!J12:J99999,SUMMARY!A181&amp;"*")</f>
        <v>0</v>
      </c>
      <c r="Q181" s="10">
        <f>SUMIFS('PLAN BUDGET SAMI-TF'!BC12:BC99999,'PLAN BUDGET SAMI-TF'!D12:D99999,SUMMARY!D181,'PLAN BUDGET SAMI-TF'!J12:J99999,SUMMARY!A181&amp;"*")</f>
        <v>0</v>
      </c>
      <c r="R181" s="10">
        <f>SUMIFS('PLAN BUDGET SAMI-TF'!BD12:BD99999,'PLAN BUDGET SAMI-TF'!D12:D99999,SUMMARY!D181,'PLAN BUDGET SAMI-TF'!J12:J99999,SUMMARY!A181&amp;"*")</f>
        <v>0</v>
      </c>
      <c r="S181" s="10">
        <f>SUMIFS('PLAN BUDGET SAMI-TF'!BE12:BE99999,'PLAN BUDGET SAMI-TF'!D12:D99999,SUMMARY!D181,'PLAN BUDGET SAMI-TF'!J12:J99999,SUMMARY!A181&amp;"*")</f>
        <v>0</v>
      </c>
      <c r="T181" s="10">
        <f>SUMIFS('PLAN BUDGET SAMI-TF'!BF12:BF99999,'PLAN BUDGET SAMI-TF'!D12:D99999,SUMMARY!D181,'PLAN BUDGET SAMI-TF'!J12:J99999,SUMMARY!A181&amp;"*")</f>
        <v>0</v>
      </c>
      <c r="U181" s="10">
        <f>SUMIFS('PLAN BUDGET SAMI-TF'!BG12:BG99999,'PLAN BUDGET SAMI-TF'!D12:D99999,SUMMARY!D181,'PLAN BUDGET SAMI-TF'!J12:J99999,SUMMARY!A181&amp;"*")</f>
        <v>0</v>
      </c>
      <c r="V181" s="10">
        <f>SUMIFS('PLAN BUDGET SAMI-TF'!BH12:BH99999,'PLAN BUDGET SAMI-TF'!D12:D99999,SUMMARY!D181,'PLAN BUDGET SAMI-TF'!J12:J99999,SUMMARY!A181&amp;"*")</f>
        <v>0</v>
      </c>
      <c r="W181" s="10">
        <f>SUMIFS('PLAN BUDGET SAMI-TF'!BI12:BI99999,'PLAN BUDGET SAMI-TF'!D12:D99999,SUMMARY!D181,'PLAN BUDGET SAMI-TF'!J12:J99999,SUMMARY!A181&amp;"*")</f>
        <v>0</v>
      </c>
      <c r="X181" s="10">
        <f>SUMIFS('PLAN BUDGET SAMI-TF'!BJ12:BJ99999,'PLAN BUDGET SAMI-TF'!D12:D99999,SUMMARY!D181,'PLAN BUDGET SAMI-TF'!J12:J99999,SUMMARY!A181&amp;"*")</f>
        <v>0</v>
      </c>
      <c r="Y181" s="10">
        <f>SUMIFS('PLAN BUDGET SAMI-TF'!BK12:BK99999,'PLAN BUDGET SAMI-TF'!D12:D99999,SUMMARY!D181,'PLAN BUDGET SAMI-TF'!J12:J99999,SUMMARY!A181&amp;"*")</f>
        <v>0</v>
      </c>
      <c r="Z181" s="10">
        <f>SUMIFS('PLAN BUDGET SAMI-TF'!BL12:BL99999,'PLAN BUDGET SAMI-TF'!D12:D99999,SUMMARY!D181,'PLAN BUDGET SAMI-TF'!J12:J99999,SUMMARY!A181&amp;"*")</f>
        <v>0</v>
      </c>
      <c r="AA181" s="10">
        <f>SUMIFS('PLAN BUDGET SAMI-TF'!BM12:BM99999,'PLAN BUDGET SAMI-TF'!D12:D99999,SUMMARY!D181,'PLAN BUDGET SAMI-TF'!J12:J99999,SUMMARY!A181&amp;"*")</f>
        <v>0</v>
      </c>
      <c r="AB181" s="10">
        <f>SUMIFS('PLAN BUDGET SAMI-TF'!BN12:BN99999,'PLAN BUDGET SAMI-TF'!D12:D99999,SUMMARY!D181,'PLAN BUDGET SAMI-TF'!J12:J99999,SUMMARY!A181&amp;"*")</f>
        <v>0</v>
      </c>
      <c r="AC181" s="10">
        <f t="shared" si="20"/>
        <v>0</v>
      </c>
      <c r="AD181" s="10">
        <f t="shared" si="21"/>
        <v>0</v>
      </c>
      <c r="AE181" s="16"/>
      <c r="AF181" s="10">
        <v>256</v>
      </c>
      <c r="AG181" s="10">
        <v>644.10770574608</v>
      </c>
      <c r="AH181" s="20">
        <f t="shared" si="22"/>
        <v>-1</v>
      </c>
      <c r="AI181" s="20">
        <f t="shared" si="23"/>
        <v>-1</v>
      </c>
      <c r="AJ181" s="7" t="s">
        <v>743</v>
      </c>
    </row>
    <row r="182" spans="1:36" x14ac:dyDescent="0.35">
      <c r="A182" s="7" t="s">
        <v>48</v>
      </c>
      <c r="B182" s="7"/>
      <c r="C182" s="7"/>
      <c r="D182" s="7" t="s">
        <v>800</v>
      </c>
      <c r="E182" s="10">
        <f>SUMIFS('PLAN BUDGET SAMI-TF'!AN12:AN99999,'PLAN BUDGET SAMI-TF'!D12:D99999,SUMMARY!D182,'PLAN BUDGET SAMI-TF'!J12:J99999,SUMMARY!A182&amp;"*")</f>
        <v>0</v>
      </c>
      <c r="F182" s="10">
        <f>SUMIFS('PLAN BUDGET SAMI-TF'!AO12:AO99999,'PLAN BUDGET SAMI-TF'!D12:D99999,SUMMARY!D182,'PLAN BUDGET SAMI-TF'!J12:J99999,SUMMARY!A182&amp;"*")</f>
        <v>0</v>
      </c>
      <c r="G182" s="10">
        <f>SUMIFS('PLAN BUDGET SAMI-TF'!AP12:AP99999,'PLAN BUDGET SAMI-TF'!D12:D99999,SUMMARY!D182,'PLAN BUDGET SAMI-TF'!J12:J99999,SUMMARY!A182&amp;"*")</f>
        <v>0</v>
      </c>
      <c r="H182" s="10">
        <f>SUMIFS('PLAN BUDGET SAMI-TF'!AQ12:AQ99999,'PLAN BUDGET SAMI-TF'!D12:D99999,SUMMARY!D182,'PLAN BUDGET SAMI-TF'!J12:J99999,SUMMARY!A182&amp;"*")</f>
        <v>0</v>
      </c>
      <c r="I182" s="10">
        <f>SUMIFS('PLAN BUDGET SAMI-TF'!AR12:AR99999,'PLAN BUDGET SAMI-TF'!D12:D99999,SUMMARY!D182,'PLAN BUDGET SAMI-TF'!J12:J99999,SUMMARY!A182&amp;"*")</f>
        <v>0</v>
      </c>
      <c r="J182" s="10">
        <f>SUMIFS('PLAN BUDGET SAMI-TF'!AS12:AS99999,'PLAN BUDGET SAMI-TF'!D12:D99999,SUMMARY!D182,'PLAN BUDGET SAMI-TF'!J12:J99999,SUMMARY!A182&amp;"*")</f>
        <v>0</v>
      </c>
      <c r="K182" s="10">
        <f>SUMIFS('PLAN BUDGET SAMI-TF'!AT12:AT99999,'PLAN BUDGET SAMI-TF'!D12:D99999,SUMMARY!D182,'PLAN BUDGET SAMI-TF'!J12:J99999,SUMMARY!A182&amp;"*")</f>
        <v>0</v>
      </c>
      <c r="L182" s="10">
        <f>SUMIFS('PLAN BUDGET SAMI-TF'!AU12:AU99999,'PLAN BUDGET SAMI-TF'!D12:D99999,SUMMARY!D182,'PLAN BUDGET SAMI-TF'!J12:J99999,SUMMARY!A182&amp;"*")</f>
        <v>0</v>
      </c>
      <c r="M182" s="10">
        <f>SUMIFS('PLAN BUDGET SAMI-TF'!AV12:AV99999,'PLAN BUDGET SAMI-TF'!D12:D99999,SUMMARY!D182,'PLAN BUDGET SAMI-TF'!J12:J99999,SUMMARY!A182&amp;"*")</f>
        <v>0</v>
      </c>
      <c r="N182" s="10">
        <f>SUMIFS('PLAN BUDGET SAMI-TF'!AW12:AW99999,'PLAN BUDGET SAMI-TF'!D12:D99999,SUMMARY!D182,'PLAN BUDGET SAMI-TF'!J12:J99999,SUMMARY!A182&amp;"*")</f>
        <v>0</v>
      </c>
      <c r="O182" s="10">
        <f>SUMIFS('PLAN BUDGET SAMI-TF'!AX12:AX99999,'PLAN BUDGET SAMI-TF'!D12:D99999,SUMMARY!D182,'PLAN BUDGET SAMI-TF'!J12:J99999,SUMMARY!A182&amp;"*")</f>
        <v>0</v>
      </c>
      <c r="P182" s="10">
        <f>SUMIFS('PLAN BUDGET SAMI-TF'!AY12:AY99999,'PLAN BUDGET SAMI-TF'!D12:D99999,SUMMARY!D182,'PLAN BUDGET SAMI-TF'!J12:J99999,SUMMARY!A182&amp;"*")</f>
        <v>0</v>
      </c>
      <c r="Q182" s="10">
        <f>SUMIFS('PLAN BUDGET SAMI-TF'!BC12:BC99999,'PLAN BUDGET SAMI-TF'!D12:D99999,SUMMARY!D182,'PLAN BUDGET SAMI-TF'!J12:J99999,SUMMARY!A182&amp;"*")</f>
        <v>0</v>
      </c>
      <c r="R182" s="10">
        <f>SUMIFS('PLAN BUDGET SAMI-TF'!BD12:BD99999,'PLAN BUDGET SAMI-TF'!D12:D99999,SUMMARY!D182,'PLAN BUDGET SAMI-TF'!J12:J99999,SUMMARY!A182&amp;"*")</f>
        <v>0</v>
      </c>
      <c r="S182" s="10">
        <f>SUMIFS('PLAN BUDGET SAMI-TF'!BE12:BE99999,'PLAN BUDGET SAMI-TF'!D12:D99999,SUMMARY!D182,'PLAN BUDGET SAMI-TF'!J12:J99999,SUMMARY!A182&amp;"*")</f>
        <v>0</v>
      </c>
      <c r="T182" s="10">
        <f>SUMIFS('PLAN BUDGET SAMI-TF'!BF12:BF99999,'PLAN BUDGET SAMI-TF'!D12:D99999,SUMMARY!D182,'PLAN BUDGET SAMI-TF'!J12:J99999,SUMMARY!A182&amp;"*")</f>
        <v>0</v>
      </c>
      <c r="U182" s="10">
        <f>SUMIFS('PLAN BUDGET SAMI-TF'!BG12:BG99999,'PLAN BUDGET SAMI-TF'!D12:D99999,SUMMARY!D182,'PLAN BUDGET SAMI-TF'!J12:J99999,SUMMARY!A182&amp;"*")</f>
        <v>0</v>
      </c>
      <c r="V182" s="10">
        <f>SUMIFS('PLAN BUDGET SAMI-TF'!BH12:BH99999,'PLAN BUDGET SAMI-TF'!D12:D99999,SUMMARY!D182,'PLAN BUDGET SAMI-TF'!J12:J99999,SUMMARY!A182&amp;"*")</f>
        <v>0</v>
      </c>
      <c r="W182" s="10">
        <f>SUMIFS('PLAN BUDGET SAMI-TF'!BI12:BI99999,'PLAN BUDGET SAMI-TF'!D12:D99999,SUMMARY!D182,'PLAN BUDGET SAMI-TF'!J12:J99999,SUMMARY!A182&amp;"*")</f>
        <v>0</v>
      </c>
      <c r="X182" s="10">
        <f>SUMIFS('PLAN BUDGET SAMI-TF'!BJ12:BJ99999,'PLAN BUDGET SAMI-TF'!D12:D99999,SUMMARY!D182,'PLAN BUDGET SAMI-TF'!J12:J99999,SUMMARY!A182&amp;"*")</f>
        <v>0</v>
      </c>
      <c r="Y182" s="10">
        <f>SUMIFS('PLAN BUDGET SAMI-TF'!BK12:BK99999,'PLAN BUDGET SAMI-TF'!D12:D99999,SUMMARY!D182,'PLAN BUDGET SAMI-TF'!J12:J99999,SUMMARY!A182&amp;"*")</f>
        <v>0</v>
      </c>
      <c r="Z182" s="10">
        <f>SUMIFS('PLAN BUDGET SAMI-TF'!BL12:BL99999,'PLAN BUDGET SAMI-TF'!D12:D99999,SUMMARY!D182,'PLAN BUDGET SAMI-TF'!J12:J99999,SUMMARY!A182&amp;"*")</f>
        <v>0</v>
      </c>
      <c r="AA182" s="10">
        <f>SUMIFS('PLAN BUDGET SAMI-TF'!BM12:BM99999,'PLAN BUDGET SAMI-TF'!D12:D99999,SUMMARY!D182,'PLAN BUDGET SAMI-TF'!J12:J99999,SUMMARY!A182&amp;"*")</f>
        <v>0</v>
      </c>
      <c r="AB182" s="10">
        <f>SUMIFS('PLAN BUDGET SAMI-TF'!BN12:BN99999,'PLAN BUDGET SAMI-TF'!D12:D99999,SUMMARY!D182,'PLAN BUDGET SAMI-TF'!J12:J99999,SUMMARY!A182&amp;"*")</f>
        <v>0</v>
      </c>
      <c r="AC182" s="10">
        <f t="shared" si="20"/>
        <v>0</v>
      </c>
      <c r="AD182" s="10">
        <f t="shared" si="21"/>
        <v>0</v>
      </c>
      <c r="AE182" s="16"/>
      <c r="AF182" s="10">
        <v>6</v>
      </c>
      <c r="AG182" s="10">
        <v>12.342865823554</v>
      </c>
      <c r="AH182" s="20">
        <f t="shared" si="22"/>
        <v>-1</v>
      </c>
      <c r="AI182" s="20">
        <f t="shared" si="23"/>
        <v>-1</v>
      </c>
      <c r="AJ182" s="7" t="s">
        <v>743</v>
      </c>
    </row>
    <row r="183" spans="1:36" x14ac:dyDescent="0.35">
      <c r="A183" s="7" t="s">
        <v>48</v>
      </c>
      <c r="B183" s="7"/>
      <c r="C183" s="7"/>
      <c r="D183" s="7" t="s">
        <v>801</v>
      </c>
      <c r="E183" s="10">
        <f>SUMIFS('PLAN BUDGET SAMI-TF'!AN12:AN99999,'PLAN BUDGET SAMI-TF'!D12:D99999,SUMMARY!D183,'PLAN BUDGET SAMI-TF'!J12:J99999,SUMMARY!A183&amp;"*")</f>
        <v>0</v>
      </c>
      <c r="F183" s="10">
        <f>SUMIFS('PLAN BUDGET SAMI-TF'!AO12:AO99999,'PLAN BUDGET SAMI-TF'!D12:D99999,SUMMARY!D183,'PLAN BUDGET SAMI-TF'!J12:J99999,SUMMARY!A183&amp;"*")</f>
        <v>0</v>
      </c>
      <c r="G183" s="10">
        <f>SUMIFS('PLAN BUDGET SAMI-TF'!AP12:AP99999,'PLAN BUDGET SAMI-TF'!D12:D99999,SUMMARY!D183,'PLAN BUDGET SAMI-TF'!J12:J99999,SUMMARY!A183&amp;"*")</f>
        <v>0</v>
      </c>
      <c r="H183" s="10">
        <f>SUMIFS('PLAN BUDGET SAMI-TF'!AQ12:AQ99999,'PLAN BUDGET SAMI-TF'!D12:D99999,SUMMARY!D183,'PLAN BUDGET SAMI-TF'!J12:J99999,SUMMARY!A183&amp;"*")</f>
        <v>0</v>
      </c>
      <c r="I183" s="10">
        <f>SUMIFS('PLAN BUDGET SAMI-TF'!AR12:AR99999,'PLAN BUDGET SAMI-TF'!D12:D99999,SUMMARY!D183,'PLAN BUDGET SAMI-TF'!J12:J99999,SUMMARY!A183&amp;"*")</f>
        <v>0</v>
      </c>
      <c r="J183" s="10">
        <f>SUMIFS('PLAN BUDGET SAMI-TF'!AS12:AS99999,'PLAN BUDGET SAMI-TF'!D12:D99999,SUMMARY!D183,'PLAN BUDGET SAMI-TF'!J12:J99999,SUMMARY!A183&amp;"*")</f>
        <v>0</v>
      </c>
      <c r="K183" s="10">
        <f>SUMIFS('PLAN BUDGET SAMI-TF'!AT12:AT99999,'PLAN BUDGET SAMI-TF'!D12:D99999,SUMMARY!D183,'PLAN BUDGET SAMI-TF'!J12:J99999,SUMMARY!A183&amp;"*")</f>
        <v>0</v>
      </c>
      <c r="L183" s="10">
        <f>SUMIFS('PLAN BUDGET SAMI-TF'!AU12:AU99999,'PLAN BUDGET SAMI-TF'!D12:D99999,SUMMARY!D183,'PLAN BUDGET SAMI-TF'!J12:J99999,SUMMARY!A183&amp;"*")</f>
        <v>0</v>
      </c>
      <c r="M183" s="10">
        <f>SUMIFS('PLAN BUDGET SAMI-TF'!AV12:AV99999,'PLAN BUDGET SAMI-TF'!D12:D99999,SUMMARY!D183,'PLAN BUDGET SAMI-TF'!J12:J99999,SUMMARY!A183&amp;"*")</f>
        <v>0</v>
      </c>
      <c r="N183" s="10">
        <f>SUMIFS('PLAN BUDGET SAMI-TF'!AW12:AW99999,'PLAN BUDGET SAMI-TF'!D12:D99999,SUMMARY!D183,'PLAN BUDGET SAMI-TF'!J12:J99999,SUMMARY!A183&amp;"*")</f>
        <v>0</v>
      </c>
      <c r="O183" s="10">
        <f>SUMIFS('PLAN BUDGET SAMI-TF'!AX12:AX99999,'PLAN BUDGET SAMI-TF'!D12:D99999,SUMMARY!D183,'PLAN BUDGET SAMI-TF'!J12:J99999,SUMMARY!A183&amp;"*")</f>
        <v>0</v>
      </c>
      <c r="P183" s="10">
        <f>SUMIFS('PLAN BUDGET SAMI-TF'!AY12:AY99999,'PLAN BUDGET SAMI-TF'!D12:D99999,SUMMARY!D183,'PLAN BUDGET SAMI-TF'!J12:J99999,SUMMARY!A183&amp;"*")</f>
        <v>0</v>
      </c>
      <c r="Q183" s="10">
        <f>SUMIFS('PLAN BUDGET SAMI-TF'!BC12:BC99999,'PLAN BUDGET SAMI-TF'!D12:D99999,SUMMARY!D183,'PLAN BUDGET SAMI-TF'!J12:J99999,SUMMARY!A183&amp;"*")</f>
        <v>0</v>
      </c>
      <c r="R183" s="10">
        <f>SUMIFS('PLAN BUDGET SAMI-TF'!BD12:BD99999,'PLAN BUDGET SAMI-TF'!D12:D99999,SUMMARY!D183,'PLAN BUDGET SAMI-TF'!J12:J99999,SUMMARY!A183&amp;"*")</f>
        <v>0</v>
      </c>
      <c r="S183" s="10">
        <f>SUMIFS('PLAN BUDGET SAMI-TF'!BE12:BE99999,'PLAN BUDGET SAMI-TF'!D12:D99999,SUMMARY!D183,'PLAN BUDGET SAMI-TF'!J12:J99999,SUMMARY!A183&amp;"*")</f>
        <v>0</v>
      </c>
      <c r="T183" s="10">
        <f>SUMIFS('PLAN BUDGET SAMI-TF'!BF12:BF99999,'PLAN BUDGET SAMI-TF'!D12:D99999,SUMMARY!D183,'PLAN BUDGET SAMI-TF'!J12:J99999,SUMMARY!A183&amp;"*")</f>
        <v>0</v>
      </c>
      <c r="U183" s="10">
        <f>SUMIFS('PLAN BUDGET SAMI-TF'!BG12:BG99999,'PLAN BUDGET SAMI-TF'!D12:D99999,SUMMARY!D183,'PLAN BUDGET SAMI-TF'!J12:J99999,SUMMARY!A183&amp;"*")</f>
        <v>0</v>
      </c>
      <c r="V183" s="10">
        <f>SUMIFS('PLAN BUDGET SAMI-TF'!BH12:BH99999,'PLAN BUDGET SAMI-TF'!D12:D99999,SUMMARY!D183,'PLAN BUDGET SAMI-TF'!J12:J99999,SUMMARY!A183&amp;"*")</f>
        <v>0</v>
      </c>
      <c r="W183" s="10">
        <f>SUMIFS('PLAN BUDGET SAMI-TF'!BI12:BI99999,'PLAN BUDGET SAMI-TF'!D12:D99999,SUMMARY!D183,'PLAN BUDGET SAMI-TF'!J12:J99999,SUMMARY!A183&amp;"*")</f>
        <v>0</v>
      </c>
      <c r="X183" s="10">
        <f>SUMIFS('PLAN BUDGET SAMI-TF'!BJ12:BJ99999,'PLAN BUDGET SAMI-TF'!D12:D99999,SUMMARY!D183,'PLAN BUDGET SAMI-TF'!J12:J99999,SUMMARY!A183&amp;"*")</f>
        <v>0</v>
      </c>
      <c r="Y183" s="10">
        <f>SUMIFS('PLAN BUDGET SAMI-TF'!BK12:BK99999,'PLAN BUDGET SAMI-TF'!D12:D99999,SUMMARY!D183,'PLAN BUDGET SAMI-TF'!J12:J99999,SUMMARY!A183&amp;"*")</f>
        <v>0</v>
      </c>
      <c r="Z183" s="10">
        <f>SUMIFS('PLAN BUDGET SAMI-TF'!BL12:BL99999,'PLAN BUDGET SAMI-TF'!D12:D99999,SUMMARY!D183,'PLAN BUDGET SAMI-TF'!J12:J99999,SUMMARY!A183&amp;"*")</f>
        <v>0</v>
      </c>
      <c r="AA183" s="10">
        <f>SUMIFS('PLAN BUDGET SAMI-TF'!BM12:BM99999,'PLAN BUDGET SAMI-TF'!D12:D99999,SUMMARY!D183,'PLAN BUDGET SAMI-TF'!J12:J99999,SUMMARY!A183&amp;"*")</f>
        <v>0</v>
      </c>
      <c r="AB183" s="10">
        <f>SUMIFS('PLAN BUDGET SAMI-TF'!BN12:BN99999,'PLAN BUDGET SAMI-TF'!D12:D99999,SUMMARY!D183,'PLAN BUDGET SAMI-TF'!J12:J99999,SUMMARY!A183&amp;"*")</f>
        <v>0</v>
      </c>
      <c r="AC183" s="10">
        <f t="shared" si="20"/>
        <v>0</v>
      </c>
      <c r="AD183" s="10">
        <f t="shared" si="21"/>
        <v>0</v>
      </c>
      <c r="AE183" s="16"/>
      <c r="AF183" s="10">
        <v>7</v>
      </c>
      <c r="AG183" s="10">
        <v>30.382438950287</v>
      </c>
      <c r="AH183" s="20">
        <f t="shared" si="22"/>
        <v>-1</v>
      </c>
      <c r="AI183" s="20">
        <f t="shared" si="23"/>
        <v>-1</v>
      </c>
      <c r="AJ183" s="7" t="s">
        <v>743</v>
      </c>
    </row>
    <row r="184" spans="1:36" x14ac:dyDescent="0.35">
      <c r="A184" s="7" t="s">
        <v>48</v>
      </c>
      <c r="B184" s="7"/>
      <c r="C184" s="7"/>
      <c r="D184" s="7" t="s">
        <v>795</v>
      </c>
      <c r="E184" s="10">
        <f>SUMIFS('PLAN BUDGET SAMI-TF'!AN12:AN99999,'PLAN BUDGET SAMI-TF'!D12:D99999,SUMMARY!D184,'PLAN BUDGET SAMI-TF'!J12:J99999,SUMMARY!A184&amp;"*")</f>
        <v>0</v>
      </c>
      <c r="F184" s="10">
        <f>SUMIFS('PLAN BUDGET SAMI-TF'!AO12:AO99999,'PLAN BUDGET SAMI-TF'!D12:D99999,SUMMARY!D184,'PLAN BUDGET SAMI-TF'!J12:J99999,SUMMARY!A184&amp;"*")</f>
        <v>0</v>
      </c>
      <c r="G184" s="10">
        <f>SUMIFS('PLAN BUDGET SAMI-TF'!AP12:AP99999,'PLAN BUDGET SAMI-TF'!D12:D99999,SUMMARY!D184,'PLAN BUDGET SAMI-TF'!J12:J99999,SUMMARY!A184&amp;"*")</f>
        <v>0</v>
      </c>
      <c r="H184" s="10">
        <f>SUMIFS('PLAN BUDGET SAMI-TF'!AQ12:AQ99999,'PLAN BUDGET SAMI-TF'!D12:D99999,SUMMARY!D184,'PLAN BUDGET SAMI-TF'!J12:J99999,SUMMARY!A184&amp;"*")</f>
        <v>0</v>
      </c>
      <c r="I184" s="10">
        <f>SUMIFS('PLAN BUDGET SAMI-TF'!AR12:AR99999,'PLAN BUDGET SAMI-TF'!D12:D99999,SUMMARY!D184,'PLAN BUDGET SAMI-TF'!J12:J99999,SUMMARY!A184&amp;"*")</f>
        <v>0</v>
      </c>
      <c r="J184" s="10">
        <f>SUMIFS('PLAN BUDGET SAMI-TF'!AS12:AS99999,'PLAN BUDGET SAMI-TF'!D12:D99999,SUMMARY!D184,'PLAN BUDGET SAMI-TF'!J12:J99999,SUMMARY!A184&amp;"*")</f>
        <v>0</v>
      </c>
      <c r="K184" s="10">
        <f>SUMIFS('PLAN BUDGET SAMI-TF'!AT12:AT99999,'PLAN BUDGET SAMI-TF'!D12:D99999,SUMMARY!D184,'PLAN BUDGET SAMI-TF'!J12:J99999,SUMMARY!A184&amp;"*")</f>
        <v>0</v>
      </c>
      <c r="L184" s="10">
        <f>SUMIFS('PLAN BUDGET SAMI-TF'!AU12:AU99999,'PLAN BUDGET SAMI-TF'!D12:D99999,SUMMARY!D184,'PLAN BUDGET SAMI-TF'!J12:J99999,SUMMARY!A184&amp;"*")</f>
        <v>0</v>
      </c>
      <c r="M184" s="10">
        <f>SUMIFS('PLAN BUDGET SAMI-TF'!AV12:AV99999,'PLAN BUDGET SAMI-TF'!D12:D99999,SUMMARY!D184,'PLAN BUDGET SAMI-TF'!J12:J99999,SUMMARY!A184&amp;"*")</f>
        <v>0</v>
      </c>
      <c r="N184" s="10">
        <f>SUMIFS('PLAN BUDGET SAMI-TF'!AW12:AW99999,'PLAN BUDGET SAMI-TF'!D12:D99999,SUMMARY!D184,'PLAN BUDGET SAMI-TF'!J12:J99999,SUMMARY!A184&amp;"*")</f>
        <v>0</v>
      </c>
      <c r="O184" s="10">
        <f>SUMIFS('PLAN BUDGET SAMI-TF'!AX12:AX99999,'PLAN BUDGET SAMI-TF'!D12:D99999,SUMMARY!D184,'PLAN BUDGET SAMI-TF'!J12:J99999,SUMMARY!A184&amp;"*")</f>
        <v>0</v>
      </c>
      <c r="P184" s="10">
        <f>SUMIFS('PLAN BUDGET SAMI-TF'!AY12:AY99999,'PLAN BUDGET SAMI-TF'!D12:D99999,SUMMARY!D184,'PLAN BUDGET SAMI-TF'!J12:J99999,SUMMARY!A184&amp;"*")</f>
        <v>0</v>
      </c>
      <c r="Q184" s="10">
        <f>SUMIFS('PLAN BUDGET SAMI-TF'!BC12:BC99999,'PLAN BUDGET SAMI-TF'!D12:D99999,SUMMARY!D184,'PLAN BUDGET SAMI-TF'!J12:J99999,SUMMARY!A184&amp;"*")</f>
        <v>0</v>
      </c>
      <c r="R184" s="10">
        <f>SUMIFS('PLAN BUDGET SAMI-TF'!BD12:BD99999,'PLAN BUDGET SAMI-TF'!D12:D99999,SUMMARY!D184,'PLAN BUDGET SAMI-TF'!J12:J99999,SUMMARY!A184&amp;"*")</f>
        <v>0</v>
      </c>
      <c r="S184" s="10">
        <f>SUMIFS('PLAN BUDGET SAMI-TF'!BE12:BE99999,'PLAN BUDGET SAMI-TF'!D12:D99999,SUMMARY!D184,'PLAN BUDGET SAMI-TF'!J12:J99999,SUMMARY!A184&amp;"*")</f>
        <v>0</v>
      </c>
      <c r="T184" s="10">
        <f>SUMIFS('PLAN BUDGET SAMI-TF'!BF12:BF99999,'PLAN BUDGET SAMI-TF'!D12:D99999,SUMMARY!D184,'PLAN BUDGET SAMI-TF'!J12:J99999,SUMMARY!A184&amp;"*")</f>
        <v>0</v>
      </c>
      <c r="U184" s="10">
        <f>SUMIFS('PLAN BUDGET SAMI-TF'!BG12:BG99999,'PLAN BUDGET SAMI-TF'!D12:D99999,SUMMARY!D184,'PLAN BUDGET SAMI-TF'!J12:J99999,SUMMARY!A184&amp;"*")</f>
        <v>0</v>
      </c>
      <c r="V184" s="10">
        <f>SUMIFS('PLAN BUDGET SAMI-TF'!BH12:BH99999,'PLAN BUDGET SAMI-TF'!D12:D99999,SUMMARY!D184,'PLAN BUDGET SAMI-TF'!J12:J99999,SUMMARY!A184&amp;"*")</f>
        <v>0</v>
      </c>
      <c r="W184" s="10">
        <f>SUMIFS('PLAN BUDGET SAMI-TF'!BI12:BI99999,'PLAN BUDGET SAMI-TF'!D12:D99999,SUMMARY!D184,'PLAN BUDGET SAMI-TF'!J12:J99999,SUMMARY!A184&amp;"*")</f>
        <v>0</v>
      </c>
      <c r="X184" s="10">
        <f>SUMIFS('PLAN BUDGET SAMI-TF'!BJ12:BJ99999,'PLAN BUDGET SAMI-TF'!D12:D99999,SUMMARY!D184,'PLAN BUDGET SAMI-TF'!J12:J99999,SUMMARY!A184&amp;"*")</f>
        <v>0</v>
      </c>
      <c r="Y184" s="10">
        <f>SUMIFS('PLAN BUDGET SAMI-TF'!BK12:BK99999,'PLAN BUDGET SAMI-TF'!D12:D99999,SUMMARY!D184,'PLAN BUDGET SAMI-TF'!J12:J99999,SUMMARY!A184&amp;"*")</f>
        <v>0</v>
      </c>
      <c r="Z184" s="10">
        <f>SUMIFS('PLAN BUDGET SAMI-TF'!BL12:BL99999,'PLAN BUDGET SAMI-TF'!D12:D99999,SUMMARY!D184,'PLAN BUDGET SAMI-TF'!J12:J99999,SUMMARY!A184&amp;"*")</f>
        <v>0</v>
      </c>
      <c r="AA184" s="10">
        <f>SUMIFS('PLAN BUDGET SAMI-TF'!BM12:BM99999,'PLAN BUDGET SAMI-TF'!D12:D99999,SUMMARY!D184,'PLAN BUDGET SAMI-TF'!J12:J99999,SUMMARY!A184&amp;"*")</f>
        <v>0</v>
      </c>
      <c r="AB184" s="10">
        <f>SUMIFS('PLAN BUDGET SAMI-TF'!BN12:BN99999,'PLAN BUDGET SAMI-TF'!D12:D99999,SUMMARY!D184,'PLAN BUDGET SAMI-TF'!J12:J99999,SUMMARY!A184&amp;"*")</f>
        <v>0</v>
      </c>
      <c r="AC184" s="10">
        <f t="shared" si="20"/>
        <v>0</v>
      </c>
      <c r="AD184" s="10">
        <f t="shared" si="21"/>
        <v>0</v>
      </c>
      <c r="AE184" s="16"/>
      <c r="AF184" s="10">
        <v>11</v>
      </c>
      <c r="AG184" s="10">
        <v>8254.8833440937997</v>
      </c>
      <c r="AH184" s="20">
        <f t="shared" si="22"/>
        <v>-1</v>
      </c>
      <c r="AI184" s="20">
        <f t="shared" si="23"/>
        <v>-1</v>
      </c>
      <c r="AJ184" s="7" t="s">
        <v>743</v>
      </c>
    </row>
  </sheetData>
  <sheetProtection formatCells="0" formatColumns="0" formatRows="0" insertColumns="0" insertRows="0" insertHyperlinks="0" deleteColumns="0" deleteRows="0" sort="0" autoFilter="0" pivotTables="0"/>
  <autoFilter ref="A8:AJ184" xr:uid="{00000000-0001-0000-0100-000000000000}"/>
  <mergeCells count="2">
    <mergeCell ref="AC7:AD7"/>
    <mergeCell ref="AF7:AJ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9"/>
  <sheetViews>
    <sheetView topLeftCell="A111" workbookViewId="0">
      <selection activeCell="C14" sqref="C14:C120"/>
    </sheetView>
  </sheetViews>
  <sheetFormatPr defaultRowHeight="14.5" x14ac:dyDescent="0.35"/>
  <cols>
    <col min="1" max="1" width="12.453125" customWidth="1"/>
    <col min="2" max="2" width="42.453125" customWidth="1"/>
    <col min="3" max="3" width="4.453125" customWidth="1"/>
    <col min="4" max="11" width="14.453125" customWidth="1"/>
    <col min="12" max="12" width="60.453125" customWidth="1"/>
    <col min="13" max="13" width="12.453125" customWidth="1"/>
  </cols>
  <sheetData>
    <row r="1" spans="1:13" ht="16.25" customHeight="1" x14ac:dyDescent="0.35">
      <c r="B1" s="2" t="s">
        <v>802</v>
      </c>
      <c r="C1" s="30" t="s">
        <v>803</v>
      </c>
      <c r="D1" s="21" t="s">
        <v>804</v>
      </c>
      <c r="I1" s="27" t="s">
        <v>805</v>
      </c>
      <c r="J1" s="27" t="s">
        <v>806</v>
      </c>
      <c r="K1" s="27" t="s">
        <v>807</v>
      </c>
      <c r="M1" s="49"/>
    </row>
    <row r="2" spans="1:13" ht="16.25" customHeight="1" x14ac:dyDescent="0.35">
      <c r="B2" s="2" t="s">
        <v>808</v>
      </c>
      <c r="C2" s="30" t="s">
        <v>809</v>
      </c>
      <c r="D2" s="21" t="s">
        <v>810</v>
      </c>
      <c r="I2" s="55"/>
      <c r="J2" s="55"/>
      <c r="K2" s="55"/>
      <c r="M2" s="49"/>
    </row>
    <row r="3" spans="1:13" ht="16.25" customHeight="1" x14ac:dyDescent="0.35">
      <c r="B3" s="2" t="s">
        <v>811</v>
      </c>
      <c r="C3" s="1"/>
      <c r="I3" s="55"/>
      <c r="J3" s="55"/>
      <c r="K3" s="55"/>
      <c r="M3" s="49"/>
    </row>
    <row r="4" spans="1:13" ht="16.25" customHeight="1" x14ac:dyDescent="0.35">
      <c r="C4" s="1"/>
      <c r="I4" s="55"/>
      <c r="J4" s="55"/>
      <c r="K4" s="55"/>
      <c r="M4" s="49"/>
    </row>
    <row r="5" spans="1:13" ht="16.25" customHeight="1" x14ac:dyDescent="0.35">
      <c r="C5" s="1"/>
      <c r="I5" s="27" t="s">
        <v>812</v>
      </c>
      <c r="J5" s="27" t="s">
        <v>813</v>
      </c>
      <c r="K5" s="27" t="s">
        <v>814</v>
      </c>
      <c r="M5" s="49"/>
    </row>
    <row r="6" spans="1:13" ht="16.25" customHeight="1" x14ac:dyDescent="0.35">
      <c r="C6" s="1"/>
      <c r="M6" s="49"/>
    </row>
    <row r="7" spans="1:13" x14ac:dyDescent="0.35">
      <c r="B7" s="56" t="s">
        <v>724</v>
      </c>
      <c r="C7" s="59" t="s">
        <v>815</v>
      </c>
      <c r="D7" s="26" t="s">
        <v>816</v>
      </c>
      <c r="E7" s="26" t="s">
        <v>816</v>
      </c>
      <c r="F7" s="62" t="s">
        <v>817</v>
      </c>
      <c r="G7" s="62"/>
      <c r="H7" s="62"/>
      <c r="I7" s="62"/>
      <c r="J7" s="62"/>
      <c r="K7" s="63" t="s">
        <v>818</v>
      </c>
      <c r="L7" s="64" t="s">
        <v>819</v>
      </c>
      <c r="M7" s="49"/>
    </row>
    <row r="8" spans="1:13" x14ac:dyDescent="0.35">
      <c r="B8" s="57"/>
      <c r="C8" s="60"/>
      <c r="D8" s="24" t="s">
        <v>820</v>
      </c>
      <c r="E8" s="24" t="s">
        <v>821</v>
      </c>
      <c r="F8" s="37" t="s">
        <v>822</v>
      </c>
      <c r="G8" s="24" t="s">
        <v>823</v>
      </c>
      <c r="H8" s="24" t="s">
        <v>824</v>
      </c>
      <c r="I8" s="24" t="s">
        <v>825</v>
      </c>
      <c r="J8" s="43" t="s">
        <v>820</v>
      </c>
      <c r="K8" s="60"/>
      <c r="L8" s="65"/>
      <c r="M8" s="49"/>
    </row>
    <row r="9" spans="1:13" x14ac:dyDescent="0.35">
      <c r="B9" s="57"/>
      <c r="C9" s="60"/>
      <c r="D9" s="24" t="s">
        <v>826</v>
      </c>
      <c r="E9" s="24" t="s">
        <v>826</v>
      </c>
      <c r="F9" s="37" t="s">
        <v>826</v>
      </c>
      <c r="G9" s="24" t="s">
        <v>826</v>
      </c>
      <c r="H9" s="24" t="s">
        <v>826</v>
      </c>
      <c r="I9" s="24" t="s">
        <v>826</v>
      </c>
      <c r="J9" s="43" t="s">
        <v>826</v>
      </c>
      <c r="K9" s="60"/>
      <c r="L9" s="65"/>
      <c r="M9" s="49"/>
    </row>
    <row r="10" spans="1:13" x14ac:dyDescent="0.35">
      <c r="B10" s="58"/>
      <c r="C10" s="61"/>
      <c r="D10" s="25" t="s">
        <v>145</v>
      </c>
      <c r="E10" s="25" t="s">
        <v>101</v>
      </c>
      <c r="F10" s="38" t="s">
        <v>52</v>
      </c>
      <c r="G10" s="25" t="s">
        <v>95</v>
      </c>
      <c r="H10" s="25" t="s">
        <v>827</v>
      </c>
      <c r="I10" s="25" t="s">
        <v>803</v>
      </c>
      <c r="J10" s="44" t="s">
        <v>828</v>
      </c>
      <c r="K10" s="25" t="s">
        <v>829</v>
      </c>
      <c r="L10" s="66"/>
      <c r="M10" s="49"/>
    </row>
    <row r="11" spans="1:13" x14ac:dyDescent="0.35">
      <c r="B11" s="22" t="s">
        <v>830</v>
      </c>
      <c r="C11" s="31"/>
      <c r="D11" s="22">
        <v>3291348.91</v>
      </c>
      <c r="E11" s="22">
        <v>1635200.71</v>
      </c>
      <c r="F11" s="39">
        <v>3621015.35</v>
      </c>
      <c r="G11" s="22"/>
      <c r="H11" s="22"/>
      <c r="I11" s="22"/>
      <c r="J11" s="45">
        <v>3621015.35</v>
      </c>
      <c r="K11" s="22"/>
      <c r="L11" s="22"/>
      <c r="M11" s="49"/>
    </row>
    <row r="12" spans="1:13" x14ac:dyDescent="0.35">
      <c r="B12" s="23" t="s">
        <v>831</v>
      </c>
      <c r="C12" s="32"/>
      <c r="D12" s="28">
        <f>D11/12</f>
        <v>274279.07583333337</v>
      </c>
      <c r="E12" s="23">
        <f>E11/12</f>
        <v>136266.72583333333</v>
      </c>
      <c r="F12" s="40">
        <f>J11/12</f>
        <v>301751.27916666667</v>
      </c>
      <c r="G12" s="23"/>
      <c r="H12" s="23"/>
      <c r="I12" s="23"/>
      <c r="J12" s="46">
        <f>J11/12</f>
        <v>301751.27916666667</v>
      </c>
      <c r="K12" s="23"/>
      <c r="L12" s="23"/>
      <c r="M12" s="49" t="s">
        <v>832</v>
      </c>
    </row>
    <row r="13" spans="1:13" ht="7.5" customHeight="1" x14ac:dyDescent="0.35">
      <c r="C13" s="1"/>
      <c r="D13" s="29"/>
      <c r="F13" s="41"/>
      <c r="J13" s="47"/>
      <c r="M13" s="49"/>
    </row>
    <row r="14" spans="1:13" x14ac:dyDescent="0.35">
      <c r="A14" t="s">
        <v>48</v>
      </c>
      <c r="B14" s="7" t="s">
        <v>258</v>
      </c>
      <c r="C14" s="33" t="s">
        <v>803</v>
      </c>
      <c r="D14" s="34">
        <v>143.70893623486</v>
      </c>
      <c r="E14" s="12">
        <v>141.48089071184</v>
      </c>
      <c r="F14" s="42">
        <f t="shared" ref="F14:F45" si="0">IF(C14="F",E14,E14/$E$12*$F$12)</f>
        <v>141.48089071184</v>
      </c>
      <c r="G14" s="12">
        <f t="shared" ref="G14:G45" si="1">IF(F14&lt;J14,J14-F14,0)</f>
        <v>3.7511235172689794</v>
      </c>
      <c r="H14" s="12">
        <f t="shared" ref="H14:H45" si="2">IF(F14&gt;J14,J14-F14,0)</f>
        <v>0</v>
      </c>
      <c r="I14" s="12"/>
      <c r="J14" s="48">
        <f>SUMIFS('PLAN BUDGET SAMI-TF'!BO12:BO99999,'PLAN BUDGET SAMI-TF'!D12:D99999,B14,'PLAN BUDGET SAMI-TF'!J12:J99999,A14&amp;"*")</f>
        <v>145.23201422910898</v>
      </c>
      <c r="K14" s="35">
        <f t="shared" ref="K14:K45" si="3">IFERROR(IF(F14&gt;0,(J14-F14)/F14,100%),0)</f>
        <v>2.6513287401540665E-2</v>
      </c>
      <c r="L14" s="36"/>
      <c r="M14" s="50">
        <f t="shared" ref="M14:M45" si="4">J14-SUM(F14:I14)</f>
        <v>0</v>
      </c>
    </row>
    <row r="15" spans="1:13" x14ac:dyDescent="0.35">
      <c r="A15" t="s">
        <v>48</v>
      </c>
      <c r="B15" s="7" t="s">
        <v>44</v>
      </c>
      <c r="C15" s="33" t="s">
        <v>803</v>
      </c>
      <c r="D15" s="34">
        <v>0.35370222677959001</v>
      </c>
      <c r="E15" s="12">
        <v>0.35091716987581001</v>
      </c>
      <c r="F15" s="42">
        <f t="shared" si="0"/>
        <v>0.35091716987581001</v>
      </c>
      <c r="G15" s="12">
        <f t="shared" si="1"/>
        <v>1.01781170483459</v>
      </c>
      <c r="H15" s="12">
        <f t="shared" si="2"/>
        <v>0</v>
      </c>
      <c r="I15" s="12"/>
      <c r="J15" s="48">
        <f>SUMIFS('PLAN BUDGET SAMI-TF'!BO12:BO99999,'PLAN BUDGET SAMI-TF'!D12:D99999,B15,'PLAN BUDGET SAMI-TF'!J12:J99999,A15&amp;"*")</f>
        <v>1.3687288747104001</v>
      </c>
      <c r="K15" s="35">
        <f t="shared" si="3"/>
        <v>2.9004329004328708</v>
      </c>
      <c r="L15" s="36"/>
      <c r="M15" s="50">
        <f t="shared" si="4"/>
        <v>0</v>
      </c>
    </row>
    <row r="16" spans="1:13" x14ac:dyDescent="0.35">
      <c r="A16" t="s">
        <v>48</v>
      </c>
      <c r="B16" s="7" t="s">
        <v>234</v>
      </c>
      <c r="C16" s="33" t="s">
        <v>803</v>
      </c>
      <c r="D16" s="34">
        <v>20.775258567215001</v>
      </c>
      <c r="E16" s="12">
        <v>19.820933500437</v>
      </c>
      <c r="F16" s="42">
        <f t="shared" si="0"/>
        <v>19.820933500437</v>
      </c>
      <c r="G16" s="12">
        <f t="shared" si="1"/>
        <v>3.3430177357377744E-2</v>
      </c>
      <c r="H16" s="12">
        <f t="shared" si="2"/>
        <v>0</v>
      </c>
      <c r="I16" s="12"/>
      <c r="J16" s="48">
        <f>SUMIFS('PLAN BUDGET SAMI-TF'!BO12:BO99999,'PLAN BUDGET SAMI-TF'!D12:D99999,B16,'PLAN BUDGET SAMI-TF'!J12:J99999,A16&amp;"*")</f>
        <v>19.854363677794378</v>
      </c>
      <c r="K16" s="35">
        <f t="shared" si="3"/>
        <v>1.6866096320156008E-3</v>
      </c>
      <c r="L16" s="36"/>
      <c r="M16" s="50">
        <f t="shared" si="4"/>
        <v>0</v>
      </c>
    </row>
    <row r="17" spans="1:13" x14ac:dyDescent="0.35">
      <c r="A17" t="s">
        <v>48</v>
      </c>
      <c r="B17" s="7" t="s">
        <v>288</v>
      </c>
      <c r="C17" s="33" t="s">
        <v>803</v>
      </c>
      <c r="D17" s="34">
        <v>0</v>
      </c>
      <c r="E17" s="12">
        <v>0</v>
      </c>
      <c r="F17" s="42">
        <f t="shared" si="0"/>
        <v>0</v>
      </c>
      <c r="G17" s="12">
        <f t="shared" si="1"/>
        <v>126.59349562619001</v>
      </c>
      <c r="H17" s="12">
        <f t="shared" si="2"/>
        <v>0</v>
      </c>
      <c r="I17" s="12"/>
      <c r="J17" s="48">
        <f>SUMIFS('PLAN BUDGET SAMI-TF'!BO12:BO99999,'PLAN BUDGET SAMI-TF'!D12:D99999,B17,'PLAN BUDGET SAMI-TF'!J12:J99999,A17&amp;"*")</f>
        <v>126.59349562619001</v>
      </c>
      <c r="K17" s="35">
        <f t="shared" si="3"/>
        <v>1</v>
      </c>
      <c r="L17" s="36"/>
      <c r="M17" s="50">
        <f t="shared" si="4"/>
        <v>0</v>
      </c>
    </row>
    <row r="18" spans="1:13" x14ac:dyDescent="0.35">
      <c r="A18" t="s">
        <v>48</v>
      </c>
      <c r="B18" s="7" t="s">
        <v>333</v>
      </c>
      <c r="C18" s="33" t="s">
        <v>803</v>
      </c>
      <c r="D18" s="34">
        <v>0</v>
      </c>
      <c r="E18" s="12">
        <v>0</v>
      </c>
      <c r="F18" s="42">
        <f t="shared" si="0"/>
        <v>0</v>
      </c>
      <c r="G18" s="12">
        <f t="shared" si="1"/>
        <v>741.72185430464003</v>
      </c>
      <c r="H18" s="12">
        <f t="shared" si="2"/>
        <v>0</v>
      </c>
      <c r="I18" s="12"/>
      <c r="J18" s="48">
        <f>SUMIFS('PLAN BUDGET SAMI-TF'!BO12:BO99999,'PLAN BUDGET SAMI-TF'!D12:D99999,B18,'PLAN BUDGET SAMI-TF'!J12:J99999,A18&amp;"*")</f>
        <v>741.72185430464003</v>
      </c>
      <c r="K18" s="35">
        <f t="shared" si="3"/>
        <v>1</v>
      </c>
      <c r="L18" s="36"/>
      <c r="M18" s="50">
        <f t="shared" si="4"/>
        <v>0</v>
      </c>
    </row>
    <row r="19" spans="1:13" x14ac:dyDescent="0.35">
      <c r="A19" t="s">
        <v>48</v>
      </c>
      <c r="B19" s="7" t="s">
        <v>380</v>
      </c>
      <c r="C19" s="33" t="s">
        <v>803</v>
      </c>
      <c r="D19" s="34">
        <v>10.573088754700001</v>
      </c>
      <c r="E19" s="12">
        <v>9.3983011152886995</v>
      </c>
      <c r="F19" s="42">
        <f t="shared" si="0"/>
        <v>9.3983011152886995</v>
      </c>
      <c r="G19" s="12">
        <f t="shared" si="1"/>
        <v>0</v>
      </c>
      <c r="H19" s="12">
        <f t="shared" si="2"/>
        <v>-0.36712113731599949</v>
      </c>
      <c r="I19" s="12"/>
      <c r="J19" s="48">
        <f>SUMIFS('PLAN BUDGET SAMI-TF'!BO12:BO99999,'PLAN BUDGET SAMI-TF'!D12:D99999,B19,'PLAN BUDGET SAMI-TF'!J12:J99999,A19&amp;"*")</f>
        <v>9.0311799779727</v>
      </c>
      <c r="K19" s="35">
        <f t="shared" si="3"/>
        <v>-3.9062500000003691E-2</v>
      </c>
      <c r="L19" s="36"/>
      <c r="M19" s="50">
        <f t="shared" si="4"/>
        <v>0</v>
      </c>
    </row>
    <row r="20" spans="1:13" x14ac:dyDescent="0.35">
      <c r="A20" t="s">
        <v>48</v>
      </c>
      <c r="B20" s="7" t="s">
        <v>230</v>
      </c>
      <c r="C20" s="33" t="s">
        <v>803</v>
      </c>
      <c r="D20" s="34">
        <v>350.68816224222002</v>
      </c>
      <c r="E20" s="12">
        <v>204.47267479396999</v>
      </c>
      <c r="F20" s="42">
        <f t="shared" si="0"/>
        <v>204.47267479396999</v>
      </c>
      <c r="G20" s="12">
        <f t="shared" si="1"/>
        <v>0</v>
      </c>
      <c r="H20" s="12">
        <f t="shared" si="2"/>
        <v>-56.919347283938635</v>
      </c>
      <c r="I20" s="12"/>
      <c r="J20" s="48">
        <f>SUMIFS('PLAN BUDGET SAMI-TF'!BO12:BO99999,'PLAN BUDGET SAMI-TF'!D12:D99999,B20,'PLAN BUDGET SAMI-TF'!J12:J99999,A20&amp;"*")</f>
        <v>147.55332751003135</v>
      </c>
      <c r="K20" s="35">
        <f t="shared" si="3"/>
        <v>-0.2783714124212025</v>
      </c>
      <c r="L20" s="36"/>
      <c r="M20" s="50">
        <f t="shared" si="4"/>
        <v>0</v>
      </c>
    </row>
    <row r="21" spans="1:13" x14ac:dyDescent="0.35">
      <c r="A21" t="s">
        <v>48</v>
      </c>
      <c r="B21" s="7" t="s">
        <v>117</v>
      </c>
      <c r="C21" s="33" t="s">
        <v>803</v>
      </c>
      <c r="D21" s="34">
        <v>268.84306204347001</v>
      </c>
      <c r="E21" s="12">
        <v>268.81774334434999</v>
      </c>
      <c r="F21" s="42">
        <f t="shared" si="0"/>
        <v>268.81774334434999</v>
      </c>
      <c r="G21" s="12">
        <f t="shared" si="1"/>
        <v>1.1428860785112533</v>
      </c>
      <c r="H21" s="12">
        <f t="shared" si="2"/>
        <v>0</v>
      </c>
      <c r="I21" s="12"/>
      <c r="J21" s="48">
        <f>SUMIFS('PLAN BUDGET SAMI-TF'!BO12:BO99999,'PLAN BUDGET SAMI-TF'!D12:D99999,B21,'PLAN BUDGET SAMI-TF'!J12:J99999,A21&amp;"*")</f>
        <v>269.96062942286125</v>
      </c>
      <c r="K21" s="35">
        <f t="shared" si="3"/>
        <v>4.2515276867243091E-3</v>
      </c>
      <c r="L21" s="36"/>
      <c r="M21" s="50">
        <f t="shared" si="4"/>
        <v>0</v>
      </c>
    </row>
    <row r="22" spans="1:13" x14ac:dyDescent="0.35">
      <c r="A22" t="s">
        <v>48</v>
      </c>
      <c r="B22" s="7" t="s">
        <v>151</v>
      </c>
      <c r="C22" s="33" t="s">
        <v>803</v>
      </c>
      <c r="D22" s="34">
        <v>1.1764966516019999</v>
      </c>
      <c r="E22" s="12">
        <v>1.1764966516019999</v>
      </c>
      <c r="F22" s="42">
        <f t="shared" si="0"/>
        <v>1.1764966516019999</v>
      </c>
      <c r="G22" s="12">
        <f t="shared" si="1"/>
        <v>0.40592204372540008</v>
      </c>
      <c r="H22" s="12">
        <f t="shared" si="2"/>
        <v>0</v>
      </c>
      <c r="I22" s="12"/>
      <c r="J22" s="48">
        <f>SUMIFS('PLAN BUDGET SAMI-TF'!BO12:BO99999,'PLAN BUDGET SAMI-TF'!D12:D99999,B22,'PLAN BUDGET SAMI-TF'!J12:J99999,A22&amp;"*")</f>
        <v>1.5824186953274</v>
      </c>
      <c r="K22" s="35">
        <f t="shared" si="3"/>
        <v>0.34502609350623165</v>
      </c>
      <c r="L22" s="36"/>
      <c r="M22" s="50">
        <f t="shared" si="4"/>
        <v>0</v>
      </c>
    </row>
    <row r="23" spans="1:13" x14ac:dyDescent="0.35">
      <c r="A23" t="s">
        <v>48</v>
      </c>
      <c r="B23" s="7" t="s">
        <v>438</v>
      </c>
      <c r="C23" s="33" t="s">
        <v>803</v>
      </c>
      <c r="D23" s="34">
        <v>0</v>
      </c>
      <c r="E23" s="12">
        <v>0</v>
      </c>
      <c r="F23" s="42">
        <f t="shared" si="0"/>
        <v>0</v>
      </c>
      <c r="G23" s="12">
        <f t="shared" si="1"/>
        <v>101.274796500956</v>
      </c>
      <c r="H23" s="12">
        <f t="shared" si="2"/>
        <v>0</v>
      </c>
      <c r="I23" s="12"/>
      <c r="J23" s="48">
        <f>SUMIFS('PLAN BUDGET SAMI-TF'!BO12:BO99999,'PLAN BUDGET SAMI-TF'!D12:D99999,B23,'PLAN BUDGET SAMI-TF'!J12:J99999,A23&amp;"*")</f>
        <v>101.274796500956</v>
      </c>
      <c r="K23" s="35">
        <f t="shared" si="3"/>
        <v>1</v>
      </c>
      <c r="L23" s="36"/>
      <c r="M23" s="50">
        <f t="shared" si="4"/>
        <v>0</v>
      </c>
    </row>
    <row r="24" spans="1:13" x14ac:dyDescent="0.35">
      <c r="A24" t="s">
        <v>48</v>
      </c>
      <c r="B24" s="7" t="s">
        <v>55</v>
      </c>
      <c r="C24" s="33" t="s">
        <v>803</v>
      </c>
      <c r="D24" s="34">
        <v>4.3262061195296004</v>
      </c>
      <c r="E24" s="12">
        <v>4.3262061195296004</v>
      </c>
      <c r="F24" s="42">
        <f t="shared" si="0"/>
        <v>4.3262061195296004</v>
      </c>
      <c r="G24" s="12">
        <f t="shared" si="1"/>
        <v>0.23799577177720987</v>
      </c>
      <c r="H24" s="12">
        <f t="shared" si="2"/>
        <v>0</v>
      </c>
      <c r="I24" s="12"/>
      <c r="J24" s="48">
        <f>SUMIFS('PLAN BUDGET SAMI-TF'!BO12:BO99999,'PLAN BUDGET SAMI-TF'!D12:D99999,B24,'PLAN BUDGET SAMI-TF'!J12:J99999,A24&amp;"*")</f>
        <v>4.5642018913068103</v>
      </c>
      <c r="K24" s="35">
        <f t="shared" si="3"/>
        <v>5.5012582665175412E-2</v>
      </c>
      <c r="L24" s="36"/>
      <c r="M24" s="50">
        <f t="shared" si="4"/>
        <v>0</v>
      </c>
    </row>
    <row r="25" spans="1:13" x14ac:dyDescent="0.35">
      <c r="A25" t="s">
        <v>48</v>
      </c>
      <c r="B25" s="7" t="s">
        <v>161</v>
      </c>
      <c r="C25" s="33" t="s">
        <v>803</v>
      </c>
      <c r="D25" s="34">
        <v>1477.9790614358001</v>
      </c>
      <c r="E25" s="12">
        <v>1392.5284518881001</v>
      </c>
      <c r="F25" s="42">
        <f t="shared" si="0"/>
        <v>1392.5284518881001</v>
      </c>
      <c r="G25" s="12">
        <f t="shared" si="1"/>
        <v>1091.8688997759816</v>
      </c>
      <c r="H25" s="12">
        <f t="shared" si="2"/>
        <v>0</v>
      </c>
      <c r="I25" s="12"/>
      <c r="J25" s="48">
        <f>SUMIFS('PLAN BUDGET SAMI-TF'!BO12:BO99999,'PLAN BUDGET SAMI-TF'!D12:D99999,B25,'PLAN BUDGET SAMI-TF'!J12:J99999,A25&amp;"*")</f>
        <v>2484.3973516640817</v>
      </c>
      <c r="K25" s="35">
        <f t="shared" si="3"/>
        <v>0.78409090909097012</v>
      </c>
      <c r="L25" s="36"/>
      <c r="M25" s="50">
        <f t="shared" si="4"/>
        <v>0</v>
      </c>
    </row>
    <row r="26" spans="1:13" x14ac:dyDescent="0.35">
      <c r="A26" t="s">
        <v>48</v>
      </c>
      <c r="B26" s="7" t="s">
        <v>112</v>
      </c>
      <c r="C26" s="33" t="s">
        <v>803</v>
      </c>
      <c r="D26" s="34">
        <v>25.318699125239</v>
      </c>
      <c r="E26" s="12">
        <v>37.978048687857999</v>
      </c>
      <c r="F26" s="42">
        <f t="shared" si="0"/>
        <v>37.978048687857999</v>
      </c>
      <c r="G26" s="12">
        <f t="shared" si="1"/>
        <v>12.659349562617997</v>
      </c>
      <c r="H26" s="12">
        <f t="shared" si="2"/>
        <v>0</v>
      </c>
      <c r="I26" s="12"/>
      <c r="J26" s="48">
        <f>SUMIFS('PLAN BUDGET SAMI-TF'!BO12:BO99999,'PLAN BUDGET SAMI-TF'!D12:D99999,B26,'PLAN BUDGET SAMI-TF'!J12:J99999,A26&amp;"*")</f>
        <v>50.637398250475997</v>
      </c>
      <c r="K26" s="35">
        <f t="shared" si="3"/>
        <v>0.33333333333329818</v>
      </c>
      <c r="L26" s="36"/>
      <c r="M26" s="50">
        <f t="shared" si="4"/>
        <v>0</v>
      </c>
    </row>
    <row r="27" spans="1:13" x14ac:dyDescent="0.35">
      <c r="A27" t="s">
        <v>48</v>
      </c>
      <c r="B27" s="7" t="s">
        <v>468</v>
      </c>
      <c r="C27" s="33" t="s">
        <v>803</v>
      </c>
      <c r="D27" s="34">
        <v>1.1891560011647</v>
      </c>
      <c r="E27" s="12">
        <v>1.1704834605598</v>
      </c>
      <c r="F27" s="42">
        <f t="shared" si="0"/>
        <v>1.1704834605598</v>
      </c>
      <c r="G27" s="12">
        <f t="shared" si="1"/>
        <v>0</v>
      </c>
      <c r="H27" s="12">
        <f t="shared" si="2"/>
        <v>-0.55175775068677002</v>
      </c>
      <c r="I27" s="12"/>
      <c r="J27" s="48">
        <f>SUMIFS('PLAN BUDGET SAMI-TF'!BO12:BO99999,'PLAN BUDGET SAMI-TF'!D12:D99999,B27,'PLAN BUDGET SAMI-TF'!J12:J99999,A27&amp;"*")</f>
        <v>0.61872570987302999</v>
      </c>
      <c r="K27" s="35">
        <f t="shared" si="3"/>
        <v>-0.47139303482586947</v>
      </c>
      <c r="L27" s="36"/>
      <c r="M27" s="50">
        <f t="shared" si="4"/>
        <v>0</v>
      </c>
    </row>
    <row r="28" spans="1:13" x14ac:dyDescent="0.35">
      <c r="A28" t="s">
        <v>48</v>
      </c>
      <c r="B28" s="7" t="s">
        <v>136</v>
      </c>
      <c r="C28" s="33" t="s">
        <v>803</v>
      </c>
      <c r="D28" s="34">
        <v>2929.8765093026</v>
      </c>
      <c r="E28" s="12">
        <v>881.38046937346996</v>
      </c>
      <c r="F28" s="42">
        <f t="shared" si="0"/>
        <v>881.38046937346996</v>
      </c>
      <c r="G28" s="12">
        <f t="shared" si="1"/>
        <v>2357.9609912622795</v>
      </c>
      <c r="H28" s="12">
        <f t="shared" si="2"/>
        <v>0</v>
      </c>
      <c r="I28" s="12"/>
      <c r="J28" s="48">
        <f>SUMIFS('PLAN BUDGET SAMI-TF'!BO12:BO99999,'PLAN BUDGET SAMI-TF'!D12:D99999,B28,'PLAN BUDGET SAMI-TF'!J12:J99999,A28&amp;"*")</f>
        <v>3239.3414606357496</v>
      </c>
      <c r="K28" s="35">
        <f t="shared" si="3"/>
        <v>2.6753043358658015</v>
      </c>
      <c r="L28" s="36"/>
      <c r="M28" s="50">
        <f t="shared" si="4"/>
        <v>0</v>
      </c>
    </row>
    <row r="29" spans="1:13" x14ac:dyDescent="0.35">
      <c r="A29" t="s">
        <v>48</v>
      </c>
      <c r="B29" s="7" t="s">
        <v>472</v>
      </c>
      <c r="C29" s="33" t="s">
        <v>803</v>
      </c>
      <c r="D29" s="34">
        <v>2.2361475067411001</v>
      </c>
      <c r="E29" s="12">
        <v>2.2361475067411001</v>
      </c>
      <c r="F29" s="42">
        <f t="shared" si="0"/>
        <v>2.2361475067411001</v>
      </c>
      <c r="G29" s="12">
        <f t="shared" si="1"/>
        <v>0.15912802400212955</v>
      </c>
      <c r="H29" s="12">
        <f t="shared" si="2"/>
        <v>0</v>
      </c>
      <c r="I29" s="12"/>
      <c r="J29" s="48">
        <f>SUMIFS('PLAN BUDGET SAMI-TF'!BO12:BO99999,'PLAN BUDGET SAMI-TF'!D12:D99999,B29,'PLAN BUDGET SAMI-TF'!J12:J99999,A29&amp;"*")</f>
        <v>2.3952755307432296</v>
      </c>
      <c r="K29" s="35">
        <f t="shared" si="3"/>
        <v>7.1161684782610049E-2</v>
      </c>
      <c r="L29" s="36"/>
      <c r="M29" s="50">
        <f t="shared" si="4"/>
        <v>0</v>
      </c>
    </row>
    <row r="30" spans="1:13" x14ac:dyDescent="0.35">
      <c r="A30" t="s">
        <v>48</v>
      </c>
      <c r="B30" s="7" t="s">
        <v>221</v>
      </c>
      <c r="C30" s="33" t="s">
        <v>803</v>
      </c>
      <c r="D30" s="34">
        <v>0.32414264555087002</v>
      </c>
      <c r="E30" s="12">
        <v>0.32414264555087002</v>
      </c>
      <c r="F30" s="42">
        <f t="shared" si="0"/>
        <v>0.32414264555087002</v>
      </c>
      <c r="G30" s="12">
        <f t="shared" si="1"/>
        <v>1.7976276378919964E-2</v>
      </c>
      <c r="H30" s="12">
        <f t="shared" si="2"/>
        <v>0</v>
      </c>
      <c r="I30" s="12"/>
      <c r="J30" s="48">
        <f>SUMIFS('PLAN BUDGET SAMI-TF'!BO12:BO99999,'PLAN BUDGET SAMI-TF'!D12:D99999,B30,'PLAN BUDGET SAMI-TF'!J12:J99999,A30&amp;"*")</f>
        <v>0.34211892192978999</v>
      </c>
      <c r="K30" s="35">
        <f t="shared" si="3"/>
        <v>5.5457918375318556E-2</v>
      </c>
      <c r="L30" s="36"/>
      <c r="M30" s="50">
        <f t="shared" si="4"/>
        <v>0</v>
      </c>
    </row>
    <row r="31" spans="1:13" x14ac:dyDescent="0.35">
      <c r="A31" t="s">
        <v>48</v>
      </c>
      <c r="B31" s="7" t="s">
        <v>279</v>
      </c>
      <c r="C31" s="33" t="s">
        <v>803</v>
      </c>
      <c r="D31" s="34">
        <v>23.516007747522</v>
      </c>
      <c r="E31" s="12">
        <v>23.090653602218001</v>
      </c>
      <c r="F31" s="42">
        <f t="shared" si="0"/>
        <v>23.090653602218001</v>
      </c>
      <c r="G31" s="12">
        <f t="shared" si="1"/>
        <v>0.26584634081439873</v>
      </c>
      <c r="H31" s="12">
        <f t="shared" si="2"/>
        <v>0</v>
      </c>
      <c r="I31" s="12"/>
      <c r="J31" s="48">
        <f>SUMIFS('PLAN BUDGET SAMI-TF'!BO12:BO99999,'PLAN BUDGET SAMI-TF'!D12:D99999,B31,'PLAN BUDGET SAMI-TF'!J12:J99999,A31&amp;"*")</f>
        <v>23.3564999430324</v>
      </c>
      <c r="K31" s="35">
        <f t="shared" si="3"/>
        <v>1.1513157894710375E-2</v>
      </c>
      <c r="L31" s="36"/>
      <c r="M31" s="50">
        <f t="shared" si="4"/>
        <v>0</v>
      </c>
    </row>
    <row r="32" spans="1:13" x14ac:dyDescent="0.35">
      <c r="A32" t="s">
        <v>48</v>
      </c>
      <c r="B32" s="7" t="s">
        <v>214</v>
      </c>
      <c r="C32" s="33" t="s">
        <v>803</v>
      </c>
      <c r="D32" s="34">
        <v>57.046320560049999</v>
      </c>
      <c r="E32" s="12">
        <v>43.464674085045999</v>
      </c>
      <c r="F32" s="42">
        <f t="shared" si="0"/>
        <v>43.464674085045999</v>
      </c>
      <c r="G32" s="12">
        <f t="shared" si="1"/>
        <v>22.101895104629193</v>
      </c>
      <c r="H32" s="12">
        <f t="shared" si="2"/>
        <v>0</v>
      </c>
      <c r="I32" s="12"/>
      <c r="J32" s="48">
        <f>SUMIFS('PLAN BUDGET SAMI-TF'!BO12:BO99999,'PLAN BUDGET SAMI-TF'!D12:D99999,B32,'PLAN BUDGET SAMI-TF'!J12:J99999,A32&amp;"*")</f>
        <v>65.566569189675192</v>
      </c>
      <c r="K32" s="35">
        <f t="shared" si="3"/>
        <v>0.5085024924236885</v>
      </c>
      <c r="L32" s="36"/>
      <c r="M32" s="50">
        <f t="shared" si="4"/>
        <v>0</v>
      </c>
    </row>
    <row r="33" spans="1:13" x14ac:dyDescent="0.35">
      <c r="A33" t="s">
        <v>48</v>
      </c>
      <c r="B33" s="7" t="s">
        <v>83</v>
      </c>
      <c r="C33" s="33" t="s">
        <v>803</v>
      </c>
      <c r="D33" s="34">
        <v>949.45121719645999</v>
      </c>
      <c r="E33" s="12">
        <v>949.45121719645999</v>
      </c>
      <c r="F33" s="42">
        <f t="shared" si="0"/>
        <v>949.45121719645999</v>
      </c>
      <c r="G33" s="12">
        <f t="shared" si="1"/>
        <v>23.736280429920043</v>
      </c>
      <c r="H33" s="12">
        <f t="shared" si="2"/>
        <v>0</v>
      </c>
      <c r="I33" s="12"/>
      <c r="J33" s="48">
        <f>SUMIFS('PLAN BUDGET SAMI-TF'!BO12:BO99999,'PLAN BUDGET SAMI-TF'!D12:D99999,B33,'PLAN BUDGET SAMI-TF'!J12:J99999,A33&amp;"*")</f>
        <v>973.18749762638004</v>
      </c>
      <c r="K33" s="35">
        <f t="shared" si="3"/>
        <v>2.5000000000008998E-2</v>
      </c>
      <c r="L33" s="36"/>
      <c r="M33" s="50">
        <f t="shared" si="4"/>
        <v>0</v>
      </c>
    </row>
    <row r="34" spans="1:13" x14ac:dyDescent="0.35">
      <c r="A34" t="s">
        <v>48</v>
      </c>
      <c r="B34" s="7" t="s">
        <v>70</v>
      </c>
      <c r="C34" s="33" t="s">
        <v>803</v>
      </c>
      <c r="D34" s="34">
        <v>3.0177357487371999</v>
      </c>
      <c r="E34" s="12">
        <v>2.9140556758193998</v>
      </c>
      <c r="F34" s="42">
        <f t="shared" si="0"/>
        <v>2.9140556758193998</v>
      </c>
      <c r="G34" s="12">
        <f t="shared" si="1"/>
        <v>0.17912346663624001</v>
      </c>
      <c r="H34" s="12">
        <f t="shared" si="2"/>
        <v>0</v>
      </c>
      <c r="I34" s="12"/>
      <c r="J34" s="48">
        <f>SUMIFS('PLAN BUDGET SAMI-TF'!BO12:BO99999,'PLAN BUDGET SAMI-TF'!D12:D99999,B34,'PLAN BUDGET SAMI-TF'!J12:J99999,A34&amp;"*")</f>
        <v>3.0931791424556399</v>
      </c>
      <c r="K34" s="35">
        <f t="shared" si="3"/>
        <v>6.1468786654487136E-2</v>
      </c>
      <c r="L34" s="36"/>
      <c r="M34" s="50">
        <f t="shared" si="4"/>
        <v>0</v>
      </c>
    </row>
    <row r="35" spans="1:13" x14ac:dyDescent="0.35">
      <c r="A35" t="s">
        <v>48</v>
      </c>
      <c r="B35" s="7" t="s">
        <v>341</v>
      </c>
      <c r="C35" s="33" t="s">
        <v>803</v>
      </c>
      <c r="D35" s="34">
        <v>120.02962287798</v>
      </c>
      <c r="E35" s="12">
        <v>120.02962287798</v>
      </c>
      <c r="F35" s="42">
        <f t="shared" si="0"/>
        <v>120.02962287798</v>
      </c>
      <c r="G35" s="12">
        <f t="shared" si="1"/>
        <v>27.135315787469992</v>
      </c>
      <c r="H35" s="12">
        <f t="shared" si="2"/>
        <v>0</v>
      </c>
      <c r="I35" s="12"/>
      <c r="J35" s="48">
        <f>SUMIFS('PLAN BUDGET SAMI-TF'!BO12:BO99999,'PLAN BUDGET SAMI-TF'!D12:D99999,B35,'PLAN BUDGET SAMI-TF'!J12:J99999,A35&amp;"*")</f>
        <v>147.16493866544999</v>
      </c>
      <c r="K35" s="35">
        <f t="shared" si="3"/>
        <v>0.22607182407842166</v>
      </c>
      <c r="L35" s="36"/>
      <c r="M35" s="50">
        <f t="shared" si="4"/>
        <v>0</v>
      </c>
    </row>
    <row r="36" spans="1:13" x14ac:dyDescent="0.35">
      <c r="A36" t="s">
        <v>48</v>
      </c>
      <c r="B36" s="7" t="s">
        <v>490</v>
      </c>
      <c r="C36" s="33" t="s">
        <v>803</v>
      </c>
      <c r="D36" s="34">
        <v>0</v>
      </c>
      <c r="E36" s="12">
        <v>0</v>
      </c>
      <c r="F36" s="42">
        <f t="shared" si="0"/>
        <v>0</v>
      </c>
      <c r="G36" s="12">
        <f t="shared" si="1"/>
        <v>588</v>
      </c>
      <c r="H36" s="12">
        <f t="shared" si="2"/>
        <v>0</v>
      </c>
      <c r="I36" s="12"/>
      <c r="J36" s="48">
        <f>SUMIFS('PLAN BUDGET SAMI-TF'!BO12:BO99999,'PLAN BUDGET SAMI-TF'!D12:D99999,B36,'PLAN BUDGET SAMI-TF'!J12:J99999,A36&amp;"*")</f>
        <v>588</v>
      </c>
      <c r="K36" s="35">
        <f t="shared" si="3"/>
        <v>1</v>
      </c>
      <c r="L36" s="36"/>
      <c r="M36" s="50">
        <f t="shared" si="4"/>
        <v>0</v>
      </c>
    </row>
    <row r="37" spans="1:13" x14ac:dyDescent="0.35">
      <c r="A37" t="s">
        <v>48</v>
      </c>
      <c r="B37" s="7" t="s">
        <v>371</v>
      </c>
      <c r="C37" s="33" t="s">
        <v>803</v>
      </c>
      <c r="D37" s="34">
        <v>238.41059602649</v>
      </c>
      <c r="E37" s="12">
        <v>142.05298013244999</v>
      </c>
      <c r="F37" s="42">
        <f t="shared" si="0"/>
        <v>142.05298013244999</v>
      </c>
      <c r="G37" s="12">
        <f t="shared" si="1"/>
        <v>85.815311994700011</v>
      </c>
      <c r="H37" s="12">
        <f t="shared" si="2"/>
        <v>0</v>
      </c>
      <c r="I37" s="12"/>
      <c r="J37" s="48">
        <f>SUMIFS('PLAN BUDGET SAMI-TF'!BO12:BO99999,'PLAN BUDGET SAMI-TF'!D12:D99999,B37,'PLAN BUDGET SAMI-TF'!J12:J99999,A37&amp;"*")</f>
        <v>227.86829212715</v>
      </c>
      <c r="K37" s="35">
        <f t="shared" si="3"/>
        <v>0.60410779073192222</v>
      </c>
      <c r="L37" s="36"/>
      <c r="M37" s="50">
        <f t="shared" si="4"/>
        <v>0</v>
      </c>
    </row>
    <row r="38" spans="1:13" x14ac:dyDescent="0.35">
      <c r="A38" t="s">
        <v>48</v>
      </c>
      <c r="B38" s="7" t="s">
        <v>291</v>
      </c>
      <c r="C38" s="33" t="s">
        <v>803</v>
      </c>
      <c r="D38" s="34">
        <v>11996.78807947</v>
      </c>
      <c r="E38" s="12">
        <v>11996.78807947</v>
      </c>
      <c r="F38" s="42">
        <f t="shared" si="0"/>
        <v>11996.78807947</v>
      </c>
      <c r="G38" s="12">
        <f t="shared" si="1"/>
        <v>0</v>
      </c>
      <c r="H38" s="12">
        <f t="shared" si="2"/>
        <v>-11996.78807947</v>
      </c>
      <c r="I38" s="12"/>
      <c r="J38" s="48">
        <f>SUMIFS('PLAN BUDGET SAMI-TF'!BO12:BO99999,'PLAN BUDGET SAMI-TF'!D12:D99999,B38,'PLAN BUDGET SAMI-TF'!J12:J99999,A38&amp;"*")</f>
        <v>0</v>
      </c>
      <c r="K38" s="35">
        <f t="shared" si="3"/>
        <v>-1</v>
      </c>
      <c r="L38" s="36"/>
      <c r="M38" s="50">
        <f t="shared" si="4"/>
        <v>0</v>
      </c>
    </row>
    <row r="39" spans="1:13" x14ac:dyDescent="0.35">
      <c r="A39" t="s">
        <v>48</v>
      </c>
      <c r="B39" s="7" t="s">
        <v>104</v>
      </c>
      <c r="C39" s="33" t="s">
        <v>803</v>
      </c>
      <c r="D39" s="34">
        <v>0</v>
      </c>
      <c r="E39" s="12">
        <v>0</v>
      </c>
      <c r="F39" s="42">
        <f t="shared" si="0"/>
        <v>0</v>
      </c>
      <c r="G39" s="12">
        <f t="shared" si="1"/>
        <v>0</v>
      </c>
      <c r="H39" s="12">
        <f t="shared" si="2"/>
        <v>0</v>
      </c>
      <c r="I39" s="12"/>
      <c r="J39" s="48">
        <f>SUMIFS('PLAN BUDGET SAMI-TF'!BO12:BO99999,'PLAN BUDGET SAMI-TF'!D12:D99999,B39,'PLAN BUDGET SAMI-TF'!J12:J99999,A39&amp;"*")</f>
        <v>0</v>
      </c>
      <c r="K39" s="35">
        <f t="shared" si="3"/>
        <v>1</v>
      </c>
      <c r="L39" s="36"/>
      <c r="M39" s="50">
        <f t="shared" si="4"/>
        <v>0</v>
      </c>
    </row>
    <row r="40" spans="1:13" x14ac:dyDescent="0.35">
      <c r="A40" t="s">
        <v>48</v>
      </c>
      <c r="B40" s="7" t="s">
        <v>428</v>
      </c>
      <c r="C40" s="33" t="s">
        <v>803</v>
      </c>
      <c r="D40" s="34">
        <v>0</v>
      </c>
      <c r="E40" s="12">
        <v>0</v>
      </c>
      <c r="F40" s="42">
        <f t="shared" si="0"/>
        <v>0</v>
      </c>
      <c r="G40" s="12">
        <f t="shared" si="1"/>
        <v>0.71854468117428005</v>
      </c>
      <c r="H40" s="12">
        <f t="shared" si="2"/>
        <v>0</v>
      </c>
      <c r="I40" s="12"/>
      <c r="J40" s="48">
        <f>SUMIFS('PLAN BUDGET SAMI-TF'!BO12:BO99999,'PLAN BUDGET SAMI-TF'!D12:D99999,B40,'PLAN BUDGET SAMI-TF'!J12:J99999,A40&amp;"*")</f>
        <v>0.71854468117428005</v>
      </c>
      <c r="K40" s="35">
        <f t="shared" si="3"/>
        <v>1</v>
      </c>
      <c r="L40" s="36"/>
      <c r="M40" s="50">
        <f t="shared" si="4"/>
        <v>0</v>
      </c>
    </row>
    <row r="41" spans="1:13" x14ac:dyDescent="0.35">
      <c r="A41" t="s">
        <v>48</v>
      </c>
      <c r="B41" s="7" t="s">
        <v>97</v>
      </c>
      <c r="C41" s="33" t="s">
        <v>803</v>
      </c>
      <c r="D41" s="34">
        <v>791.20934766372</v>
      </c>
      <c r="E41" s="12">
        <v>265.84634081501002</v>
      </c>
      <c r="F41" s="42">
        <f t="shared" si="0"/>
        <v>265.84634081501002</v>
      </c>
      <c r="G41" s="12">
        <f t="shared" si="1"/>
        <v>0</v>
      </c>
      <c r="H41" s="12">
        <f t="shared" si="2"/>
        <v>-265.84634081501002</v>
      </c>
      <c r="I41" s="12"/>
      <c r="J41" s="48">
        <f>SUMIFS('PLAN BUDGET SAMI-TF'!BO12:BO99999,'PLAN BUDGET SAMI-TF'!D12:D99999,B41,'PLAN BUDGET SAMI-TF'!J12:J99999,A41&amp;"*")</f>
        <v>0</v>
      </c>
      <c r="K41" s="35">
        <f t="shared" si="3"/>
        <v>-1</v>
      </c>
      <c r="L41" s="36"/>
      <c r="M41" s="50">
        <f t="shared" si="4"/>
        <v>0</v>
      </c>
    </row>
    <row r="42" spans="1:13" x14ac:dyDescent="0.35">
      <c r="A42" t="s">
        <v>48</v>
      </c>
      <c r="B42" s="7" t="s">
        <v>62</v>
      </c>
      <c r="C42" s="33" t="s">
        <v>803</v>
      </c>
      <c r="D42" s="34">
        <v>27.611687111516002</v>
      </c>
      <c r="E42" s="12">
        <v>27.611687111516002</v>
      </c>
      <c r="F42" s="42">
        <f t="shared" si="0"/>
        <v>27.611687111516002</v>
      </c>
      <c r="G42" s="12">
        <f t="shared" si="1"/>
        <v>1.5389971263279989</v>
      </c>
      <c r="H42" s="12">
        <f t="shared" si="2"/>
        <v>0</v>
      </c>
      <c r="I42" s="12"/>
      <c r="J42" s="48">
        <f>SUMIFS('PLAN BUDGET SAMI-TF'!BO12:BO99999,'PLAN BUDGET SAMI-TF'!D12:D99999,B42,'PLAN BUDGET SAMI-TF'!J12:J99999,A42&amp;"*")</f>
        <v>29.150684237844001</v>
      </c>
      <c r="K42" s="35">
        <f t="shared" si="3"/>
        <v>5.5737163763750229E-2</v>
      </c>
      <c r="L42" s="36"/>
      <c r="M42" s="50">
        <f t="shared" si="4"/>
        <v>0</v>
      </c>
    </row>
    <row r="43" spans="1:13" x14ac:dyDescent="0.35">
      <c r="A43" t="s">
        <v>48</v>
      </c>
      <c r="B43" s="7" t="s">
        <v>251</v>
      </c>
      <c r="C43" s="33" t="s">
        <v>803</v>
      </c>
      <c r="D43" s="34">
        <v>282.46173711594997</v>
      </c>
      <c r="E43" s="12">
        <v>282.46173711594997</v>
      </c>
      <c r="F43" s="42">
        <f t="shared" si="0"/>
        <v>282.46173711594997</v>
      </c>
      <c r="G43" s="12">
        <f t="shared" si="1"/>
        <v>0</v>
      </c>
      <c r="H43" s="12">
        <f t="shared" si="2"/>
        <v>-135.29679845050097</v>
      </c>
      <c r="I43" s="12"/>
      <c r="J43" s="48">
        <f>SUMIFS('PLAN BUDGET SAMI-TF'!BO12:BO99999,'PLAN BUDGET SAMI-TF'!D12:D99999,B43,'PLAN BUDGET SAMI-TF'!J12:J99999,A43&amp;"*")</f>
        <v>147.164938665449</v>
      </c>
      <c r="K43" s="35">
        <f t="shared" si="3"/>
        <v>-0.47899159663866936</v>
      </c>
      <c r="L43" s="36"/>
      <c r="M43" s="50">
        <f t="shared" si="4"/>
        <v>0</v>
      </c>
    </row>
    <row r="44" spans="1:13" x14ac:dyDescent="0.35">
      <c r="A44" t="s">
        <v>48</v>
      </c>
      <c r="B44" s="7" t="s">
        <v>226</v>
      </c>
      <c r="C44" s="33" t="s">
        <v>803</v>
      </c>
      <c r="D44" s="34">
        <v>1.0533211803578</v>
      </c>
      <c r="E44" s="12">
        <v>1.0533211803578</v>
      </c>
      <c r="F44" s="42">
        <f t="shared" si="0"/>
        <v>1.0533211803578</v>
      </c>
      <c r="G44" s="12">
        <f t="shared" si="1"/>
        <v>0</v>
      </c>
      <c r="H44" s="12">
        <f t="shared" si="2"/>
        <v>-0.58296304735866999</v>
      </c>
      <c r="I44" s="12"/>
      <c r="J44" s="48">
        <f>SUMIFS('PLAN BUDGET SAMI-TF'!BO12:BO99999,'PLAN BUDGET SAMI-TF'!D12:D99999,B44,'PLAN BUDGET SAMI-TF'!J12:J99999,A44&amp;"*")</f>
        <v>0.47035813299912999</v>
      </c>
      <c r="K44" s="35">
        <f t="shared" si="3"/>
        <v>-0.55345231656753047</v>
      </c>
      <c r="L44" s="36"/>
      <c r="M44" s="50">
        <f t="shared" si="4"/>
        <v>0</v>
      </c>
    </row>
    <row r="45" spans="1:13" x14ac:dyDescent="0.35">
      <c r="A45" t="s">
        <v>48</v>
      </c>
      <c r="B45" s="7" t="s">
        <v>75</v>
      </c>
      <c r="C45" s="33" t="s">
        <v>803</v>
      </c>
      <c r="D45" s="34">
        <v>14.697504842201001</v>
      </c>
      <c r="E45" s="12">
        <v>13.949337283049999</v>
      </c>
      <c r="F45" s="42">
        <f t="shared" si="0"/>
        <v>13.949337283049999</v>
      </c>
      <c r="G45" s="12">
        <f t="shared" si="1"/>
        <v>0.64942463256281968</v>
      </c>
      <c r="H45" s="12">
        <f t="shared" si="2"/>
        <v>0</v>
      </c>
      <c r="I45" s="12"/>
      <c r="J45" s="48">
        <f>SUMIFS('PLAN BUDGET SAMI-TF'!BO12:BO99999,'PLAN BUDGET SAMI-TF'!D12:D99999,B45,'PLAN BUDGET SAMI-TF'!J12:J99999,A45&amp;"*")</f>
        <v>14.598761915612819</v>
      </c>
      <c r="K45" s="35">
        <f t="shared" si="3"/>
        <v>4.6555948815714926E-2</v>
      </c>
      <c r="L45" s="36"/>
      <c r="M45" s="50">
        <f t="shared" si="4"/>
        <v>0</v>
      </c>
    </row>
    <row r="46" spans="1:13" x14ac:dyDescent="0.35">
      <c r="A46" t="s">
        <v>48</v>
      </c>
      <c r="B46" s="7" t="s">
        <v>197</v>
      </c>
      <c r="C46" s="33" t="s">
        <v>803</v>
      </c>
      <c r="D46" s="34">
        <v>462.06625903561002</v>
      </c>
      <c r="E46" s="12">
        <v>449.40690947298998</v>
      </c>
      <c r="F46" s="42">
        <f t="shared" ref="F46:F77" si="5">IF(C46="F",E46,E46/$E$12*$F$12)</f>
        <v>449.40690947298998</v>
      </c>
      <c r="G46" s="12">
        <f t="shared" ref="G46:G77" si="6">IF(F46&lt;J46,J46-F46,0)</f>
        <v>0</v>
      </c>
      <c r="H46" s="12">
        <f t="shared" ref="H46:H77" si="7">IF(F46&gt;J46,J46-F46,0)</f>
        <v>-379.78048687858296</v>
      </c>
      <c r="I46" s="12"/>
      <c r="J46" s="48">
        <f>SUMIFS('PLAN BUDGET SAMI-TF'!BO12:BO99999,'PLAN BUDGET SAMI-TF'!D12:D99999,B46,'PLAN BUDGET SAMI-TF'!J12:J99999,A46&amp;"*")</f>
        <v>69.626422594407003</v>
      </c>
      <c r="K46" s="35">
        <f t="shared" ref="K46:K77" si="8">IFERROR(IF(F46&gt;0,(J46-F46)/F46,100%),0)</f>
        <v>-0.84507042253521103</v>
      </c>
      <c r="L46" s="36"/>
      <c r="M46" s="50">
        <f t="shared" ref="M46:M77" si="9">J46-SUM(F46:I46)</f>
        <v>0</v>
      </c>
    </row>
    <row r="47" spans="1:13" x14ac:dyDescent="0.35">
      <c r="A47" t="s">
        <v>48</v>
      </c>
      <c r="B47" s="7" t="s">
        <v>91</v>
      </c>
      <c r="C47" s="33" t="s">
        <v>803</v>
      </c>
      <c r="D47" s="34">
        <v>63.296747813096999</v>
      </c>
      <c r="E47" s="12">
        <v>50.700694998290999</v>
      </c>
      <c r="F47" s="42">
        <f t="shared" si="5"/>
        <v>50.700694998290999</v>
      </c>
      <c r="G47" s="12">
        <f t="shared" si="6"/>
        <v>14.178471510134003</v>
      </c>
      <c r="H47" s="12">
        <f t="shared" si="7"/>
        <v>0</v>
      </c>
      <c r="I47" s="12"/>
      <c r="J47" s="48">
        <f>SUMIFS('PLAN BUDGET SAMI-TF'!BO12:BO99999,'PLAN BUDGET SAMI-TF'!D12:D99999,B47,'PLAN BUDGET SAMI-TF'!J12:J99999,A47&amp;"*")</f>
        <v>64.879166508425001</v>
      </c>
      <c r="K47" s="35">
        <f t="shared" si="8"/>
        <v>0.27965043695381148</v>
      </c>
      <c r="L47" s="36"/>
      <c r="M47" s="50">
        <f t="shared" si="9"/>
        <v>0</v>
      </c>
    </row>
    <row r="48" spans="1:13" x14ac:dyDescent="0.35">
      <c r="A48" t="s">
        <v>48</v>
      </c>
      <c r="B48" s="7" t="s">
        <v>157</v>
      </c>
      <c r="C48" s="33" t="s">
        <v>803</v>
      </c>
      <c r="D48" s="34">
        <v>8.8185029053207007</v>
      </c>
      <c r="E48" s="12">
        <v>8.2564277847403993</v>
      </c>
      <c r="F48" s="42">
        <f t="shared" si="5"/>
        <v>8.2564277847403993</v>
      </c>
      <c r="G48" s="12">
        <f t="shared" si="6"/>
        <v>0</v>
      </c>
      <c r="H48" s="12">
        <f t="shared" si="7"/>
        <v>-2.8065777980327997</v>
      </c>
      <c r="I48" s="12"/>
      <c r="J48" s="48">
        <f>SUMIFS('PLAN BUDGET SAMI-TF'!BO12:BO99999,'PLAN BUDGET SAMI-TF'!D12:D99999,B48,'PLAN BUDGET SAMI-TF'!J12:J99999,A48&amp;"*")</f>
        <v>5.4498499867075996</v>
      </c>
      <c r="K48" s="35">
        <f t="shared" si="8"/>
        <v>-0.3399264029438907</v>
      </c>
      <c r="L48" s="36"/>
      <c r="M48" s="50">
        <f t="shared" si="9"/>
        <v>0</v>
      </c>
    </row>
    <row r="49" spans="1:13" x14ac:dyDescent="0.35">
      <c r="A49" t="s">
        <v>48</v>
      </c>
      <c r="B49" s="7" t="s">
        <v>169</v>
      </c>
      <c r="C49" s="33" t="s">
        <v>803</v>
      </c>
      <c r="D49" s="34">
        <v>92.295203372450999</v>
      </c>
      <c r="E49" s="12">
        <v>204.62908105782</v>
      </c>
      <c r="F49" s="42">
        <f t="shared" si="5"/>
        <v>204.62908105782</v>
      </c>
      <c r="G49" s="12">
        <f t="shared" si="6"/>
        <v>0</v>
      </c>
      <c r="H49" s="12">
        <f t="shared" si="7"/>
        <v>-105.95604515590519</v>
      </c>
      <c r="I49" s="12"/>
      <c r="J49" s="48">
        <f>SUMIFS('PLAN BUDGET SAMI-TF'!BO12:BO99999,'PLAN BUDGET SAMI-TF'!D12:D99999,B49,'PLAN BUDGET SAMI-TF'!J12:J99999,A49&amp;"*")</f>
        <v>98.673035901914815</v>
      </c>
      <c r="K49" s="35">
        <f t="shared" si="8"/>
        <v>-0.51779563592902145</v>
      </c>
      <c r="L49" s="36"/>
      <c r="M49" s="50">
        <f t="shared" si="9"/>
        <v>0</v>
      </c>
    </row>
    <row r="50" spans="1:13" x14ac:dyDescent="0.35">
      <c r="A50" t="s">
        <v>48</v>
      </c>
      <c r="B50" s="7" t="s">
        <v>337</v>
      </c>
      <c r="C50" s="33" t="s">
        <v>803</v>
      </c>
      <c r="D50" s="34">
        <v>0.64220880331168995</v>
      </c>
      <c r="E50" s="12">
        <v>0.64220880331168995</v>
      </c>
      <c r="F50" s="42">
        <f t="shared" si="5"/>
        <v>0.64220880331168995</v>
      </c>
      <c r="G50" s="12">
        <f t="shared" si="6"/>
        <v>3.633233324471008E-2</v>
      </c>
      <c r="H50" s="12">
        <f t="shared" si="7"/>
        <v>0</v>
      </c>
      <c r="I50" s="12"/>
      <c r="J50" s="48">
        <f>SUMIFS('PLAN BUDGET SAMI-TF'!BO12:BO99999,'PLAN BUDGET SAMI-TF'!D12:D99999,B50,'PLAN BUDGET SAMI-TF'!J12:J99999,A50&amp;"*")</f>
        <v>0.67854113655640003</v>
      </c>
      <c r="K50" s="35">
        <f t="shared" si="8"/>
        <v>5.6574019317945298E-2</v>
      </c>
      <c r="L50" s="36"/>
      <c r="M50" s="50">
        <f t="shared" si="9"/>
        <v>0</v>
      </c>
    </row>
    <row r="51" spans="1:13" x14ac:dyDescent="0.35">
      <c r="A51" t="s">
        <v>48</v>
      </c>
      <c r="B51" s="7" t="s">
        <v>121</v>
      </c>
      <c r="C51" s="33" t="s">
        <v>803</v>
      </c>
      <c r="D51" s="34">
        <v>6949.3499424000001</v>
      </c>
      <c r="E51" s="12">
        <v>5977.7448634688999</v>
      </c>
      <c r="F51" s="42">
        <f t="shared" si="5"/>
        <v>5977.7448634688999</v>
      </c>
      <c r="G51" s="12">
        <f t="shared" si="6"/>
        <v>2065.2779360195937</v>
      </c>
      <c r="H51" s="12">
        <f t="shared" si="7"/>
        <v>0</v>
      </c>
      <c r="I51" s="12"/>
      <c r="J51" s="48">
        <f>SUMIFS('PLAN BUDGET SAMI-TF'!BO12:BO99999,'PLAN BUDGET SAMI-TF'!D12:D99999,B51,'PLAN BUDGET SAMI-TF'!J12:J99999,A51&amp;"*")</f>
        <v>8043.0227994884935</v>
      </c>
      <c r="K51" s="35">
        <f t="shared" si="8"/>
        <v>0.34549449385852643</v>
      </c>
      <c r="L51" s="36"/>
      <c r="M51" s="50">
        <f t="shared" si="9"/>
        <v>0</v>
      </c>
    </row>
    <row r="52" spans="1:13" x14ac:dyDescent="0.35">
      <c r="A52" t="s">
        <v>48</v>
      </c>
      <c r="B52" s="7" t="s">
        <v>87</v>
      </c>
      <c r="C52" s="33" t="s">
        <v>803</v>
      </c>
      <c r="D52" s="34">
        <v>1519.1219475143</v>
      </c>
      <c r="E52" s="12">
        <v>1499.1834719532001</v>
      </c>
      <c r="F52" s="42">
        <f t="shared" si="5"/>
        <v>1499.1834719532001</v>
      </c>
      <c r="G52" s="12">
        <f t="shared" si="6"/>
        <v>291.4967148987605</v>
      </c>
      <c r="H52" s="12">
        <f t="shared" si="7"/>
        <v>0</v>
      </c>
      <c r="I52" s="12"/>
      <c r="J52" s="48">
        <f>SUMIFS('PLAN BUDGET SAMI-TF'!BO12:BO99999,'PLAN BUDGET SAMI-TF'!D12:D99999,B52,'PLAN BUDGET SAMI-TF'!J12:J99999,A52&amp;"*")</f>
        <v>1790.6801868519606</v>
      </c>
      <c r="K52" s="35">
        <f t="shared" si="8"/>
        <v>0.19443698543380161</v>
      </c>
      <c r="L52" s="36"/>
      <c r="M52" s="50">
        <f t="shared" si="9"/>
        <v>0</v>
      </c>
    </row>
    <row r="53" spans="1:13" x14ac:dyDescent="0.35">
      <c r="A53" t="s">
        <v>48</v>
      </c>
      <c r="B53" s="7" t="s">
        <v>66</v>
      </c>
      <c r="C53" s="33" t="s">
        <v>803</v>
      </c>
      <c r="D53" s="34">
        <v>2.2090564986771</v>
      </c>
      <c r="E53" s="12">
        <v>2.2090564986771</v>
      </c>
      <c r="F53" s="42">
        <f t="shared" si="5"/>
        <v>2.2090564986771</v>
      </c>
      <c r="G53" s="12">
        <f t="shared" si="6"/>
        <v>0.20887926778322008</v>
      </c>
      <c r="H53" s="12">
        <f t="shared" si="7"/>
        <v>0</v>
      </c>
      <c r="I53" s="12"/>
      <c r="J53" s="48">
        <f>SUMIFS('PLAN BUDGET SAMI-TF'!BO12:BO99999,'PLAN BUDGET SAMI-TF'!D12:D99999,B53,'PLAN BUDGET SAMI-TF'!J12:J99999,A53&amp;"*")</f>
        <v>2.41793576646032</v>
      </c>
      <c r="K53" s="35">
        <f t="shared" si="8"/>
        <v>9.45558739255008E-2</v>
      </c>
      <c r="L53" s="36"/>
      <c r="M53" s="50">
        <f t="shared" si="9"/>
        <v>0</v>
      </c>
    </row>
    <row r="54" spans="1:13" x14ac:dyDescent="0.35">
      <c r="A54" t="s">
        <v>48</v>
      </c>
      <c r="B54" s="7" t="s">
        <v>173</v>
      </c>
      <c r="C54" s="33" t="s">
        <v>803</v>
      </c>
      <c r="D54" s="34">
        <v>0</v>
      </c>
      <c r="E54" s="12">
        <v>0</v>
      </c>
      <c r="F54" s="42">
        <f t="shared" si="5"/>
        <v>0</v>
      </c>
      <c r="G54" s="12">
        <f t="shared" si="6"/>
        <v>3.1648373906548999</v>
      </c>
      <c r="H54" s="12">
        <f t="shared" si="7"/>
        <v>0</v>
      </c>
      <c r="I54" s="12"/>
      <c r="J54" s="48">
        <f>SUMIFS('PLAN BUDGET SAMI-TF'!BO12:BO99999,'PLAN BUDGET SAMI-TF'!D12:D99999,B54,'PLAN BUDGET SAMI-TF'!J12:J99999,A54&amp;"*")</f>
        <v>3.1648373906548999</v>
      </c>
      <c r="K54" s="35">
        <f t="shared" si="8"/>
        <v>1</v>
      </c>
      <c r="L54" s="36"/>
      <c r="M54" s="50">
        <f t="shared" si="9"/>
        <v>0</v>
      </c>
    </row>
    <row r="55" spans="1:13" x14ac:dyDescent="0.35">
      <c r="A55" t="s">
        <v>48</v>
      </c>
      <c r="B55" s="7" t="s">
        <v>399</v>
      </c>
      <c r="C55" s="33" t="s">
        <v>803</v>
      </c>
      <c r="D55" s="34">
        <v>1.8009190687782</v>
      </c>
      <c r="E55" s="12">
        <v>1.8009190687782</v>
      </c>
      <c r="F55" s="42">
        <f t="shared" si="5"/>
        <v>1.8009190687782</v>
      </c>
      <c r="G55" s="12">
        <f t="shared" si="6"/>
        <v>0.11545326801108002</v>
      </c>
      <c r="H55" s="12">
        <f t="shared" si="7"/>
        <v>0</v>
      </c>
      <c r="I55" s="12"/>
      <c r="J55" s="48">
        <f>SUMIFS('PLAN BUDGET SAMI-TF'!BO12:BO99999,'PLAN BUDGET SAMI-TF'!D12:D99999,B55,'PLAN BUDGET SAMI-TF'!J12:J99999,A55&amp;"*")</f>
        <v>1.91637233678928</v>
      </c>
      <c r="K55" s="35">
        <f t="shared" si="8"/>
        <v>6.4107971320114421E-2</v>
      </c>
      <c r="L55" s="36"/>
      <c r="M55" s="50">
        <f t="shared" si="9"/>
        <v>0</v>
      </c>
    </row>
    <row r="56" spans="1:13" x14ac:dyDescent="0.35">
      <c r="A56" t="s">
        <v>48</v>
      </c>
      <c r="B56" s="7" t="s">
        <v>79</v>
      </c>
      <c r="C56" s="33" t="s">
        <v>803</v>
      </c>
      <c r="D56" s="34">
        <v>45.562265010823999</v>
      </c>
      <c r="E56" s="12">
        <v>44.888787614092003</v>
      </c>
      <c r="F56" s="42">
        <f t="shared" si="5"/>
        <v>44.888787614092003</v>
      </c>
      <c r="G56" s="12">
        <f t="shared" si="6"/>
        <v>253.39327535350913</v>
      </c>
      <c r="H56" s="12">
        <f t="shared" si="7"/>
        <v>0</v>
      </c>
      <c r="I56" s="12"/>
      <c r="J56" s="48">
        <f>SUMIFS('PLAN BUDGET SAMI-TF'!BO12:BO99999,'PLAN BUDGET SAMI-TF'!D12:D99999,B56,'PLAN BUDGET SAMI-TF'!J12:J99999,A56&amp;"*")</f>
        <v>298.28206296760112</v>
      </c>
      <c r="K56" s="35">
        <f t="shared" si="8"/>
        <v>5.6449124340787717</v>
      </c>
      <c r="L56" s="36"/>
      <c r="M56" s="50">
        <f t="shared" si="9"/>
        <v>0</v>
      </c>
    </row>
    <row r="57" spans="1:13" x14ac:dyDescent="0.35">
      <c r="A57" t="s">
        <v>48</v>
      </c>
      <c r="B57" s="7" t="s">
        <v>387</v>
      </c>
      <c r="C57" s="33" t="s">
        <v>803</v>
      </c>
      <c r="D57" s="34">
        <v>372.81784461913998</v>
      </c>
      <c r="E57" s="12">
        <v>288.03754763080002</v>
      </c>
      <c r="F57" s="42">
        <f t="shared" si="5"/>
        <v>288.03754763080002</v>
      </c>
      <c r="G57" s="12">
        <f t="shared" si="6"/>
        <v>0</v>
      </c>
      <c r="H57" s="12">
        <f t="shared" si="7"/>
        <v>-190.71879786816302</v>
      </c>
      <c r="I57" s="12"/>
      <c r="J57" s="48">
        <f>SUMIFS('PLAN BUDGET SAMI-TF'!BO12:BO99999,'PLAN BUDGET SAMI-TF'!D12:D99999,B57,'PLAN BUDGET SAMI-TF'!J12:J99999,A57&amp;"*")</f>
        <v>97.318749762636998</v>
      </c>
      <c r="K57" s="35">
        <f t="shared" si="8"/>
        <v>-0.66213172357869832</v>
      </c>
      <c r="L57" s="36"/>
      <c r="M57" s="50">
        <f t="shared" si="9"/>
        <v>0</v>
      </c>
    </row>
    <row r="58" spans="1:13" x14ac:dyDescent="0.35">
      <c r="A58" t="s">
        <v>48</v>
      </c>
      <c r="B58" s="7" t="s">
        <v>141</v>
      </c>
      <c r="C58" s="33" t="s">
        <v>803</v>
      </c>
      <c r="D58" s="34">
        <v>3670.2619219425001</v>
      </c>
      <c r="E58" s="12">
        <v>3416.1254794729002</v>
      </c>
      <c r="F58" s="42">
        <f t="shared" si="5"/>
        <v>3416.1254794729002</v>
      </c>
      <c r="G58" s="12">
        <f t="shared" si="6"/>
        <v>1969.7441545453003</v>
      </c>
      <c r="H58" s="12">
        <f t="shared" si="7"/>
        <v>0</v>
      </c>
      <c r="I58" s="12"/>
      <c r="J58" s="48">
        <f>SUMIFS('PLAN BUDGET SAMI-TF'!BO12:BO99999,'PLAN BUDGET SAMI-TF'!D12:D99999,B58,'PLAN BUDGET SAMI-TF'!J12:J99999,A58&amp;"*")</f>
        <v>5385.8696340182005</v>
      </c>
      <c r="K58" s="35">
        <f t="shared" si="8"/>
        <v>0.57660181582358827</v>
      </c>
      <c r="L58" s="36"/>
      <c r="M58" s="50">
        <f t="shared" si="9"/>
        <v>0</v>
      </c>
    </row>
    <row r="59" spans="1:13" x14ac:dyDescent="0.35">
      <c r="A59" t="s">
        <v>48</v>
      </c>
      <c r="B59" s="7" t="s">
        <v>126</v>
      </c>
      <c r="C59" s="33" t="s">
        <v>803</v>
      </c>
      <c r="D59" s="34">
        <v>2496.6752440047999</v>
      </c>
      <c r="E59" s="12">
        <v>2318.6754212357</v>
      </c>
      <c r="F59" s="42">
        <f t="shared" si="5"/>
        <v>2318.6754212357</v>
      </c>
      <c r="G59" s="12">
        <f t="shared" si="6"/>
        <v>931.37982718389503</v>
      </c>
      <c r="H59" s="12">
        <f t="shared" si="7"/>
        <v>0</v>
      </c>
      <c r="I59" s="12"/>
      <c r="J59" s="48">
        <f>SUMIFS('PLAN BUDGET SAMI-TF'!BO12:BO99999,'PLAN BUDGET SAMI-TF'!D12:D99999,B59,'PLAN BUDGET SAMI-TF'!J12:J99999,A59&amp;"*")</f>
        <v>3250.055248419595</v>
      </c>
      <c r="K59" s="35">
        <f t="shared" si="8"/>
        <v>0.40168616040598359</v>
      </c>
      <c r="L59" s="36"/>
      <c r="M59" s="50">
        <f t="shared" si="9"/>
        <v>0</v>
      </c>
    </row>
    <row r="60" spans="1:13" x14ac:dyDescent="0.35">
      <c r="A60" t="s">
        <v>48</v>
      </c>
      <c r="B60" s="7" t="s">
        <v>147</v>
      </c>
      <c r="C60" s="33" t="s">
        <v>803</v>
      </c>
      <c r="D60" s="34">
        <v>1510.5361083634</v>
      </c>
      <c r="E60" s="12">
        <v>1339.7778141629001</v>
      </c>
      <c r="F60" s="42">
        <f t="shared" si="5"/>
        <v>1339.7778141629001</v>
      </c>
      <c r="G60" s="12">
        <f t="shared" si="6"/>
        <v>0</v>
      </c>
      <c r="H60" s="12">
        <f t="shared" si="7"/>
        <v>-300.04497707607288</v>
      </c>
      <c r="I60" s="12"/>
      <c r="J60" s="48">
        <f>SUMIFS('PLAN BUDGET SAMI-TF'!BO12:BO99999,'PLAN BUDGET SAMI-TF'!D12:D99999,B60,'PLAN BUDGET SAMI-TF'!J12:J99999,A60&amp;"*")</f>
        <v>1039.7328370868272</v>
      </c>
      <c r="K60" s="35">
        <f t="shared" si="8"/>
        <v>-0.22395129543441686</v>
      </c>
      <c r="L60" s="36"/>
      <c r="M60" s="50">
        <f t="shared" si="9"/>
        <v>0</v>
      </c>
    </row>
    <row r="61" spans="1:13" x14ac:dyDescent="0.35">
      <c r="A61" t="s">
        <v>48</v>
      </c>
      <c r="B61" s="7" t="s">
        <v>435</v>
      </c>
      <c r="C61" s="33" t="s">
        <v>803</v>
      </c>
      <c r="D61" s="34">
        <v>237.36280429912</v>
      </c>
      <c r="E61" s="12">
        <v>227.86829212715</v>
      </c>
      <c r="F61" s="42">
        <f t="shared" si="5"/>
        <v>227.86829212715</v>
      </c>
      <c r="G61" s="12">
        <f t="shared" si="6"/>
        <v>0</v>
      </c>
      <c r="H61" s="12">
        <f t="shared" si="7"/>
        <v>-13.767042649349008</v>
      </c>
      <c r="I61" s="12"/>
      <c r="J61" s="48">
        <f>SUMIFS('PLAN BUDGET SAMI-TF'!BO12:BO99999,'PLAN BUDGET SAMI-TF'!D12:D99999,B61,'PLAN BUDGET SAMI-TF'!J12:J99999,A61&amp;"*")</f>
        <v>214.10124947780099</v>
      </c>
      <c r="K61" s="35">
        <f t="shared" si="8"/>
        <v>-6.0416666666668256E-2</v>
      </c>
      <c r="L61" s="36"/>
      <c r="M61" s="50">
        <f t="shared" si="9"/>
        <v>0</v>
      </c>
    </row>
    <row r="62" spans="1:13" x14ac:dyDescent="0.35">
      <c r="A62" t="s">
        <v>498</v>
      </c>
      <c r="B62" s="7" t="s">
        <v>503</v>
      </c>
      <c r="C62" s="33" t="s">
        <v>803</v>
      </c>
      <c r="D62" s="34">
        <v>0</v>
      </c>
      <c r="E62" s="12">
        <v>0</v>
      </c>
      <c r="F62" s="42">
        <f t="shared" si="5"/>
        <v>0</v>
      </c>
      <c r="G62" s="12">
        <f t="shared" si="6"/>
        <v>0</v>
      </c>
      <c r="H62" s="12">
        <f t="shared" si="7"/>
        <v>0</v>
      </c>
      <c r="I62" s="12"/>
      <c r="J62" s="48">
        <f>SUMIFS('PLAN BUDGET SAMI-TF'!BO12:BO99999,'PLAN BUDGET SAMI-TF'!D12:D99999,B62,'PLAN BUDGET SAMI-TF'!J12:J99999,A62&amp;"*")</f>
        <v>0</v>
      </c>
      <c r="K62" s="35">
        <f t="shared" si="8"/>
        <v>1</v>
      </c>
      <c r="L62" s="36"/>
      <c r="M62" s="50">
        <f t="shared" si="9"/>
        <v>0</v>
      </c>
    </row>
    <row r="63" spans="1:13" x14ac:dyDescent="0.35">
      <c r="A63" t="s">
        <v>498</v>
      </c>
      <c r="B63" s="7" t="s">
        <v>583</v>
      </c>
      <c r="C63" s="33" t="s">
        <v>803</v>
      </c>
      <c r="D63" s="34">
        <v>0</v>
      </c>
      <c r="E63" s="12">
        <v>0</v>
      </c>
      <c r="F63" s="42">
        <f t="shared" si="5"/>
        <v>0</v>
      </c>
      <c r="G63" s="12">
        <f t="shared" si="6"/>
        <v>278.50569037763</v>
      </c>
      <c r="H63" s="12">
        <f t="shared" si="7"/>
        <v>0</v>
      </c>
      <c r="I63" s="12"/>
      <c r="J63" s="48">
        <f>SUMIFS('PLAN BUDGET SAMI-TF'!BO12:BO99999,'PLAN BUDGET SAMI-TF'!D12:D99999,B63,'PLAN BUDGET SAMI-TF'!J12:J99999,A63&amp;"*")</f>
        <v>278.50569037763</v>
      </c>
      <c r="K63" s="35">
        <f t="shared" si="8"/>
        <v>1</v>
      </c>
      <c r="L63" s="36"/>
      <c r="M63" s="50">
        <f t="shared" si="9"/>
        <v>0</v>
      </c>
    </row>
    <row r="64" spans="1:13" x14ac:dyDescent="0.35">
      <c r="A64" t="s">
        <v>498</v>
      </c>
      <c r="B64" s="7" t="s">
        <v>607</v>
      </c>
      <c r="C64" s="33" t="s">
        <v>803</v>
      </c>
      <c r="D64" s="34">
        <v>0</v>
      </c>
      <c r="E64" s="12">
        <v>0</v>
      </c>
      <c r="F64" s="42">
        <f t="shared" si="5"/>
        <v>0</v>
      </c>
      <c r="G64" s="12">
        <f t="shared" si="6"/>
        <v>125.32756066993201</v>
      </c>
      <c r="H64" s="12">
        <f t="shared" si="7"/>
        <v>0</v>
      </c>
      <c r="I64" s="12"/>
      <c r="J64" s="48">
        <f>SUMIFS('PLAN BUDGET SAMI-TF'!BO12:BO99999,'PLAN BUDGET SAMI-TF'!D12:D99999,B64,'PLAN BUDGET SAMI-TF'!J12:J99999,A64&amp;"*")</f>
        <v>125.32756066993201</v>
      </c>
      <c r="K64" s="35">
        <f t="shared" si="8"/>
        <v>1</v>
      </c>
      <c r="L64" s="36"/>
      <c r="M64" s="50">
        <f t="shared" si="9"/>
        <v>0</v>
      </c>
    </row>
    <row r="65" spans="1:13" x14ac:dyDescent="0.35">
      <c r="A65" t="s">
        <v>498</v>
      </c>
      <c r="B65" s="7" t="s">
        <v>600</v>
      </c>
      <c r="C65" s="33" t="s">
        <v>803</v>
      </c>
      <c r="D65" s="34">
        <v>0</v>
      </c>
      <c r="E65" s="12">
        <v>0</v>
      </c>
      <c r="F65" s="42">
        <f t="shared" si="5"/>
        <v>0</v>
      </c>
      <c r="G65" s="12">
        <f t="shared" si="6"/>
        <v>1587.4824351524901</v>
      </c>
      <c r="H65" s="12">
        <f t="shared" si="7"/>
        <v>0</v>
      </c>
      <c r="I65" s="12"/>
      <c r="J65" s="48">
        <f>SUMIFS('PLAN BUDGET SAMI-TF'!BO12:BO99999,'PLAN BUDGET SAMI-TF'!D12:D99999,B65,'PLAN BUDGET SAMI-TF'!J12:J99999,A65&amp;"*")</f>
        <v>1587.4824351524901</v>
      </c>
      <c r="K65" s="35">
        <f t="shared" si="8"/>
        <v>1</v>
      </c>
      <c r="L65" s="36"/>
      <c r="M65" s="50">
        <f t="shared" si="9"/>
        <v>0</v>
      </c>
    </row>
    <row r="66" spans="1:13" x14ac:dyDescent="0.35">
      <c r="A66" t="s">
        <v>498</v>
      </c>
      <c r="B66" s="7" t="s">
        <v>688</v>
      </c>
      <c r="C66" s="33" t="s">
        <v>803</v>
      </c>
      <c r="D66" s="34">
        <v>0</v>
      </c>
      <c r="E66" s="12">
        <v>0</v>
      </c>
      <c r="F66" s="42">
        <f t="shared" si="5"/>
        <v>0</v>
      </c>
      <c r="G66" s="12">
        <f t="shared" si="6"/>
        <v>111.40227615105</v>
      </c>
      <c r="H66" s="12">
        <f t="shared" si="7"/>
        <v>0</v>
      </c>
      <c r="I66" s="12"/>
      <c r="J66" s="48">
        <f>SUMIFS('PLAN BUDGET SAMI-TF'!BO12:BO99999,'PLAN BUDGET SAMI-TF'!D12:D99999,B66,'PLAN BUDGET SAMI-TF'!J12:J99999,A66&amp;"*")</f>
        <v>111.40227615105</v>
      </c>
      <c r="K66" s="35">
        <f t="shared" si="8"/>
        <v>1</v>
      </c>
      <c r="L66" s="36"/>
      <c r="M66" s="50">
        <f t="shared" si="9"/>
        <v>0</v>
      </c>
    </row>
    <row r="67" spans="1:13" x14ac:dyDescent="0.35">
      <c r="A67" t="s">
        <v>498</v>
      </c>
      <c r="B67" s="7" t="s">
        <v>572</v>
      </c>
      <c r="C67" s="33" t="s">
        <v>803</v>
      </c>
      <c r="D67" s="34">
        <v>0</v>
      </c>
      <c r="E67" s="12">
        <v>0</v>
      </c>
      <c r="F67" s="42">
        <f t="shared" si="5"/>
        <v>0</v>
      </c>
      <c r="G67" s="12">
        <f t="shared" si="6"/>
        <v>55.701138075526003</v>
      </c>
      <c r="H67" s="12">
        <f t="shared" si="7"/>
        <v>0</v>
      </c>
      <c r="I67" s="12"/>
      <c r="J67" s="48">
        <f>SUMIFS('PLAN BUDGET SAMI-TF'!BO12:BO99999,'PLAN BUDGET SAMI-TF'!D12:D99999,B67,'PLAN BUDGET SAMI-TF'!J12:J99999,A67&amp;"*")</f>
        <v>55.701138075526003</v>
      </c>
      <c r="K67" s="35">
        <f t="shared" si="8"/>
        <v>1</v>
      </c>
      <c r="L67" s="36"/>
      <c r="M67" s="50">
        <f t="shared" si="9"/>
        <v>0</v>
      </c>
    </row>
    <row r="68" spans="1:13" x14ac:dyDescent="0.35">
      <c r="A68" t="s">
        <v>498</v>
      </c>
      <c r="B68" s="7" t="s">
        <v>627</v>
      </c>
      <c r="C68" s="33" t="s">
        <v>803</v>
      </c>
      <c r="D68" s="34">
        <v>0</v>
      </c>
      <c r="E68" s="12">
        <v>0</v>
      </c>
      <c r="F68" s="42">
        <f t="shared" si="5"/>
        <v>0</v>
      </c>
      <c r="G68" s="12">
        <f t="shared" si="6"/>
        <v>97.476991632169998</v>
      </c>
      <c r="H68" s="12">
        <f t="shared" si="7"/>
        <v>0</v>
      </c>
      <c r="I68" s="12"/>
      <c r="J68" s="48">
        <f>SUMIFS('PLAN BUDGET SAMI-TF'!BO12:BO99999,'PLAN BUDGET SAMI-TF'!D12:D99999,B68,'PLAN BUDGET SAMI-TF'!J12:J99999,A68&amp;"*")</f>
        <v>97.476991632169998</v>
      </c>
      <c r="K68" s="35">
        <f t="shared" si="8"/>
        <v>1</v>
      </c>
      <c r="L68" s="36"/>
      <c r="M68" s="50">
        <f t="shared" si="9"/>
        <v>0</v>
      </c>
    </row>
    <row r="69" spans="1:13" x14ac:dyDescent="0.35">
      <c r="A69" t="s">
        <v>498</v>
      </c>
      <c r="B69" s="7" t="s">
        <v>595</v>
      </c>
      <c r="C69" s="33" t="s">
        <v>803</v>
      </c>
      <c r="D69" s="34">
        <v>0</v>
      </c>
      <c r="E69" s="12">
        <v>0</v>
      </c>
      <c r="F69" s="42">
        <f t="shared" si="5"/>
        <v>0</v>
      </c>
      <c r="G69" s="12">
        <f t="shared" si="6"/>
        <v>59.182459205245998</v>
      </c>
      <c r="H69" s="12">
        <f t="shared" si="7"/>
        <v>0</v>
      </c>
      <c r="I69" s="12"/>
      <c r="J69" s="48">
        <f>SUMIFS('PLAN BUDGET SAMI-TF'!BO12:BO99999,'PLAN BUDGET SAMI-TF'!D12:D99999,B69,'PLAN BUDGET SAMI-TF'!J12:J99999,A69&amp;"*")</f>
        <v>59.182459205245998</v>
      </c>
      <c r="K69" s="35">
        <f t="shared" si="8"/>
        <v>1</v>
      </c>
      <c r="L69" s="36"/>
      <c r="M69" s="50">
        <f t="shared" si="9"/>
        <v>0</v>
      </c>
    </row>
    <row r="70" spans="1:13" x14ac:dyDescent="0.35">
      <c r="A70" t="s">
        <v>498</v>
      </c>
      <c r="B70" s="7" t="s">
        <v>556</v>
      </c>
      <c r="C70" s="33" t="s">
        <v>803</v>
      </c>
      <c r="D70" s="34">
        <v>0</v>
      </c>
      <c r="E70" s="12">
        <v>0</v>
      </c>
      <c r="F70" s="42">
        <f t="shared" si="5"/>
        <v>0</v>
      </c>
      <c r="G70" s="12">
        <f t="shared" si="6"/>
        <v>417.75853556644</v>
      </c>
      <c r="H70" s="12">
        <f t="shared" si="7"/>
        <v>0</v>
      </c>
      <c r="I70" s="12"/>
      <c r="J70" s="48">
        <f>SUMIFS('PLAN BUDGET SAMI-TF'!BO12:BO99999,'PLAN BUDGET SAMI-TF'!D12:D99999,B70,'PLAN BUDGET SAMI-TF'!J12:J99999,A70&amp;"*")</f>
        <v>417.75853556644</v>
      </c>
      <c r="K70" s="35">
        <f t="shared" si="8"/>
        <v>1</v>
      </c>
      <c r="L70" s="36"/>
      <c r="M70" s="50">
        <f t="shared" si="9"/>
        <v>0</v>
      </c>
    </row>
    <row r="71" spans="1:13" x14ac:dyDescent="0.35">
      <c r="A71" t="s">
        <v>498</v>
      </c>
      <c r="B71" s="7" t="s">
        <v>662</v>
      </c>
      <c r="C71" s="33" t="s">
        <v>803</v>
      </c>
      <c r="D71" s="34">
        <v>0</v>
      </c>
      <c r="E71" s="12">
        <v>0</v>
      </c>
      <c r="F71" s="42">
        <f t="shared" si="5"/>
        <v>0</v>
      </c>
      <c r="G71" s="12">
        <f t="shared" si="6"/>
        <v>835.51707113289001</v>
      </c>
      <c r="H71" s="12">
        <f t="shared" si="7"/>
        <v>0</v>
      </c>
      <c r="I71" s="12"/>
      <c r="J71" s="48">
        <f>SUMIFS('PLAN BUDGET SAMI-TF'!BO12:BO99999,'PLAN BUDGET SAMI-TF'!D12:D99999,B71,'PLAN BUDGET SAMI-TF'!J12:J99999,A71&amp;"*")</f>
        <v>835.51707113289001</v>
      </c>
      <c r="K71" s="35">
        <f t="shared" si="8"/>
        <v>1</v>
      </c>
      <c r="L71" s="36"/>
      <c r="M71" s="50">
        <f t="shared" si="9"/>
        <v>0</v>
      </c>
    </row>
    <row r="72" spans="1:13" x14ac:dyDescent="0.35">
      <c r="A72" t="s">
        <v>498</v>
      </c>
      <c r="B72" s="7" t="s">
        <v>679</v>
      </c>
      <c r="C72" s="33" t="s">
        <v>803</v>
      </c>
      <c r="D72" s="34">
        <v>0</v>
      </c>
      <c r="E72" s="12">
        <v>0</v>
      </c>
      <c r="F72" s="42">
        <f t="shared" si="5"/>
        <v>0</v>
      </c>
      <c r="G72" s="12">
        <f t="shared" si="6"/>
        <v>107.60447128227</v>
      </c>
      <c r="H72" s="12">
        <f t="shared" si="7"/>
        <v>0</v>
      </c>
      <c r="I72" s="12"/>
      <c r="J72" s="48">
        <f>SUMIFS('PLAN BUDGET SAMI-TF'!BO12:BO99999,'PLAN BUDGET SAMI-TF'!D12:D99999,B72,'PLAN BUDGET SAMI-TF'!J12:J99999,A72&amp;"*")</f>
        <v>107.60447128227</v>
      </c>
      <c r="K72" s="35">
        <f t="shared" si="8"/>
        <v>1</v>
      </c>
      <c r="L72" s="36"/>
      <c r="M72" s="50">
        <f t="shared" si="9"/>
        <v>0</v>
      </c>
    </row>
    <row r="73" spans="1:13" x14ac:dyDescent="0.35">
      <c r="A73" t="s">
        <v>498</v>
      </c>
      <c r="B73" s="7" t="s">
        <v>685</v>
      </c>
      <c r="C73" s="33" t="s">
        <v>803</v>
      </c>
      <c r="D73" s="34">
        <v>0</v>
      </c>
      <c r="E73" s="12">
        <v>0</v>
      </c>
      <c r="F73" s="42">
        <f t="shared" si="5"/>
        <v>0</v>
      </c>
      <c r="G73" s="12">
        <f t="shared" si="6"/>
        <v>1859.0254832707001</v>
      </c>
      <c r="H73" s="12">
        <f t="shared" si="7"/>
        <v>0</v>
      </c>
      <c r="I73" s="12"/>
      <c r="J73" s="48">
        <f>SUMIFS('PLAN BUDGET SAMI-TF'!BO12:BO99999,'PLAN BUDGET SAMI-TF'!D12:D99999,B73,'PLAN BUDGET SAMI-TF'!J12:J99999,A73&amp;"*")</f>
        <v>1859.0254832707001</v>
      </c>
      <c r="K73" s="35">
        <f t="shared" si="8"/>
        <v>1</v>
      </c>
      <c r="L73" s="36"/>
      <c r="M73" s="50">
        <f t="shared" si="9"/>
        <v>0</v>
      </c>
    </row>
    <row r="74" spans="1:13" x14ac:dyDescent="0.35">
      <c r="A74" t="s">
        <v>498</v>
      </c>
      <c r="B74" s="7" t="s">
        <v>586</v>
      </c>
      <c r="C74" s="33" t="s">
        <v>803</v>
      </c>
      <c r="D74" s="34">
        <v>0</v>
      </c>
      <c r="E74" s="12">
        <v>0</v>
      </c>
      <c r="F74" s="42">
        <f t="shared" si="5"/>
        <v>0</v>
      </c>
      <c r="G74" s="12">
        <f t="shared" si="6"/>
        <v>835.51707113288001</v>
      </c>
      <c r="H74" s="12">
        <f t="shared" si="7"/>
        <v>0</v>
      </c>
      <c r="I74" s="12"/>
      <c r="J74" s="48">
        <f>SUMIFS('PLAN BUDGET SAMI-TF'!BO12:BO99999,'PLAN BUDGET SAMI-TF'!D12:D99999,B74,'PLAN BUDGET SAMI-TF'!J12:J99999,A74&amp;"*")</f>
        <v>835.51707113288001</v>
      </c>
      <c r="K74" s="35">
        <f t="shared" si="8"/>
        <v>1</v>
      </c>
      <c r="L74" s="36"/>
      <c r="M74" s="50">
        <f t="shared" si="9"/>
        <v>0</v>
      </c>
    </row>
    <row r="75" spans="1:13" x14ac:dyDescent="0.35">
      <c r="A75" t="s">
        <v>498</v>
      </c>
      <c r="B75" s="7" t="s">
        <v>515</v>
      </c>
      <c r="C75" s="33" t="s">
        <v>803</v>
      </c>
      <c r="D75" s="34">
        <v>329.14308862810998</v>
      </c>
      <c r="E75" s="12">
        <v>0</v>
      </c>
      <c r="F75" s="42">
        <f t="shared" si="5"/>
        <v>0</v>
      </c>
      <c r="G75" s="12">
        <f t="shared" si="6"/>
        <v>0</v>
      </c>
      <c r="H75" s="12">
        <f t="shared" si="7"/>
        <v>0</v>
      </c>
      <c r="I75" s="12"/>
      <c r="J75" s="48">
        <f>SUMIFS('PLAN BUDGET SAMI-TF'!BO12:BO99999,'PLAN BUDGET SAMI-TF'!D12:D99999,B75,'PLAN BUDGET SAMI-TF'!J12:J99999,A75&amp;"*")</f>
        <v>0</v>
      </c>
      <c r="K75" s="35">
        <f t="shared" si="8"/>
        <v>1</v>
      </c>
      <c r="L75" s="36"/>
      <c r="M75" s="50">
        <f t="shared" si="9"/>
        <v>0</v>
      </c>
    </row>
    <row r="76" spans="1:13" x14ac:dyDescent="0.35">
      <c r="A76" t="s">
        <v>498</v>
      </c>
      <c r="B76" s="7" t="s">
        <v>136</v>
      </c>
      <c r="C76" s="33" t="s">
        <v>803</v>
      </c>
      <c r="D76" s="34">
        <v>4411.6503994024997</v>
      </c>
      <c r="E76" s="12">
        <v>2708.8412897345002</v>
      </c>
      <c r="F76" s="42">
        <f t="shared" si="5"/>
        <v>2708.8412897345002</v>
      </c>
      <c r="G76" s="12">
        <f t="shared" si="6"/>
        <v>0</v>
      </c>
      <c r="H76" s="12">
        <f t="shared" si="7"/>
        <v>-2607.5664932335403</v>
      </c>
      <c r="I76" s="12"/>
      <c r="J76" s="48">
        <f>SUMIFS('PLAN BUDGET SAMI-TF'!BO12:BO99999,'PLAN BUDGET SAMI-TF'!D12:D99999,B76,'PLAN BUDGET SAMI-TF'!J12:J99999,A76&amp;"*")</f>
        <v>101.27479650095999</v>
      </c>
      <c r="K76" s="35">
        <f t="shared" si="8"/>
        <v>-0.96261324098803658</v>
      </c>
      <c r="L76" s="36"/>
      <c r="M76" s="50">
        <f t="shared" si="9"/>
        <v>1.5631940186722204E-13</v>
      </c>
    </row>
    <row r="77" spans="1:13" x14ac:dyDescent="0.35">
      <c r="A77" t="s">
        <v>498</v>
      </c>
      <c r="B77" s="7" t="s">
        <v>636</v>
      </c>
      <c r="C77" s="33" t="s">
        <v>803</v>
      </c>
      <c r="D77" s="34">
        <v>0</v>
      </c>
      <c r="E77" s="12">
        <v>0</v>
      </c>
      <c r="F77" s="42">
        <f t="shared" si="5"/>
        <v>0</v>
      </c>
      <c r="G77" s="12">
        <f t="shared" si="6"/>
        <v>389.90796652867999</v>
      </c>
      <c r="H77" s="12">
        <f t="shared" si="7"/>
        <v>0</v>
      </c>
      <c r="I77" s="12"/>
      <c r="J77" s="48">
        <f>SUMIFS('PLAN BUDGET SAMI-TF'!BO12:BO99999,'PLAN BUDGET SAMI-TF'!D12:D99999,B77,'PLAN BUDGET SAMI-TF'!J12:J99999,A77&amp;"*")</f>
        <v>389.90796652867999</v>
      </c>
      <c r="K77" s="35">
        <f t="shared" si="8"/>
        <v>1</v>
      </c>
      <c r="L77" s="36"/>
      <c r="M77" s="50">
        <f t="shared" si="9"/>
        <v>0</v>
      </c>
    </row>
    <row r="78" spans="1:13" x14ac:dyDescent="0.35">
      <c r="A78" t="s">
        <v>498</v>
      </c>
      <c r="B78" s="7" t="s">
        <v>659</v>
      </c>
      <c r="C78" s="33" t="s">
        <v>803</v>
      </c>
      <c r="D78" s="34">
        <v>0</v>
      </c>
      <c r="E78" s="12">
        <v>0</v>
      </c>
      <c r="F78" s="42">
        <f t="shared" ref="F78:F109" si="10">IF(C78="F",E78,E78/$E$12*$F$12)</f>
        <v>0</v>
      </c>
      <c r="G78" s="12">
        <f t="shared" ref="G78:G109" si="11">IF(F78&lt;J78,J78-F78,0)</f>
        <v>97.476991632169998</v>
      </c>
      <c r="H78" s="12">
        <f t="shared" ref="H78:H109" si="12">IF(F78&gt;J78,J78-F78,0)</f>
        <v>0</v>
      </c>
      <c r="I78" s="12"/>
      <c r="J78" s="48">
        <f>SUMIFS('PLAN BUDGET SAMI-TF'!BO12:BO99999,'PLAN BUDGET SAMI-TF'!D12:D99999,B78,'PLAN BUDGET SAMI-TF'!J12:J99999,A78&amp;"*")</f>
        <v>97.476991632169998</v>
      </c>
      <c r="K78" s="35">
        <f t="shared" ref="K78:K109" si="13">IFERROR(IF(F78&gt;0,(J78-F78)/F78,100%),0)</f>
        <v>1</v>
      </c>
      <c r="L78" s="36"/>
      <c r="M78" s="50">
        <f t="shared" ref="M78:M109" si="14">J78-SUM(F78:I78)</f>
        <v>0</v>
      </c>
    </row>
    <row r="79" spans="1:13" x14ac:dyDescent="0.35">
      <c r="A79" t="s">
        <v>498</v>
      </c>
      <c r="B79" s="7" t="s">
        <v>538</v>
      </c>
      <c r="C79" s="33" t="s">
        <v>803</v>
      </c>
      <c r="D79" s="34">
        <v>332.30792601875999</v>
      </c>
      <c r="E79" s="12">
        <v>177.16759712886</v>
      </c>
      <c r="F79" s="42">
        <f t="shared" si="10"/>
        <v>177.16759712886</v>
      </c>
      <c r="G79" s="12">
        <f t="shared" si="11"/>
        <v>0</v>
      </c>
      <c r="H79" s="12">
        <f t="shared" si="12"/>
        <v>-177.16759712886</v>
      </c>
      <c r="I79" s="12"/>
      <c r="J79" s="48">
        <f>SUMIFS('PLAN BUDGET SAMI-TF'!BO12:BO99999,'PLAN BUDGET SAMI-TF'!D12:D99999,B79,'PLAN BUDGET SAMI-TF'!J12:J99999,A79&amp;"*")</f>
        <v>0</v>
      </c>
      <c r="K79" s="35">
        <f t="shared" si="13"/>
        <v>-1</v>
      </c>
      <c r="L79" s="36"/>
      <c r="M79" s="50">
        <f t="shared" si="14"/>
        <v>0</v>
      </c>
    </row>
    <row r="80" spans="1:13" x14ac:dyDescent="0.35">
      <c r="A80" t="s">
        <v>498</v>
      </c>
      <c r="B80" s="7" t="s">
        <v>569</v>
      </c>
      <c r="C80" s="33" t="s">
        <v>803</v>
      </c>
      <c r="D80" s="34">
        <v>0</v>
      </c>
      <c r="E80" s="12">
        <v>0</v>
      </c>
      <c r="F80" s="42">
        <f t="shared" si="10"/>
        <v>0</v>
      </c>
      <c r="G80" s="12">
        <f t="shared" si="11"/>
        <v>60.258503918068001</v>
      </c>
      <c r="H80" s="12">
        <f t="shared" si="12"/>
        <v>0</v>
      </c>
      <c r="I80" s="12"/>
      <c r="J80" s="48">
        <f>SUMIFS('PLAN BUDGET SAMI-TF'!BO12:BO99999,'PLAN BUDGET SAMI-TF'!D12:D99999,B80,'PLAN BUDGET SAMI-TF'!J12:J99999,A80&amp;"*")</f>
        <v>60.258503918068001</v>
      </c>
      <c r="K80" s="35">
        <f t="shared" si="13"/>
        <v>1</v>
      </c>
      <c r="L80" s="36"/>
      <c r="M80" s="50">
        <f t="shared" si="14"/>
        <v>0</v>
      </c>
    </row>
    <row r="81" spans="1:13" x14ac:dyDescent="0.35">
      <c r="A81" t="s">
        <v>498</v>
      </c>
      <c r="B81" s="7" t="s">
        <v>214</v>
      </c>
      <c r="C81" s="33" t="s">
        <v>803</v>
      </c>
      <c r="D81" s="34">
        <v>0</v>
      </c>
      <c r="E81" s="12">
        <v>0</v>
      </c>
      <c r="F81" s="42">
        <f t="shared" si="10"/>
        <v>0</v>
      </c>
      <c r="G81" s="12">
        <f t="shared" si="11"/>
        <v>26.837251402022801</v>
      </c>
      <c r="H81" s="12">
        <f t="shared" si="12"/>
        <v>0</v>
      </c>
      <c r="I81" s="12"/>
      <c r="J81" s="48">
        <f>SUMIFS('PLAN BUDGET SAMI-TF'!BO12:BO99999,'PLAN BUDGET SAMI-TF'!D12:D99999,B81,'PLAN BUDGET SAMI-TF'!J12:J99999,A81&amp;"*")</f>
        <v>26.837251402022801</v>
      </c>
      <c r="K81" s="35">
        <f t="shared" si="13"/>
        <v>1</v>
      </c>
      <c r="L81" s="36"/>
      <c r="M81" s="50">
        <f t="shared" si="14"/>
        <v>0</v>
      </c>
    </row>
    <row r="82" spans="1:13" x14ac:dyDescent="0.35">
      <c r="A82" t="s">
        <v>498</v>
      </c>
      <c r="B82" s="7" t="s">
        <v>541</v>
      </c>
      <c r="C82" s="33" t="s">
        <v>803</v>
      </c>
      <c r="D82" s="34">
        <v>0</v>
      </c>
      <c r="E82" s="12">
        <v>0</v>
      </c>
      <c r="F82" s="42">
        <f t="shared" si="10"/>
        <v>0</v>
      </c>
      <c r="G82" s="12">
        <f t="shared" si="11"/>
        <v>1879.91341004898</v>
      </c>
      <c r="H82" s="12">
        <f t="shared" si="12"/>
        <v>0</v>
      </c>
      <c r="I82" s="12"/>
      <c r="J82" s="48">
        <f>SUMIFS('PLAN BUDGET SAMI-TF'!BO12:BO99999,'PLAN BUDGET SAMI-TF'!D12:D99999,B82,'PLAN BUDGET SAMI-TF'!J12:J99999,A82&amp;"*")</f>
        <v>1879.91341004898</v>
      </c>
      <c r="K82" s="35">
        <f t="shared" si="13"/>
        <v>1</v>
      </c>
      <c r="L82" s="36"/>
      <c r="M82" s="50">
        <f t="shared" si="14"/>
        <v>0</v>
      </c>
    </row>
    <row r="83" spans="1:13" x14ac:dyDescent="0.35">
      <c r="A83" t="s">
        <v>498</v>
      </c>
      <c r="B83" s="7" t="s">
        <v>553</v>
      </c>
      <c r="C83" s="33" t="s">
        <v>803</v>
      </c>
      <c r="D83" s="34">
        <v>696.26422594406995</v>
      </c>
      <c r="E83" s="12">
        <v>0</v>
      </c>
      <c r="F83" s="42">
        <f t="shared" si="10"/>
        <v>0</v>
      </c>
      <c r="G83" s="12">
        <f t="shared" si="11"/>
        <v>0</v>
      </c>
      <c r="H83" s="12">
        <f t="shared" si="12"/>
        <v>0</v>
      </c>
      <c r="I83" s="12"/>
      <c r="J83" s="48">
        <f>SUMIFS('PLAN BUDGET SAMI-TF'!BO12:BO99999,'PLAN BUDGET SAMI-TF'!D12:D99999,B83,'PLAN BUDGET SAMI-TF'!J12:J99999,A83&amp;"*")</f>
        <v>0</v>
      </c>
      <c r="K83" s="35">
        <f t="shared" si="13"/>
        <v>1</v>
      </c>
      <c r="L83" s="36"/>
      <c r="M83" s="50">
        <f t="shared" si="14"/>
        <v>0</v>
      </c>
    </row>
    <row r="84" spans="1:13" x14ac:dyDescent="0.35">
      <c r="A84" t="s">
        <v>498</v>
      </c>
      <c r="B84" s="7" t="s">
        <v>615</v>
      </c>
      <c r="C84" s="33" t="s">
        <v>803</v>
      </c>
      <c r="D84" s="34">
        <v>0</v>
      </c>
      <c r="E84" s="12">
        <v>0</v>
      </c>
      <c r="F84" s="42">
        <f t="shared" si="10"/>
        <v>0</v>
      </c>
      <c r="G84" s="12">
        <f t="shared" si="11"/>
        <v>243.69247908041999</v>
      </c>
      <c r="H84" s="12">
        <f t="shared" si="12"/>
        <v>0</v>
      </c>
      <c r="I84" s="12"/>
      <c r="J84" s="48">
        <f>SUMIFS('PLAN BUDGET SAMI-TF'!BO12:BO99999,'PLAN BUDGET SAMI-TF'!D12:D99999,B84,'PLAN BUDGET SAMI-TF'!J12:J99999,A84&amp;"*")</f>
        <v>243.69247908041999</v>
      </c>
      <c r="K84" s="35">
        <f t="shared" si="13"/>
        <v>1</v>
      </c>
      <c r="L84" s="36"/>
      <c r="M84" s="50">
        <f t="shared" si="14"/>
        <v>0</v>
      </c>
    </row>
    <row r="85" spans="1:13" x14ac:dyDescent="0.35">
      <c r="A85" t="s">
        <v>498</v>
      </c>
      <c r="B85" s="7" t="s">
        <v>521</v>
      </c>
      <c r="C85" s="33" t="s">
        <v>803</v>
      </c>
      <c r="D85" s="34">
        <v>0</v>
      </c>
      <c r="E85" s="12">
        <v>0</v>
      </c>
      <c r="F85" s="42">
        <f t="shared" si="10"/>
        <v>0</v>
      </c>
      <c r="G85" s="12">
        <f t="shared" si="11"/>
        <v>3592.7234058713998</v>
      </c>
      <c r="H85" s="12">
        <f t="shared" si="12"/>
        <v>0</v>
      </c>
      <c r="I85" s="12"/>
      <c r="J85" s="48">
        <f>SUMIFS('PLAN BUDGET SAMI-TF'!BO12:BO99999,'PLAN BUDGET SAMI-TF'!D12:D99999,B85,'PLAN BUDGET SAMI-TF'!J12:J99999,A85&amp;"*")</f>
        <v>3592.7234058713998</v>
      </c>
      <c r="K85" s="35">
        <f t="shared" si="13"/>
        <v>1</v>
      </c>
      <c r="L85" s="36"/>
      <c r="M85" s="50">
        <f t="shared" si="14"/>
        <v>0</v>
      </c>
    </row>
    <row r="86" spans="1:13" x14ac:dyDescent="0.35">
      <c r="A86" t="s">
        <v>498</v>
      </c>
      <c r="B86" s="7" t="s">
        <v>544</v>
      </c>
      <c r="C86" s="33" t="s">
        <v>803</v>
      </c>
      <c r="D86" s="34">
        <v>974.76991632169995</v>
      </c>
      <c r="E86" s="12">
        <v>0</v>
      </c>
      <c r="F86" s="42">
        <f t="shared" si="10"/>
        <v>0</v>
      </c>
      <c r="G86" s="12">
        <f t="shared" si="11"/>
        <v>0</v>
      </c>
      <c r="H86" s="12">
        <f t="shared" si="12"/>
        <v>0</v>
      </c>
      <c r="I86" s="12"/>
      <c r="J86" s="48">
        <f>SUMIFS('PLAN BUDGET SAMI-TF'!BO12:BO99999,'PLAN BUDGET SAMI-TF'!D12:D99999,B86,'PLAN BUDGET SAMI-TF'!J12:J99999,A86&amp;"*")</f>
        <v>0</v>
      </c>
      <c r="K86" s="35">
        <f t="shared" si="13"/>
        <v>1</v>
      </c>
      <c r="L86" s="36"/>
      <c r="M86" s="50">
        <f t="shared" si="14"/>
        <v>0</v>
      </c>
    </row>
    <row r="87" spans="1:13" x14ac:dyDescent="0.35">
      <c r="A87" t="s">
        <v>498</v>
      </c>
      <c r="B87" s="7" t="s">
        <v>592</v>
      </c>
      <c r="C87" s="33" t="s">
        <v>803</v>
      </c>
      <c r="D87" s="34">
        <v>0</v>
      </c>
      <c r="E87" s="12">
        <v>0</v>
      </c>
      <c r="F87" s="42">
        <f t="shared" si="10"/>
        <v>0</v>
      </c>
      <c r="G87" s="12">
        <f t="shared" si="11"/>
        <v>1510.8933702986319</v>
      </c>
      <c r="H87" s="12">
        <f t="shared" si="12"/>
        <v>0</v>
      </c>
      <c r="I87" s="12"/>
      <c r="J87" s="48">
        <f>SUMIFS('PLAN BUDGET SAMI-TF'!BO12:BO99999,'PLAN BUDGET SAMI-TF'!D12:D99999,B87,'PLAN BUDGET SAMI-TF'!J12:J99999,A87&amp;"*")</f>
        <v>1510.8933702986319</v>
      </c>
      <c r="K87" s="35">
        <f t="shared" si="13"/>
        <v>1</v>
      </c>
      <c r="L87" s="36"/>
      <c r="M87" s="50">
        <f t="shared" si="14"/>
        <v>0</v>
      </c>
    </row>
    <row r="88" spans="1:13" x14ac:dyDescent="0.35">
      <c r="A88" t="s">
        <v>498</v>
      </c>
      <c r="B88" s="7" t="s">
        <v>618</v>
      </c>
      <c r="C88" s="33" t="s">
        <v>803</v>
      </c>
      <c r="D88" s="34">
        <v>0</v>
      </c>
      <c r="E88" s="12">
        <v>0</v>
      </c>
      <c r="F88" s="42">
        <f t="shared" si="10"/>
        <v>0</v>
      </c>
      <c r="G88" s="12">
        <f t="shared" si="11"/>
        <v>765.89064853848004</v>
      </c>
      <c r="H88" s="12">
        <f t="shared" si="12"/>
        <v>0</v>
      </c>
      <c r="I88" s="12"/>
      <c r="J88" s="48">
        <f>SUMIFS('PLAN BUDGET SAMI-TF'!BO12:BO99999,'PLAN BUDGET SAMI-TF'!D12:D99999,B88,'PLAN BUDGET SAMI-TF'!J12:J99999,A88&amp;"*")</f>
        <v>765.89064853848004</v>
      </c>
      <c r="K88" s="35">
        <f t="shared" si="13"/>
        <v>1</v>
      </c>
      <c r="L88" s="36"/>
      <c r="M88" s="50">
        <f t="shared" si="14"/>
        <v>0</v>
      </c>
    </row>
    <row r="89" spans="1:13" x14ac:dyDescent="0.35">
      <c r="A89" t="s">
        <v>498</v>
      </c>
      <c r="B89" s="7" t="s">
        <v>691</v>
      </c>
      <c r="C89" s="33" t="s">
        <v>803</v>
      </c>
      <c r="D89" s="34">
        <v>0</v>
      </c>
      <c r="E89" s="12">
        <v>0</v>
      </c>
      <c r="F89" s="42">
        <f t="shared" si="10"/>
        <v>0</v>
      </c>
      <c r="G89" s="12">
        <f t="shared" si="11"/>
        <v>417.75853556644</v>
      </c>
      <c r="H89" s="12">
        <f t="shared" si="12"/>
        <v>0</v>
      </c>
      <c r="I89" s="12"/>
      <c r="J89" s="48">
        <f>SUMIFS('PLAN BUDGET SAMI-TF'!BO12:BO99999,'PLAN BUDGET SAMI-TF'!D12:D99999,B89,'PLAN BUDGET SAMI-TF'!J12:J99999,A89&amp;"*")</f>
        <v>417.75853556644</v>
      </c>
      <c r="K89" s="35">
        <f t="shared" si="13"/>
        <v>1</v>
      </c>
      <c r="L89" s="36"/>
      <c r="M89" s="50">
        <f t="shared" si="14"/>
        <v>0</v>
      </c>
    </row>
    <row r="90" spans="1:13" x14ac:dyDescent="0.35">
      <c r="A90" t="s">
        <v>498</v>
      </c>
      <c r="B90" s="7" t="s">
        <v>566</v>
      </c>
      <c r="C90" s="33" t="s">
        <v>803</v>
      </c>
      <c r="D90" s="34">
        <v>0</v>
      </c>
      <c r="E90" s="12">
        <v>0</v>
      </c>
      <c r="F90" s="42">
        <f t="shared" si="10"/>
        <v>0</v>
      </c>
      <c r="G90" s="12">
        <f t="shared" si="11"/>
        <v>598.78723431189997</v>
      </c>
      <c r="H90" s="12">
        <f t="shared" si="12"/>
        <v>0</v>
      </c>
      <c r="I90" s="12"/>
      <c r="J90" s="48">
        <f>SUMIFS('PLAN BUDGET SAMI-TF'!BO12:BO99999,'PLAN BUDGET SAMI-TF'!D12:D99999,B90,'PLAN BUDGET SAMI-TF'!J12:J99999,A90&amp;"*")</f>
        <v>598.78723431189997</v>
      </c>
      <c r="K90" s="35">
        <f t="shared" si="13"/>
        <v>1</v>
      </c>
      <c r="L90" s="36"/>
      <c r="M90" s="50">
        <f t="shared" si="14"/>
        <v>0</v>
      </c>
    </row>
    <row r="91" spans="1:13" x14ac:dyDescent="0.35">
      <c r="A91" t="s">
        <v>498</v>
      </c>
      <c r="B91" s="7" t="s">
        <v>511</v>
      </c>
      <c r="C91" s="33" t="s">
        <v>803</v>
      </c>
      <c r="D91" s="34">
        <v>0</v>
      </c>
      <c r="E91" s="12">
        <v>0</v>
      </c>
      <c r="F91" s="42">
        <f t="shared" si="10"/>
        <v>0</v>
      </c>
      <c r="G91" s="12">
        <f t="shared" si="11"/>
        <v>201.91662552378</v>
      </c>
      <c r="H91" s="12">
        <f t="shared" si="12"/>
        <v>0</v>
      </c>
      <c r="I91" s="12"/>
      <c r="J91" s="48">
        <f>SUMIFS('PLAN BUDGET SAMI-TF'!BO12:BO99999,'PLAN BUDGET SAMI-TF'!D12:D99999,B91,'PLAN BUDGET SAMI-TF'!J12:J99999,A91&amp;"*")</f>
        <v>201.91662552378</v>
      </c>
      <c r="K91" s="35">
        <f t="shared" si="13"/>
        <v>1</v>
      </c>
      <c r="L91" s="36"/>
      <c r="M91" s="50">
        <f t="shared" si="14"/>
        <v>0</v>
      </c>
    </row>
    <row r="92" spans="1:13" x14ac:dyDescent="0.35">
      <c r="A92" t="s">
        <v>498</v>
      </c>
      <c r="B92" s="7" t="s">
        <v>610</v>
      </c>
      <c r="C92" s="33" t="s">
        <v>803</v>
      </c>
      <c r="D92" s="34">
        <v>0</v>
      </c>
      <c r="E92" s="12">
        <v>0</v>
      </c>
      <c r="F92" s="42">
        <f t="shared" si="10"/>
        <v>0</v>
      </c>
      <c r="G92" s="12">
        <f t="shared" si="11"/>
        <v>208.87926778322</v>
      </c>
      <c r="H92" s="12">
        <f t="shared" si="12"/>
        <v>0</v>
      </c>
      <c r="I92" s="12"/>
      <c r="J92" s="48">
        <f>SUMIFS('PLAN BUDGET SAMI-TF'!BO12:BO99999,'PLAN BUDGET SAMI-TF'!D12:D99999,B92,'PLAN BUDGET SAMI-TF'!J12:J99999,A92&amp;"*")</f>
        <v>208.87926778322</v>
      </c>
      <c r="K92" s="35">
        <f t="shared" si="13"/>
        <v>1</v>
      </c>
      <c r="L92" s="36"/>
      <c r="M92" s="50">
        <f t="shared" si="14"/>
        <v>0</v>
      </c>
    </row>
    <row r="93" spans="1:13" x14ac:dyDescent="0.35">
      <c r="A93" t="s">
        <v>498</v>
      </c>
      <c r="B93" s="7" t="s">
        <v>575</v>
      </c>
      <c r="C93" s="33" t="s">
        <v>803</v>
      </c>
      <c r="D93" s="34">
        <v>0</v>
      </c>
      <c r="E93" s="12">
        <v>0</v>
      </c>
      <c r="F93" s="42">
        <f t="shared" si="10"/>
        <v>0</v>
      </c>
      <c r="G93" s="12">
        <f t="shared" si="11"/>
        <v>487.38495816084998</v>
      </c>
      <c r="H93" s="12">
        <f t="shared" si="12"/>
        <v>0</v>
      </c>
      <c r="I93" s="12"/>
      <c r="J93" s="48">
        <f>SUMIFS('PLAN BUDGET SAMI-TF'!BO12:BO99999,'PLAN BUDGET SAMI-TF'!D12:D99999,B93,'PLAN BUDGET SAMI-TF'!J12:J99999,A93&amp;"*")</f>
        <v>487.38495816084998</v>
      </c>
      <c r="K93" s="35">
        <f t="shared" si="13"/>
        <v>1</v>
      </c>
      <c r="L93" s="36"/>
      <c r="M93" s="50">
        <f t="shared" si="14"/>
        <v>0</v>
      </c>
    </row>
    <row r="94" spans="1:13" x14ac:dyDescent="0.35">
      <c r="A94" t="s">
        <v>498</v>
      </c>
      <c r="B94" s="7" t="s">
        <v>589</v>
      </c>
      <c r="C94" s="33" t="s">
        <v>803</v>
      </c>
      <c r="D94" s="34">
        <v>0</v>
      </c>
      <c r="E94" s="12">
        <v>0</v>
      </c>
      <c r="F94" s="42">
        <f t="shared" si="10"/>
        <v>0</v>
      </c>
      <c r="G94" s="12">
        <f t="shared" si="11"/>
        <v>431.68382008532001</v>
      </c>
      <c r="H94" s="12">
        <f t="shared" si="12"/>
        <v>0</v>
      </c>
      <c r="I94" s="12"/>
      <c r="J94" s="48">
        <f>SUMIFS('PLAN BUDGET SAMI-TF'!BO12:BO99999,'PLAN BUDGET SAMI-TF'!D12:D99999,B94,'PLAN BUDGET SAMI-TF'!J12:J99999,A94&amp;"*")</f>
        <v>431.68382008532001</v>
      </c>
      <c r="K94" s="35">
        <f t="shared" si="13"/>
        <v>1</v>
      </c>
      <c r="L94" s="36"/>
      <c r="M94" s="50">
        <f t="shared" si="14"/>
        <v>0</v>
      </c>
    </row>
    <row r="95" spans="1:13" x14ac:dyDescent="0.35">
      <c r="A95" t="s">
        <v>498</v>
      </c>
      <c r="B95" s="7" t="s">
        <v>529</v>
      </c>
      <c r="C95" s="33" t="s">
        <v>803</v>
      </c>
      <c r="D95" s="34">
        <v>0</v>
      </c>
      <c r="E95" s="12">
        <v>0</v>
      </c>
      <c r="F95" s="42">
        <f t="shared" si="10"/>
        <v>0</v>
      </c>
      <c r="G95" s="12">
        <f t="shared" si="11"/>
        <v>626.63780334965998</v>
      </c>
      <c r="H95" s="12">
        <f t="shared" si="12"/>
        <v>0</v>
      </c>
      <c r="I95" s="12"/>
      <c r="J95" s="48">
        <f>SUMIFS('PLAN BUDGET SAMI-TF'!BO12:BO99999,'PLAN BUDGET SAMI-TF'!D12:D99999,B95,'PLAN BUDGET SAMI-TF'!J12:J99999,A95&amp;"*")</f>
        <v>626.63780334965998</v>
      </c>
      <c r="K95" s="35">
        <f t="shared" si="13"/>
        <v>1</v>
      </c>
      <c r="L95" s="36"/>
      <c r="M95" s="50">
        <f t="shared" si="14"/>
        <v>0</v>
      </c>
    </row>
    <row r="96" spans="1:13" x14ac:dyDescent="0.35">
      <c r="A96" t="s">
        <v>498</v>
      </c>
      <c r="B96" s="7" t="s">
        <v>190</v>
      </c>
      <c r="C96" s="33" t="s">
        <v>803</v>
      </c>
      <c r="D96" s="34">
        <v>174.06605648601999</v>
      </c>
      <c r="E96" s="12">
        <v>423.13875913056</v>
      </c>
      <c r="F96" s="42">
        <f t="shared" si="10"/>
        <v>423.13875913056</v>
      </c>
      <c r="G96" s="12">
        <f t="shared" si="11"/>
        <v>0.94945121718899372</v>
      </c>
      <c r="H96" s="12">
        <f t="shared" si="12"/>
        <v>0</v>
      </c>
      <c r="I96" s="12"/>
      <c r="J96" s="48">
        <f>SUMIFS('PLAN BUDGET SAMI-TF'!BO12:BO99999,'PLAN BUDGET SAMI-TF'!D12:D99999,B96,'PLAN BUDGET SAMI-TF'!J12:J99999,A96&amp;"*")</f>
        <v>424.088210347749</v>
      </c>
      <c r="K96" s="35">
        <f t="shared" si="13"/>
        <v>2.2438294689426912E-3</v>
      </c>
      <c r="L96" s="36"/>
      <c r="M96" s="50">
        <f t="shared" si="14"/>
        <v>0</v>
      </c>
    </row>
    <row r="97" spans="1:13" x14ac:dyDescent="0.35">
      <c r="A97" t="s">
        <v>498</v>
      </c>
      <c r="B97" s="7" t="s">
        <v>648</v>
      </c>
      <c r="C97" s="33" t="s">
        <v>803</v>
      </c>
      <c r="D97" s="34">
        <v>0</v>
      </c>
      <c r="E97" s="12">
        <v>0</v>
      </c>
      <c r="F97" s="42">
        <f t="shared" si="10"/>
        <v>0</v>
      </c>
      <c r="G97" s="12">
        <f t="shared" si="11"/>
        <v>104.439633891612</v>
      </c>
      <c r="H97" s="12">
        <f t="shared" si="12"/>
        <v>0</v>
      </c>
      <c r="I97" s="12"/>
      <c r="J97" s="48">
        <f>SUMIFS('PLAN BUDGET SAMI-TF'!BO12:BO99999,'PLAN BUDGET SAMI-TF'!D12:D99999,B97,'PLAN BUDGET SAMI-TF'!J12:J99999,A97&amp;"*")</f>
        <v>104.439633891612</v>
      </c>
      <c r="K97" s="35">
        <f t="shared" si="13"/>
        <v>1</v>
      </c>
      <c r="L97" s="36"/>
      <c r="M97" s="50">
        <f t="shared" si="14"/>
        <v>0</v>
      </c>
    </row>
    <row r="98" spans="1:13" x14ac:dyDescent="0.35">
      <c r="A98" t="s">
        <v>498</v>
      </c>
      <c r="B98" s="7" t="s">
        <v>495</v>
      </c>
      <c r="C98" s="33" t="s">
        <v>803</v>
      </c>
      <c r="D98" s="34">
        <v>0</v>
      </c>
      <c r="E98" s="12">
        <v>0</v>
      </c>
      <c r="F98" s="42">
        <f t="shared" si="10"/>
        <v>0</v>
      </c>
      <c r="G98" s="12">
        <f t="shared" si="11"/>
        <v>0</v>
      </c>
      <c r="H98" s="12">
        <f t="shared" si="12"/>
        <v>0</v>
      </c>
      <c r="I98" s="12"/>
      <c r="J98" s="48">
        <f>SUMIFS('PLAN BUDGET SAMI-TF'!BO12:BO99999,'PLAN BUDGET SAMI-TF'!D12:D99999,B98,'PLAN BUDGET SAMI-TF'!J12:J99999,A98&amp;"*")</f>
        <v>0</v>
      </c>
      <c r="K98" s="35">
        <f t="shared" si="13"/>
        <v>1</v>
      </c>
      <c r="L98" s="36"/>
      <c r="M98" s="50">
        <f t="shared" si="14"/>
        <v>0</v>
      </c>
    </row>
    <row r="99" spans="1:13" x14ac:dyDescent="0.35">
      <c r="A99" t="s">
        <v>498</v>
      </c>
      <c r="B99" s="7" t="s">
        <v>699</v>
      </c>
      <c r="C99" s="33" t="s">
        <v>803</v>
      </c>
      <c r="D99" s="34">
        <v>0</v>
      </c>
      <c r="E99" s="12">
        <v>0</v>
      </c>
      <c r="F99" s="42">
        <f t="shared" si="10"/>
        <v>0</v>
      </c>
      <c r="G99" s="12">
        <f t="shared" si="11"/>
        <v>0</v>
      </c>
      <c r="H99" s="12">
        <f t="shared" si="12"/>
        <v>0</v>
      </c>
      <c r="I99" s="12"/>
      <c r="J99" s="48">
        <f>SUMIFS('PLAN BUDGET SAMI-TF'!BO12:BO99999,'PLAN BUDGET SAMI-TF'!D12:D99999,B99,'PLAN BUDGET SAMI-TF'!J12:J99999,A99&amp;"*")</f>
        <v>0</v>
      </c>
      <c r="K99" s="35">
        <f t="shared" si="13"/>
        <v>1</v>
      </c>
      <c r="L99" s="36"/>
      <c r="M99" s="50">
        <f t="shared" si="14"/>
        <v>0</v>
      </c>
    </row>
    <row r="100" spans="1:13" x14ac:dyDescent="0.35">
      <c r="A100" t="s">
        <v>498</v>
      </c>
      <c r="B100" s="7" t="s">
        <v>640</v>
      </c>
      <c r="C100" s="33" t="s">
        <v>803</v>
      </c>
      <c r="D100" s="34">
        <v>0</v>
      </c>
      <c r="E100" s="12">
        <v>0</v>
      </c>
      <c r="F100" s="42">
        <f t="shared" si="10"/>
        <v>0</v>
      </c>
      <c r="G100" s="12">
        <f t="shared" si="11"/>
        <v>1557.0999962021999</v>
      </c>
      <c r="H100" s="12">
        <f t="shared" si="12"/>
        <v>0</v>
      </c>
      <c r="I100" s="12"/>
      <c r="J100" s="48">
        <f>SUMIFS('PLAN BUDGET SAMI-TF'!BO12:BO99999,'PLAN BUDGET SAMI-TF'!D12:D99999,B100,'PLAN BUDGET SAMI-TF'!J12:J99999,A100&amp;"*")</f>
        <v>1557.0999962021999</v>
      </c>
      <c r="K100" s="35">
        <f t="shared" si="13"/>
        <v>1</v>
      </c>
      <c r="L100" s="36"/>
      <c r="M100" s="50">
        <f t="shared" si="14"/>
        <v>0</v>
      </c>
    </row>
    <row r="101" spans="1:13" x14ac:dyDescent="0.35">
      <c r="A101" t="s">
        <v>498</v>
      </c>
      <c r="B101" s="7" t="s">
        <v>630</v>
      </c>
      <c r="C101" s="33" t="s">
        <v>803</v>
      </c>
      <c r="D101" s="34">
        <v>0</v>
      </c>
      <c r="E101" s="12">
        <v>0</v>
      </c>
      <c r="F101" s="42">
        <f t="shared" si="10"/>
        <v>0</v>
      </c>
      <c r="G101" s="12">
        <f t="shared" si="11"/>
        <v>174.06605648601999</v>
      </c>
      <c r="H101" s="12">
        <f t="shared" si="12"/>
        <v>0</v>
      </c>
      <c r="I101" s="12"/>
      <c r="J101" s="48">
        <f>SUMIFS('PLAN BUDGET SAMI-TF'!BO12:BO99999,'PLAN BUDGET SAMI-TF'!D12:D99999,B101,'PLAN BUDGET SAMI-TF'!J12:J99999,A101&amp;"*")</f>
        <v>174.06605648601999</v>
      </c>
      <c r="K101" s="35">
        <f t="shared" si="13"/>
        <v>1</v>
      </c>
      <c r="L101" s="36"/>
      <c r="M101" s="50">
        <f t="shared" si="14"/>
        <v>0</v>
      </c>
    </row>
    <row r="102" spans="1:13" x14ac:dyDescent="0.35">
      <c r="A102" t="s">
        <v>498</v>
      </c>
      <c r="B102" s="7" t="s">
        <v>694</v>
      </c>
      <c r="C102" s="33" t="s">
        <v>803</v>
      </c>
      <c r="D102" s="34">
        <v>0</v>
      </c>
      <c r="E102" s="12">
        <v>0</v>
      </c>
      <c r="F102" s="42">
        <f t="shared" si="10"/>
        <v>0</v>
      </c>
      <c r="G102" s="12">
        <f t="shared" si="11"/>
        <v>3.7629916574886</v>
      </c>
      <c r="H102" s="12">
        <f t="shared" si="12"/>
        <v>0</v>
      </c>
      <c r="I102" s="12"/>
      <c r="J102" s="48">
        <f>SUMIFS('PLAN BUDGET SAMI-TF'!BO12:BO99999,'PLAN BUDGET SAMI-TF'!D12:D99999,B102,'PLAN BUDGET SAMI-TF'!J12:J99999,A102&amp;"*")</f>
        <v>3.7629916574886</v>
      </c>
      <c r="K102" s="35">
        <f t="shared" si="13"/>
        <v>1</v>
      </c>
      <c r="L102" s="36"/>
      <c r="M102" s="50">
        <f t="shared" si="14"/>
        <v>0</v>
      </c>
    </row>
    <row r="103" spans="1:13" x14ac:dyDescent="0.35">
      <c r="A103" t="s">
        <v>498</v>
      </c>
      <c r="B103" s="7" t="s">
        <v>559</v>
      </c>
      <c r="C103" s="33" t="s">
        <v>803</v>
      </c>
      <c r="D103" s="34">
        <v>0</v>
      </c>
      <c r="E103" s="12">
        <v>0</v>
      </c>
      <c r="F103" s="42">
        <f t="shared" si="10"/>
        <v>0</v>
      </c>
      <c r="G103" s="12">
        <f t="shared" si="11"/>
        <v>348.13211297203998</v>
      </c>
      <c r="H103" s="12">
        <f t="shared" si="12"/>
        <v>0</v>
      </c>
      <c r="I103" s="12"/>
      <c r="J103" s="48">
        <f>SUMIFS('PLAN BUDGET SAMI-TF'!BO12:BO99999,'PLAN BUDGET SAMI-TF'!D12:D99999,B103,'PLAN BUDGET SAMI-TF'!J12:J99999,A103&amp;"*")</f>
        <v>348.13211297203998</v>
      </c>
      <c r="K103" s="35">
        <f t="shared" si="13"/>
        <v>1</v>
      </c>
      <c r="L103" s="36"/>
      <c r="M103" s="50">
        <f t="shared" si="14"/>
        <v>0</v>
      </c>
    </row>
    <row r="104" spans="1:13" x14ac:dyDescent="0.35">
      <c r="A104" t="s">
        <v>498</v>
      </c>
      <c r="B104" s="7" t="s">
        <v>507</v>
      </c>
      <c r="C104" s="33" t="s">
        <v>803</v>
      </c>
      <c r="D104" s="34">
        <v>0</v>
      </c>
      <c r="E104" s="12">
        <v>0</v>
      </c>
      <c r="F104" s="42">
        <f t="shared" si="10"/>
        <v>0</v>
      </c>
      <c r="G104" s="12">
        <f t="shared" si="11"/>
        <v>1838.1375564923401</v>
      </c>
      <c r="H104" s="12">
        <f t="shared" si="12"/>
        <v>0</v>
      </c>
      <c r="I104" s="12"/>
      <c r="J104" s="48">
        <f>SUMIFS('PLAN BUDGET SAMI-TF'!BO12:BO99999,'PLAN BUDGET SAMI-TF'!D12:D99999,B104,'PLAN BUDGET SAMI-TF'!J12:J99999,A104&amp;"*")</f>
        <v>1838.1375564923401</v>
      </c>
      <c r="K104" s="35">
        <f t="shared" si="13"/>
        <v>1</v>
      </c>
      <c r="L104" s="36"/>
      <c r="M104" s="50">
        <f t="shared" si="14"/>
        <v>0</v>
      </c>
    </row>
    <row r="105" spans="1:13" x14ac:dyDescent="0.35">
      <c r="A105" t="s">
        <v>498</v>
      </c>
      <c r="B105" s="7" t="s">
        <v>675</v>
      </c>
      <c r="C105" s="33" t="s">
        <v>803</v>
      </c>
      <c r="D105" s="34">
        <v>0</v>
      </c>
      <c r="E105" s="12">
        <v>0</v>
      </c>
      <c r="F105" s="42">
        <f t="shared" si="10"/>
        <v>0</v>
      </c>
      <c r="G105" s="12">
        <f t="shared" si="11"/>
        <v>47.472560859822998</v>
      </c>
      <c r="H105" s="12">
        <f t="shared" si="12"/>
        <v>0</v>
      </c>
      <c r="I105" s="12"/>
      <c r="J105" s="48">
        <f>SUMIFS('PLAN BUDGET SAMI-TF'!BO12:BO99999,'PLAN BUDGET SAMI-TF'!D12:D99999,B105,'PLAN BUDGET SAMI-TF'!J12:J99999,A105&amp;"*")</f>
        <v>47.472560859822998</v>
      </c>
      <c r="K105" s="35">
        <f t="shared" si="13"/>
        <v>1</v>
      </c>
      <c r="L105" s="36"/>
      <c r="M105" s="50">
        <f t="shared" si="14"/>
        <v>0</v>
      </c>
    </row>
    <row r="106" spans="1:13" x14ac:dyDescent="0.35">
      <c r="A106" t="s">
        <v>498</v>
      </c>
      <c r="B106" s="7" t="s">
        <v>633</v>
      </c>
      <c r="C106" s="33" t="s">
        <v>803</v>
      </c>
      <c r="D106" s="34">
        <v>0</v>
      </c>
      <c r="E106" s="12">
        <v>0</v>
      </c>
      <c r="F106" s="42">
        <f t="shared" si="10"/>
        <v>0</v>
      </c>
      <c r="G106" s="12">
        <f t="shared" si="11"/>
        <v>104.43963389161</v>
      </c>
      <c r="H106" s="12">
        <f t="shared" si="12"/>
        <v>0</v>
      </c>
      <c r="I106" s="12"/>
      <c r="J106" s="48">
        <f>SUMIFS('PLAN BUDGET SAMI-TF'!BO12:BO99999,'PLAN BUDGET SAMI-TF'!D12:D99999,B106,'PLAN BUDGET SAMI-TF'!J12:J99999,A106&amp;"*")</f>
        <v>104.43963389161</v>
      </c>
      <c r="K106" s="35">
        <f t="shared" si="13"/>
        <v>1</v>
      </c>
      <c r="L106" s="36"/>
      <c r="M106" s="50">
        <f t="shared" si="14"/>
        <v>0</v>
      </c>
    </row>
    <row r="107" spans="1:13" x14ac:dyDescent="0.35">
      <c r="A107" t="s">
        <v>498</v>
      </c>
      <c r="B107" s="7" t="s">
        <v>655</v>
      </c>
      <c r="C107" s="33" t="s">
        <v>803</v>
      </c>
      <c r="D107" s="34">
        <v>0</v>
      </c>
      <c r="E107" s="12">
        <v>0</v>
      </c>
      <c r="F107" s="42">
        <f t="shared" si="10"/>
        <v>0</v>
      </c>
      <c r="G107" s="12">
        <f t="shared" si="11"/>
        <v>3.7978048687857</v>
      </c>
      <c r="H107" s="12">
        <f t="shared" si="12"/>
        <v>0</v>
      </c>
      <c r="I107" s="12"/>
      <c r="J107" s="48">
        <f>SUMIFS('PLAN BUDGET SAMI-TF'!BO12:BO99999,'PLAN BUDGET SAMI-TF'!D12:D99999,B107,'PLAN BUDGET SAMI-TF'!J12:J99999,A107&amp;"*")</f>
        <v>3.7978048687857</v>
      </c>
      <c r="K107" s="35">
        <f t="shared" si="13"/>
        <v>1</v>
      </c>
      <c r="L107" s="36"/>
      <c r="M107" s="50">
        <f t="shared" si="14"/>
        <v>0</v>
      </c>
    </row>
    <row r="108" spans="1:13" x14ac:dyDescent="0.35">
      <c r="A108" t="s">
        <v>498</v>
      </c>
      <c r="B108" s="7" t="s">
        <v>651</v>
      </c>
      <c r="C108" s="33" t="s">
        <v>803</v>
      </c>
      <c r="D108" s="34">
        <v>0</v>
      </c>
      <c r="E108" s="12">
        <v>0</v>
      </c>
      <c r="F108" s="42">
        <f t="shared" si="10"/>
        <v>0</v>
      </c>
      <c r="G108" s="12">
        <f t="shared" si="11"/>
        <v>1297.5833301685</v>
      </c>
      <c r="H108" s="12">
        <f t="shared" si="12"/>
        <v>0</v>
      </c>
      <c r="I108" s="12"/>
      <c r="J108" s="48">
        <f>SUMIFS('PLAN BUDGET SAMI-TF'!BO12:BO99999,'PLAN BUDGET SAMI-TF'!D12:D99999,B108,'PLAN BUDGET SAMI-TF'!J12:J99999,A108&amp;"*")</f>
        <v>1297.5833301685</v>
      </c>
      <c r="K108" s="35">
        <f t="shared" si="13"/>
        <v>1</v>
      </c>
      <c r="L108" s="36"/>
      <c r="M108" s="50">
        <f t="shared" si="14"/>
        <v>0</v>
      </c>
    </row>
    <row r="109" spans="1:13" x14ac:dyDescent="0.35">
      <c r="A109" t="s">
        <v>498</v>
      </c>
      <c r="B109" s="7" t="s">
        <v>518</v>
      </c>
      <c r="C109" s="33" t="s">
        <v>803</v>
      </c>
      <c r="D109" s="34">
        <v>0</v>
      </c>
      <c r="E109" s="12">
        <v>0</v>
      </c>
      <c r="F109" s="42">
        <f t="shared" si="10"/>
        <v>0</v>
      </c>
      <c r="G109" s="12">
        <f t="shared" si="11"/>
        <v>104.43963389161</v>
      </c>
      <c r="H109" s="12">
        <f t="shared" si="12"/>
        <v>0</v>
      </c>
      <c r="I109" s="12"/>
      <c r="J109" s="48">
        <f>SUMIFS('PLAN BUDGET SAMI-TF'!BO12:BO99999,'PLAN BUDGET SAMI-TF'!D12:D99999,B109,'PLAN BUDGET SAMI-TF'!J12:J99999,A109&amp;"*")</f>
        <v>104.43963389161</v>
      </c>
      <c r="K109" s="35">
        <f t="shared" si="13"/>
        <v>1</v>
      </c>
      <c r="L109" s="36"/>
      <c r="M109" s="50">
        <f t="shared" si="14"/>
        <v>0</v>
      </c>
    </row>
    <row r="110" spans="1:13" x14ac:dyDescent="0.35">
      <c r="A110" t="s">
        <v>498</v>
      </c>
      <c r="B110" s="7" t="s">
        <v>526</v>
      </c>
      <c r="C110" s="33" t="s">
        <v>803</v>
      </c>
      <c r="D110" s="34">
        <v>0</v>
      </c>
      <c r="E110" s="12">
        <v>0</v>
      </c>
      <c r="F110" s="42">
        <f t="shared" ref="F110:F141" si="15">IF(C110="F",E110,E110/$E$12*$F$12)</f>
        <v>0</v>
      </c>
      <c r="G110" s="12">
        <f t="shared" ref="G110:G141" si="16">IF(F110&lt;J110,J110-F110,0)</f>
        <v>208.87926778322</v>
      </c>
      <c r="H110" s="12">
        <f t="shared" ref="H110:H141" si="17">IF(F110&gt;J110,J110-F110,0)</f>
        <v>0</v>
      </c>
      <c r="I110" s="12"/>
      <c r="J110" s="48">
        <f>SUMIFS('PLAN BUDGET SAMI-TF'!BO12:BO99999,'PLAN BUDGET SAMI-TF'!D12:D99999,B110,'PLAN BUDGET SAMI-TF'!J12:J99999,A110&amp;"*")</f>
        <v>208.87926778322</v>
      </c>
      <c r="K110" s="35">
        <f t="shared" ref="K110:K141" si="18">IFERROR(IF(F110&gt;0,(J110-F110)/F110,100%),0)</f>
        <v>1</v>
      </c>
      <c r="L110" s="36"/>
      <c r="M110" s="50">
        <f t="shared" ref="M110:M141" si="19">J110-SUM(F110:I110)</f>
        <v>0</v>
      </c>
    </row>
    <row r="111" spans="1:13" x14ac:dyDescent="0.35">
      <c r="A111" t="s">
        <v>498</v>
      </c>
      <c r="B111" s="7" t="s">
        <v>665</v>
      </c>
      <c r="C111" s="33" t="s">
        <v>803</v>
      </c>
      <c r="D111" s="34">
        <v>0</v>
      </c>
      <c r="E111" s="12">
        <v>0</v>
      </c>
      <c r="F111" s="42">
        <f t="shared" si="15"/>
        <v>0</v>
      </c>
      <c r="G111" s="12">
        <f t="shared" si="16"/>
        <v>0</v>
      </c>
      <c r="H111" s="12">
        <f t="shared" si="17"/>
        <v>0</v>
      </c>
      <c r="I111" s="12"/>
      <c r="J111" s="48">
        <f>SUMIFS('PLAN BUDGET SAMI-TF'!BO12:BO99999,'PLAN BUDGET SAMI-TF'!D12:D99999,B111,'PLAN BUDGET SAMI-TF'!J12:J99999,A111&amp;"*")</f>
        <v>0</v>
      </c>
      <c r="K111" s="35">
        <f t="shared" si="18"/>
        <v>1</v>
      </c>
      <c r="L111" s="36"/>
      <c r="M111" s="50">
        <f t="shared" si="19"/>
        <v>0</v>
      </c>
    </row>
    <row r="112" spans="1:13" x14ac:dyDescent="0.35">
      <c r="A112" t="s">
        <v>498</v>
      </c>
      <c r="B112" s="7" t="s">
        <v>547</v>
      </c>
      <c r="C112" s="33" t="s">
        <v>803</v>
      </c>
      <c r="D112" s="34">
        <v>0</v>
      </c>
      <c r="E112" s="12">
        <v>0</v>
      </c>
      <c r="F112" s="42">
        <f t="shared" si="15"/>
        <v>0</v>
      </c>
      <c r="G112" s="12">
        <f t="shared" si="16"/>
        <v>974.76991632169995</v>
      </c>
      <c r="H112" s="12">
        <f t="shared" si="17"/>
        <v>0</v>
      </c>
      <c r="I112" s="12"/>
      <c r="J112" s="48">
        <f>SUMIFS('PLAN BUDGET SAMI-TF'!BO12:BO99999,'PLAN BUDGET SAMI-TF'!D12:D99999,B112,'PLAN BUDGET SAMI-TF'!J12:J99999,A112&amp;"*")</f>
        <v>974.76991632169995</v>
      </c>
      <c r="K112" s="35">
        <f t="shared" si="18"/>
        <v>1</v>
      </c>
      <c r="L112" s="36"/>
      <c r="M112" s="50">
        <f t="shared" si="19"/>
        <v>0</v>
      </c>
    </row>
    <row r="113" spans="1:13" x14ac:dyDescent="0.35">
      <c r="A113" t="s">
        <v>498</v>
      </c>
      <c r="B113" s="7" t="s">
        <v>147</v>
      </c>
      <c r="C113" s="33" t="s">
        <v>803</v>
      </c>
      <c r="D113" s="34">
        <v>1245.8354157962999</v>
      </c>
      <c r="E113" s="12">
        <v>1458.0061334295001</v>
      </c>
      <c r="F113" s="42">
        <f t="shared" si="15"/>
        <v>1458.0061334295001</v>
      </c>
      <c r="G113" s="12">
        <f t="shared" si="16"/>
        <v>0</v>
      </c>
      <c r="H113" s="12">
        <f t="shared" si="17"/>
        <v>-1441.5489789980948</v>
      </c>
      <c r="I113" s="12"/>
      <c r="J113" s="48">
        <f>SUMIFS('PLAN BUDGET SAMI-TF'!BO12:BO99999,'PLAN BUDGET SAMI-TF'!D12:D99999,B113,'PLAN BUDGET SAMI-TF'!J12:J99999,A113&amp;"*")</f>
        <v>16.4571544314053</v>
      </c>
      <c r="K113" s="35">
        <f t="shared" si="18"/>
        <v>-0.98871256159074239</v>
      </c>
      <c r="L113" s="36"/>
      <c r="M113" s="50">
        <f t="shared" si="19"/>
        <v>-4.2632564145606011E-14</v>
      </c>
    </row>
    <row r="114" spans="1:13" x14ac:dyDescent="0.35">
      <c r="A114" t="s">
        <v>498</v>
      </c>
      <c r="B114" s="7" t="s">
        <v>644</v>
      </c>
      <c r="C114" s="33" t="s">
        <v>803</v>
      </c>
      <c r="D114" s="34">
        <v>0</v>
      </c>
      <c r="E114" s="12">
        <v>0</v>
      </c>
      <c r="F114" s="42">
        <f t="shared" si="15"/>
        <v>0</v>
      </c>
      <c r="G114" s="12">
        <f t="shared" si="16"/>
        <v>243.69247908041999</v>
      </c>
      <c r="H114" s="12">
        <f t="shared" si="17"/>
        <v>0</v>
      </c>
      <c r="I114" s="12"/>
      <c r="J114" s="48">
        <f>SUMIFS('PLAN BUDGET SAMI-TF'!BO12:BO99999,'PLAN BUDGET SAMI-TF'!D12:D99999,B114,'PLAN BUDGET SAMI-TF'!J12:J99999,A114&amp;"*")</f>
        <v>243.69247908041999</v>
      </c>
      <c r="K114" s="35">
        <f t="shared" si="18"/>
        <v>1</v>
      </c>
      <c r="L114" s="36"/>
      <c r="M114" s="50">
        <f t="shared" si="19"/>
        <v>0</v>
      </c>
    </row>
    <row r="115" spans="1:13" x14ac:dyDescent="0.35">
      <c r="A115" t="s">
        <v>498</v>
      </c>
      <c r="B115" s="7" t="s">
        <v>580</v>
      </c>
      <c r="C115" s="33" t="s">
        <v>803</v>
      </c>
      <c r="D115" s="34">
        <v>0</v>
      </c>
      <c r="E115" s="12">
        <v>0</v>
      </c>
      <c r="F115" s="42">
        <f t="shared" si="15"/>
        <v>0</v>
      </c>
      <c r="G115" s="12">
        <f t="shared" si="16"/>
        <v>417.75853556644</v>
      </c>
      <c r="H115" s="12">
        <f t="shared" si="17"/>
        <v>0</v>
      </c>
      <c r="I115" s="12"/>
      <c r="J115" s="48">
        <f>SUMIFS('PLAN BUDGET SAMI-TF'!BO12:BO99999,'PLAN BUDGET SAMI-TF'!D12:D99999,B115,'PLAN BUDGET SAMI-TF'!J12:J99999,A115&amp;"*")</f>
        <v>417.75853556644</v>
      </c>
      <c r="K115" s="35">
        <f t="shared" si="18"/>
        <v>1</v>
      </c>
      <c r="L115" s="36"/>
      <c r="M115" s="50">
        <f t="shared" si="19"/>
        <v>0</v>
      </c>
    </row>
    <row r="116" spans="1:13" x14ac:dyDescent="0.35">
      <c r="A116" t="s">
        <v>498</v>
      </c>
      <c r="B116" s="7" t="s">
        <v>535</v>
      </c>
      <c r="C116" s="33" t="s">
        <v>803</v>
      </c>
      <c r="D116" s="34">
        <v>1519.1219475143</v>
      </c>
      <c r="E116" s="12">
        <v>0</v>
      </c>
      <c r="F116" s="42">
        <f t="shared" si="15"/>
        <v>0</v>
      </c>
      <c r="G116" s="12">
        <f t="shared" si="16"/>
        <v>0</v>
      </c>
      <c r="H116" s="12">
        <f t="shared" si="17"/>
        <v>0</v>
      </c>
      <c r="I116" s="12"/>
      <c r="J116" s="48">
        <f>SUMIFS('PLAN BUDGET SAMI-TF'!BO12:BO99999,'PLAN BUDGET SAMI-TF'!D12:D99999,B116,'PLAN BUDGET SAMI-TF'!J12:J99999,A116&amp;"*")</f>
        <v>0</v>
      </c>
      <c r="K116" s="35">
        <f t="shared" si="18"/>
        <v>1</v>
      </c>
      <c r="L116" s="36"/>
      <c r="M116" s="50">
        <f t="shared" si="19"/>
        <v>0</v>
      </c>
    </row>
    <row r="117" spans="1:13" x14ac:dyDescent="0.35">
      <c r="A117" t="s">
        <v>498</v>
      </c>
      <c r="B117" s="7" t="s">
        <v>563</v>
      </c>
      <c r="C117" s="33" t="s">
        <v>803</v>
      </c>
      <c r="D117" s="34">
        <v>0</v>
      </c>
      <c r="E117" s="12">
        <v>0</v>
      </c>
      <c r="F117" s="42">
        <f t="shared" si="15"/>
        <v>0</v>
      </c>
      <c r="G117" s="12">
        <f t="shared" si="16"/>
        <v>696.26422594406995</v>
      </c>
      <c r="H117" s="12">
        <f t="shared" si="17"/>
        <v>0</v>
      </c>
      <c r="I117" s="12"/>
      <c r="J117" s="48">
        <f>SUMIFS('PLAN BUDGET SAMI-TF'!BO12:BO99999,'PLAN BUDGET SAMI-TF'!D12:D99999,B117,'PLAN BUDGET SAMI-TF'!J12:J99999,A117&amp;"*")</f>
        <v>696.26422594406995</v>
      </c>
      <c r="K117" s="35">
        <f t="shared" si="18"/>
        <v>1</v>
      </c>
      <c r="L117" s="36"/>
      <c r="M117" s="50">
        <f t="shared" si="19"/>
        <v>0</v>
      </c>
    </row>
    <row r="118" spans="1:13" x14ac:dyDescent="0.35">
      <c r="A118" t="s">
        <v>709</v>
      </c>
      <c r="B118" s="7" t="s">
        <v>715</v>
      </c>
      <c r="C118" s="33" t="s">
        <v>803</v>
      </c>
      <c r="D118" s="34">
        <v>0</v>
      </c>
      <c r="E118" s="12">
        <v>0</v>
      </c>
      <c r="F118" s="42">
        <f t="shared" si="15"/>
        <v>0</v>
      </c>
      <c r="G118" s="12">
        <f t="shared" si="16"/>
        <v>52.219816945805</v>
      </c>
      <c r="H118" s="12">
        <f t="shared" si="17"/>
        <v>0</v>
      </c>
      <c r="I118" s="12"/>
      <c r="J118" s="48">
        <f>SUMIFS('PLAN BUDGET SAMI-TF'!BO12:BO99999,'PLAN BUDGET SAMI-TF'!D12:D99999,B118,'PLAN BUDGET SAMI-TF'!J12:J99999,A118&amp;"*")</f>
        <v>52.219816945805</v>
      </c>
      <c r="K118" s="35">
        <f t="shared" si="18"/>
        <v>1</v>
      </c>
      <c r="L118" s="36"/>
      <c r="M118" s="50">
        <f t="shared" si="19"/>
        <v>0</v>
      </c>
    </row>
    <row r="119" spans="1:13" x14ac:dyDescent="0.35">
      <c r="A119" t="s">
        <v>709</v>
      </c>
      <c r="B119" s="7" t="s">
        <v>706</v>
      </c>
      <c r="C119" s="33" t="s">
        <v>803</v>
      </c>
      <c r="D119" s="34">
        <v>0</v>
      </c>
      <c r="E119" s="12">
        <v>0</v>
      </c>
      <c r="F119" s="42">
        <f t="shared" si="15"/>
        <v>0</v>
      </c>
      <c r="G119" s="12">
        <f t="shared" si="16"/>
        <v>692.30817920574998</v>
      </c>
      <c r="H119" s="12">
        <f t="shared" si="17"/>
        <v>0</v>
      </c>
      <c r="I119" s="12"/>
      <c r="J119" s="48">
        <f>SUMIFS('PLAN BUDGET SAMI-TF'!BO12:BO99999,'PLAN BUDGET SAMI-TF'!D12:D99999,B119,'PLAN BUDGET SAMI-TF'!J12:J99999,A119&amp;"*")</f>
        <v>692.30817920574998</v>
      </c>
      <c r="K119" s="35">
        <f t="shared" si="18"/>
        <v>1</v>
      </c>
      <c r="L119" s="36"/>
      <c r="M119" s="50">
        <f t="shared" si="19"/>
        <v>0</v>
      </c>
    </row>
    <row r="120" spans="1:13" x14ac:dyDescent="0.35">
      <c r="A120" t="s">
        <v>709</v>
      </c>
      <c r="B120" s="7" t="s">
        <v>711</v>
      </c>
      <c r="C120" s="33" t="s">
        <v>803</v>
      </c>
      <c r="D120" s="34">
        <v>0</v>
      </c>
      <c r="E120" s="12">
        <v>0</v>
      </c>
      <c r="F120" s="42">
        <f t="shared" si="15"/>
        <v>0</v>
      </c>
      <c r="G120" s="12">
        <f t="shared" si="16"/>
        <v>38.927499905055001</v>
      </c>
      <c r="H120" s="12">
        <f t="shared" si="17"/>
        <v>0</v>
      </c>
      <c r="I120" s="12"/>
      <c r="J120" s="48">
        <f>SUMIFS('PLAN BUDGET SAMI-TF'!BO12:BO99999,'PLAN BUDGET SAMI-TF'!D12:D99999,B120,'PLAN BUDGET SAMI-TF'!J12:J99999,A120&amp;"*")</f>
        <v>38.927499905055001</v>
      </c>
      <c r="K120" s="35">
        <f t="shared" si="18"/>
        <v>1</v>
      </c>
      <c r="L120" s="36"/>
      <c r="M120" s="50">
        <f t="shared" si="19"/>
        <v>0</v>
      </c>
    </row>
    <row r="121" spans="1:13" x14ac:dyDescent="0.35">
      <c r="A121" t="s">
        <v>709</v>
      </c>
      <c r="B121" s="7" t="s">
        <v>742</v>
      </c>
      <c r="C121" s="33" t="s">
        <v>803</v>
      </c>
      <c r="D121" s="34">
        <v>644.26</v>
      </c>
      <c r="E121" s="12">
        <v>644.26</v>
      </c>
      <c r="F121" s="42">
        <f t="shared" si="15"/>
        <v>644.26</v>
      </c>
      <c r="G121" s="12">
        <f t="shared" si="16"/>
        <v>0</v>
      </c>
      <c r="H121" s="12">
        <f t="shared" si="17"/>
        <v>-644.26</v>
      </c>
      <c r="I121" s="12"/>
      <c r="J121" s="48">
        <f>SUMIFS('PLAN BUDGET SAMI-TF'!BO12:BO99999,'PLAN BUDGET SAMI-TF'!D12:D99999,B121,'PLAN BUDGET SAMI-TF'!J12:J99999,A121&amp;"*")</f>
        <v>0</v>
      </c>
      <c r="K121" s="35">
        <f t="shared" si="18"/>
        <v>-1</v>
      </c>
      <c r="L121" s="36" t="s">
        <v>743</v>
      </c>
      <c r="M121" s="50">
        <f t="shared" si="19"/>
        <v>0</v>
      </c>
    </row>
    <row r="122" spans="1:13" x14ac:dyDescent="0.35">
      <c r="A122" t="s">
        <v>709</v>
      </c>
      <c r="B122" s="7" t="s">
        <v>744</v>
      </c>
      <c r="C122" s="33" t="s">
        <v>803</v>
      </c>
      <c r="D122" s="34">
        <v>301.95999999999998</v>
      </c>
      <c r="E122" s="12">
        <v>301.95999999999998</v>
      </c>
      <c r="F122" s="42">
        <f t="shared" si="15"/>
        <v>301.95999999999998</v>
      </c>
      <c r="G122" s="12">
        <f t="shared" si="16"/>
        <v>0</v>
      </c>
      <c r="H122" s="12">
        <f t="shared" si="17"/>
        <v>-301.95999999999998</v>
      </c>
      <c r="I122" s="12"/>
      <c r="J122" s="48">
        <f>SUMIFS('PLAN BUDGET SAMI-TF'!BO12:BO99999,'PLAN BUDGET SAMI-TF'!D12:D99999,B122,'PLAN BUDGET SAMI-TF'!J12:J99999,A122&amp;"*")</f>
        <v>0</v>
      </c>
      <c r="K122" s="35">
        <f t="shared" si="18"/>
        <v>-1</v>
      </c>
      <c r="L122" s="36" t="s">
        <v>743</v>
      </c>
      <c r="M122" s="50">
        <f t="shared" si="19"/>
        <v>0</v>
      </c>
    </row>
    <row r="123" spans="1:13" x14ac:dyDescent="0.35">
      <c r="A123" t="s">
        <v>709</v>
      </c>
      <c r="B123" s="7" t="s">
        <v>745</v>
      </c>
      <c r="C123" s="33" t="s">
        <v>803</v>
      </c>
      <c r="D123" s="34">
        <v>168.72</v>
      </c>
      <c r="E123" s="12">
        <v>168.72</v>
      </c>
      <c r="F123" s="42">
        <f t="shared" si="15"/>
        <v>168.72</v>
      </c>
      <c r="G123" s="12">
        <f t="shared" si="16"/>
        <v>0</v>
      </c>
      <c r="H123" s="12">
        <f t="shared" si="17"/>
        <v>-168.72</v>
      </c>
      <c r="I123" s="12"/>
      <c r="J123" s="48">
        <f>SUMIFS('PLAN BUDGET SAMI-TF'!BO12:BO99999,'PLAN BUDGET SAMI-TF'!D12:D99999,B123,'PLAN BUDGET SAMI-TF'!J12:J99999,A123&amp;"*")</f>
        <v>0</v>
      </c>
      <c r="K123" s="35">
        <f t="shared" si="18"/>
        <v>-1</v>
      </c>
      <c r="L123" s="36" t="s">
        <v>743</v>
      </c>
      <c r="M123" s="50">
        <f t="shared" si="19"/>
        <v>0</v>
      </c>
    </row>
    <row r="124" spans="1:13" x14ac:dyDescent="0.35">
      <c r="A124" t="s">
        <v>709</v>
      </c>
      <c r="B124" s="7" t="s">
        <v>746</v>
      </c>
      <c r="C124" s="33" t="s">
        <v>803</v>
      </c>
      <c r="D124" s="34">
        <v>113.47</v>
      </c>
      <c r="E124" s="12">
        <v>113.47</v>
      </c>
      <c r="F124" s="42">
        <f t="shared" si="15"/>
        <v>113.47</v>
      </c>
      <c r="G124" s="12">
        <f t="shared" si="16"/>
        <v>0</v>
      </c>
      <c r="H124" s="12">
        <f t="shared" si="17"/>
        <v>-113.47</v>
      </c>
      <c r="I124" s="12"/>
      <c r="J124" s="48">
        <f>SUMIFS('PLAN BUDGET SAMI-TF'!BO12:BO99999,'PLAN BUDGET SAMI-TF'!D12:D99999,B124,'PLAN BUDGET SAMI-TF'!J12:J99999,A124&amp;"*")</f>
        <v>0</v>
      </c>
      <c r="K124" s="35">
        <f t="shared" si="18"/>
        <v>-1</v>
      </c>
      <c r="L124" s="36" t="s">
        <v>743</v>
      </c>
      <c r="M124" s="50">
        <f t="shared" si="19"/>
        <v>0</v>
      </c>
    </row>
    <row r="125" spans="1:13" x14ac:dyDescent="0.35">
      <c r="A125" t="s">
        <v>709</v>
      </c>
      <c r="B125" s="7" t="s">
        <v>747</v>
      </c>
      <c r="C125" s="33" t="s">
        <v>803</v>
      </c>
      <c r="D125" s="34">
        <v>958</v>
      </c>
      <c r="E125" s="12">
        <v>95.8</v>
      </c>
      <c r="F125" s="42">
        <f t="shared" si="15"/>
        <v>95.8</v>
      </c>
      <c r="G125" s="12">
        <f t="shared" si="16"/>
        <v>0</v>
      </c>
      <c r="H125" s="12">
        <f t="shared" si="17"/>
        <v>-95.8</v>
      </c>
      <c r="I125" s="12"/>
      <c r="J125" s="48">
        <f>SUMIFS('PLAN BUDGET SAMI-TF'!BO12:BO99999,'PLAN BUDGET SAMI-TF'!D12:D99999,B125,'PLAN BUDGET SAMI-TF'!J12:J99999,A125&amp;"*")</f>
        <v>0</v>
      </c>
      <c r="K125" s="35">
        <f t="shared" si="18"/>
        <v>-1</v>
      </c>
      <c r="L125" s="36" t="s">
        <v>743</v>
      </c>
      <c r="M125" s="50">
        <f t="shared" si="19"/>
        <v>0</v>
      </c>
    </row>
    <row r="126" spans="1:13" x14ac:dyDescent="0.35">
      <c r="A126" t="s">
        <v>709</v>
      </c>
      <c r="B126" s="7" t="s">
        <v>748</v>
      </c>
      <c r="C126" s="33" t="s">
        <v>803</v>
      </c>
      <c r="D126" s="34">
        <v>135.45820515742</v>
      </c>
      <c r="E126" s="12">
        <v>27.091641031483999</v>
      </c>
      <c r="F126" s="42">
        <f t="shared" si="15"/>
        <v>27.091641031483999</v>
      </c>
      <c r="G126" s="12">
        <f t="shared" si="16"/>
        <v>0</v>
      </c>
      <c r="H126" s="12">
        <f t="shared" si="17"/>
        <v>-27.091641031483999</v>
      </c>
      <c r="I126" s="12"/>
      <c r="J126" s="48">
        <f>SUMIFS('PLAN BUDGET SAMI-TF'!BO12:BO99999,'PLAN BUDGET SAMI-TF'!D12:D99999,B126,'PLAN BUDGET SAMI-TF'!J12:J99999,A126&amp;"*")</f>
        <v>0</v>
      </c>
      <c r="K126" s="35">
        <f t="shared" si="18"/>
        <v>-1</v>
      </c>
      <c r="L126" s="36" t="s">
        <v>743</v>
      </c>
      <c r="M126" s="50">
        <f t="shared" si="19"/>
        <v>0</v>
      </c>
    </row>
    <row r="127" spans="1:13" x14ac:dyDescent="0.35">
      <c r="A127" t="s">
        <v>709</v>
      </c>
      <c r="B127" s="7" t="s">
        <v>749</v>
      </c>
      <c r="C127" s="33" t="s">
        <v>803</v>
      </c>
      <c r="D127" s="34">
        <v>325.93394351398001</v>
      </c>
      <c r="E127" s="12">
        <v>32.593394351397997</v>
      </c>
      <c r="F127" s="42">
        <f t="shared" si="15"/>
        <v>32.593394351397997</v>
      </c>
      <c r="G127" s="12">
        <f t="shared" si="16"/>
        <v>0</v>
      </c>
      <c r="H127" s="12">
        <f t="shared" si="17"/>
        <v>-32.593394351397997</v>
      </c>
      <c r="I127" s="12"/>
      <c r="J127" s="48">
        <f>SUMIFS('PLAN BUDGET SAMI-TF'!BO12:BO99999,'PLAN BUDGET SAMI-TF'!D12:D99999,B127,'PLAN BUDGET SAMI-TF'!J12:J99999,A127&amp;"*")</f>
        <v>0</v>
      </c>
      <c r="K127" s="35">
        <f t="shared" si="18"/>
        <v>-1</v>
      </c>
      <c r="L127" s="36" t="s">
        <v>743</v>
      </c>
      <c r="M127" s="50">
        <f t="shared" si="19"/>
        <v>0</v>
      </c>
    </row>
    <row r="128" spans="1:13" x14ac:dyDescent="0.35">
      <c r="A128" t="s">
        <v>709</v>
      </c>
      <c r="B128" s="7" t="s">
        <v>750</v>
      </c>
      <c r="C128" s="33" t="s">
        <v>803</v>
      </c>
      <c r="D128" s="34">
        <v>297.49471472156</v>
      </c>
      <c r="E128" s="12">
        <v>74.373678680389006</v>
      </c>
      <c r="F128" s="42">
        <f t="shared" si="15"/>
        <v>74.373678680389006</v>
      </c>
      <c r="G128" s="12">
        <f t="shared" si="16"/>
        <v>0</v>
      </c>
      <c r="H128" s="12">
        <f t="shared" si="17"/>
        <v>-74.373678680389006</v>
      </c>
      <c r="I128" s="12"/>
      <c r="J128" s="48">
        <f>SUMIFS('PLAN BUDGET SAMI-TF'!BO12:BO99999,'PLAN BUDGET SAMI-TF'!D12:D99999,B128,'PLAN BUDGET SAMI-TF'!J12:J99999,A128&amp;"*")</f>
        <v>0</v>
      </c>
      <c r="K128" s="35">
        <f t="shared" si="18"/>
        <v>-1</v>
      </c>
      <c r="L128" s="36" t="s">
        <v>743</v>
      </c>
      <c r="M128" s="50">
        <f t="shared" si="19"/>
        <v>0</v>
      </c>
    </row>
    <row r="129" spans="1:13" x14ac:dyDescent="0.35">
      <c r="A129" t="s">
        <v>709</v>
      </c>
      <c r="B129" s="7" t="s">
        <v>751</v>
      </c>
      <c r="C129" s="33" t="s">
        <v>803</v>
      </c>
      <c r="D129" s="34">
        <v>4448</v>
      </c>
      <c r="E129" s="12">
        <v>111.2</v>
      </c>
      <c r="F129" s="42">
        <f t="shared" si="15"/>
        <v>111.2</v>
      </c>
      <c r="G129" s="12">
        <f t="shared" si="16"/>
        <v>0</v>
      </c>
      <c r="H129" s="12">
        <f t="shared" si="17"/>
        <v>-111.2</v>
      </c>
      <c r="I129" s="12"/>
      <c r="J129" s="48">
        <f>SUMIFS('PLAN BUDGET SAMI-TF'!BO12:BO99999,'PLAN BUDGET SAMI-TF'!D12:D99999,B129,'PLAN BUDGET SAMI-TF'!J12:J99999,A129&amp;"*")</f>
        <v>0</v>
      </c>
      <c r="K129" s="35">
        <f t="shared" si="18"/>
        <v>-1</v>
      </c>
      <c r="L129" s="36" t="s">
        <v>743</v>
      </c>
      <c r="M129" s="50">
        <f t="shared" si="19"/>
        <v>0</v>
      </c>
    </row>
    <row r="130" spans="1:13" x14ac:dyDescent="0.35">
      <c r="A130" t="s">
        <v>709</v>
      </c>
      <c r="B130" s="7" t="s">
        <v>752</v>
      </c>
      <c r="C130" s="33" t="s">
        <v>803</v>
      </c>
      <c r="D130" s="34">
        <v>94.945121719645996</v>
      </c>
      <c r="E130" s="12">
        <v>18.989024343929</v>
      </c>
      <c r="F130" s="42">
        <f t="shared" si="15"/>
        <v>18.989024343929</v>
      </c>
      <c r="G130" s="12">
        <f t="shared" si="16"/>
        <v>0</v>
      </c>
      <c r="H130" s="12">
        <f t="shared" si="17"/>
        <v>-18.989024343929</v>
      </c>
      <c r="I130" s="12"/>
      <c r="J130" s="48">
        <f>SUMIFS('PLAN BUDGET SAMI-TF'!BO12:BO99999,'PLAN BUDGET SAMI-TF'!D12:D99999,B130,'PLAN BUDGET SAMI-TF'!J12:J99999,A130&amp;"*")</f>
        <v>0</v>
      </c>
      <c r="K130" s="35">
        <f t="shared" si="18"/>
        <v>-1</v>
      </c>
      <c r="L130" s="36" t="s">
        <v>743</v>
      </c>
      <c r="M130" s="50">
        <f t="shared" si="19"/>
        <v>0</v>
      </c>
    </row>
    <row r="131" spans="1:13" x14ac:dyDescent="0.35">
      <c r="A131" t="s">
        <v>709</v>
      </c>
      <c r="B131" s="7" t="s">
        <v>753</v>
      </c>
      <c r="C131" s="33" t="s">
        <v>803</v>
      </c>
      <c r="D131" s="34">
        <v>189.65</v>
      </c>
      <c r="E131" s="12">
        <v>189.65</v>
      </c>
      <c r="F131" s="42">
        <f t="shared" si="15"/>
        <v>189.65</v>
      </c>
      <c r="G131" s="12">
        <f t="shared" si="16"/>
        <v>0</v>
      </c>
      <c r="H131" s="12">
        <f t="shared" si="17"/>
        <v>-189.65</v>
      </c>
      <c r="I131" s="12"/>
      <c r="J131" s="48">
        <f>SUMIFS('PLAN BUDGET SAMI-TF'!BO12:BO99999,'PLAN BUDGET SAMI-TF'!D12:D99999,B131,'PLAN BUDGET SAMI-TF'!J12:J99999,A131&amp;"*")</f>
        <v>0</v>
      </c>
      <c r="K131" s="35">
        <f t="shared" si="18"/>
        <v>-1</v>
      </c>
      <c r="L131" s="36" t="s">
        <v>743</v>
      </c>
      <c r="M131" s="50">
        <f t="shared" si="19"/>
        <v>0</v>
      </c>
    </row>
    <row r="132" spans="1:13" x14ac:dyDescent="0.35">
      <c r="A132" t="s">
        <v>709</v>
      </c>
      <c r="B132" s="7" t="s">
        <v>754</v>
      </c>
      <c r="C132" s="33" t="s">
        <v>803</v>
      </c>
      <c r="D132" s="34">
        <v>14423.04</v>
      </c>
      <c r="E132" s="12">
        <v>1201.92</v>
      </c>
      <c r="F132" s="42">
        <f t="shared" si="15"/>
        <v>1201.92</v>
      </c>
      <c r="G132" s="12">
        <f t="shared" si="16"/>
        <v>0</v>
      </c>
      <c r="H132" s="12">
        <f t="shared" si="17"/>
        <v>-1201.92</v>
      </c>
      <c r="I132" s="12"/>
      <c r="J132" s="48">
        <f>SUMIFS('PLAN BUDGET SAMI-TF'!BO12:BO99999,'PLAN BUDGET SAMI-TF'!D12:D99999,B132,'PLAN BUDGET SAMI-TF'!J12:J99999,A132&amp;"*")</f>
        <v>0</v>
      </c>
      <c r="K132" s="35">
        <f t="shared" si="18"/>
        <v>-1</v>
      </c>
      <c r="L132" s="36" t="s">
        <v>743</v>
      </c>
      <c r="M132" s="50">
        <f t="shared" si="19"/>
        <v>0</v>
      </c>
    </row>
    <row r="133" spans="1:13" x14ac:dyDescent="0.35">
      <c r="A133" t="s">
        <v>709</v>
      </c>
      <c r="B133" s="7" t="s">
        <v>755</v>
      </c>
      <c r="C133" s="33" t="s">
        <v>803</v>
      </c>
      <c r="D133" s="34">
        <v>4698</v>
      </c>
      <c r="E133" s="12">
        <v>234.9</v>
      </c>
      <c r="F133" s="42">
        <f t="shared" si="15"/>
        <v>234.9</v>
      </c>
      <c r="G133" s="12">
        <f t="shared" si="16"/>
        <v>0</v>
      </c>
      <c r="H133" s="12">
        <f t="shared" si="17"/>
        <v>-234.9</v>
      </c>
      <c r="I133" s="12"/>
      <c r="J133" s="48">
        <f>SUMIFS('PLAN BUDGET SAMI-TF'!BO12:BO99999,'PLAN BUDGET SAMI-TF'!D12:D99999,B133,'PLAN BUDGET SAMI-TF'!J12:J99999,A133&amp;"*")</f>
        <v>0</v>
      </c>
      <c r="K133" s="35">
        <f t="shared" si="18"/>
        <v>-1</v>
      </c>
      <c r="L133" s="36" t="s">
        <v>743</v>
      </c>
      <c r="M133" s="50">
        <f t="shared" si="19"/>
        <v>0</v>
      </c>
    </row>
    <row r="134" spans="1:13" x14ac:dyDescent="0.35">
      <c r="A134" t="s">
        <v>709</v>
      </c>
      <c r="B134" s="7" t="s">
        <v>756</v>
      </c>
      <c r="C134" s="33" t="s">
        <v>803</v>
      </c>
      <c r="D134" s="34">
        <v>4466</v>
      </c>
      <c r="E134" s="12">
        <v>223.3</v>
      </c>
      <c r="F134" s="42">
        <f t="shared" si="15"/>
        <v>223.3</v>
      </c>
      <c r="G134" s="12">
        <f t="shared" si="16"/>
        <v>0</v>
      </c>
      <c r="H134" s="12">
        <f t="shared" si="17"/>
        <v>-223.3</v>
      </c>
      <c r="I134" s="12"/>
      <c r="J134" s="48">
        <f>SUMIFS('PLAN BUDGET SAMI-TF'!BO12:BO99999,'PLAN BUDGET SAMI-TF'!D12:D99999,B134,'PLAN BUDGET SAMI-TF'!J12:J99999,A134&amp;"*")</f>
        <v>0</v>
      </c>
      <c r="K134" s="35">
        <f t="shared" si="18"/>
        <v>-1</v>
      </c>
      <c r="L134" s="36" t="s">
        <v>743</v>
      </c>
      <c r="M134" s="50">
        <f t="shared" si="19"/>
        <v>0</v>
      </c>
    </row>
    <row r="135" spans="1:13" x14ac:dyDescent="0.35">
      <c r="A135" t="s">
        <v>709</v>
      </c>
      <c r="B135" s="7" t="s">
        <v>757</v>
      </c>
      <c r="C135" s="33" t="s">
        <v>803</v>
      </c>
      <c r="D135" s="34">
        <v>806</v>
      </c>
      <c r="E135" s="12">
        <v>80.599999999999994</v>
      </c>
      <c r="F135" s="42">
        <f t="shared" si="15"/>
        <v>80.599999999999994</v>
      </c>
      <c r="G135" s="12">
        <f t="shared" si="16"/>
        <v>0</v>
      </c>
      <c r="H135" s="12">
        <f t="shared" si="17"/>
        <v>-80.599999999999994</v>
      </c>
      <c r="I135" s="12"/>
      <c r="J135" s="48">
        <f>SUMIFS('PLAN BUDGET SAMI-TF'!BO12:BO99999,'PLAN BUDGET SAMI-TF'!D12:D99999,B135,'PLAN BUDGET SAMI-TF'!J12:J99999,A135&amp;"*")</f>
        <v>0</v>
      </c>
      <c r="K135" s="35">
        <f t="shared" si="18"/>
        <v>-1</v>
      </c>
      <c r="L135" s="36" t="s">
        <v>743</v>
      </c>
      <c r="M135" s="50">
        <f t="shared" si="19"/>
        <v>0</v>
      </c>
    </row>
    <row r="136" spans="1:13" x14ac:dyDescent="0.35">
      <c r="A136" t="s">
        <v>709</v>
      </c>
      <c r="B136" s="7" t="s">
        <v>758</v>
      </c>
      <c r="C136" s="33" t="s">
        <v>803</v>
      </c>
      <c r="D136" s="34">
        <v>2315</v>
      </c>
      <c r="E136" s="12">
        <v>231.5</v>
      </c>
      <c r="F136" s="42">
        <f t="shared" si="15"/>
        <v>231.5</v>
      </c>
      <c r="G136" s="12">
        <f t="shared" si="16"/>
        <v>0</v>
      </c>
      <c r="H136" s="12">
        <f t="shared" si="17"/>
        <v>-231.5</v>
      </c>
      <c r="I136" s="12"/>
      <c r="J136" s="48">
        <f>SUMIFS('PLAN BUDGET SAMI-TF'!BO12:BO99999,'PLAN BUDGET SAMI-TF'!D12:D99999,B136,'PLAN BUDGET SAMI-TF'!J12:J99999,A136&amp;"*")</f>
        <v>0</v>
      </c>
      <c r="K136" s="35">
        <f t="shared" si="18"/>
        <v>-1</v>
      </c>
      <c r="L136" s="36" t="s">
        <v>743</v>
      </c>
      <c r="M136" s="50">
        <f t="shared" si="19"/>
        <v>0</v>
      </c>
    </row>
    <row r="137" spans="1:13" x14ac:dyDescent="0.35">
      <c r="A137" t="s">
        <v>709</v>
      </c>
      <c r="B137" s="7" t="s">
        <v>759</v>
      </c>
      <c r="C137" s="33" t="s">
        <v>803</v>
      </c>
      <c r="D137" s="34">
        <v>2052</v>
      </c>
      <c r="E137" s="12">
        <v>205.2</v>
      </c>
      <c r="F137" s="42">
        <f t="shared" si="15"/>
        <v>205.2</v>
      </c>
      <c r="G137" s="12">
        <f t="shared" si="16"/>
        <v>0</v>
      </c>
      <c r="H137" s="12">
        <f t="shared" si="17"/>
        <v>-205.2</v>
      </c>
      <c r="I137" s="12"/>
      <c r="J137" s="48">
        <f>SUMIFS('PLAN BUDGET SAMI-TF'!BO12:BO99999,'PLAN BUDGET SAMI-TF'!D12:D99999,B137,'PLAN BUDGET SAMI-TF'!J12:J99999,A137&amp;"*")</f>
        <v>0</v>
      </c>
      <c r="K137" s="35">
        <f t="shared" si="18"/>
        <v>-1</v>
      </c>
      <c r="L137" s="36" t="s">
        <v>743</v>
      </c>
      <c r="M137" s="50">
        <f t="shared" si="19"/>
        <v>0</v>
      </c>
    </row>
    <row r="138" spans="1:13" x14ac:dyDescent="0.35">
      <c r="A138" t="s">
        <v>709</v>
      </c>
      <c r="B138" s="7" t="s">
        <v>760</v>
      </c>
      <c r="C138" s="33" t="s">
        <v>803</v>
      </c>
      <c r="D138" s="34">
        <v>392.43983644119999</v>
      </c>
      <c r="E138" s="12">
        <v>19.62199182206</v>
      </c>
      <c r="F138" s="42">
        <f t="shared" si="15"/>
        <v>19.62199182206</v>
      </c>
      <c r="G138" s="12">
        <f t="shared" si="16"/>
        <v>0</v>
      </c>
      <c r="H138" s="12">
        <f t="shared" si="17"/>
        <v>-19.62199182206</v>
      </c>
      <c r="I138" s="12"/>
      <c r="J138" s="48">
        <f>SUMIFS('PLAN BUDGET SAMI-TF'!BO12:BO99999,'PLAN BUDGET SAMI-TF'!D12:D99999,B138,'PLAN BUDGET SAMI-TF'!J12:J99999,A138&amp;"*")</f>
        <v>0</v>
      </c>
      <c r="K138" s="35">
        <f t="shared" si="18"/>
        <v>-1</v>
      </c>
      <c r="L138" s="36" t="s">
        <v>743</v>
      </c>
      <c r="M138" s="50">
        <f t="shared" si="19"/>
        <v>0</v>
      </c>
    </row>
    <row r="139" spans="1:13" x14ac:dyDescent="0.35">
      <c r="A139" t="s">
        <v>709</v>
      </c>
      <c r="B139" s="7" t="s">
        <v>761</v>
      </c>
      <c r="C139" s="33" t="s">
        <v>803</v>
      </c>
      <c r="D139" s="34">
        <v>5667.5907991846998</v>
      </c>
      <c r="E139" s="12">
        <v>51.523552719861001</v>
      </c>
      <c r="F139" s="42">
        <f t="shared" si="15"/>
        <v>51.523552719861001</v>
      </c>
      <c r="G139" s="12">
        <f t="shared" si="16"/>
        <v>0</v>
      </c>
      <c r="H139" s="12">
        <f t="shared" si="17"/>
        <v>-51.523552719861001</v>
      </c>
      <c r="I139" s="12"/>
      <c r="J139" s="48">
        <f>SUMIFS('PLAN BUDGET SAMI-TF'!BO12:BO99999,'PLAN BUDGET SAMI-TF'!D12:D99999,B139,'PLAN BUDGET SAMI-TF'!J12:J99999,A139&amp;"*")</f>
        <v>0</v>
      </c>
      <c r="K139" s="35">
        <f t="shared" si="18"/>
        <v>-1</v>
      </c>
      <c r="L139" s="36" t="s">
        <v>743</v>
      </c>
      <c r="M139" s="50">
        <f t="shared" si="19"/>
        <v>0</v>
      </c>
    </row>
    <row r="140" spans="1:13" x14ac:dyDescent="0.35">
      <c r="A140" t="s">
        <v>709</v>
      </c>
      <c r="B140" s="7" t="s">
        <v>762</v>
      </c>
      <c r="C140" s="33" t="s">
        <v>803</v>
      </c>
      <c r="D140" s="34">
        <v>82.285772157026997</v>
      </c>
      <c r="E140" s="12">
        <v>8.2285772157026997</v>
      </c>
      <c r="F140" s="42">
        <f t="shared" si="15"/>
        <v>8.2285772157026997</v>
      </c>
      <c r="G140" s="12">
        <f t="shared" si="16"/>
        <v>0</v>
      </c>
      <c r="H140" s="12">
        <f t="shared" si="17"/>
        <v>-8.2285772157026997</v>
      </c>
      <c r="I140" s="12"/>
      <c r="J140" s="48">
        <f>SUMIFS('PLAN BUDGET SAMI-TF'!BO12:BO99999,'PLAN BUDGET SAMI-TF'!D12:D99999,B140,'PLAN BUDGET SAMI-TF'!J12:J99999,A140&amp;"*")</f>
        <v>0</v>
      </c>
      <c r="K140" s="35">
        <f t="shared" si="18"/>
        <v>-1</v>
      </c>
      <c r="L140" s="36" t="s">
        <v>743</v>
      </c>
      <c r="M140" s="50">
        <f t="shared" si="19"/>
        <v>0</v>
      </c>
    </row>
    <row r="141" spans="1:13" x14ac:dyDescent="0.35">
      <c r="A141" t="s">
        <v>709</v>
      </c>
      <c r="B141" s="7" t="s">
        <v>763</v>
      </c>
      <c r="C141" s="33" t="s">
        <v>803</v>
      </c>
      <c r="D141" s="34">
        <v>128.99624017318001</v>
      </c>
      <c r="E141" s="12">
        <v>21.499373362197002</v>
      </c>
      <c r="F141" s="42">
        <f t="shared" si="15"/>
        <v>21.499373362197002</v>
      </c>
      <c r="G141" s="12">
        <f t="shared" si="16"/>
        <v>0</v>
      </c>
      <c r="H141" s="12">
        <f t="shared" si="17"/>
        <v>-21.499373362197002</v>
      </c>
      <c r="I141" s="12"/>
      <c r="J141" s="48">
        <f>SUMIFS('PLAN BUDGET SAMI-TF'!BO12:BO99999,'PLAN BUDGET SAMI-TF'!D12:D99999,B141,'PLAN BUDGET SAMI-TF'!J12:J99999,A141&amp;"*")</f>
        <v>0</v>
      </c>
      <c r="K141" s="35">
        <f t="shared" si="18"/>
        <v>-1</v>
      </c>
      <c r="L141" s="36" t="s">
        <v>743</v>
      </c>
      <c r="M141" s="50">
        <f t="shared" si="19"/>
        <v>0</v>
      </c>
    </row>
    <row r="142" spans="1:13" x14ac:dyDescent="0.35">
      <c r="A142" t="s">
        <v>709</v>
      </c>
      <c r="B142" s="7" t="s">
        <v>764</v>
      </c>
      <c r="C142" s="33" t="s">
        <v>803</v>
      </c>
      <c r="D142" s="34">
        <v>3955.68</v>
      </c>
      <c r="E142" s="12">
        <v>659.28</v>
      </c>
      <c r="F142" s="42">
        <f t="shared" ref="F142:F173" si="20">IF(C142="F",E142,E142/$E$12*$F$12)</f>
        <v>659.28</v>
      </c>
      <c r="G142" s="12">
        <f t="shared" ref="G142:G173" si="21">IF(F142&lt;J142,J142-F142,0)</f>
        <v>0</v>
      </c>
      <c r="H142" s="12">
        <f t="shared" ref="H142:H173" si="22">IF(F142&gt;J142,J142-F142,0)</f>
        <v>-659.28</v>
      </c>
      <c r="I142" s="12"/>
      <c r="J142" s="48">
        <f>SUMIFS('PLAN BUDGET SAMI-TF'!BO12:BO99999,'PLAN BUDGET SAMI-TF'!D12:D99999,B142,'PLAN BUDGET SAMI-TF'!J12:J99999,A142&amp;"*")</f>
        <v>0</v>
      </c>
      <c r="K142" s="35">
        <f t="shared" ref="K142:K173" si="23">IFERROR(IF(F142&gt;0,(J142-F142)/F142,100%),0)</f>
        <v>-1</v>
      </c>
      <c r="L142" s="36" t="s">
        <v>743</v>
      </c>
      <c r="M142" s="50">
        <f t="shared" ref="M142:M173" si="24">J142-SUM(F142:I142)</f>
        <v>0</v>
      </c>
    </row>
    <row r="143" spans="1:13" x14ac:dyDescent="0.35">
      <c r="A143" t="s">
        <v>709</v>
      </c>
      <c r="B143" s="7" t="s">
        <v>765</v>
      </c>
      <c r="C143" s="33" t="s">
        <v>803</v>
      </c>
      <c r="D143" s="34">
        <v>597105.31312901003</v>
      </c>
      <c r="E143" s="12">
        <v>2037.9020925904999</v>
      </c>
      <c r="F143" s="42">
        <f t="shared" si="20"/>
        <v>2037.9020925904999</v>
      </c>
      <c r="G143" s="12">
        <f t="shared" si="21"/>
        <v>0</v>
      </c>
      <c r="H143" s="12">
        <f t="shared" si="22"/>
        <v>-2037.9020925904999</v>
      </c>
      <c r="I143" s="12"/>
      <c r="J143" s="48">
        <f>SUMIFS('PLAN BUDGET SAMI-TF'!BO12:BO99999,'PLAN BUDGET SAMI-TF'!D12:D99999,B143,'PLAN BUDGET SAMI-TF'!J12:J99999,A143&amp;"*")</f>
        <v>0</v>
      </c>
      <c r="K143" s="35">
        <f t="shared" si="23"/>
        <v>-1</v>
      </c>
      <c r="L143" s="36" t="s">
        <v>743</v>
      </c>
      <c r="M143" s="50">
        <f t="shared" si="24"/>
        <v>0</v>
      </c>
    </row>
    <row r="144" spans="1:13" x14ac:dyDescent="0.35">
      <c r="A144" t="s">
        <v>709</v>
      </c>
      <c r="B144" s="7" t="s">
        <v>569</v>
      </c>
      <c r="C144" s="33" t="s">
        <v>803</v>
      </c>
      <c r="D144" s="34">
        <v>150.32977605611001</v>
      </c>
      <c r="E144" s="12">
        <v>30.065955211220999</v>
      </c>
      <c r="F144" s="42">
        <f t="shared" si="20"/>
        <v>30.065955211220999</v>
      </c>
      <c r="G144" s="12">
        <f t="shared" si="21"/>
        <v>0</v>
      </c>
      <c r="H144" s="12">
        <f t="shared" si="22"/>
        <v>-30.065955211220999</v>
      </c>
      <c r="I144" s="12"/>
      <c r="J144" s="48">
        <f>SUMIFS('PLAN BUDGET SAMI-TF'!BO12:BO99999,'PLAN BUDGET SAMI-TF'!D12:D99999,B144,'PLAN BUDGET SAMI-TF'!J12:J99999,A144&amp;"*")</f>
        <v>0</v>
      </c>
      <c r="K144" s="35">
        <f t="shared" si="23"/>
        <v>-1</v>
      </c>
      <c r="L144" s="36" t="s">
        <v>743</v>
      </c>
      <c r="M144" s="50">
        <f t="shared" si="24"/>
        <v>0</v>
      </c>
    </row>
    <row r="145" spans="1:13" x14ac:dyDescent="0.35">
      <c r="A145" t="s">
        <v>709</v>
      </c>
      <c r="B145" s="7" t="s">
        <v>766</v>
      </c>
      <c r="C145" s="33" t="s">
        <v>803</v>
      </c>
      <c r="D145" s="34">
        <v>585.49491727115003</v>
      </c>
      <c r="E145" s="12">
        <v>117.09898345422999</v>
      </c>
      <c r="F145" s="42">
        <f t="shared" si="20"/>
        <v>117.09898345422999</v>
      </c>
      <c r="G145" s="12">
        <f t="shared" si="21"/>
        <v>0</v>
      </c>
      <c r="H145" s="12">
        <f t="shared" si="22"/>
        <v>-117.09898345422999</v>
      </c>
      <c r="I145" s="12"/>
      <c r="J145" s="48">
        <f>SUMIFS('PLAN BUDGET SAMI-TF'!BO12:BO99999,'PLAN BUDGET SAMI-TF'!D12:D99999,B145,'PLAN BUDGET SAMI-TF'!J12:J99999,A145&amp;"*")</f>
        <v>0</v>
      </c>
      <c r="K145" s="35">
        <f t="shared" si="23"/>
        <v>-1</v>
      </c>
      <c r="L145" s="36" t="s">
        <v>743</v>
      </c>
      <c r="M145" s="50">
        <f t="shared" si="24"/>
        <v>0</v>
      </c>
    </row>
    <row r="146" spans="1:13" x14ac:dyDescent="0.35">
      <c r="A146" t="s">
        <v>709</v>
      </c>
      <c r="B146" s="7" t="s">
        <v>767</v>
      </c>
      <c r="C146" s="33" t="s">
        <v>803</v>
      </c>
      <c r="D146" s="34">
        <v>514.28607598142003</v>
      </c>
      <c r="E146" s="12">
        <v>102.85721519627999</v>
      </c>
      <c r="F146" s="42">
        <f t="shared" si="20"/>
        <v>102.85721519627999</v>
      </c>
      <c r="G146" s="12">
        <f t="shared" si="21"/>
        <v>0</v>
      </c>
      <c r="H146" s="12">
        <f t="shared" si="22"/>
        <v>-102.85721519627999</v>
      </c>
      <c r="I146" s="12"/>
      <c r="J146" s="48">
        <f>SUMIFS('PLAN BUDGET SAMI-TF'!BO12:BO99999,'PLAN BUDGET SAMI-TF'!D12:D99999,B146,'PLAN BUDGET SAMI-TF'!J12:J99999,A146&amp;"*")</f>
        <v>0</v>
      </c>
      <c r="K146" s="35">
        <f t="shared" si="23"/>
        <v>-1</v>
      </c>
      <c r="L146" s="36" t="s">
        <v>743</v>
      </c>
      <c r="M146" s="50">
        <f t="shared" si="24"/>
        <v>0</v>
      </c>
    </row>
    <row r="147" spans="1:13" x14ac:dyDescent="0.35">
      <c r="A147" t="s">
        <v>709</v>
      </c>
      <c r="B147" s="7" t="s">
        <v>768</v>
      </c>
      <c r="C147" s="33" t="s">
        <v>803</v>
      </c>
      <c r="D147" s="34">
        <v>443.07723469168002</v>
      </c>
      <c r="E147" s="12">
        <v>88.615446938336007</v>
      </c>
      <c r="F147" s="42">
        <f t="shared" si="20"/>
        <v>88.615446938336007</v>
      </c>
      <c r="G147" s="12">
        <f t="shared" si="21"/>
        <v>0</v>
      </c>
      <c r="H147" s="12">
        <f t="shared" si="22"/>
        <v>-88.615446938336007</v>
      </c>
      <c r="I147" s="12"/>
      <c r="J147" s="48">
        <f>SUMIFS('PLAN BUDGET SAMI-TF'!BO12:BO99999,'PLAN BUDGET SAMI-TF'!D12:D99999,B147,'PLAN BUDGET SAMI-TF'!J12:J99999,A147&amp;"*")</f>
        <v>0</v>
      </c>
      <c r="K147" s="35">
        <f t="shared" si="23"/>
        <v>-1</v>
      </c>
      <c r="L147" s="36" t="s">
        <v>743</v>
      </c>
      <c r="M147" s="50">
        <f t="shared" si="24"/>
        <v>0</v>
      </c>
    </row>
    <row r="148" spans="1:13" x14ac:dyDescent="0.35">
      <c r="A148" t="s">
        <v>709</v>
      </c>
      <c r="B148" s="7" t="s">
        <v>769</v>
      </c>
      <c r="C148" s="33" t="s">
        <v>803</v>
      </c>
      <c r="D148" s="34">
        <v>712.08841289735005</v>
      </c>
      <c r="E148" s="12">
        <v>71.208841289735005</v>
      </c>
      <c r="F148" s="42">
        <f t="shared" si="20"/>
        <v>71.208841289735005</v>
      </c>
      <c r="G148" s="12">
        <f t="shared" si="21"/>
        <v>0</v>
      </c>
      <c r="H148" s="12">
        <f t="shared" si="22"/>
        <v>-71.208841289735005</v>
      </c>
      <c r="I148" s="12"/>
      <c r="J148" s="48">
        <f>SUMIFS('PLAN BUDGET SAMI-TF'!BO12:BO99999,'PLAN BUDGET SAMI-TF'!D12:D99999,B148,'PLAN BUDGET SAMI-TF'!J12:J99999,A148&amp;"*")</f>
        <v>0</v>
      </c>
      <c r="K148" s="35">
        <f t="shared" si="23"/>
        <v>-1</v>
      </c>
      <c r="L148" s="36" t="s">
        <v>743</v>
      </c>
      <c r="M148" s="50">
        <f t="shared" si="24"/>
        <v>0</v>
      </c>
    </row>
    <row r="149" spans="1:13" x14ac:dyDescent="0.35">
      <c r="A149" t="s">
        <v>709</v>
      </c>
      <c r="B149" s="7" t="s">
        <v>770</v>
      </c>
      <c r="C149" s="33" t="s">
        <v>803</v>
      </c>
      <c r="D149" s="34">
        <v>113.93414606358</v>
      </c>
      <c r="E149" s="12">
        <v>113.93414606358</v>
      </c>
      <c r="F149" s="42">
        <f t="shared" si="20"/>
        <v>113.93414606358</v>
      </c>
      <c r="G149" s="12">
        <f t="shared" si="21"/>
        <v>0</v>
      </c>
      <c r="H149" s="12">
        <f t="shared" si="22"/>
        <v>-113.93414606358</v>
      </c>
      <c r="I149" s="12"/>
      <c r="J149" s="48">
        <f>SUMIFS('PLAN BUDGET SAMI-TF'!BO12:BO99999,'PLAN BUDGET SAMI-TF'!D12:D99999,B149,'PLAN BUDGET SAMI-TF'!J12:J99999,A149&amp;"*")</f>
        <v>0</v>
      </c>
      <c r="K149" s="35">
        <f t="shared" si="23"/>
        <v>-1</v>
      </c>
      <c r="L149" s="36" t="s">
        <v>743</v>
      </c>
      <c r="M149" s="50">
        <f t="shared" si="24"/>
        <v>0</v>
      </c>
    </row>
    <row r="150" spans="1:13" x14ac:dyDescent="0.35">
      <c r="A150" t="s">
        <v>709</v>
      </c>
      <c r="B150" s="7" t="s">
        <v>771</v>
      </c>
      <c r="C150" s="33" t="s">
        <v>803</v>
      </c>
      <c r="D150" s="34">
        <v>1243.3063689188</v>
      </c>
      <c r="E150" s="12">
        <v>46.048384034027997</v>
      </c>
      <c r="F150" s="42">
        <f t="shared" si="20"/>
        <v>46.048384034027997</v>
      </c>
      <c r="G150" s="12">
        <f t="shared" si="21"/>
        <v>0</v>
      </c>
      <c r="H150" s="12">
        <f t="shared" si="22"/>
        <v>-46.048384034027997</v>
      </c>
      <c r="I150" s="12"/>
      <c r="J150" s="48">
        <f>SUMIFS('PLAN BUDGET SAMI-TF'!BO12:BO99999,'PLAN BUDGET SAMI-TF'!D12:D99999,B150,'PLAN BUDGET SAMI-TF'!J12:J99999,A150&amp;"*")</f>
        <v>0</v>
      </c>
      <c r="K150" s="35">
        <f t="shared" si="23"/>
        <v>-1</v>
      </c>
      <c r="L150" s="36" t="s">
        <v>743</v>
      </c>
      <c r="M150" s="50">
        <f t="shared" si="24"/>
        <v>0</v>
      </c>
    </row>
    <row r="151" spans="1:13" x14ac:dyDescent="0.35">
      <c r="A151" t="s">
        <v>709</v>
      </c>
      <c r="B151" s="7" t="s">
        <v>772</v>
      </c>
      <c r="C151" s="33" t="s">
        <v>803</v>
      </c>
      <c r="D151" s="34">
        <v>8631.8407960199002</v>
      </c>
      <c r="E151" s="12">
        <v>65.891914473433999</v>
      </c>
      <c r="F151" s="42">
        <f t="shared" si="20"/>
        <v>65.891914473433999</v>
      </c>
      <c r="G151" s="12">
        <f t="shared" si="21"/>
        <v>0</v>
      </c>
      <c r="H151" s="12">
        <f t="shared" si="22"/>
        <v>-65.891914473433999</v>
      </c>
      <c r="I151" s="12"/>
      <c r="J151" s="48">
        <f>SUMIFS('PLAN BUDGET SAMI-TF'!BO12:BO99999,'PLAN BUDGET SAMI-TF'!D12:D99999,B151,'PLAN BUDGET SAMI-TF'!J12:J99999,A151&amp;"*")</f>
        <v>0</v>
      </c>
      <c r="K151" s="35">
        <f t="shared" si="23"/>
        <v>-1</v>
      </c>
      <c r="L151" s="36" t="s">
        <v>743</v>
      </c>
      <c r="M151" s="50">
        <f t="shared" si="24"/>
        <v>0</v>
      </c>
    </row>
    <row r="152" spans="1:13" x14ac:dyDescent="0.35">
      <c r="A152" t="s">
        <v>709</v>
      </c>
      <c r="B152" s="7" t="s">
        <v>773</v>
      </c>
      <c r="C152" s="33" t="s">
        <v>803</v>
      </c>
      <c r="D152" s="34">
        <v>8051.04</v>
      </c>
      <c r="E152" s="12">
        <v>1341.84</v>
      </c>
      <c r="F152" s="42">
        <f t="shared" si="20"/>
        <v>1341.84</v>
      </c>
      <c r="G152" s="12">
        <f t="shared" si="21"/>
        <v>0</v>
      </c>
      <c r="H152" s="12">
        <f t="shared" si="22"/>
        <v>-1341.84</v>
      </c>
      <c r="I152" s="12"/>
      <c r="J152" s="48">
        <f>SUMIFS('PLAN BUDGET SAMI-TF'!BO12:BO99999,'PLAN BUDGET SAMI-TF'!D12:D99999,B152,'PLAN BUDGET SAMI-TF'!J12:J99999,A152&amp;"*")</f>
        <v>0</v>
      </c>
      <c r="K152" s="35">
        <f t="shared" si="23"/>
        <v>-1</v>
      </c>
      <c r="L152" s="36" t="s">
        <v>743</v>
      </c>
      <c r="M152" s="50">
        <f t="shared" si="24"/>
        <v>0</v>
      </c>
    </row>
    <row r="153" spans="1:13" x14ac:dyDescent="0.35">
      <c r="A153" t="s">
        <v>709</v>
      </c>
      <c r="B153" s="7" t="s">
        <v>774</v>
      </c>
      <c r="C153" s="33" t="s">
        <v>803</v>
      </c>
      <c r="D153" s="34">
        <v>21046.168647855</v>
      </c>
      <c r="E153" s="12">
        <v>2104.6168647855002</v>
      </c>
      <c r="F153" s="42">
        <f t="shared" si="20"/>
        <v>2104.6168647855002</v>
      </c>
      <c r="G153" s="12">
        <f t="shared" si="21"/>
        <v>0</v>
      </c>
      <c r="H153" s="12">
        <f t="shared" si="22"/>
        <v>-2104.6168647855002</v>
      </c>
      <c r="I153" s="12"/>
      <c r="J153" s="48">
        <f>SUMIFS('PLAN BUDGET SAMI-TF'!BO12:BO99999,'PLAN BUDGET SAMI-TF'!D12:D99999,B153,'PLAN BUDGET SAMI-TF'!J12:J99999,A153&amp;"*")</f>
        <v>0</v>
      </c>
      <c r="K153" s="35">
        <f t="shared" si="23"/>
        <v>-1</v>
      </c>
      <c r="L153" s="36" t="s">
        <v>743</v>
      </c>
      <c r="M153" s="50">
        <f t="shared" si="24"/>
        <v>0</v>
      </c>
    </row>
    <row r="154" spans="1:13" x14ac:dyDescent="0.35">
      <c r="A154" t="s">
        <v>709</v>
      </c>
      <c r="B154" s="7" t="s">
        <v>775</v>
      </c>
      <c r="C154" s="33" t="s">
        <v>803</v>
      </c>
      <c r="D154" s="34">
        <v>52949.501854595001</v>
      </c>
      <c r="E154" s="12">
        <v>94.552681883204997</v>
      </c>
      <c r="F154" s="42">
        <f t="shared" si="20"/>
        <v>94.552681883204997</v>
      </c>
      <c r="G154" s="12">
        <f t="shared" si="21"/>
        <v>0</v>
      </c>
      <c r="H154" s="12">
        <f t="shared" si="22"/>
        <v>-94.552681883204997</v>
      </c>
      <c r="I154" s="12"/>
      <c r="J154" s="48">
        <f>SUMIFS('PLAN BUDGET SAMI-TF'!BO12:BO99999,'PLAN BUDGET SAMI-TF'!D12:D99999,B154,'PLAN BUDGET SAMI-TF'!J12:J99999,A154&amp;"*")</f>
        <v>0</v>
      </c>
      <c r="K154" s="35">
        <f t="shared" si="23"/>
        <v>-1</v>
      </c>
      <c r="L154" s="36" t="s">
        <v>743</v>
      </c>
      <c r="M154" s="50">
        <f t="shared" si="24"/>
        <v>0</v>
      </c>
    </row>
    <row r="155" spans="1:13" x14ac:dyDescent="0.35">
      <c r="A155" t="s">
        <v>709</v>
      </c>
      <c r="B155" s="7" t="s">
        <v>776</v>
      </c>
      <c r="C155" s="33" t="s">
        <v>803</v>
      </c>
      <c r="D155" s="34">
        <v>14218.981428734</v>
      </c>
      <c r="E155" s="12">
        <v>394.97170635372999</v>
      </c>
      <c r="F155" s="42">
        <f t="shared" si="20"/>
        <v>394.97170635372999</v>
      </c>
      <c r="G155" s="12">
        <f t="shared" si="21"/>
        <v>0</v>
      </c>
      <c r="H155" s="12">
        <f t="shared" si="22"/>
        <v>-394.97170635372999</v>
      </c>
      <c r="I155" s="12"/>
      <c r="J155" s="48">
        <f>SUMIFS('PLAN BUDGET SAMI-TF'!BO12:BO99999,'PLAN BUDGET SAMI-TF'!D12:D99999,B155,'PLAN BUDGET SAMI-TF'!J12:J99999,A155&amp;"*")</f>
        <v>0</v>
      </c>
      <c r="K155" s="35">
        <f t="shared" si="23"/>
        <v>-1</v>
      </c>
      <c r="L155" s="36" t="s">
        <v>743</v>
      </c>
      <c r="M155" s="50">
        <f t="shared" si="24"/>
        <v>0</v>
      </c>
    </row>
    <row r="156" spans="1:13" x14ac:dyDescent="0.35">
      <c r="A156" t="s">
        <v>709</v>
      </c>
      <c r="B156" s="7" t="s">
        <v>777</v>
      </c>
      <c r="C156" s="33" t="s">
        <v>803</v>
      </c>
      <c r="D156" s="34">
        <v>9.3046219285253002</v>
      </c>
      <c r="E156" s="12">
        <v>9.3046219285253002</v>
      </c>
      <c r="F156" s="42">
        <f t="shared" si="20"/>
        <v>9.3046219285253002</v>
      </c>
      <c r="G156" s="12">
        <f t="shared" si="21"/>
        <v>0</v>
      </c>
      <c r="H156" s="12">
        <f t="shared" si="22"/>
        <v>-9.3046219285253002</v>
      </c>
      <c r="I156" s="12"/>
      <c r="J156" s="48">
        <f>SUMIFS('PLAN BUDGET SAMI-TF'!BO12:BO99999,'PLAN BUDGET SAMI-TF'!D12:D99999,B156,'PLAN BUDGET SAMI-TF'!J12:J99999,A156&amp;"*")</f>
        <v>0</v>
      </c>
      <c r="K156" s="35">
        <f t="shared" si="23"/>
        <v>-1</v>
      </c>
      <c r="L156" s="36" t="s">
        <v>743</v>
      </c>
      <c r="M156" s="50">
        <f t="shared" si="24"/>
        <v>0</v>
      </c>
    </row>
    <row r="157" spans="1:13" x14ac:dyDescent="0.35">
      <c r="A157" t="s">
        <v>709</v>
      </c>
      <c r="B157" s="7" t="s">
        <v>778</v>
      </c>
      <c r="C157" s="33" t="s">
        <v>803</v>
      </c>
      <c r="D157" s="34">
        <v>121.49177775246</v>
      </c>
      <c r="E157" s="12">
        <v>60.745888876229998</v>
      </c>
      <c r="F157" s="42">
        <f t="shared" si="20"/>
        <v>60.745888876229998</v>
      </c>
      <c r="G157" s="12">
        <f t="shared" si="21"/>
        <v>0</v>
      </c>
      <c r="H157" s="12">
        <f t="shared" si="22"/>
        <v>-60.745888876229998</v>
      </c>
      <c r="I157" s="12"/>
      <c r="J157" s="48">
        <f>SUMIFS('PLAN BUDGET SAMI-TF'!BO12:BO99999,'PLAN BUDGET SAMI-TF'!D12:D99999,B157,'PLAN BUDGET SAMI-TF'!J12:J99999,A157&amp;"*")</f>
        <v>0</v>
      </c>
      <c r="K157" s="35">
        <f t="shared" si="23"/>
        <v>-1</v>
      </c>
      <c r="L157" s="36" t="s">
        <v>743</v>
      </c>
      <c r="M157" s="50">
        <f t="shared" si="24"/>
        <v>0</v>
      </c>
    </row>
    <row r="158" spans="1:13" x14ac:dyDescent="0.35">
      <c r="A158" t="s">
        <v>709</v>
      </c>
      <c r="B158" s="7" t="s">
        <v>779</v>
      </c>
      <c r="C158" s="33" t="s">
        <v>803</v>
      </c>
      <c r="D158" s="34">
        <v>8307.6981504689993</v>
      </c>
      <c r="E158" s="12">
        <v>1661.5396300938</v>
      </c>
      <c r="F158" s="42">
        <f t="shared" si="20"/>
        <v>1661.5396300938</v>
      </c>
      <c r="G158" s="12">
        <f t="shared" si="21"/>
        <v>0</v>
      </c>
      <c r="H158" s="12">
        <f t="shared" si="22"/>
        <v>-1661.5396300938</v>
      </c>
      <c r="I158" s="12"/>
      <c r="J158" s="48">
        <f>SUMIFS('PLAN BUDGET SAMI-TF'!BO12:BO99999,'PLAN BUDGET SAMI-TF'!D12:D99999,B158,'PLAN BUDGET SAMI-TF'!J12:J99999,A158&amp;"*")</f>
        <v>0</v>
      </c>
      <c r="K158" s="35">
        <f t="shared" si="23"/>
        <v>-1</v>
      </c>
      <c r="L158" s="36" t="s">
        <v>743</v>
      </c>
      <c r="M158" s="50">
        <f t="shared" si="24"/>
        <v>0</v>
      </c>
    </row>
    <row r="159" spans="1:13" x14ac:dyDescent="0.35">
      <c r="A159" t="s">
        <v>709</v>
      </c>
      <c r="B159" s="7" t="s">
        <v>780</v>
      </c>
      <c r="C159" s="33" t="s">
        <v>803</v>
      </c>
      <c r="D159" s="34">
        <v>2506.5512133986999</v>
      </c>
      <c r="E159" s="12">
        <v>417.75853556644</v>
      </c>
      <c r="F159" s="42">
        <f t="shared" si="20"/>
        <v>417.75853556644</v>
      </c>
      <c r="G159" s="12">
        <f t="shared" si="21"/>
        <v>0</v>
      </c>
      <c r="H159" s="12">
        <f t="shared" si="22"/>
        <v>-417.75853556644</v>
      </c>
      <c r="I159" s="12"/>
      <c r="J159" s="48">
        <f>SUMIFS('PLAN BUDGET SAMI-TF'!BO12:BO99999,'PLAN BUDGET SAMI-TF'!D12:D99999,B159,'PLAN BUDGET SAMI-TF'!J12:J99999,A159&amp;"*")</f>
        <v>0</v>
      </c>
      <c r="K159" s="35">
        <f t="shared" si="23"/>
        <v>-1</v>
      </c>
      <c r="L159" s="36" t="s">
        <v>743</v>
      </c>
      <c r="M159" s="50">
        <f t="shared" si="24"/>
        <v>0</v>
      </c>
    </row>
    <row r="160" spans="1:13" x14ac:dyDescent="0.35">
      <c r="A160" t="s">
        <v>709</v>
      </c>
      <c r="B160" s="7" t="s">
        <v>781</v>
      </c>
      <c r="C160" s="33" t="s">
        <v>803</v>
      </c>
      <c r="D160" s="34">
        <v>10068.841542922</v>
      </c>
      <c r="E160" s="12">
        <v>35.960148367576998</v>
      </c>
      <c r="F160" s="42">
        <f t="shared" si="20"/>
        <v>35.960148367576998</v>
      </c>
      <c r="G160" s="12">
        <f t="shared" si="21"/>
        <v>0</v>
      </c>
      <c r="H160" s="12">
        <f t="shared" si="22"/>
        <v>-35.960148367576998</v>
      </c>
      <c r="I160" s="12"/>
      <c r="J160" s="48">
        <f>SUMIFS('PLAN BUDGET SAMI-TF'!BO12:BO99999,'PLAN BUDGET SAMI-TF'!D12:D99999,B160,'PLAN BUDGET SAMI-TF'!J12:J99999,A160&amp;"*")</f>
        <v>0</v>
      </c>
      <c r="K160" s="35">
        <f t="shared" si="23"/>
        <v>-1</v>
      </c>
      <c r="L160" s="36" t="s">
        <v>743</v>
      </c>
      <c r="M160" s="50">
        <f t="shared" si="24"/>
        <v>0</v>
      </c>
    </row>
    <row r="161" spans="1:13" x14ac:dyDescent="0.35">
      <c r="A161" t="s">
        <v>709</v>
      </c>
      <c r="B161" s="7" t="s">
        <v>782</v>
      </c>
      <c r="C161" s="33" t="s">
        <v>803</v>
      </c>
      <c r="D161" s="34">
        <v>0.63296747813096998</v>
      </c>
      <c r="E161" s="12">
        <v>0.63296747813096998</v>
      </c>
      <c r="F161" s="42">
        <f t="shared" si="20"/>
        <v>0.63296747813096998</v>
      </c>
      <c r="G161" s="12">
        <f t="shared" si="21"/>
        <v>0</v>
      </c>
      <c r="H161" s="12">
        <f t="shared" si="22"/>
        <v>-0.63296747813096998</v>
      </c>
      <c r="I161" s="12"/>
      <c r="J161" s="48">
        <f>SUMIFS('PLAN BUDGET SAMI-TF'!BO12:BO99999,'PLAN BUDGET SAMI-TF'!D12:D99999,B161,'PLAN BUDGET SAMI-TF'!J12:J99999,A161&amp;"*")</f>
        <v>0</v>
      </c>
      <c r="K161" s="35">
        <f t="shared" si="23"/>
        <v>-1</v>
      </c>
      <c r="L161" s="36" t="s">
        <v>743</v>
      </c>
      <c r="M161" s="50">
        <f t="shared" si="24"/>
        <v>0</v>
      </c>
    </row>
    <row r="162" spans="1:13" x14ac:dyDescent="0.35">
      <c r="A162" t="s">
        <v>709</v>
      </c>
      <c r="B162" s="7" t="s">
        <v>783</v>
      </c>
      <c r="C162" s="33" t="s">
        <v>803</v>
      </c>
      <c r="D162" s="34">
        <v>5437.8236046231996</v>
      </c>
      <c r="E162" s="12">
        <v>49.434760042028998</v>
      </c>
      <c r="F162" s="42">
        <f t="shared" si="20"/>
        <v>49.434760042028998</v>
      </c>
      <c r="G162" s="12">
        <f t="shared" si="21"/>
        <v>0</v>
      </c>
      <c r="H162" s="12">
        <f t="shared" si="22"/>
        <v>-49.434760042028998</v>
      </c>
      <c r="I162" s="12"/>
      <c r="J162" s="48">
        <f>SUMIFS('PLAN BUDGET SAMI-TF'!BO12:BO99999,'PLAN BUDGET SAMI-TF'!D12:D99999,B162,'PLAN BUDGET SAMI-TF'!J12:J99999,A162&amp;"*")</f>
        <v>0</v>
      </c>
      <c r="K162" s="35">
        <f t="shared" si="23"/>
        <v>-1</v>
      </c>
      <c r="L162" s="36" t="s">
        <v>743</v>
      </c>
      <c r="M162" s="50">
        <f t="shared" si="24"/>
        <v>0</v>
      </c>
    </row>
    <row r="163" spans="1:13" x14ac:dyDescent="0.35">
      <c r="A163" t="s">
        <v>709</v>
      </c>
      <c r="B163" s="7" t="s">
        <v>784</v>
      </c>
      <c r="C163" s="33" t="s">
        <v>803</v>
      </c>
      <c r="D163" s="34">
        <v>5109.5</v>
      </c>
      <c r="E163" s="12">
        <v>1021.9</v>
      </c>
      <c r="F163" s="42">
        <f t="shared" si="20"/>
        <v>1021.9</v>
      </c>
      <c r="G163" s="12">
        <f t="shared" si="21"/>
        <v>0</v>
      </c>
      <c r="H163" s="12">
        <f t="shared" si="22"/>
        <v>-1021.9</v>
      </c>
      <c r="I163" s="12"/>
      <c r="J163" s="48">
        <f>SUMIFS('PLAN BUDGET SAMI-TF'!BO12:BO99999,'PLAN BUDGET SAMI-TF'!D12:D99999,B163,'PLAN BUDGET SAMI-TF'!J12:J99999,A163&amp;"*")</f>
        <v>0</v>
      </c>
      <c r="K163" s="35">
        <f t="shared" si="23"/>
        <v>-1</v>
      </c>
      <c r="L163" s="36" t="s">
        <v>743</v>
      </c>
      <c r="M163" s="50">
        <f t="shared" si="24"/>
        <v>0</v>
      </c>
    </row>
    <row r="164" spans="1:13" x14ac:dyDescent="0.35">
      <c r="A164" t="s">
        <v>709</v>
      </c>
      <c r="B164" s="7" t="s">
        <v>785</v>
      </c>
      <c r="C164" s="33" t="s">
        <v>803</v>
      </c>
      <c r="D164" s="34">
        <v>60.131910422441997</v>
      </c>
      <c r="E164" s="12">
        <v>60.131910422441997</v>
      </c>
      <c r="F164" s="42">
        <f t="shared" si="20"/>
        <v>60.131910422441997</v>
      </c>
      <c r="G164" s="12">
        <f t="shared" si="21"/>
        <v>0</v>
      </c>
      <c r="H164" s="12">
        <f t="shared" si="22"/>
        <v>-60.131910422441997</v>
      </c>
      <c r="I164" s="12"/>
      <c r="J164" s="48">
        <f>SUMIFS('PLAN BUDGET SAMI-TF'!BO12:BO99999,'PLAN BUDGET SAMI-TF'!D12:D99999,B164,'PLAN BUDGET SAMI-TF'!J12:J99999,A164&amp;"*")</f>
        <v>0</v>
      </c>
      <c r="K164" s="35">
        <f t="shared" si="23"/>
        <v>-1</v>
      </c>
      <c r="L164" s="36" t="s">
        <v>743</v>
      </c>
      <c r="M164" s="50">
        <f t="shared" si="24"/>
        <v>0</v>
      </c>
    </row>
    <row r="165" spans="1:13" x14ac:dyDescent="0.35">
      <c r="A165" t="s">
        <v>709</v>
      </c>
      <c r="B165" s="7" t="s">
        <v>786</v>
      </c>
      <c r="C165" s="33" t="s">
        <v>803</v>
      </c>
      <c r="D165" s="34">
        <v>294</v>
      </c>
      <c r="E165" s="12">
        <v>29.4</v>
      </c>
      <c r="F165" s="42">
        <f t="shared" si="20"/>
        <v>29.4</v>
      </c>
      <c r="G165" s="12">
        <f t="shared" si="21"/>
        <v>0</v>
      </c>
      <c r="H165" s="12">
        <f t="shared" si="22"/>
        <v>-29.4</v>
      </c>
      <c r="I165" s="12"/>
      <c r="J165" s="48">
        <f>SUMIFS('PLAN BUDGET SAMI-TF'!BO12:BO99999,'PLAN BUDGET SAMI-TF'!D12:D99999,B165,'PLAN BUDGET SAMI-TF'!J12:J99999,A165&amp;"*")</f>
        <v>0</v>
      </c>
      <c r="K165" s="35">
        <f t="shared" si="23"/>
        <v>-1</v>
      </c>
      <c r="L165" s="36" t="s">
        <v>743</v>
      </c>
      <c r="M165" s="50">
        <f t="shared" si="24"/>
        <v>0</v>
      </c>
    </row>
    <row r="166" spans="1:13" x14ac:dyDescent="0.35">
      <c r="A166" t="s">
        <v>709</v>
      </c>
      <c r="B166" s="7" t="s">
        <v>787</v>
      </c>
      <c r="C166" s="33" t="s">
        <v>803</v>
      </c>
      <c r="D166" s="34">
        <v>203081.28568353999</v>
      </c>
      <c r="E166" s="12">
        <v>250.65512133986999</v>
      </c>
      <c r="F166" s="42">
        <f t="shared" si="20"/>
        <v>250.65512133986999</v>
      </c>
      <c r="G166" s="12">
        <f t="shared" si="21"/>
        <v>0</v>
      </c>
      <c r="H166" s="12">
        <f t="shared" si="22"/>
        <v>-250.65512133986999</v>
      </c>
      <c r="I166" s="12"/>
      <c r="J166" s="48">
        <f>SUMIFS('PLAN BUDGET SAMI-TF'!BO12:BO99999,'PLAN BUDGET SAMI-TF'!D12:D99999,B166,'PLAN BUDGET SAMI-TF'!J12:J99999,A166&amp;"*")</f>
        <v>0</v>
      </c>
      <c r="K166" s="35">
        <f t="shared" si="23"/>
        <v>-1</v>
      </c>
      <c r="L166" s="36" t="s">
        <v>743</v>
      </c>
      <c r="M166" s="50">
        <f t="shared" si="24"/>
        <v>0</v>
      </c>
    </row>
    <row r="167" spans="1:13" x14ac:dyDescent="0.35">
      <c r="A167" t="s">
        <v>709</v>
      </c>
      <c r="B167" s="7" t="s">
        <v>788</v>
      </c>
      <c r="C167" s="33" t="s">
        <v>803</v>
      </c>
      <c r="D167" s="34">
        <v>1.5824186953274</v>
      </c>
      <c r="E167" s="12">
        <v>1.5824186953274</v>
      </c>
      <c r="F167" s="42">
        <f t="shared" si="20"/>
        <v>1.5824186953274</v>
      </c>
      <c r="G167" s="12">
        <f t="shared" si="21"/>
        <v>0</v>
      </c>
      <c r="H167" s="12">
        <f t="shared" si="22"/>
        <v>-1.5824186953274</v>
      </c>
      <c r="I167" s="12"/>
      <c r="J167" s="48">
        <f>SUMIFS('PLAN BUDGET SAMI-TF'!BO12:BO99999,'PLAN BUDGET SAMI-TF'!D12:D99999,B167,'PLAN BUDGET SAMI-TF'!J12:J99999,A167&amp;"*")</f>
        <v>0</v>
      </c>
      <c r="K167" s="35">
        <f t="shared" si="23"/>
        <v>-1</v>
      </c>
      <c r="L167" s="36" t="s">
        <v>743</v>
      </c>
      <c r="M167" s="50">
        <f t="shared" si="24"/>
        <v>0</v>
      </c>
    </row>
    <row r="168" spans="1:13" x14ac:dyDescent="0.35">
      <c r="A168" t="s">
        <v>709</v>
      </c>
      <c r="B168" s="7" t="s">
        <v>789</v>
      </c>
      <c r="C168" s="33" t="s">
        <v>803</v>
      </c>
      <c r="D168" s="34">
        <v>14528</v>
      </c>
      <c r="E168" s="12">
        <v>363.2</v>
      </c>
      <c r="F168" s="42">
        <f t="shared" si="20"/>
        <v>363.2</v>
      </c>
      <c r="G168" s="12">
        <f t="shared" si="21"/>
        <v>0</v>
      </c>
      <c r="H168" s="12">
        <f t="shared" si="22"/>
        <v>-363.2</v>
      </c>
      <c r="I168" s="12"/>
      <c r="J168" s="48">
        <f>SUMIFS('PLAN BUDGET SAMI-TF'!BO12:BO99999,'PLAN BUDGET SAMI-TF'!D12:D99999,B168,'PLAN BUDGET SAMI-TF'!J12:J99999,A168&amp;"*")</f>
        <v>0</v>
      </c>
      <c r="K168" s="35">
        <f t="shared" si="23"/>
        <v>-1</v>
      </c>
      <c r="L168" s="36" t="s">
        <v>743</v>
      </c>
      <c r="M168" s="50">
        <f t="shared" si="24"/>
        <v>0</v>
      </c>
    </row>
    <row r="169" spans="1:13" x14ac:dyDescent="0.35">
      <c r="A169" t="s">
        <v>498</v>
      </c>
      <c r="B169" s="7" t="s">
        <v>790</v>
      </c>
      <c r="C169" s="33" t="s">
        <v>803</v>
      </c>
      <c r="D169" s="34">
        <v>0.50422189307913001</v>
      </c>
      <c r="E169" s="12">
        <v>0.50422189307913001</v>
      </c>
      <c r="F169" s="42">
        <f t="shared" si="20"/>
        <v>0.50422189307913001</v>
      </c>
      <c r="G169" s="12">
        <f t="shared" si="21"/>
        <v>0</v>
      </c>
      <c r="H169" s="12">
        <f t="shared" si="22"/>
        <v>-0.50422189307913001</v>
      </c>
      <c r="I169" s="12"/>
      <c r="J169" s="48">
        <f>SUMIFS('PLAN BUDGET SAMI-TF'!BO12:BO99999,'PLAN BUDGET SAMI-TF'!D12:D99999,B169,'PLAN BUDGET SAMI-TF'!J12:J99999,A169&amp;"*")</f>
        <v>0</v>
      </c>
      <c r="K169" s="35">
        <f t="shared" si="23"/>
        <v>-1</v>
      </c>
      <c r="L169" s="36" t="s">
        <v>743</v>
      </c>
      <c r="M169" s="50">
        <f t="shared" si="24"/>
        <v>0</v>
      </c>
    </row>
    <row r="170" spans="1:13" x14ac:dyDescent="0.35">
      <c r="A170" t="s">
        <v>498</v>
      </c>
      <c r="B170" s="7" t="s">
        <v>288</v>
      </c>
      <c r="C170" s="33" t="s">
        <v>803</v>
      </c>
      <c r="D170" s="34">
        <v>354.46178775335</v>
      </c>
      <c r="E170" s="12">
        <v>88.615446938336007</v>
      </c>
      <c r="F170" s="42">
        <f t="shared" si="20"/>
        <v>88.615446938336007</v>
      </c>
      <c r="G170" s="12">
        <f t="shared" si="21"/>
        <v>0</v>
      </c>
      <c r="H170" s="12">
        <f t="shared" si="22"/>
        <v>-88.615446938336007</v>
      </c>
      <c r="I170" s="12"/>
      <c r="J170" s="48">
        <f>SUMIFS('PLAN BUDGET SAMI-TF'!BO12:BO99999,'PLAN BUDGET SAMI-TF'!D12:D99999,B170,'PLAN BUDGET SAMI-TF'!J12:J99999,A170&amp;"*")</f>
        <v>0</v>
      </c>
      <c r="K170" s="35">
        <f t="shared" si="23"/>
        <v>-1</v>
      </c>
      <c r="L170" s="36" t="s">
        <v>743</v>
      </c>
      <c r="M170" s="50">
        <f t="shared" si="24"/>
        <v>0</v>
      </c>
    </row>
    <row r="171" spans="1:13" x14ac:dyDescent="0.35">
      <c r="A171" t="s">
        <v>498</v>
      </c>
      <c r="B171" s="7" t="s">
        <v>791</v>
      </c>
      <c r="C171" s="33" t="s">
        <v>803</v>
      </c>
      <c r="D171" s="34">
        <v>3088.8812932791998</v>
      </c>
      <c r="E171" s="12">
        <v>845.01158330484998</v>
      </c>
      <c r="F171" s="42">
        <f t="shared" si="20"/>
        <v>845.01158330484998</v>
      </c>
      <c r="G171" s="12">
        <f t="shared" si="21"/>
        <v>0</v>
      </c>
      <c r="H171" s="12">
        <f t="shared" si="22"/>
        <v>-845.01158330484998</v>
      </c>
      <c r="I171" s="12"/>
      <c r="J171" s="48">
        <f>SUMIFS('PLAN BUDGET SAMI-TF'!BO12:BO99999,'PLAN BUDGET SAMI-TF'!D12:D99999,B171,'PLAN BUDGET SAMI-TF'!J12:J99999,A171&amp;"*")</f>
        <v>0</v>
      </c>
      <c r="K171" s="35">
        <f t="shared" si="23"/>
        <v>-1</v>
      </c>
      <c r="L171" s="36" t="s">
        <v>743</v>
      </c>
      <c r="M171" s="50">
        <f t="shared" si="24"/>
        <v>0</v>
      </c>
    </row>
    <row r="172" spans="1:13" x14ac:dyDescent="0.35">
      <c r="A172" t="s">
        <v>498</v>
      </c>
      <c r="B172" s="7" t="s">
        <v>792</v>
      </c>
      <c r="C172" s="33" t="s">
        <v>803</v>
      </c>
      <c r="D172" s="34">
        <v>18.613041661918999</v>
      </c>
      <c r="E172" s="12">
        <v>18.613041661918999</v>
      </c>
      <c r="F172" s="42">
        <f t="shared" si="20"/>
        <v>18.613041661918999</v>
      </c>
      <c r="G172" s="12">
        <f t="shared" si="21"/>
        <v>0</v>
      </c>
      <c r="H172" s="12">
        <f t="shared" si="22"/>
        <v>-18.613041661918999</v>
      </c>
      <c r="I172" s="12"/>
      <c r="J172" s="48">
        <f>SUMIFS('PLAN BUDGET SAMI-TF'!BO12:BO99999,'PLAN BUDGET SAMI-TF'!D12:D99999,B172,'PLAN BUDGET SAMI-TF'!J12:J99999,A172&amp;"*")</f>
        <v>0</v>
      </c>
      <c r="K172" s="35">
        <f t="shared" si="23"/>
        <v>-1</v>
      </c>
      <c r="L172" s="36" t="s">
        <v>743</v>
      </c>
      <c r="M172" s="50">
        <f t="shared" si="24"/>
        <v>0</v>
      </c>
    </row>
    <row r="173" spans="1:13" x14ac:dyDescent="0.35">
      <c r="A173" t="s">
        <v>498</v>
      </c>
      <c r="B173" s="7" t="s">
        <v>341</v>
      </c>
      <c r="C173" s="33" t="s">
        <v>803</v>
      </c>
      <c r="D173" s="34">
        <v>24.005924575594999</v>
      </c>
      <c r="E173" s="12">
        <v>24.005924575594999</v>
      </c>
      <c r="F173" s="42">
        <f t="shared" si="20"/>
        <v>24.005924575594999</v>
      </c>
      <c r="G173" s="12">
        <f t="shared" si="21"/>
        <v>0</v>
      </c>
      <c r="H173" s="12">
        <f t="shared" si="22"/>
        <v>-24.005924575594999</v>
      </c>
      <c r="I173" s="12"/>
      <c r="J173" s="48">
        <f>SUMIFS('PLAN BUDGET SAMI-TF'!BO12:BO99999,'PLAN BUDGET SAMI-TF'!D12:D99999,B173,'PLAN BUDGET SAMI-TF'!J12:J99999,A173&amp;"*")</f>
        <v>0</v>
      </c>
      <c r="K173" s="35">
        <f t="shared" si="23"/>
        <v>-1</v>
      </c>
      <c r="L173" s="36" t="s">
        <v>743</v>
      </c>
      <c r="M173" s="50">
        <f t="shared" si="24"/>
        <v>0</v>
      </c>
    </row>
    <row r="174" spans="1:13" x14ac:dyDescent="0.35">
      <c r="A174" t="s">
        <v>498</v>
      </c>
      <c r="B174" s="7" t="s">
        <v>104</v>
      </c>
      <c r="C174" s="33" t="s">
        <v>803</v>
      </c>
      <c r="D174" s="34">
        <v>1094622.5165563</v>
      </c>
      <c r="E174" s="12">
        <v>22804.635761589001</v>
      </c>
      <c r="F174" s="42">
        <f t="shared" ref="F174:F205" si="25">IF(C174="F",E174,E174/$E$12*$F$12)</f>
        <v>22804.635761589001</v>
      </c>
      <c r="G174" s="12">
        <f t="shared" ref="G174:G205" si="26">IF(F174&lt;J174,J174-F174,0)</f>
        <v>0</v>
      </c>
      <c r="H174" s="12">
        <f t="shared" ref="H174:H189" si="27">IF(F174&gt;J174,J174-F174,0)</f>
        <v>-22804.635761589001</v>
      </c>
      <c r="I174" s="12"/>
      <c r="J174" s="48">
        <f>SUMIFS('PLAN BUDGET SAMI-TF'!BO12:BO99999,'PLAN BUDGET SAMI-TF'!D12:D99999,B174,'PLAN BUDGET SAMI-TF'!J12:J99999,A174&amp;"*")</f>
        <v>0</v>
      </c>
      <c r="K174" s="35">
        <f t="shared" ref="K174:K205" si="28">IFERROR(IF(F174&gt;0,(J174-F174)/F174,100%),0)</f>
        <v>-1</v>
      </c>
      <c r="L174" s="36" t="s">
        <v>743</v>
      </c>
      <c r="M174" s="50">
        <f t="shared" ref="M174:M189" si="29">J174-SUM(F174:I174)</f>
        <v>0</v>
      </c>
    </row>
    <row r="175" spans="1:13" x14ac:dyDescent="0.35">
      <c r="A175" t="s">
        <v>498</v>
      </c>
      <c r="B175" s="7" t="s">
        <v>226</v>
      </c>
      <c r="C175" s="33" t="s">
        <v>803</v>
      </c>
      <c r="D175" s="34">
        <v>3.7978048687857999</v>
      </c>
      <c r="E175" s="12">
        <v>1.8989024343929</v>
      </c>
      <c r="F175" s="42">
        <f t="shared" si="25"/>
        <v>1.8989024343929</v>
      </c>
      <c r="G175" s="12">
        <f t="shared" si="26"/>
        <v>0</v>
      </c>
      <c r="H175" s="12">
        <f t="shared" si="27"/>
        <v>-1.8989024343929</v>
      </c>
      <c r="I175" s="12"/>
      <c r="J175" s="48">
        <f>SUMIFS('PLAN BUDGET SAMI-TF'!BO12:BO99999,'PLAN BUDGET SAMI-TF'!D12:D99999,B175,'PLAN BUDGET SAMI-TF'!J12:J99999,A175&amp;"*")</f>
        <v>0</v>
      </c>
      <c r="K175" s="35">
        <f t="shared" si="28"/>
        <v>-1</v>
      </c>
      <c r="L175" s="36" t="s">
        <v>743</v>
      </c>
      <c r="M175" s="50">
        <f t="shared" si="29"/>
        <v>0</v>
      </c>
    </row>
    <row r="176" spans="1:13" x14ac:dyDescent="0.35">
      <c r="A176" t="s">
        <v>498</v>
      </c>
      <c r="B176" s="7" t="s">
        <v>75</v>
      </c>
      <c r="C176" s="33" t="s">
        <v>803</v>
      </c>
      <c r="D176" s="34">
        <v>1186.8140214955999</v>
      </c>
      <c r="E176" s="12">
        <v>23.736280429912</v>
      </c>
      <c r="F176" s="42">
        <f t="shared" si="25"/>
        <v>23.736280429912</v>
      </c>
      <c r="G176" s="12">
        <f t="shared" si="26"/>
        <v>0</v>
      </c>
      <c r="H176" s="12">
        <f t="shared" si="27"/>
        <v>-23.736280429912</v>
      </c>
      <c r="I176" s="12"/>
      <c r="J176" s="48">
        <f>SUMIFS('PLAN BUDGET SAMI-TF'!BO12:BO99999,'PLAN BUDGET SAMI-TF'!D12:D99999,B176,'PLAN BUDGET SAMI-TF'!J12:J99999,A176&amp;"*")</f>
        <v>0</v>
      </c>
      <c r="K176" s="35">
        <f t="shared" si="28"/>
        <v>-1</v>
      </c>
      <c r="L176" s="36" t="s">
        <v>743</v>
      </c>
      <c r="M176" s="50">
        <f t="shared" si="29"/>
        <v>0</v>
      </c>
    </row>
    <row r="177" spans="1:13" x14ac:dyDescent="0.35">
      <c r="A177" t="s">
        <v>498</v>
      </c>
      <c r="B177" s="7" t="s">
        <v>793</v>
      </c>
      <c r="C177" s="33" t="s">
        <v>803</v>
      </c>
      <c r="D177" s="34">
        <v>15.824186953273999</v>
      </c>
      <c r="E177" s="12">
        <v>15.824186953273999</v>
      </c>
      <c r="F177" s="42">
        <f t="shared" si="25"/>
        <v>15.824186953273999</v>
      </c>
      <c r="G177" s="12">
        <f t="shared" si="26"/>
        <v>0</v>
      </c>
      <c r="H177" s="12">
        <f t="shared" si="27"/>
        <v>-15.824186953273999</v>
      </c>
      <c r="I177" s="12"/>
      <c r="J177" s="48">
        <f>SUMIFS('PLAN BUDGET SAMI-TF'!BO12:BO99999,'PLAN BUDGET SAMI-TF'!D12:D99999,B177,'PLAN BUDGET SAMI-TF'!J12:J99999,A177&amp;"*")</f>
        <v>0</v>
      </c>
      <c r="K177" s="35">
        <f t="shared" si="28"/>
        <v>-1</v>
      </c>
      <c r="L177" s="36" t="s">
        <v>743</v>
      </c>
      <c r="M177" s="50">
        <f t="shared" si="29"/>
        <v>0</v>
      </c>
    </row>
    <row r="178" spans="1:13" x14ac:dyDescent="0.35">
      <c r="A178" t="s">
        <v>498</v>
      </c>
      <c r="B178" s="7" t="s">
        <v>87</v>
      </c>
      <c r="C178" s="33" t="s">
        <v>803</v>
      </c>
      <c r="D178" s="34">
        <v>26918.207942476001</v>
      </c>
      <c r="E178" s="12">
        <v>313.00241793576998</v>
      </c>
      <c r="F178" s="42">
        <f t="shared" si="25"/>
        <v>313.00241793576998</v>
      </c>
      <c r="G178" s="12">
        <f t="shared" si="26"/>
        <v>0</v>
      </c>
      <c r="H178" s="12">
        <f t="shared" si="27"/>
        <v>-313.00241793576998</v>
      </c>
      <c r="I178" s="12"/>
      <c r="J178" s="48">
        <f>SUMIFS('PLAN BUDGET SAMI-TF'!BO12:BO99999,'PLAN BUDGET SAMI-TF'!D12:D99999,B178,'PLAN BUDGET SAMI-TF'!J12:J99999,A178&amp;"*")</f>
        <v>0</v>
      </c>
      <c r="K178" s="35">
        <f t="shared" si="28"/>
        <v>-1</v>
      </c>
      <c r="L178" s="36" t="s">
        <v>743</v>
      </c>
      <c r="M178" s="50">
        <f t="shared" si="29"/>
        <v>0</v>
      </c>
    </row>
    <row r="179" spans="1:13" x14ac:dyDescent="0.35">
      <c r="A179" t="s">
        <v>498</v>
      </c>
      <c r="B179" s="7" t="s">
        <v>794</v>
      </c>
      <c r="C179" s="33" t="s">
        <v>803</v>
      </c>
      <c r="D179" s="34">
        <v>7.9120934766372004</v>
      </c>
      <c r="E179" s="12">
        <v>4.7472560859822996</v>
      </c>
      <c r="F179" s="42">
        <f t="shared" si="25"/>
        <v>4.7472560859822996</v>
      </c>
      <c r="G179" s="12">
        <f t="shared" si="26"/>
        <v>0</v>
      </c>
      <c r="H179" s="12">
        <f t="shared" si="27"/>
        <v>-4.7472560859822996</v>
      </c>
      <c r="I179" s="12"/>
      <c r="J179" s="48">
        <f>SUMIFS('PLAN BUDGET SAMI-TF'!BO12:BO99999,'PLAN BUDGET SAMI-TF'!D12:D99999,B179,'PLAN BUDGET SAMI-TF'!J12:J99999,A179&amp;"*")</f>
        <v>0</v>
      </c>
      <c r="K179" s="35">
        <f t="shared" si="28"/>
        <v>-1</v>
      </c>
      <c r="L179" s="36" t="s">
        <v>743</v>
      </c>
      <c r="M179" s="50">
        <f t="shared" si="29"/>
        <v>0</v>
      </c>
    </row>
    <row r="180" spans="1:13" x14ac:dyDescent="0.35">
      <c r="A180" t="s">
        <v>498</v>
      </c>
      <c r="B180" s="7" t="s">
        <v>79</v>
      </c>
      <c r="C180" s="33" t="s">
        <v>803</v>
      </c>
      <c r="D180" s="34">
        <v>1068.132619346</v>
      </c>
      <c r="E180" s="12">
        <v>71.208841289735005</v>
      </c>
      <c r="F180" s="42">
        <f t="shared" si="25"/>
        <v>71.208841289735005</v>
      </c>
      <c r="G180" s="12">
        <f t="shared" si="26"/>
        <v>0</v>
      </c>
      <c r="H180" s="12">
        <f t="shared" si="27"/>
        <v>-71.208841289735005</v>
      </c>
      <c r="I180" s="12"/>
      <c r="J180" s="48">
        <f>SUMIFS('PLAN BUDGET SAMI-TF'!BO12:BO99999,'PLAN BUDGET SAMI-TF'!D12:D99999,B180,'PLAN BUDGET SAMI-TF'!J12:J99999,A180&amp;"*")</f>
        <v>0</v>
      </c>
      <c r="K180" s="35">
        <f t="shared" si="28"/>
        <v>-1</v>
      </c>
      <c r="L180" s="36" t="s">
        <v>743</v>
      </c>
      <c r="M180" s="50">
        <f t="shared" si="29"/>
        <v>0</v>
      </c>
    </row>
    <row r="181" spans="1:13" x14ac:dyDescent="0.35">
      <c r="A181" t="s">
        <v>498</v>
      </c>
      <c r="B181" s="7" t="s">
        <v>795</v>
      </c>
      <c r="C181" s="33" t="s">
        <v>803</v>
      </c>
      <c r="D181" s="34">
        <v>24495.284392287998</v>
      </c>
      <c r="E181" s="12">
        <v>4842.1315812794001</v>
      </c>
      <c r="F181" s="42">
        <f t="shared" si="25"/>
        <v>4842.1315812794001</v>
      </c>
      <c r="G181" s="12">
        <f t="shared" si="26"/>
        <v>0</v>
      </c>
      <c r="H181" s="12">
        <f t="shared" si="27"/>
        <v>-4842.1315812794001</v>
      </c>
      <c r="I181" s="12"/>
      <c r="J181" s="48">
        <f>SUMIFS('PLAN BUDGET SAMI-TF'!BO12:BO99999,'PLAN BUDGET SAMI-TF'!D12:D99999,B181,'PLAN BUDGET SAMI-TF'!J12:J99999,A181&amp;"*")</f>
        <v>0</v>
      </c>
      <c r="K181" s="35">
        <f t="shared" si="28"/>
        <v>-1</v>
      </c>
      <c r="L181" s="36" t="s">
        <v>743</v>
      </c>
      <c r="M181" s="50">
        <f t="shared" si="29"/>
        <v>0</v>
      </c>
    </row>
    <row r="182" spans="1:13" x14ac:dyDescent="0.35">
      <c r="A182" t="s">
        <v>498</v>
      </c>
      <c r="B182" s="7" t="s">
        <v>126</v>
      </c>
      <c r="C182" s="33" t="s">
        <v>803</v>
      </c>
      <c r="D182" s="34">
        <v>178321.38720398</v>
      </c>
      <c r="E182" s="12">
        <v>10795.102187779001</v>
      </c>
      <c r="F182" s="42">
        <f t="shared" si="25"/>
        <v>10795.102187779001</v>
      </c>
      <c r="G182" s="12">
        <f t="shared" si="26"/>
        <v>0</v>
      </c>
      <c r="H182" s="12">
        <f t="shared" si="27"/>
        <v>-10795.102187779001</v>
      </c>
      <c r="I182" s="12"/>
      <c r="J182" s="48">
        <f>SUMIFS('PLAN BUDGET SAMI-TF'!BO12:BO99999,'PLAN BUDGET SAMI-TF'!D12:D99999,B182,'PLAN BUDGET SAMI-TF'!J12:J99999,A182&amp;"*")</f>
        <v>0</v>
      </c>
      <c r="K182" s="35">
        <f t="shared" si="28"/>
        <v>-1</v>
      </c>
      <c r="L182" s="36" t="s">
        <v>743</v>
      </c>
      <c r="M182" s="50">
        <f t="shared" si="29"/>
        <v>0</v>
      </c>
    </row>
    <row r="183" spans="1:13" x14ac:dyDescent="0.35">
      <c r="A183" t="s">
        <v>498</v>
      </c>
      <c r="B183" s="7" t="s">
        <v>796</v>
      </c>
      <c r="C183" s="33" t="s">
        <v>803</v>
      </c>
      <c r="D183" s="34">
        <v>43.421568999785002</v>
      </c>
      <c r="E183" s="12">
        <v>43.421568999785002</v>
      </c>
      <c r="F183" s="42">
        <f t="shared" si="25"/>
        <v>43.421568999785002</v>
      </c>
      <c r="G183" s="12">
        <f t="shared" si="26"/>
        <v>0</v>
      </c>
      <c r="H183" s="12">
        <f t="shared" si="27"/>
        <v>-43.421568999785002</v>
      </c>
      <c r="I183" s="12"/>
      <c r="J183" s="48">
        <f>SUMIFS('PLAN BUDGET SAMI-TF'!BO12:BO99999,'PLAN BUDGET SAMI-TF'!D12:D99999,B183,'PLAN BUDGET SAMI-TF'!J12:J99999,A183&amp;"*")</f>
        <v>0</v>
      </c>
      <c r="K183" s="35">
        <f t="shared" si="28"/>
        <v>-1</v>
      </c>
      <c r="L183" s="36" t="s">
        <v>743</v>
      </c>
      <c r="M183" s="50">
        <f t="shared" si="29"/>
        <v>0</v>
      </c>
    </row>
    <row r="184" spans="1:13" x14ac:dyDescent="0.35">
      <c r="A184" t="s">
        <v>498</v>
      </c>
      <c r="B184" s="7" t="s">
        <v>435</v>
      </c>
      <c r="C184" s="33" t="s">
        <v>803</v>
      </c>
      <c r="D184" s="34">
        <v>2984.5682528831999</v>
      </c>
      <c r="E184" s="12">
        <v>426.36689326902001</v>
      </c>
      <c r="F184" s="42">
        <f t="shared" si="25"/>
        <v>426.36689326902001</v>
      </c>
      <c r="G184" s="12">
        <f t="shared" si="26"/>
        <v>0</v>
      </c>
      <c r="H184" s="12">
        <f t="shared" si="27"/>
        <v>-426.36689326902001</v>
      </c>
      <c r="I184" s="12"/>
      <c r="J184" s="48">
        <f>SUMIFS('PLAN BUDGET SAMI-TF'!BO12:BO99999,'PLAN BUDGET SAMI-TF'!D12:D99999,B184,'PLAN BUDGET SAMI-TF'!J12:J99999,A184&amp;"*")</f>
        <v>0</v>
      </c>
      <c r="K184" s="35">
        <f t="shared" si="28"/>
        <v>-1</v>
      </c>
      <c r="L184" s="36" t="s">
        <v>743</v>
      </c>
      <c r="M184" s="50">
        <f t="shared" si="29"/>
        <v>0</v>
      </c>
    </row>
    <row r="185" spans="1:13" x14ac:dyDescent="0.35">
      <c r="A185" t="s">
        <v>498</v>
      </c>
      <c r="B185" s="7" t="s">
        <v>797</v>
      </c>
      <c r="C185" s="33" t="s">
        <v>803</v>
      </c>
      <c r="D185" s="34">
        <v>513.71640525110001</v>
      </c>
      <c r="E185" s="12">
        <v>513.71640525110001</v>
      </c>
      <c r="F185" s="42">
        <f t="shared" si="25"/>
        <v>513.71640525110001</v>
      </c>
      <c r="G185" s="12">
        <f t="shared" si="26"/>
        <v>0</v>
      </c>
      <c r="H185" s="12">
        <f t="shared" si="27"/>
        <v>-513.71640525110001</v>
      </c>
      <c r="I185" s="12"/>
      <c r="J185" s="48">
        <f>SUMIFS('PLAN BUDGET SAMI-TF'!BO12:BO99999,'PLAN BUDGET SAMI-TF'!D12:D99999,B185,'PLAN BUDGET SAMI-TF'!J12:J99999,A185&amp;"*")</f>
        <v>0</v>
      </c>
      <c r="K185" s="35">
        <f t="shared" si="28"/>
        <v>-1</v>
      </c>
      <c r="L185" s="36" t="s">
        <v>743</v>
      </c>
      <c r="M185" s="50">
        <f t="shared" si="29"/>
        <v>0</v>
      </c>
    </row>
    <row r="186" spans="1:13" x14ac:dyDescent="0.35">
      <c r="A186" t="s">
        <v>798</v>
      </c>
      <c r="B186" s="7" t="s">
        <v>799</v>
      </c>
      <c r="C186" s="33" t="s">
        <v>803</v>
      </c>
      <c r="D186" s="34">
        <v>164891.572671</v>
      </c>
      <c r="E186" s="12">
        <v>644.10770574608</v>
      </c>
      <c r="F186" s="42">
        <f t="shared" si="25"/>
        <v>644.10770574608</v>
      </c>
      <c r="G186" s="12">
        <f t="shared" si="26"/>
        <v>0</v>
      </c>
      <c r="H186" s="12">
        <f t="shared" si="27"/>
        <v>-644.10770574608</v>
      </c>
      <c r="I186" s="12"/>
      <c r="J186" s="48">
        <f>SUMIFS('PLAN BUDGET SAMI-TF'!BO12:BO99999,'PLAN BUDGET SAMI-TF'!D12:D99999,B186,'PLAN BUDGET SAMI-TF'!J12:J99999,A186&amp;"*")</f>
        <v>0</v>
      </c>
      <c r="K186" s="35">
        <f t="shared" si="28"/>
        <v>-1</v>
      </c>
      <c r="L186" s="36" t="s">
        <v>743</v>
      </c>
      <c r="M186" s="50">
        <f t="shared" si="29"/>
        <v>0</v>
      </c>
    </row>
    <row r="187" spans="1:13" x14ac:dyDescent="0.35">
      <c r="A187" t="s">
        <v>48</v>
      </c>
      <c r="B187" s="7" t="s">
        <v>800</v>
      </c>
      <c r="C187" s="33" t="s">
        <v>803</v>
      </c>
      <c r="D187" s="34">
        <v>74.057194941323999</v>
      </c>
      <c r="E187" s="12">
        <v>12.342865823554</v>
      </c>
      <c r="F187" s="42">
        <f t="shared" si="25"/>
        <v>12.342865823554</v>
      </c>
      <c r="G187" s="12">
        <f t="shared" si="26"/>
        <v>0</v>
      </c>
      <c r="H187" s="12">
        <f t="shared" si="27"/>
        <v>-12.342865823554</v>
      </c>
      <c r="I187" s="12"/>
      <c r="J187" s="48">
        <f>SUMIFS('PLAN BUDGET SAMI-TF'!BO12:BO99999,'PLAN BUDGET SAMI-TF'!D12:D99999,B187,'PLAN BUDGET SAMI-TF'!J12:J99999,A187&amp;"*")</f>
        <v>0</v>
      </c>
      <c r="K187" s="35">
        <f t="shared" si="28"/>
        <v>-1</v>
      </c>
      <c r="L187" s="36" t="s">
        <v>743</v>
      </c>
      <c r="M187" s="50">
        <f t="shared" si="29"/>
        <v>0</v>
      </c>
    </row>
    <row r="188" spans="1:13" x14ac:dyDescent="0.35">
      <c r="A188" t="s">
        <v>48</v>
      </c>
      <c r="B188" s="7" t="s">
        <v>801</v>
      </c>
      <c r="C188" s="33" t="s">
        <v>803</v>
      </c>
      <c r="D188" s="34">
        <v>212.67707265201</v>
      </c>
      <c r="E188" s="12">
        <v>30.382438950287</v>
      </c>
      <c r="F188" s="42">
        <f t="shared" si="25"/>
        <v>30.382438950287</v>
      </c>
      <c r="G188" s="12">
        <f t="shared" si="26"/>
        <v>0</v>
      </c>
      <c r="H188" s="12">
        <f t="shared" si="27"/>
        <v>-30.382438950287</v>
      </c>
      <c r="I188" s="12"/>
      <c r="J188" s="48">
        <f>SUMIFS('PLAN BUDGET SAMI-TF'!BO12:BO99999,'PLAN BUDGET SAMI-TF'!D12:D99999,B188,'PLAN BUDGET SAMI-TF'!J12:J99999,A188&amp;"*")</f>
        <v>0</v>
      </c>
      <c r="K188" s="35">
        <f t="shared" si="28"/>
        <v>-1</v>
      </c>
      <c r="L188" s="36" t="s">
        <v>743</v>
      </c>
      <c r="M188" s="50">
        <f t="shared" si="29"/>
        <v>0</v>
      </c>
    </row>
    <row r="189" spans="1:13" x14ac:dyDescent="0.35">
      <c r="A189" t="s">
        <v>48</v>
      </c>
      <c r="B189" s="7" t="s">
        <v>795</v>
      </c>
      <c r="C189" s="33" t="s">
        <v>803</v>
      </c>
      <c r="D189" s="34">
        <v>68307.065182991006</v>
      </c>
      <c r="E189" s="12">
        <v>8254.8833440937997</v>
      </c>
      <c r="F189" s="42">
        <f t="shared" si="25"/>
        <v>8254.8833440937997</v>
      </c>
      <c r="G189" s="12">
        <f t="shared" si="26"/>
        <v>0</v>
      </c>
      <c r="H189" s="12">
        <f t="shared" si="27"/>
        <v>-8254.8833440937997</v>
      </c>
      <c r="I189" s="12"/>
      <c r="J189" s="48">
        <f>SUMIFS('PLAN BUDGET SAMI-TF'!BO12:BO99999,'PLAN BUDGET SAMI-TF'!D12:D99999,B189,'PLAN BUDGET SAMI-TF'!J12:J99999,A189&amp;"*")</f>
        <v>0</v>
      </c>
      <c r="K189" s="35">
        <f t="shared" si="28"/>
        <v>-1</v>
      </c>
      <c r="L189" s="36" t="s">
        <v>743</v>
      </c>
      <c r="M189" s="50">
        <f t="shared" si="29"/>
        <v>0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L7:L10"/>
    <mergeCell ref="I2:I4"/>
    <mergeCell ref="J2:J4"/>
    <mergeCell ref="K2:K4"/>
    <mergeCell ref="B7:B10"/>
    <mergeCell ref="C7:C10"/>
    <mergeCell ref="F7:J7"/>
    <mergeCell ref="K7:K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activeCell="A8" sqref="A8"/>
    </sheetView>
  </sheetViews>
  <sheetFormatPr defaultRowHeight="14.5" x14ac:dyDescent="0.35"/>
  <cols>
    <col min="1" max="1" width="5" customWidth="1"/>
    <col min="2" max="2" width="20" customWidth="1"/>
    <col min="3" max="3" width="15" customWidth="1"/>
    <col min="4" max="4" width="20" customWidth="1"/>
    <col min="5" max="5" width="15" customWidth="1"/>
    <col min="6" max="6" width="22" customWidth="1"/>
    <col min="7" max="7" width="20" customWidth="1"/>
    <col min="8" max="10" width="9" customWidth="1"/>
    <col min="11" max="11" width="22" customWidth="1"/>
    <col min="12" max="12" width="5" customWidth="1"/>
    <col min="13" max="15" width="15" customWidth="1"/>
    <col min="16" max="16" width="20" customWidth="1"/>
    <col min="17" max="20" width="15" customWidth="1"/>
    <col min="21" max="21" width="7" customWidth="1"/>
    <col min="22" max="22" width="5" customWidth="1"/>
    <col min="23" max="25" width="15" customWidth="1"/>
    <col min="26" max="26" width="7" customWidth="1"/>
    <col min="27" max="27" width="5" customWidth="1"/>
    <col min="28" max="30" width="15" customWidth="1"/>
    <col min="31" max="31" width="7" customWidth="1"/>
    <col min="32" max="32" width="5" customWidth="1"/>
    <col min="33" max="33" width="15" customWidth="1"/>
    <col min="34" max="34" width="5" customWidth="1"/>
    <col min="35" max="35" width="15" customWidth="1"/>
  </cols>
  <sheetData>
    <row r="1" spans="1:7" x14ac:dyDescent="0.35">
      <c r="A1" s="1"/>
      <c r="B1" s="1" t="s">
        <v>833</v>
      </c>
      <c r="C1" s="1" t="s">
        <v>834</v>
      </c>
      <c r="D1" s="1" t="s">
        <v>835</v>
      </c>
      <c r="E1" s="1"/>
      <c r="F1" s="1"/>
    </row>
    <row r="2" spans="1:7" x14ac:dyDescent="0.35">
      <c r="A2" s="1"/>
      <c r="B2" s="1" t="s">
        <v>836</v>
      </c>
      <c r="C2" s="1" t="s">
        <v>837</v>
      </c>
      <c r="D2" s="1" t="s">
        <v>838</v>
      </c>
      <c r="E2" s="1" t="s">
        <v>839</v>
      </c>
      <c r="F2" s="1" t="s">
        <v>824</v>
      </c>
    </row>
    <row r="8" spans="1:7" x14ac:dyDescent="0.35">
      <c r="A8" s="1" t="s">
        <v>840</v>
      </c>
      <c r="B8" s="1" t="s">
        <v>841</v>
      </c>
      <c r="C8" s="1" t="s">
        <v>826</v>
      </c>
      <c r="D8" s="1" t="s">
        <v>842</v>
      </c>
      <c r="E8" s="1" t="s">
        <v>843</v>
      </c>
      <c r="F8" s="1" t="s">
        <v>844</v>
      </c>
      <c r="G8" s="1" t="s">
        <v>845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 BUDGET SAMI-TF</vt:lpstr>
      <vt:lpstr>SUMMARY</vt:lpstr>
      <vt:lpstr>ANALYSIS</vt:lpstr>
      <vt:lpstr>TAKI GRAPH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PLAN BUDGET STP SAMI-TF</dc:creator>
  <cp:keywords/>
  <dc:description/>
  <cp:lastModifiedBy>SPV-TRN-01</cp:lastModifiedBy>
  <dcterms:created xsi:type="dcterms:W3CDTF">2025-03-14T08:21:13Z</dcterms:created>
  <dcterms:modified xsi:type="dcterms:W3CDTF">2025-03-14T09:14:41Z</dcterms:modified>
  <cp:category/>
</cp:coreProperties>
</file>