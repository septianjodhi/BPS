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SHARE SAMI FIN\FINANCE\BUDGET\TERM 85\2. Expense\FA-FIN\Upload BPS\"/>
    </mc:Choice>
  </mc:AlternateContent>
  <xr:revisionPtr revIDLastSave="0" documentId="13_ncr:1_{F0897B70-80B5-470B-A3B5-89A698605C8A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PLAN BUDGET SAMI-TF" sheetId="1" r:id="rId1"/>
    <sheet name="SUMMARY" sheetId="2" r:id="rId2"/>
    <sheet name="ANALYSIS" sheetId="3" r:id="rId3"/>
    <sheet name="TAKI GRAPH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9" i="3" l="1"/>
  <c r="H59" i="3"/>
  <c r="G59" i="3"/>
  <c r="F59" i="3"/>
  <c r="J58" i="3"/>
  <c r="F58" i="3"/>
  <c r="K57" i="3"/>
  <c r="J57" i="3"/>
  <c r="F57" i="3"/>
  <c r="H57" i="3" s="1"/>
  <c r="J56" i="3"/>
  <c r="G56" i="3" s="1"/>
  <c r="F56" i="3"/>
  <c r="J55" i="3"/>
  <c r="F55" i="3"/>
  <c r="J54" i="3"/>
  <c r="F54" i="3"/>
  <c r="J53" i="3"/>
  <c r="F53" i="3"/>
  <c r="K53" i="3" s="1"/>
  <c r="F50" i="3"/>
  <c r="J48" i="3"/>
  <c r="F47" i="3"/>
  <c r="F46" i="3"/>
  <c r="K46" i="3" s="1"/>
  <c r="J44" i="3"/>
  <c r="F44" i="3"/>
  <c r="H44" i="3" s="1"/>
  <c r="F43" i="3"/>
  <c r="F42" i="3"/>
  <c r="J40" i="3"/>
  <c r="F39" i="3"/>
  <c r="J37" i="3"/>
  <c r="F36" i="3"/>
  <c r="K36" i="3" s="1"/>
  <c r="F35" i="3"/>
  <c r="J34" i="3"/>
  <c r="F33" i="3"/>
  <c r="F28" i="3"/>
  <c r="K28" i="3" s="1"/>
  <c r="J25" i="3"/>
  <c r="F25" i="3"/>
  <c r="K25" i="3" s="1"/>
  <c r="F23" i="3"/>
  <c r="F20" i="3"/>
  <c r="J19" i="3"/>
  <c r="J18" i="3"/>
  <c r="J17" i="3"/>
  <c r="F16" i="3"/>
  <c r="J14" i="3"/>
  <c r="F14" i="3"/>
  <c r="K14" i="3" s="1"/>
  <c r="J12" i="3"/>
  <c r="F12" i="3"/>
  <c r="E12" i="3"/>
  <c r="F51" i="3" s="1"/>
  <c r="K51" i="3" s="1"/>
  <c r="D12" i="3"/>
  <c r="AB54" i="2"/>
  <c r="AA54" i="2"/>
  <c r="Z54" i="2"/>
  <c r="Y54" i="2"/>
  <c r="X54" i="2"/>
  <c r="W54" i="2"/>
  <c r="V54" i="2"/>
  <c r="U54" i="2"/>
  <c r="T54" i="2"/>
  <c r="S54" i="2"/>
  <c r="R54" i="2"/>
  <c r="Q54" i="2"/>
  <c r="AD54" i="2" s="1"/>
  <c r="AI54" i="2" s="1"/>
  <c r="P54" i="2"/>
  <c r="O54" i="2"/>
  <c r="N54" i="2"/>
  <c r="M54" i="2"/>
  <c r="L54" i="2"/>
  <c r="K54" i="2"/>
  <c r="J54" i="2"/>
  <c r="I54" i="2"/>
  <c r="H54" i="2"/>
  <c r="G54" i="2"/>
  <c r="F54" i="2"/>
  <c r="E54" i="2"/>
  <c r="AD53" i="2"/>
  <c r="AI53" i="2" s="1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AB52" i="2"/>
  <c r="AA52" i="2"/>
  <c r="Z52" i="2"/>
  <c r="Y52" i="2"/>
  <c r="X52" i="2"/>
  <c r="W52" i="2"/>
  <c r="V52" i="2"/>
  <c r="U52" i="2"/>
  <c r="AD52" i="2" s="1"/>
  <c r="AI52" i="2" s="1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AC52" i="2" s="1"/>
  <c r="AH52" i="2" s="1"/>
  <c r="F52" i="2"/>
  <c r="E52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AC51" i="2" s="1"/>
  <c r="AH51" i="2" s="1"/>
  <c r="AB50" i="2"/>
  <c r="AA50" i="2"/>
  <c r="Z50" i="2"/>
  <c r="Y50" i="2"/>
  <c r="X50" i="2"/>
  <c r="W50" i="2"/>
  <c r="V50" i="2"/>
  <c r="U50" i="2"/>
  <c r="T50" i="2"/>
  <c r="S50" i="2"/>
  <c r="AD50" i="2" s="1"/>
  <c r="AI50" i="2" s="1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AC50" i="2" s="1"/>
  <c r="AH50" i="2" s="1"/>
  <c r="AB49" i="2"/>
  <c r="AA49" i="2"/>
  <c r="Z49" i="2"/>
  <c r="Y49" i="2"/>
  <c r="X49" i="2"/>
  <c r="W49" i="2"/>
  <c r="V49" i="2"/>
  <c r="U49" i="2"/>
  <c r="T49" i="2"/>
  <c r="S49" i="2"/>
  <c r="R49" i="2"/>
  <c r="Q49" i="2"/>
  <c r="AD49" i="2" s="1"/>
  <c r="AI49" i="2" s="1"/>
  <c r="P49" i="2"/>
  <c r="O49" i="2"/>
  <c r="N49" i="2"/>
  <c r="M49" i="2"/>
  <c r="L49" i="2"/>
  <c r="K49" i="2"/>
  <c r="J49" i="2"/>
  <c r="I49" i="2"/>
  <c r="H49" i="2"/>
  <c r="G49" i="2"/>
  <c r="F49" i="2"/>
  <c r="E49" i="2"/>
  <c r="AD48" i="2"/>
  <c r="AI48" i="2" s="1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AD47" i="2"/>
  <c r="AI47" i="2" s="1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AC47" i="2" s="1"/>
  <c r="AH47" i="2" s="1"/>
  <c r="N47" i="2"/>
  <c r="M47" i="2"/>
  <c r="L47" i="2"/>
  <c r="K47" i="2"/>
  <c r="J47" i="2"/>
  <c r="I47" i="2"/>
  <c r="H47" i="2"/>
  <c r="G47" i="2"/>
  <c r="F47" i="2"/>
  <c r="E47" i="2"/>
  <c r="AB46" i="2"/>
  <c r="AD46" i="2" s="1"/>
  <c r="AI46" i="2" s="1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AC46" i="2" s="1"/>
  <c r="AH46" i="2" s="1"/>
  <c r="M46" i="2"/>
  <c r="L46" i="2"/>
  <c r="K46" i="2"/>
  <c r="J46" i="2"/>
  <c r="I46" i="2"/>
  <c r="H46" i="2"/>
  <c r="G46" i="2"/>
  <c r="F46" i="2"/>
  <c r="E46" i="2"/>
  <c r="AB45" i="2"/>
  <c r="AA45" i="2"/>
  <c r="Z45" i="2"/>
  <c r="Y45" i="2"/>
  <c r="X45" i="2"/>
  <c r="W45" i="2"/>
  <c r="V45" i="2"/>
  <c r="AD45" i="2" s="1"/>
  <c r="AI45" i="2" s="1"/>
  <c r="U45" i="2"/>
  <c r="T45" i="2"/>
  <c r="S45" i="2"/>
  <c r="R45" i="2"/>
  <c r="Q45" i="2"/>
  <c r="P45" i="2"/>
  <c r="O45" i="2"/>
  <c r="N45" i="2"/>
  <c r="AC45" i="2" s="1"/>
  <c r="AH45" i="2" s="1"/>
  <c r="M45" i="2"/>
  <c r="L45" i="2"/>
  <c r="K45" i="2"/>
  <c r="J45" i="2"/>
  <c r="I45" i="2"/>
  <c r="H45" i="2"/>
  <c r="G45" i="2"/>
  <c r="F45" i="2"/>
  <c r="E45" i="2"/>
  <c r="AB44" i="2"/>
  <c r="AA44" i="2"/>
  <c r="Z44" i="2"/>
  <c r="AD44" i="2" s="1"/>
  <c r="AI44" i="2" s="1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AC44" i="2" s="1"/>
  <c r="AH44" i="2" s="1"/>
  <c r="F44" i="2"/>
  <c r="E44" i="2"/>
  <c r="AB43" i="2"/>
  <c r="AA43" i="2"/>
  <c r="Z43" i="2"/>
  <c r="Y43" i="2"/>
  <c r="X43" i="2"/>
  <c r="W43" i="2"/>
  <c r="V43" i="2"/>
  <c r="U43" i="2"/>
  <c r="T43" i="2"/>
  <c r="AD43" i="2" s="1"/>
  <c r="AI43" i="2" s="1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AC43" i="2" s="1"/>
  <c r="AH43" i="2" s="1"/>
  <c r="E43" i="2"/>
  <c r="AB42" i="2"/>
  <c r="AA42" i="2"/>
  <c r="Z42" i="2"/>
  <c r="Y42" i="2"/>
  <c r="X42" i="2"/>
  <c r="W42" i="2"/>
  <c r="V42" i="2"/>
  <c r="U42" i="2"/>
  <c r="T42" i="2"/>
  <c r="S42" i="2"/>
  <c r="R42" i="2"/>
  <c r="Q42" i="2"/>
  <c r="AD42" i="2" s="1"/>
  <c r="AI42" i="2" s="1"/>
  <c r="P42" i="2"/>
  <c r="O42" i="2"/>
  <c r="N42" i="2"/>
  <c r="M42" i="2"/>
  <c r="L42" i="2"/>
  <c r="K42" i="2"/>
  <c r="J42" i="2"/>
  <c r="I42" i="2"/>
  <c r="H42" i="2"/>
  <c r="G42" i="2"/>
  <c r="F42" i="2"/>
  <c r="E42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AB39" i="2"/>
  <c r="AA39" i="2"/>
  <c r="Z39" i="2"/>
  <c r="Y39" i="2"/>
  <c r="X39" i="2"/>
  <c r="W39" i="2"/>
  <c r="V39" i="2"/>
  <c r="U39" i="2"/>
  <c r="T39" i="2"/>
  <c r="S39" i="2"/>
  <c r="R39" i="2"/>
  <c r="Q39" i="2"/>
  <c r="AD39" i="2" s="1"/>
  <c r="AI39" i="2" s="1"/>
  <c r="P39" i="2"/>
  <c r="O39" i="2"/>
  <c r="N39" i="2"/>
  <c r="M39" i="2"/>
  <c r="L39" i="2"/>
  <c r="K39" i="2"/>
  <c r="J39" i="2"/>
  <c r="I39" i="2"/>
  <c r="H39" i="2"/>
  <c r="G39" i="2"/>
  <c r="F39" i="2"/>
  <c r="E39" i="2"/>
  <c r="AB38" i="2"/>
  <c r="AA38" i="2"/>
  <c r="Z38" i="2"/>
  <c r="Y38" i="2"/>
  <c r="X38" i="2"/>
  <c r="W38" i="2"/>
  <c r="V38" i="2"/>
  <c r="U38" i="2"/>
  <c r="T38" i="2"/>
  <c r="AD38" i="2" s="1"/>
  <c r="AI38" i="2" s="1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AC38" i="2" s="1"/>
  <c r="AH38" i="2" s="1"/>
  <c r="E38" i="2"/>
  <c r="AB37" i="2"/>
  <c r="AA37" i="2"/>
  <c r="Z37" i="2"/>
  <c r="Y37" i="2"/>
  <c r="X37" i="2"/>
  <c r="W37" i="2"/>
  <c r="V37" i="2"/>
  <c r="U37" i="2"/>
  <c r="T37" i="2"/>
  <c r="S37" i="2"/>
  <c r="AD37" i="2" s="1"/>
  <c r="AI37" i="2" s="1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AC37" i="2" s="1"/>
  <c r="AH37" i="2" s="1"/>
  <c r="AB36" i="2"/>
  <c r="AA36" i="2"/>
  <c r="Z36" i="2"/>
  <c r="Y36" i="2"/>
  <c r="X36" i="2"/>
  <c r="W36" i="2"/>
  <c r="V36" i="2"/>
  <c r="U36" i="2"/>
  <c r="T36" i="2"/>
  <c r="S36" i="2"/>
  <c r="AD36" i="2" s="1"/>
  <c r="AI36" i="2" s="1"/>
  <c r="R36" i="2"/>
  <c r="Q36" i="2"/>
  <c r="P36" i="2"/>
  <c r="O36" i="2"/>
  <c r="AC36" i="2" s="1"/>
  <c r="AH36" i="2" s="1"/>
  <c r="N36" i="2"/>
  <c r="M36" i="2"/>
  <c r="L36" i="2"/>
  <c r="K36" i="2"/>
  <c r="J36" i="2"/>
  <c r="I36" i="2"/>
  <c r="H36" i="2"/>
  <c r="G36" i="2"/>
  <c r="F36" i="2"/>
  <c r="E36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AB34" i="2"/>
  <c r="AA34" i="2"/>
  <c r="Z34" i="2"/>
  <c r="Y34" i="2"/>
  <c r="X34" i="2"/>
  <c r="W34" i="2"/>
  <c r="V34" i="2"/>
  <c r="U34" i="2"/>
  <c r="T34" i="2"/>
  <c r="S34" i="2"/>
  <c r="R34" i="2"/>
  <c r="Q34" i="2"/>
  <c r="AD34" i="2" s="1"/>
  <c r="AI34" i="2" s="1"/>
  <c r="P34" i="2"/>
  <c r="O34" i="2"/>
  <c r="N34" i="2"/>
  <c r="M34" i="2"/>
  <c r="L34" i="2"/>
  <c r="K34" i="2"/>
  <c r="J34" i="2"/>
  <c r="I34" i="2"/>
  <c r="H34" i="2"/>
  <c r="G34" i="2"/>
  <c r="F34" i="2"/>
  <c r="E34" i="2"/>
  <c r="AB33" i="2"/>
  <c r="AA33" i="2"/>
  <c r="Z33" i="2"/>
  <c r="Y33" i="2"/>
  <c r="X33" i="2"/>
  <c r="W33" i="2"/>
  <c r="V33" i="2"/>
  <c r="U33" i="2"/>
  <c r="T33" i="2"/>
  <c r="S33" i="2"/>
  <c r="AD33" i="2" s="1"/>
  <c r="AI33" i="2" s="1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AC33" i="2" s="1"/>
  <c r="AH33" i="2" s="1"/>
  <c r="AB32" i="2"/>
  <c r="AA32" i="2"/>
  <c r="Z32" i="2"/>
  <c r="Y32" i="2"/>
  <c r="X32" i="2"/>
  <c r="W32" i="2"/>
  <c r="V32" i="2"/>
  <c r="U32" i="2"/>
  <c r="T32" i="2"/>
  <c r="S32" i="2"/>
  <c r="R32" i="2"/>
  <c r="Q32" i="2"/>
  <c r="AD32" i="2" s="1"/>
  <c r="AI32" i="2" s="1"/>
  <c r="P32" i="2"/>
  <c r="O32" i="2"/>
  <c r="N32" i="2"/>
  <c r="M32" i="2"/>
  <c r="L32" i="2"/>
  <c r="K32" i="2"/>
  <c r="J32" i="2"/>
  <c r="I32" i="2"/>
  <c r="AC32" i="2" s="1"/>
  <c r="AH32" i="2" s="1"/>
  <c r="H32" i="2"/>
  <c r="G32" i="2"/>
  <c r="F32" i="2"/>
  <c r="E32" i="2"/>
  <c r="AB31" i="2"/>
  <c r="AA31" i="2"/>
  <c r="Z31" i="2"/>
  <c r="Y31" i="2"/>
  <c r="X31" i="2"/>
  <c r="W31" i="2"/>
  <c r="V31" i="2"/>
  <c r="AD31" i="2" s="1"/>
  <c r="AI31" i="2" s="1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AC31" i="2" s="1"/>
  <c r="AH31" i="2" s="1"/>
  <c r="G31" i="2"/>
  <c r="F31" i="2"/>
  <c r="E31" i="2"/>
  <c r="AB30" i="2"/>
  <c r="AA30" i="2"/>
  <c r="Z30" i="2"/>
  <c r="Y30" i="2"/>
  <c r="X30" i="2"/>
  <c r="W30" i="2"/>
  <c r="V30" i="2"/>
  <c r="U30" i="2"/>
  <c r="AD30" i="2" s="1"/>
  <c r="AI30" i="2" s="1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AC30" i="2" s="1"/>
  <c r="AH30" i="2" s="1"/>
  <c r="F30" i="2"/>
  <c r="E30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AC29" i="2" s="1"/>
  <c r="AH29" i="2" s="1"/>
  <c r="E29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AC26" i="2" s="1"/>
  <c r="AH26" i="2" s="1"/>
  <c r="AB25" i="2"/>
  <c r="AA25" i="2"/>
  <c r="Z25" i="2"/>
  <c r="Y25" i="2"/>
  <c r="X25" i="2"/>
  <c r="W25" i="2"/>
  <c r="V25" i="2"/>
  <c r="U25" i="2"/>
  <c r="T25" i="2"/>
  <c r="S25" i="2"/>
  <c r="R25" i="2"/>
  <c r="Q25" i="2"/>
  <c r="AD25" i="2" s="1"/>
  <c r="AI25" i="2" s="1"/>
  <c r="P25" i="2"/>
  <c r="O25" i="2"/>
  <c r="N25" i="2"/>
  <c r="M25" i="2"/>
  <c r="L25" i="2"/>
  <c r="K25" i="2"/>
  <c r="J25" i="2"/>
  <c r="I25" i="2"/>
  <c r="H25" i="2"/>
  <c r="G25" i="2"/>
  <c r="F25" i="2"/>
  <c r="E25" i="2"/>
  <c r="AC25" i="2" s="1"/>
  <c r="AH25" i="2" s="1"/>
  <c r="AD24" i="2"/>
  <c r="AI24" i="2" s="1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AC24" i="2" s="1"/>
  <c r="AH24" i="2" s="1"/>
  <c r="E24" i="2"/>
  <c r="AB23" i="2"/>
  <c r="AA23" i="2"/>
  <c r="Z23" i="2"/>
  <c r="Y23" i="2"/>
  <c r="X23" i="2"/>
  <c r="W23" i="2"/>
  <c r="AD23" i="2" s="1"/>
  <c r="AI23" i="2" s="1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AC23" i="2" s="1"/>
  <c r="AH23" i="2" s="1"/>
  <c r="H23" i="2"/>
  <c r="G23" i="2"/>
  <c r="F23" i="2"/>
  <c r="E23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AC22" i="2" s="1"/>
  <c r="AH22" i="2" s="1"/>
  <c r="E22" i="2"/>
  <c r="AB21" i="2"/>
  <c r="AA21" i="2"/>
  <c r="Z21" i="2"/>
  <c r="Y21" i="2"/>
  <c r="X21" i="2"/>
  <c r="W21" i="2"/>
  <c r="V21" i="2"/>
  <c r="U21" i="2"/>
  <c r="T21" i="2"/>
  <c r="S21" i="2"/>
  <c r="R21" i="2"/>
  <c r="Q21" i="2"/>
  <c r="AD21" i="2" s="1"/>
  <c r="AI21" i="2" s="1"/>
  <c r="P21" i="2"/>
  <c r="O21" i="2"/>
  <c r="N21" i="2"/>
  <c r="M21" i="2"/>
  <c r="L21" i="2"/>
  <c r="K21" i="2"/>
  <c r="J21" i="2"/>
  <c r="I21" i="2"/>
  <c r="H21" i="2"/>
  <c r="G21" i="2"/>
  <c r="F21" i="2"/>
  <c r="E21" i="2"/>
  <c r="AB20" i="2"/>
  <c r="AA20" i="2"/>
  <c r="Z20" i="2"/>
  <c r="Y20" i="2"/>
  <c r="X20" i="2"/>
  <c r="W20" i="2"/>
  <c r="V20" i="2"/>
  <c r="U20" i="2"/>
  <c r="T20" i="2"/>
  <c r="AD20" i="2" s="1"/>
  <c r="AI20" i="2" s="1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AB19" i="2"/>
  <c r="AA19" i="2"/>
  <c r="Z19" i="2"/>
  <c r="Y19" i="2"/>
  <c r="X19" i="2"/>
  <c r="W19" i="2"/>
  <c r="V19" i="2"/>
  <c r="U19" i="2"/>
  <c r="T19" i="2"/>
  <c r="S19" i="2"/>
  <c r="AD19" i="2" s="1"/>
  <c r="AI19" i="2" s="1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AC19" i="2" s="1"/>
  <c r="AH19" i="2" s="1"/>
  <c r="AB18" i="2"/>
  <c r="AA18" i="2"/>
  <c r="Z18" i="2"/>
  <c r="Y18" i="2"/>
  <c r="X18" i="2"/>
  <c r="W18" i="2"/>
  <c r="V18" i="2"/>
  <c r="U18" i="2"/>
  <c r="AD18" i="2" s="1"/>
  <c r="AI18" i="2" s="1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AC18" i="2" s="1"/>
  <c r="AH18" i="2" s="1"/>
  <c r="F18" i="2"/>
  <c r="E18" i="2"/>
  <c r="AB17" i="2"/>
  <c r="AA17" i="2"/>
  <c r="Z17" i="2"/>
  <c r="Y17" i="2"/>
  <c r="X17" i="2"/>
  <c r="W17" i="2"/>
  <c r="V17" i="2"/>
  <c r="U17" i="2"/>
  <c r="T17" i="2"/>
  <c r="S17" i="2"/>
  <c r="R17" i="2"/>
  <c r="Q17" i="2"/>
  <c r="AD17" i="2" s="1"/>
  <c r="AI17" i="2" s="1"/>
  <c r="P17" i="2"/>
  <c r="O17" i="2"/>
  <c r="N17" i="2"/>
  <c r="M17" i="2"/>
  <c r="L17" i="2"/>
  <c r="K17" i="2"/>
  <c r="J17" i="2"/>
  <c r="I17" i="2"/>
  <c r="H17" i="2"/>
  <c r="G17" i="2"/>
  <c r="F17" i="2"/>
  <c r="AC17" i="2" s="1"/>
  <c r="AH17" i="2" s="1"/>
  <c r="E17" i="2"/>
  <c r="AD16" i="2"/>
  <c r="AI16" i="2" s="1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AC16" i="2" s="1"/>
  <c r="AH16" i="2" s="1"/>
  <c r="N16" i="2"/>
  <c r="M16" i="2"/>
  <c r="L16" i="2"/>
  <c r="K16" i="2"/>
  <c r="J16" i="2"/>
  <c r="I16" i="2"/>
  <c r="H16" i="2"/>
  <c r="G16" i="2"/>
  <c r="F16" i="2"/>
  <c r="E16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AC15" i="2" s="1"/>
  <c r="AH15" i="2" s="1"/>
  <c r="F15" i="2"/>
  <c r="E15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AB13" i="2"/>
  <c r="AA13" i="2"/>
  <c r="Z13" i="2"/>
  <c r="Y13" i="2"/>
  <c r="X13" i="2"/>
  <c r="W13" i="2"/>
  <c r="V13" i="2"/>
  <c r="U13" i="2"/>
  <c r="T13" i="2"/>
  <c r="AD13" i="2" s="1"/>
  <c r="AI13" i="2" s="1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AC12" i="2" s="1"/>
  <c r="AH12" i="2" s="1"/>
  <c r="AB11" i="2"/>
  <c r="AA11" i="2"/>
  <c r="Z11" i="2"/>
  <c r="Y11" i="2"/>
  <c r="X11" i="2"/>
  <c r="W11" i="2"/>
  <c r="V11" i="2"/>
  <c r="U11" i="2"/>
  <c r="T11" i="2"/>
  <c r="S11" i="2"/>
  <c r="R11" i="2"/>
  <c r="Q11" i="2"/>
  <c r="AD11" i="2" s="1"/>
  <c r="AI11" i="2" s="1"/>
  <c r="P11" i="2"/>
  <c r="O11" i="2"/>
  <c r="N11" i="2"/>
  <c r="M11" i="2"/>
  <c r="L11" i="2"/>
  <c r="K11" i="2"/>
  <c r="J11" i="2"/>
  <c r="I11" i="2"/>
  <c r="H11" i="2"/>
  <c r="G11" i="2"/>
  <c r="F11" i="2"/>
  <c r="E11" i="2"/>
  <c r="AB10" i="2"/>
  <c r="AA10" i="2"/>
  <c r="Z10" i="2"/>
  <c r="Y10" i="2"/>
  <c r="X10" i="2"/>
  <c r="AD10" i="2" s="1"/>
  <c r="AI10" i="2" s="1"/>
  <c r="W10" i="2"/>
  <c r="V10" i="2"/>
  <c r="U10" i="2"/>
  <c r="T10" i="2"/>
  <c r="S10" i="2"/>
  <c r="R10" i="2"/>
  <c r="Q10" i="2"/>
  <c r="P10" i="2"/>
  <c r="O10" i="2"/>
  <c r="AC10" i="2" s="1"/>
  <c r="AH10" i="2" s="1"/>
  <c r="N10" i="2"/>
  <c r="M10" i="2"/>
  <c r="L10" i="2"/>
  <c r="K10" i="2"/>
  <c r="J10" i="2"/>
  <c r="I10" i="2"/>
  <c r="H10" i="2"/>
  <c r="G10" i="2"/>
  <c r="F10" i="2"/>
  <c r="E10" i="2"/>
  <c r="AB9" i="2"/>
  <c r="AA9" i="2"/>
  <c r="Z9" i="2"/>
  <c r="Y9" i="2"/>
  <c r="X9" i="2"/>
  <c r="W9" i="2"/>
  <c r="V9" i="2"/>
  <c r="AD9" i="2" s="1"/>
  <c r="AI9" i="2" s="1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AC9" i="2" s="1"/>
  <c r="AH9" i="2" s="1"/>
  <c r="G9" i="2"/>
  <c r="F9" i="2"/>
  <c r="E9" i="2"/>
  <c r="BO120" i="1"/>
  <c r="BP120" i="1" s="1"/>
  <c r="AZ120" i="1"/>
  <c r="BA120" i="1" s="1"/>
  <c r="BO119" i="1"/>
  <c r="BP119" i="1" s="1"/>
  <c r="AZ119" i="1"/>
  <c r="BA119" i="1" s="1"/>
  <c r="BO118" i="1"/>
  <c r="BP118" i="1" s="1"/>
  <c r="AZ118" i="1"/>
  <c r="BA118" i="1" s="1"/>
  <c r="BO117" i="1"/>
  <c r="BP117" i="1" s="1"/>
  <c r="AZ117" i="1"/>
  <c r="BA117" i="1" s="1"/>
  <c r="BO116" i="1"/>
  <c r="BP116" i="1" s="1"/>
  <c r="BA116" i="1"/>
  <c r="AZ116" i="1"/>
  <c r="BP115" i="1"/>
  <c r="BO115" i="1"/>
  <c r="BA115" i="1"/>
  <c r="AZ115" i="1"/>
  <c r="BO114" i="1"/>
  <c r="BP114" i="1" s="1"/>
  <c r="BA114" i="1"/>
  <c r="AZ114" i="1"/>
  <c r="BO113" i="1"/>
  <c r="BP113" i="1" s="1"/>
  <c r="BA113" i="1"/>
  <c r="AZ113" i="1"/>
  <c r="BO112" i="1"/>
  <c r="BP112" i="1" s="1"/>
  <c r="AZ112" i="1"/>
  <c r="BA112" i="1" s="1"/>
  <c r="BO111" i="1"/>
  <c r="BP111" i="1" s="1"/>
  <c r="AZ111" i="1"/>
  <c r="BA111" i="1" s="1"/>
  <c r="BO110" i="1"/>
  <c r="BP110" i="1" s="1"/>
  <c r="AZ110" i="1"/>
  <c r="BA110" i="1" s="1"/>
  <c r="BO109" i="1"/>
  <c r="BP109" i="1" s="1"/>
  <c r="AZ109" i="1"/>
  <c r="BA109" i="1" s="1"/>
  <c r="BO108" i="1"/>
  <c r="BP108" i="1" s="1"/>
  <c r="BA108" i="1"/>
  <c r="AZ108" i="1"/>
  <c r="BP107" i="1"/>
  <c r="BO107" i="1"/>
  <c r="AZ107" i="1"/>
  <c r="BA107" i="1" s="1"/>
  <c r="BO106" i="1"/>
  <c r="BP106" i="1" s="1"/>
  <c r="AZ106" i="1"/>
  <c r="BA106" i="1" s="1"/>
  <c r="BP105" i="1"/>
  <c r="BO105" i="1"/>
  <c r="AZ105" i="1"/>
  <c r="BA105" i="1" s="1"/>
  <c r="BO104" i="1"/>
  <c r="BP104" i="1" s="1"/>
  <c r="AZ104" i="1"/>
  <c r="BA104" i="1" s="1"/>
  <c r="BO103" i="1"/>
  <c r="BP103" i="1" s="1"/>
  <c r="AZ103" i="1"/>
  <c r="BA103" i="1" s="1"/>
  <c r="BO102" i="1"/>
  <c r="J47" i="3" s="1"/>
  <c r="AZ102" i="1"/>
  <c r="BA102" i="1" s="1"/>
  <c r="BO101" i="1"/>
  <c r="BP101" i="1" s="1"/>
  <c r="AZ101" i="1"/>
  <c r="BA101" i="1" s="1"/>
  <c r="BP100" i="1"/>
  <c r="BO100" i="1"/>
  <c r="BA100" i="1"/>
  <c r="AZ100" i="1"/>
  <c r="BO99" i="1"/>
  <c r="BP99" i="1" s="1"/>
  <c r="AZ99" i="1"/>
  <c r="BA99" i="1" s="1"/>
  <c r="BO98" i="1"/>
  <c r="BP98" i="1" s="1"/>
  <c r="BA98" i="1"/>
  <c r="AZ98" i="1"/>
  <c r="BO97" i="1"/>
  <c r="BP97" i="1" s="1"/>
  <c r="AZ97" i="1"/>
  <c r="BA97" i="1" s="1"/>
  <c r="BO96" i="1"/>
  <c r="BP96" i="1" s="1"/>
  <c r="AZ96" i="1"/>
  <c r="BA96" i="1" s="1"/>
  <c r="BO95" i="1"/>
  <c r="BP95" i="1" s="1"/>
  <c r="AZ95" i="1"/>
  <c r="BA95" i="1" s="1"/>
  <c r="BO94" i="1"/>
  <c r="J49" i="3" s="1"/>
  <c r="AZ94" i="1"/>
  <c r="BA94" i="1" s="1"/>
  <c r="BP93" i="1"/>
  <c r="BO93" i="1"/>
  <c r="BA93" i="1"/>
  <c r="AZ93" i="1"/>
  <c r="BO92" i="1"/>
  <c r="AZ92" i="1"/>
  <c r="BA92" i="1" s="1"/>
  <c r="BO91" i="1"/>
  <c r="AZ91" i="1"/>
  <c r="BA91" i="1" s="1"/>
  <c r="BP90" i="1"/>
  <c r="BO90" i="1"/>
  <c r="AZ90" i="1"/>
  <c r="BA90" i="1" s="1"/>
  <c r="BO89" i="1"/>
  <c r="BP89" i="1" s="1"/>
  <c r="AZ89" i="1"/>
  <c r="BA89" i="1" s="1"/>
  <c r="BP88" i="1"/>
  <c r="BO88" i="1"/>
  <c r="AZ88" i="1"/>
  <c r="BA88" i="1" s="1"/>
  <c r="BO87" i="1"/>
  <c r="J45" i="3" s="1"/>
  <c r="BA87" i="1"/>
  <c r="AZ87" i="1"/>
  <c r="BO86" i="1"/>
  <c r="BP86" i="1" s="1"/>
  <c r="AZ86" i="1"/>
  <c r="BA86" i="1" s="1"/>
  <c r="BO85" i="1"/>
  <c r="BP85" i="1" s="1"/>
  <c r="AZ85" i="1"/>
  <c r="BA85" i="1" s="1"/>
  <c r="BO84" i="1"/>
  <c r="BP84" i="1" s="1"/>
  <c r="AZ84" i="1"/>
  <c r="BA84" i="1" s="1"/>
  <c r="BO83" i="1"/>
  <c r="BP83" i="1" s="1"/>
  <c r="BA83" i="1"/>
  <c r="AZ83" i="1"/>
  <c r="BO82" i="1"/>
  <c r="BP82" i="1" s="1"/>
  <c r="AZ82" i="1"/>
  <c r="BA82" i="1" s="1"/>
  <c r="BP81" i="1"/>
  <c r="BO81" i="1"/>
  <c r="BA81" i="1"/>
  <c r="AZ81" i="1"/>
  <c r="BO80" i="1"/>
  <c r="BP80" i="1" s="1"/>
  <c r="BA80" i="1"/>
  <c r="AZ80" i="1"/>
  <c r="BO79" i="1"/>
  <c r="BP79" i="1" s="1"/>
  <c r="AZ79" i="1"/>
  <c r="BA79" i="1" s="1"/>
  <c r="BO78" i="1"/>
  <c r="BP78" i="1" s="1"/>
  <c r="AZ78" i="1"/>
  <c r="BA78" i="1" s="1"/>
  <c r="BO77" i="1"/>
  <c r="BP77" i="1" s="1"/>
  <c r="AZ77" i="1"/>
  <c r="BA77" i="1" s="1"/>
  <c r="BO76" i="1"/>
  <c r="BP76" i="1" s="1"/>
  <c r="BA76" i="1"/>
  <c r="AZ76" i="1"/>
  <c r="BP75" i="1"/>
  <c r="BO75" i="1"/>
  <c r="AZ75" i="1"/>
  <c r="BA75" i="1" s="1"/>
  <c r="BO74" i="1"/>
  <c r="BP74" i="1" s="1"/>
  <c r="BA74" i="1"/>
  <c r="AZ74" i="1"/>
  <c r="BP73" i="1"/>
  <c r="BO73" i="1"/>
  <c r="AZ73" i="1"/>
  <c r="BA73" i="1" s="1"/>
  <c r="BO72" i="1"/>
  <c r="BP72" i="1" s="1"/>
  <c r="BA72" i="1"/>
  <c r="AZ72" i="1"/>
  <c r="BO71" i="1"/>
  <c r="BP71" i="1" s="1"/>
  <c r="AZ71" i="1"/>
  <c r="BA71" i="1" s="1"/>
  <c r="BO70" i="1"/>
  <c r="BP70" i="1" s="1"/>
  <c r="AZ70" i="1"/>
  <c r="BA70" i="1" s="1"/>
  <c r="BO69" i="1"/>
  <c r="BP69" i="1" s="1"/>
  <c r="AZ69" i="1"/>
  <c r="BA69" i="1" s="1"/>
  <c r="BO68" i="1"/>
  <c r="BP68" i="1" s="1"/>
  <c r="AZ68" i="1"/>
  <c r="BA68" i="1" s="1"/>
  <c r="BO67" i="1"/>
  <c r="BP67" i="1" s="1"/>
  <c r="BA67" i="1"/>
  <c r="AZ67" i="1"/>
  <c r="BP66" i="1"/>
  <c r="BO66" i="1"/>
  <c r="BA66" i="1"/>
  <c r="AZ66" i="1"/>
  <c r="BO65" i="1"/>
  <c r="AZ65" i="1"/>
  <c r="BA65" i="1" s="1"/>
  <c r="BO64" i="1"/>
  <c r="BA64" i="1"/>
  <c r="AZ64" i="1"/>
  <c r="BO63" i="1"/>
  <c r="BP63" i="1" s="1"/>
  <c r="AZ63" i="1"/>
  <c r="BA63" i="1" s="1"/>
  <c r="BO62" i="1"/>
  <c r="BP62" i="1" s="1"/>
  <c r="AZ62" i="1"/>
  <c r="BA62" i="1" s="1"/>
  <c r="BO61" i="1"/>
  <c r="BP61" i="1" s="1"/>
  <c r="AZ61" i="1"/>
  <c r="BA61" i="1" s="1"/>
  <c r="BO60" i="1"/>
  <c r="BP60" i="1" s="1"/>
  <c r="AZ60" i="1"/>
  <c r="BA60" i="1" s="1"/>
  <c r="BP59" i="1"/>
  <c r="BO59" i="1"/>
  <c r="BA59" i="1"/>
  <c r="AZ59" i="1"/>
  <c r="BP58" i="1"/>
  <c r="BO58" i="1"/>
  <c r="AZ58" i="1"/>
  <c r="BA58" i="1" s="1"/>
  <c r="BO57" i="1"/>
  <c r="AZ57" i="1"/>
  <c r="BA57" i="1" s="1"/>
  <c r="BP56" i="1"/>
  <c r="BO56" i="1"/>
  <c r="AZ56" i="1"/>
  <c r="BA56" i="1" s="1"/>
  <c r="BO55" i="1"/>
  <c r="BP55" i="1" s="1"/>
  <c r="AZ55" i="1"/>
  <c r="BA55" i="1" s="1"/>
  <c r="BO54" i="1"/>
  <c r="BP54" i="1" s="1"/>
  <c r="AZ54" i="1"/>
  <c r="BA54" i="1" s="1"/>
  <c r="BO53" i="1"/>
  <c r="BP53" i="1" s="1"/>
  <c r="AZ53" i="1"/>
  <c r="BA53" i="1" s="1"/>
  <c r="BO52" i="1"/>
  <c r="BP52" i="1" s="1"/>
  <c r="AZ52" i="1"/>
  <c r="BA52" i="1" s="1"/>
  <c r="BP51" i="1"/>
  <c r="BO51" i="1"/>
  <c r="BA51" i="1"/>
  <c r="AZ51" i="1"/>
  <c r="BO50" i="1"/>
  <c r="AZ50" i="1"/>
  <c r="BA50" i="1" s="1"/>
  <c r="BO49" i="1"/>
  <c r="BP49" i="1" s="1"/>
  <c r="AZ49" i="1"/>
  <c r="BA49" i="1" s="1"/>
  <c r="BP48" i="1"/>
  <c r="BO48" i="1"/>
  <c r="J38" i="3" s="1"/>
  <c r="BA48" i="1"/>
  <c r="AZ48" i="1"/>
  <c r="BP47" i="1"/>
  <c r="BO47" i="1"/>
  <c r="AZ47" i="1"/>
  <c r="BA47" i="1" s="1"/>
  <c r="BP46" i="1"/>
  <c r="BO46" i="1"/>
  <c r="AZ46" i="1"/>
  <c r="BA46" i="1" s="1"/>
  <c r="BO45" i="1"/>
  <c r="BP45" i="1" s="1"/>
  <c r="BA45" i="1"/>
  <c r="AZ45" i="1"/>
  <c r="BP44" i="1"/>
  <c r="BO44" i="1"/>
  <c r="BA44" i="1"/>
  <c r="AZ44" i="1"/>
  <c r="BO43" i="1"/>
  <c r="AZ43" i="1"/>
  <c r="BA43" i="1" s="1"/>
  <c r="BP42" i="1"/>
  <c r="BO42" i="1"/>
  <c r="AZ42" i="1"/>
  <c r="BA42" i="1" s="1"/>
  <c r="BO41" i="1"/>
  <c r="J15" i="3" s="1"/>
  <c r="BA41" i="1"/>
  <c r="AZ41" i="1"/>
  <c r="BP40" i="1"/>
  <c r="BO40" i="1"/>
  <c r="AZ40" i="1"/>
  <c r="BA40" i="1" s="1"/>
  <c r="BO39" i="1"/>
  <c r="BP39" i="1" s="1"/>
  <c r="AZ39" i="1"/>
  <c r="BA39" i="1" s="1"/>
  <c r="BO38" i="1"/>
  <c r="BP38" i="1" s="1"/>
  <c r="AZ38" i="1"/>
  <c r="BA38" i="1" s="1"/>
  <c r="BP37" i="1"/>
  <c r="BO37" i="1"/>
  <c r="BA37" i="1"/>
  <c r="AZ37" i="1"/>
  <c r="BO36" i="1"/>
  <c r="BP36" i="1" s="1"/>
  <c r="AZ36" i="1"/>
  <c r="BA36" i="1" s="1"/>
  <c r="BO35" i="1"/>
  <c r="BP35" i="1" s="1"/>
  <c r="AZ35" i="1"/>
  <c r="BA35" i="1" s="1"/>
  <c r="BO34" i="1"/>
  <c r="BA34" i="1"/>
  <c r="AZ34" i="1"/>
  <c r="BP33" i="1"/>
  <c r="BO33" i="1"/>
  <c r="AZ33" i="1"/>
  <c r="BA33" i="1" s="1"/>
  <c r="BO32" i="1"/>
  <c r="J32" i="3" s="1"/>
  <c r="AZ32" i="1"/>
  <c r="BA32" i="1" s="1"/>
  <c r="BO31" i="1"/>
  <c r="BP31" i="1" s="1"/>
  <c r="AZ31" i="1"/>
  <c r="BA31" i="1" s="1"/>
  <c r="BP30" i="1"/>
  <c r="BO30" i="1"/>
  <c r="BA30" i="1"/>
  <c r="AZ30" i="1"/>
  <c r="BO29" i="1"/>
  <c r="AZ29" i="1"/>
  <c r="BA29" i="1" s="1"/>
  <c r="BO28" i="1"/>
  <c r="J27" i="3" s="1"/>
  <c r="AZ28" i="1"/>
  <c r="BA28" i="1" s="1"/>
  <c r="BO27" i="1"/>
  <c r="J31" i="3" s="1"/>
  <c r="BA27" i="1"/>
  <c r="AZ27" i="1"/>
  <c r="BP26" i="1"/>
  <c r="BO26" i="1"/>
  <c r="AZ26" i="1"/>
  <c r="BA26" i="1" s="1"/>
  <c r="BO25" i="1"/>
  <c r="J23" i="3" s="1"/>
  <c r="AZ25" i="1"/>
  <c r="BA25" i="1" s="1"/>
  <c r="BO24" i="1"/>
  <c r="BP24" i="1" s="1"/>
  <c r="BA24" i="1"/>
  <c r="AZ24" i="1"/>
  <c r="BP23" i="1"/>
  <c r="BO23" i="1"/>
  <c r="BA23" i="1"/>
  <c r="AZ23" i="1"/>
  <c r="BO22" i="1"/>
  <c r="BA22" i="1"/>
  <c r="AZ22" i="1"/>
  <c r="BO21" i="1"/>
  <c r="BP21" i="1" s="1"/>
  <c r="AZ21" i="1"/>
  <c r="BA21" i="1" s="1"/>
  <c r="BP20" i="1"/>
  <c r="BO20" i="1"/>
  <c r="J36" i="3" s="1"/>
  <c r="BA20" i="1"/>
  <c r="AZ20" i="1"/>
  <c r="BP19" i="1"/>
  <c r="BO19" i="1"/>
  <c r="AZ19" i="1"/>
  <c r="BA19" i="1" s="1"/>
  <c r="BO18" i="1"/>
  <c r="J33" i="3" s="1"/>
  <c r="BA18" i="1"/>
  <c r="AZ18" i="1"/>
  <c r="BO17" i="1"/>
  <c r="BP17" i="1" s="1"/>
  <c r="AZ17" i="1"/>
  <c r="BA17" i="1" s="1"/>
  <c r="BP16" i="1"/>
  <c r="BO16" i="1"/>
  <c r="J22" i="3" s="1"/>
  <c r="BA16" i="1"/>
  <c r="AZ16" i="1"/>
  <c r="BO15" i="1"/>
  <c r="BP15" i="1" s="1"/>
  <c r="AZ15" i="1"/>
  <c r="BA15" i="1" s="1"/>
  <c r="BO14" i="1"/>
  <c r="J16" i="3" s="1"/>
  <c r="AZ14" i="1"/>
  <c r="BA14" i="1" s="1"/>
  <c r="BO13" i="1"/>
  <c r="J26" i="3" s="1"/>
  <c r="BA13" i="1"/>
  <c r="AZ13" i="1"/>
  <c r="G36" i="3" l="1"/>
  <c r="J29" i="3"/>
  <c r="BP64" i="1"/>
  <c r="K33" i="3"/>
  <c r="J51" i="3"/>
  <c r="BP91" i="1"/>
  <c r="J41" i="3"/>
  <c r="BP34" i="1"/>
  <c r="J39" i="3"/>
  <c r="K39" i="3" s="1"/>
  <c r="BP22" i="1"/>
  <c r="K23" i="3"/>
  <c r="H23" i="3"/>
  <c r="G23" i="3"/>
  <c r="M23" i="3" s="1"/>
  <c r="H51" i="3"/>
  <c r="BP18" i="1"/>
  <c r="J50" i="3"/>
  <c r="BP92" i="1"/>
  <c r="AD29" i="2"/>
  <c r="AI29" i="2" s="1"/>
  <c r="J52" i="3"/>
  <c r="BP27" i="1"/>
  <c r="AD28" i="2"/>
  <c r="AI28" i="2" s="1"/>
  <c r="AD35" i="2"/>
  <c r="AI35" i="2" s="1"/>
  <c r="AC48" i="2"/>
  <c r="AH48" i="2" s="1"/>
  <c r="AC53" i="2"/>
  <c r="AH53" i="2" s="1"/>
  <c r="G14" i="3"/>
  <c r="M14" i="3" s="1"/>
  <c r="G25" i="3"/>
  <c r="M25" i="3" s="1"/>
  <c r="J30" i="3"/>
  <c r="H14" i="3"/>
  <c r="H25" i="3"/>
  <c r="H47" i="3"/>
  <c r="K47" i="3"/>
  <c r="BP14" i="1"/>
  <c r="BP87" i="1"/>
  <c r="J42" i="3"/>
  <c r="BP43" i="1"/>
  <c r="J28" i="3"/>
  <c r="BP65" i="1"/>
  <c r="AC11" i="2"/>
  <c r="AH11" i="2" s="1"/>
  <c r="AC42" i="2"/>
  <c r="AH42" i="2" s="1"/>
  <c r="AC49" i="2"/>
  <c r="AH49" i="2" s="1"/>
  <c r="AC54" i="2"/>
  <c r="AH54" i="2" s="1"/>
  <c r="J46" i="3"/>
  <c r="BP57" i="1"/>
  <c r="J21" i="3"/>
  <c r="AC28" i="2"/>
  <c r="AH28" i="2" s="1"/>
  <c r="AC35" i="2"/>
  <c r="AH35" i="2" s="1"/>
  <c r="AC41" i="2"/>
  <c r="AH41" i="2" s="1"/>
  <c r="AD41" i="2"/>
  <c r="AI41" i="2" s="1"/>
  <c r="G20" i="3"/>
  <c r="K20" i="3"/>
  <c r="G47" i="3"/>
  <c r="M47" i="3" s="1"/>
  <c r="BP28" i="1"/>
  <c r="BP32" i="1"/>
  <c r="BP102" i="1"/>
  <c r="AD14" i="2"/>
  <c r="AI14" i="2" s="1"/>
  <c r="AD15" i="2"/>
  <c r="AI15" i="2" s="1"/>
  <c r="AD22" i="2"/>
  <c r="AI22" i="2" s="1"/>
  <c r="AD40" i="2"/>
  <c r="AI40" i="2" s="1"/>
  <c r="H36" i="3"/>
  <c r="M36" i="3" s="1"/>
  <c r="K58" i="3"/>
  <c r="H58" i="3"/>
  <c r="G58" i="3"/>
  <c r="AC34" i="2"/>
  <c r="AH34" i="2" s="1"/>
  <c r="H54" i="3"/>
  <c r="K54" i="3"/>
  <c r="G54" i="3"/>
  <c r="M54" i="3" s="1"/>
  <c r="M58" i="3"/>
  <c r="BP94" i="1"/>
  <c r="AC14" i="2"/>
  <c r="AH14" i="2" s="1"/>
  <c r="AC40" i="2"/>
  <c r="AH40" i="2" s="1"/>
  <c r="AD51" i="2"/>
  <c r="AI51" i="2" s="1"/>
  <c r="H16" i="3"/>
  <c r="G16" i="3"/>
  <c r="M16" i="3" s="1"/>
  <c r="J43" i="3"/>
  <c r="BP29" i="1"/>
  <c r="BP41" i="1"/>
  <c r="AC21" i="2"/>
  <c r="AH21" i="2" s="1"/>
  <c r="AC27" i="2"/>
  <c r="AH27" i="2" s="1"/>
  <c r="AD27" i="2"/>
  <c r="AI27" i="2" s="1"/>
  <c r="K16" i="3"/>
  <c r="H33" i="3"/>
  <c r="G43" i="3"/>
  <c r="BP25" i="1"/>
  <c r="AD26" i="2"/>
  <c r="AI26" i="2" s="1"/>
  <c r="AC39" i="2"/>
  <c r="AH39" i="2" s="1"/>
  <c r="G33" i="3"/>
  <c r="M33" i="3" s="1"/>
  <c r="K44" i="3"/>
  <c r="G55" i="3"/>
  <c r="M55" i="3" s="1"/>
  <c r="K55" i="3"/>
  <c r="BP13" i="1"/>
  <c r="J35" i="3"/>
  <c r="BP50" i="1"/>
  <c r="AD12" i="2"/>
  <c r="AI12" i="2" s="1"/>
  <c r="AC13" i="2"/>
  <c r="AH13" i="2" s="1"/>
  <c r="AC20" i="2"/>
  <c r="AH20" i="2" s="1"/>
  <c r="G44" i="3"/>
  <c r="M44" i="3" s="1"/>
  <c r="H55" i="3"/>
  <c r="F15" i="3"/>
  <c r="J20" i="3"/>
  <c r="F34" i="3"/>
  <c r="G42" i="3"/>
  <c r="G53" i="3"/>
  <c r="M53" i="3" s="1"/>
  <c r="F18" i="3"/>
  <c r="F26" i="3"/>
  <c r="F37" i="3"/>
  <c r="H53" i="3"/>
  <c r="K56" i="3"/>
  <c r="F29" i="3"/>
  <c r="F48" i="3"/>
  <c r="F21" i="3"/>
  <c r="F32" i="3"/>
  <c r="F40" i="3"/>
  <c r="H56" i="3"/>
  <c r="M56" i="3" s="1"/>
  <c r="F52" i="3"/>
  <c r="F45" i="3"/>
  <c r="F38" i="3"/>
  <c r="F31" i="3"/>
  <c r="F24" i="3"/>
  <c r="F17" i="3"/>
  <c r="F27" i="3"/>
  <c r="F19" i="3"/>
  <c r="J24" i="3"/>
  <c r="F30" i="3"/>
  <c r="F49" i="3"/>
  <c r="G57" i="3"/>
  <c r="M57" i="3" s="1"/>
  <c r="M59" i="3"/>
  <c r="F22" i="3"/>
  <c r="F41" i="3"/>
  <c r="K59" i="3"/>
  <c r="H38" i="3" l="1"/>
  <c r="G38" i="3"/>
  <c r="M38" i="3" s="1"/>
  <c r="K38" i="3"/>
  <c r="K49" i="3"/>
  <c r="G49" i="3"/>
  <c r="H49" i="3"/>
  <c r="K42" i="3"/>
  <c r="G28" i="3"/>
  <c r="H28" i="3"/>
  <c r="K22" i="3"/>
  <c r="H22" i="3"/>
  <c r="G22" i="3"/>
  <c r="M22" i="3"/>
  <c r="G34" i="3"/>
  <c r="K34" i="3"/>
  <c r="H34" i="3"/>
  <c r="M34" i="3"/>
  <c r="H40" i="3"/>
  <c r="K40" i="3"/>
  <c r="G40" i="3"/>
  <c r="M40" i="3" s="1"/>
  <c r="M20" i="3"/>
  <c r="K32" i="3"/>
  <c r="H32" i="3"/>
  <c r="G32" i="3"/>
  <c r="K15" i="3"/>
  <c r="H15" i="3"/>
  <c r="G15" i="3"/>
  <c r="M15" i="3"/>
  <c r="K21" i="3"/>
  <c r="H21" i="3"/>
  <c r="G21" i="3"/>
  <c r="M21" i="3" s="1"/>
  <c r="M43" i="3"/>
  <c r="G39" i="3"/>
  <c r="G30" i="3"/>
  <c r="M30" i="3" s="1"/>
  <c r="K30" i="3"/>
  <c r="H30" i="3"/>
  <c r="G48" i="3"/>
  <c r="H48" i="3"/>
  <c r="K48" i="3"/>
  <c r="H43" i="3"/>
  <c r="G46" i="3"/>
  <c r="M46" i="3" s="1"/>
  <c r="G51" i="3"/>
  <c r="M51" i="3" s="1"/>
  <c r="M24" i="3"/>
  <c r="G29" i="3"/>
  <c r="K29" i="3"/>
  <c r="H29" i="3"/>
  <c r="M29" i="3" s="1"/>
  <c r="G50" i="3"/>
  <c r="M50" i="3" s="1"/>
  <c r="K43" i="3"/>
  <c r="H46" i="3"/>
  <c r="H18" i="3"/>
  <c r="G18" i="3"/>
  <c r="M18" i="3" s="1"/>
  <c r="K18" i="3"/>
  <c r="H45" i="3"/>
  <c r="G45" i="3"/>
  <c r="M45" i="3" s="1"/>
  <c r="K45" i="3"/>
  <c r="G41" i="3"/>
  <c r="K41" i="3"/>
  <c r="H41" i="3"/>
  <c r="H52" i="3"/>
  <c r="K52" i="3"/>
  <c r="G52" i="3"/>
  <c r="H19" i="3"/>
  <c r="G19" i="3"/>
  <c r="M19" i="3" s="1"/>
  <c r="K19" i="3"/>
  <c r="H50" i="3"/>
  <c r="G35" i="3"/>
  <c r="M35" i="3" s="1"/>
  <c r="G27" i="3"/>
  <c r="M27" i="3" s="1"/>
  <c r="H27" i="3"/>
  <c r="K27" i="3"/>
  <c r="K50" i="3"/>
  <c r="H35" i="3"/>
  <c r="K17" i="3"/>
  <c r="G17" i="3"/>
  <c r="H17" i="3"/>
  <c r="H42" i="3"/>
  <c r="M42" i="3" s="1"/>
  <c r="K35" i="3"/>
  <c r="K24" i="3"/>
  <c r="H24" i="3"/>
  <c r="G24" i="3"/>
  <c r="H37" i="3"/>
  <c r="G37" i="3"/>
  <c r="M37" i="3" s="1"/>
  <c r="K37" i="3"/>
  <c r="H20" i="3"/>
  <c r="K31" i="3"/>
  <c r="H31" i="3"/>
  <c r="G31" i="3"/>
  <c r="M31" i="3" s="1"/>
  <c r="H26" i="3"/>
  <c r="G26" i="3"/>
  <c r="M26" i="3" s="1"/>
  <c r="K26" i="3"/>
  <c r="H39" i="3"/>
  <c r="M48" i="3" l="1"/>
  <c r="M39" i="3"/>
  <c r="M28" i="3"/>
  <c r="M52" i="3"/>
  <c r="M41" i="3"/>
  <c r="M17" i="3"/>
  <c r="M32" i="3"/>
  <c r="M49" i="3"/>
</calcChain>
</file>

<file path=xl/sharedStrings.xml><?xml version="1.0" encoding="utf-8"?>
<sst xmlns="http://schemas.openxmlformats.org/spreadsheetml/2006/main" count="2060" uniqueCount="369">
  <si>
    <t>PT. SEMARANG AUTOCOMP MANUFACTURING INDONESIA</t>
  </si>
  <si>
    <t>BUDGET EXPENSE FORM</t>
  </si>
  <si>
    <t>EXCHANGE RATE TO USD</t>
  </si>
  <si>
    <t>PERIODE Jul-25 SD Jun-26</t>
  </si>
  <si>
    <t>IDR</t>
  </si>
  <si>
    <t>DEPARTMENT-SECTION : FA-FIN</t>
  </si>
  <si>
    <t>JPY</t>
  </si>
  <si>
    <t>PHP</t>
  </si>
  <si>
    <t>THB</t>
  </si>
  <si>
    <t>USD</t>
  </si>
  <si>
    <t>EUR</t>
  </si>
  <si>
    <t>CHF</t>
  </si>
  <si>
    <t>SECTION</t>
  </si>
  <si>
    <t>BUDGET REF NO</t>
  </si>
  <si>
    <t>PART_NO</t>
  </si>
  <si>
    <t>PART  NAME</t>
  </si>
  <si>
    <t>DETAIL PART</t>
  </si>
  <si>
    <t>FUNGSI / TUJUAN</t>
  </si>
  <si>
    <t>SECTION CATEGORY</t>
  </si>
  <si>
    <t>ACC NO.</t>
  </si>
  <si>
    <t>ACCOUNT DESCRIPTION</t>
  </si>
  <si>
    <t>CATEGORY</t>
  </si>
  <si>
    <t>COST CENTER</t>
  </si>
  <si>
    <t>CARLINE</t>
  </si>
  <si>
    <t>CARMAKER</t>
  </si>
  <si>
    <t>UOM</t>
  </si>
  <si>
    <t>ORG CURR</t>
  </si>
  <si>
    <t>PRICE ORG CURR</t>
  </si>
  <si>
    <t>PRICE USD</t>
  </si>
  <si>
    <t>TOTAL</t>
  </si>
  <si>
    <t>AVERAGE</t>
  </si>
  <si>
    <t>SUB ACCOUNT</t>
  </si>
  <si>
    <t>KODE PROSES</t>
  </si>
  <si>
    <t>PURCHASING</t>
  </si>
  <si>
    <t>LEADTIME</t>
  </si>
  <si>
    <t>QTY</t>
  </si>
  <si>
    <t>AMT</t>
  </si>
  <si>
    <t>PENAWARAN</t>
  </si>
  <si>
    <t>PR</t>
  </si>
  <si>
    <t>PO</t>
  </si>
  <si>
    <t>KEDATANGAN</t>
  </si>
  <si>
    <t>VP</t>
  </si>
  <si>
    <t>FA-FIN</t>
  </si>
  <si>
    <t>ATK002</t>
  </si>
  <si>
    <t>KERTAS</t>
  </si>
  <si>
    <t>KERTAS A4 70GR WHITE</t>
  </si>
  <si>
    <t>Invoice</t>
  </si>
  <si>
    <t>OPEX</t>
  </si>
  <si>
    <t>RUTIN</t>
  </si>
  <si>
    <t>ALL</t>
  </si>
  <si>
    <t>RIM</t>
  </si>
  <si>
    <t>C</t>
  </si>
  <si>
    <t>GA</t>
  </si>
  <si>
    <t>ATK025</t>
  </si>
  <si>
    <t>BALLPOINT</t>
  </si>
  <si>
    <t>BALLPOINT STANDARD AE7</t>
  </si>
  <si>
    <t>PCS</t>
  </si>
  <si>
    <t>9.4058967250262679E-2</t>
  </si>
  <si>
    <t>ATK051</t>
  </si>
  <si>
    <t>DOUBLE TAPE</t>
  </si>
  <si>
    <t>DOUBLE TAPE 1/2" NACHI</t>
  </si>
  <si>
    <t>Kirim Dokumen</t>
  </si>
  <si>
    <t>ROL</t>
  </si>
  <si>
    <t>ATK059</t>
  </si>
  <si>
    <t>ISI PENSIL</t>
  </si>
  <si>
    <t>ISI PENSIL JOYKO 2B</t>
  </si>
  <si>
    <t>Filling Dokumen</t>
  </si>
  <si>
    <t>TUB</t>
  </si>
  <si>
    <t>7.9817198992315777E-2</t>
  </si>
  <si>
    <t>ATK064</t>
  </si>
  <si>
    <t>ISOLASI</t>
  </si>
  <si>
    <t>ISOLASI 0,5" * 25 NACHI</t>
  </si>
  <si>
    <t>7.4120491689137008E-2</t>
  </si>
  <si>
    <t>ATK087</t>
  </si>
  <si>
    <t>PENGHAPUS</t>
  </si>
  <si>
    <t>PENGHAPUS PENSIL STAEDLER</t>
  </si>
  <si>
    <t>ATK088</t>
  </si>
  <si>
    <t>PENSIL</t>
  </si>
  <si>
    <t>PENSIL MEKANIK JOYKO</t>
  </si>
  <si>
    <t>ATK094</t>
  </si>
  <si>
    <t>POST IT</t>
  </si>
  <si>
    <t>POST IT 653 AN (NEON COLOUR)</t>
  </si>
  <si>
    <t>ATK111</t>
  </si>
  <si>
    <t>STABILO</t>
  </si>
  <si>
    <t>STABILO BOSS</t>
  </si>
  <si>
    <t>ATK114</t>
  </si>
  <si>
    <t>STAPLES</t>
  </si>
  <si>
    <t>STAPLER JOYCO BESAR HD 50</t>
  </si>
  <si>
    <t>ATK115</t>
  </si>
  <si>
    <t>STAPLER JOYCO KECIL HD 10</t>
  </si>
  <si>
    <t>ATK120</t>
  </si>
  <si>
    <t>BOARD MARKER</t>
  </si>
  <si>
    <t>BOARD MARKER ARTLINE 157 R</t>
  </si>
  <si>
    <t>ATK131</t>
  </si>
  <si>
    <t>ISI STAPLES</t>
  </si>
  <si>
    <t>ISI STAPLES BANTEX KECIL</t>
  </si>
  <si>
    <t>PACK</t>
  </si>
  <si>
    <t>ATK132</t>
  </si>
  <si>
    <t>ISI STAPLES BANTEX BESAR</t>
  </si>
  <si>
    <t>PAK</t>
  </si>
  <si>
    <t>ATK151</t>
  </si>
  <si>
    <t>MATERAI</t>
  </si>
  <si>
    <t>MATERAI 10000</t>
  </si>
  <si>
    <t>ATK155</t>
  </si>
  <si>
    <t>LAKBAN</t>
  </si>
  <si>
    <t>LAKBAN OPP TAPE SIZE 48MM X 45MIC X 72Y BENING</t>
  </si>
  <si>
    <t>ROLL</t>
  </si>
  <si>
    <t>ELC277</t>
  </si>
  <si>
    <t>TZ TAPE</t>
  </si>
  <si>
    <t>TZ TAPE TZ TAPES 18MM</t>
  </si>
  <si>
    <t>STO Aset</t>
  </si>
  <si>
    <t>ENT001</t>
  </si>
  <si>
    <t>ENTERTAIN</t>
  </si>
  <si>
    <t>ENTERTAIN MAKAN SIANG</t>
  </si>
  <si>
    <t>NYG-Audit financial</t>
  </si>
  <si>
    <t>ORANG</t>
  </si>
  <si>
    <t>D</t>
  </si>
  <si>
    <t>ENT002</t>
  </si>
  <si>
    <t>ENTERTAIN MAKAN MALAM</t>
  </si>
  <si>
    <t>FA010</t>
  </si>
  <si>
    <t>OUT OF POCKET</t>
  </si>
  <si>
    <t>OUT OF POCKET AUDIT</t>
  </si>
  <si>
    <t>MT-Audit financial</t>
  </si>
  <si>
    <t>LOT</t>
  </si>
  <si>
    <t>B</t>
  </si>
  <si>
    <t>FA012</t>
  </si>
  <si>
    <t>FINANCIAL AUDIT FEE</t>
  </si>
  <si>
    <t>DELOITTE</t>
  </si>
  <si>
    <t>Audit financial Fee</t>
  </si>
  <si>
    <t>FA013</t>
  </si>
  <si>
    <t>TAX CONSULTANT FEE</t>
  </si>
  <si>
    <t>CIT Review</t>
  </si>
  <si>
    <t>Tax Consultan Fee CITR</t>
  </si>
  <si>
    <t>FA015</t>
  </si>
  <si>
    <t>Advance Pricing Agreement (APA)</t>
  </si>
  <si>
    <t>Tax Consultan Fee APA</t>
  </si>
  <si>
    <t>FA016</t>
  </si>
  <si>
    <t>TRANSFER PRICING DOCUMENT FEE</t>
  </si>
  <si>
    <t>Tax Consultan Fee TP Doc</t>
  </si>
  <si>
    <t>FA017</t>
  </si>
  <si>
    <t>ADMINISTRASI NETTING</t>
  </si>
  <si>
    <t>NETTING YC</t>
  </si>
  <si>
    <t>Adm Netting</t>
  </si>
  <si>
    <t>FA018</t>
  </si>
  <si>
    <t>DELOITTE 30% &amp; 20%</t>
  </si>
  <si>
    <t>Audit financial Fee 30%</t>
  </si>
  <si>
    <t>FA019</t>
  </si>
  <si>
    <t>TAX CONSULTANT FEE ASSISTANCE FEE</t>
  </si>
  <si>
    <t>Tax Consultan Fee Pemeriksaan</t>
  </si>
  <si>
    <t>PCG004</t>
  </si>
  <si>
    <t>KARET GELANG</t>
  </si>
  <si>
    <t>KG</t>
  </si>
  <si>
    <t>PTK001</t>
  </si>
  <si>
    <t>AMPLOP</t>
  </si>
  <si>
    <t>AMPLOP BESAR COKLAT BERKOP</t>
  </si>
  <si>
    <t>PTK172</t>
  </si>
  <si>
    <t>STICKER</t>
  </si>
  <si>
    <t>STICKER STO FIX ASSET</t>
  </si>
  <si>
    <t>7.912093476637171E-3</t>
  </si>
  <si>
    <t>PTK178</t>
  </si>
  <si>
    <t>TINTA STAMP</t>
  </si>
  <si>
    <t>TINTA STAMP TINTA ISTIMEWA BIRU</t>
  </si>
  <si>
    <t>Isi ulang stamp SAMI dan stamp proses</t>
  </si>
  <si>
    <t>PTK180</t>
  </si>
  <si>
    <t>TINTA STAMP TINTA ISTIMEWA MERAH</t>
  </si>
  <si>
    <t>PTK238</t>
  </si>
  <si>
    <t>STAMP</t>
  </si>
  <si>
    <t>STAMP S82D</t>
  </si>
  <si>
    <t>STAMPLE ACCRUED</t>
  </si>
  <si>
    <t>STAMPLE CLOSED PUM</t>
  </si>
  <si>
    <t>STAMPLE PAID</t>
  </si>
  <si>
    <t>STAMPLE PROCESSED</t>
  </si>
  <si>
    <t>STAMPLE TAX</t>
  </si>
  <si>
    <t>RENT054</t>
  </si>
  <si>
    <t>PERJALANAN DINAS</t>
  </si>
  <si>
    <t>SEWA  MOBIL  INNOVA ZENIX  ALL IN - (EXC  TOL, PARKIR DAN INAP DRIVER) -  MOJOKERTO/SIDOARJO/SURABAYA</t>
  </si>
  <si>
    <t>MT-YIG FA meeting Agustus ke SAI</t>
  </si>
  <si>
    <t>UNIT</t>
  </si>
  <si>
    <t>RENT064</t>
  </si>
  <si>
    <t>BIAYA TOL DAN PARKIR (PP 3 HARI)</t>
  </si>
  <si>
    <t>TIT025</t>
  </si>
  <si>
    <t>BIAYA INAP DRIVER PERJALANAN DINAS</t>
  </si>
  <si>
    <t>MALAM</t>
  </si>
  <si>
    <t>TO003</t>
  </si>
  <si>
    <t>TIKET PESAWAT MEETING/BENCHMARK GOL IV(DALAM NEGERI)</t>
  </si>
  <si>
    <t>MT-YIG FA meeting Jan ke PASI</t>
  </si>
  <si>
    <t>TO004</t>
  </si>
  <si>
    <t>TIKET PESAWAT MEETING/BENCHMARK GOL V EKONOMI (DALAM NEGERI)</t>
  </si>
  <si>
    <t>TO012</t>
  </si>
  <si>
    <t>TIKET PESAWAT MEETING/BENCMARK LUAR NEGERI (ASIA KECUALI JEPANG ) GOL V</t>
  </si>
  <si>
    <t>MT-Meeting STP ke YICAP</t>
  </si>
  <si>
    <t>TO019</t>
  </si>
  <si>
    <t>HOTEL</t>
  </si>
  <si>
    <t>HOTEL MEETING/BENCHMARK GOL III(DALAM NEGERI)</t>
  </si>
  <si>
    <t>HARI</t>
  </si>
  <si>
    <t>TO020</t>
  </si>
  <si>
    <t>HOTEL MEETING/BENCHMARK GOL IV(DALAM NEGERI)</t>
  </si>
  <si>
    <t>TO021</t>
  </si>
  <si>
    <t>HOTEL MEETING/BENCHMARK GOL V(DALAM NEGERI)</t>
  </si>
  <si>
    <t>TO029</t>
  </si>
  <si>
    <t>HOTEL MEETING/BENCHMARK GOL V LUAR NEGERI (ASIA KECUALI JEPANG)</t>
  </si>
  <si>
    <t>TO113</t>
  </si>
  <si>
    <t>LAUNDRY PERJALANAN DINAS PER HARI</t>
  </si>
  <si>
    <t>TOL092</t>
  </si>
  <si>
    <t>MAGIC TWIST</t>
  </si>
  <si>
    <t>MAGIC TWIST SELLERY 59-125</t>
  </si>
  <si>
    <t>TRANS001</t>
  </si>
  <si>
    <t>LOCAL TRANSPORT PD</t>
  </si>
  <si>
    <t>LOKAL TRANSPORT PERJALANAN DINAS DALAM NEGERI</t>
  </si>
  <si>
    <t>TRANS005</t>
  </si>
  <si>
    <t xml:space="preserve">LOCAL TRANSPORT </t>
  </si>
  <si>
    <t>PERJALANAN DINAS LUAR NEGERI(ASIA KECUALI JEPANG)GOL V</t>
  </si>
  <si>
    <t>UPD004</t>
  </si>
  <si>
    <t>UPD</t>
  </si>
  <si>
    <t>UANG SAKU PD DALAM NEGERI GOL IV</t>
  </si>
  <si>
    <t>UPD00402</t>
  </si>
  <si>
    <t>UANG MAKAN SIANG PD DALAM NEGERI GOL IV</t>
  </si>
  <si>
    <t>UPD00403</t>
  </si>
  <si>
    <t>UANG MAKAN MALAM PD DALAM NEGERI GOL IV</t>
  </si>
  <si>
    <t>UPD005</t>
  </si>
  <si>
    <t>UANG SAKU PD DALAM NEGERI GOL V</t>
  </si>
  <si>
    <t>UPD00502</t>
  </si>
  <si>
    <t>UANG MAKAN SIANG PD DALAM NEGERI GOL V</t>
  </si>
  <si>
    <t>UPD00503</t>
  </si>
  <si>
    <t>UANG MAKAN MALAM PD DALAM NEGERI GOL V</t>
  </si>
  <si>
    <t>UPD013</t>
  </si>
  <si>
    <t>UPD LUAR NEGERI ASIA KECUALI JEPANG GOL V</t>
  </si>
  <si>
    <t>YIG-Entertain tamu PASI-JAI-SAI-PEMI benchmark tax</t>
  </si>
  <si>
    <t>INSIDENTAL</t>
  </si>
  <si>
    <t>YIG-Entertain tamu PEMI benchmark</t>
  </si>
  <si>
    <t>YIG-Konsolidasi TF-JF</t>
  </si>
  <si>
    <t>YIG-Training Odoo tamu PASI</t>
  </si>
  <si>
    <t>FA002</t>
  </si>
  <si>
    <t>BIAYA TRAINING</t>
  </si>
  <si>
    <t>BREVET PAJAK</t>
  </si>
  <si>
    <t>Brevet Pajak AB online</t>
  </si>
  <si>
    <t>FA004</t>
  </si>
  <si>
    <t>BIAYA TRAINING CPSAK COURSE</t>
  </si>
  <si>
    <t>CPSAK Course</t>
  </si>
  <si>
    <t>FA022</t>
  </si>
  <si>
    <t>BIAYA TRAINING TRADING</t>
  </si>
  <si>
    <t>Training Foreign Exchange</t>
  </si>
  <si>
    <t>GAGS013</t>
  </si>
  <si>
    <t>SOVENIR</t>
  </si>
  <si>
    <t>SOVENIR AFFILIATE</t>
  </si>
  <si>
    <t xml:space="preserve">BM-Finance Jul ke JAI-SAI </t>
  </si>
  <si>
    <t>BM-Finance Oct ke SUAI</t>
  </si>
  <si>
    <t>GAGS03</t>
  </si>
  <si>
    <t>SEWA ARMADA</t>
  </si>
  <si>
    <t>SEWA ARMADA HI ACE</t>
  </si>
  <si>
    <t>RENT055</t>
  </si>
  <si>
    <t>SEWA  MOBIL  INNOVA ZENIX  ALL IN - (EXC  TOL, PARKIR DAN INAP DRIVER) -  SUBANG/KARAWANG</t>
  </si>
  <si>
    <t>BM-Kunjungan ke BI</t>
  </si>
  <si>
    <t>UPD003</t>
  </si>
  <si>
    <t>UANG SAKU PD DALAM NEGERI GOL III</t>
  </si>
  <si>
    <t>UPD00302</t>
  </si>
  <si>
    <t>UANG MAKAN SIANG PD DALAM NEGERI GOL III</t>
  </si>
  <si>
    <t>UPD00303</t>
  </si>
  <si>
    <t>UANG MAKAN MALAM PD DALAM NEGERI GOL III</t>
  </si>
  <si>
    <t>STP QTY</t>
  </si>
  <si>
    <t>STP AMT</t>
  </si>
  <si>
    <t>TERM 85</t>
  </si>
  <si>
    <t>TERM 84</t>
  </si>
  <si>
    <t>ACC NO</t>
  </si>
  <si>
    <t>ACC DESCRIPTION</t>
  </si>
  <si>
    <t>PART NAME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</si>
  <si>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</si>
  <si>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</si>
  <si>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</si>
  <si>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</si>
  <si>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</si>
  <si>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</si>
  <si>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</si>
  <si>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</si>
  <si>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</si>
  <si>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</si>
  <si>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</si>
  <si>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</si>
  <si>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TOTAL QTY</t>
  </si>
  <si>
    <t>TOTAL AMT</t>
  </si>
  <si>
    <t>PERCENTAGE QTY</t>
  </si>
  <si>
    <t>PERCENTAGE AMT</t>
  </si>
  <si>
    <t>REMARKS</t>
  </si>
  <si>
    <t>YIG MEETING</t>
  </si>
  <si>
    <t>Budget di Term 85 tidak ada, sedangkan di Term 84 ada.</t>
  </si>
  <si>
    <t>ACCOUNTING TRAINING</t>
  </si>
  <si>
    <t>MAP</t>
  </si>
  <si>
    <t>PERJALANAN DINAS BY CAR</t>
  </si>
  <si>
    <t>TIKET PERJALANAN DINAS</t>
  </si>
  <si>
    <t>BUDGET ANALYSIS SHEETS</t>
  </si>
  <si>
    <t>F</t>
  </si>
  <si>
    <t>FIXED COST</t>
  </si>
  <si>
    <t>CHECKED 2</t>
  </si>
  <si>
    <t>CHECKED 1</t>
  </si>
  <si>
    <t>PREPARED</t>
  </si>
  <si>
    <t>TERM 85 (JULY 2025 - JUNE 2026)</t>
  </si>
  <si>
    <t>V</t>
  </si>
  <si>
    <t>VARIABLE COST</t>
  </si>
  <si>
    <t>DEPART/SECT : FA-FIN</t>
  </si>
  <si>
    <t>MGR/SM</t>
  </si>
  <si>
    <t>CO SPV/ASMAN</t>
  </si>
  <si>
    <t>SPV</t>
  </si>
  <si>
    <t>CTG</t>
  </si>
  <si>
    <t>Term 84</t>
  </si>
  <si>
    <t>Term 85</t>
  </si>
  <si>
    <t>PERCENTAGE</t>
  </si>
  <si>
    <t>Remarks</t>
  </si>
  <si>
    <t>STP</t>
  </si>
  <si>
    <t>Act+Forecast</t>
  </si>
  <si>
    <t>Nariyuki</t>
  </si>
  <si>
    <t>Cost Push</t>
  </si>
  <si>
    <t>Cost Reduction</t>
  </si>
  <si>
    <t>Other</t>
  </si>
  <si>
    <t>Amount</t>
  </si>
  <si>
    <t>A</t>
  </si>
  <si>
    <t>E</t>
  </si>
  <si>
    <t>G</t>
  </si>
  <si>
    <t>H=(G-C)/C</t>
  </si>
  <si>
    <t>Production Manhour Total</t>
  </si>
  <si>
    <t>Production Manhour / Month</t>
  </si>
  <si>
    <t>CEK (Harus 0)</t>
  </si>
  <si>
    <t>Refleksi Term 84</t>
  </si>
  <si>
    <t>Additional Budget</t>
  </si>
  <si>
    <t>Item Tidak Dipakai</t>
  </si>
  <si>
    <t>STP Term 85</t>
  </si>
  <si>
    <t>Cost Push Harga Naik</t>
  </si>
  <si>
    <t>Cost Push Qty Naik</t>
  </si>
  <si>
    <t>Cost Push Item Baru</t>
  </si>
  <si>
    <t>No</t>
  </si>
  <si>
    <t>Item</t>
  </si>
  <si>
    <t>Remark</t>
  </si>
  <si>
    <t>Term</t>
  </si>
  <si>
    <t>Keterangan</t>
  </si>
  <si>
    <t>Measure for FY85 STP</t>
  </si>
  <si>
    <t>Pembelian oleh-oleh makanan untuk benchmark ke SAI-JAI-SUAI, aturan GA diijinkan memberikan sovenir jika tujuannya benchmark</t>
  </si>
  <si>
    <t>Local transport taxi/MRT terkait Kunjungan ke BI dibulan Oktober</t>
  </si>
  <si>
    <t>Keperluan untuk merapikan dokumen yang sobek saat scan</t>
  </si>
  <si>
    <t>Cost push Item baru</t>
  </si>
  <si>
    <t>Cost push Qty Naik</t>
  </si>
  <si>
    <t>T-84 Benchmark hanya ke SAI-JAI, T-85 ada plan benchmark SAI-JAI, SUAI terkait sistem invoicing non WH dan Advance Payment, serta kunjungan ke BI (program PASI) terkait pelaporan devisa negara</t>
  </si>
  <si>
    <t>T-84 hanya ada entertain untuk tamu JAI. T-85 ada Entertain tamu Affiliasi terkait benchmark FATP dan sistem Odoo dibulan Sep, Nov dan Jan 26</t>
  </si>
  <si>
    <t xml:space="preserve">T-84 Pelaksanaan YIG meeting di SAMI dan PASI, T-85 pelaksanaan YIG meeting di SAI dan PASI </t>
  </si>
  <si>
    <t>Local transport terkait YIG FA meeting Jan ke PASI, ketika YIG meeting transportasi yang digunakan hotel ke office PASI menggunakan taksi/MRT untuk 3 orang. Tidak ada reimbursement atas local transport di T-84 sehingga di T-85 ditambahkan</t>
  </si>
  <si>
    <t>penambahan 2 pcs untuk packing dokumen setelah scan (project dokumen sistem)</t>
  </si>
  <si>
    <t>T-84 kebutuhan hanya untuk staff Finance &amp; Acc. T-85 kebutuhan ditambahkan untuk Tax &amp; pricing</t>
  </si>
  <si>
    <t>penambahan  4 pcs semula 8 menjadi 12 pcs untuk packing dokumen setelah scan (project dokumen sistem)</t>
  </si>
  <si>
    <t>T-84 kebutuhan hanya untuk staff Finance &amp; Acc. T-85 kebutuhan ditambahkan untuk Tax &amp; 1 member accounting lagi</t>
  </si>
  <si>
    <t>Qty turun, check stock opname masih tersedia 100 pcs amplop coklat, sehingga cukup menambahkan kekurangan yang dibutuhkan sampai dengan T-85</t>
  </si>
  <si>
    <t>Price naik, konfirmasi purchasing setting harga stationary ada kenaikan dan kunci 1 term (1375 menjadi 1486)</t>
  </si>
  <si>
    <t>Price naik, konfirmasi purchasing setting harga stationary ada kenaikan dan kunci 1 term</t>
  </si>
  <si>
    <t>Qty naik, penambahan  4 pcs semula 8 menjadi 12 pcs untuk packing dokumen setelah scan (project dokumen sistem)</t>
  </si>
  <si>
    <t>Original fee Deloitte dalam USD, kemudian ditagihkan dalam rupiah menggunakan KURS tanggal Kontrak ditandatangani. Kurs ditandatangani kontrak adalah 16.154, sedangkan KURS STP 15798.6, sehingga amountnya turun</t>
  </si>
  <si>
    <t xml:space="preserve">Qty naik, T-84 Pelaksanaan YIG meeting di SAMI dan PASI, T-85 pelaksanaan YIG meeting di SAI dan PASI </t>
  </si>
  <si>
    <t xml:space="preserve">Price naik, perubahan spec isi steples untuk keperluan filing dokumen, karena kualitas sebelumnya tidak bagus dan tidak kuat </t>
  </si>
  <si>
    <t>Item baru, keperluan untuk merapikan dokumen yang sobek saat scan</t>
  </si>
  <si>
    <t>Price turun, konfirmasi ke purchasing karena ada perubahan supplier semula ke broker menjadi ke retail langsung sehingga price lebih murah</t>
  </si>
  <si>
    <t>Qty turun, project digitalisasi, kertas hanya digunakan untuk invoice dan surat menyurat pajak</t>
  </si>
  <si>
    <t>Qty naik, penambahan 2 pcs untuk packing dokumen setelah scan (project dokumen sistem)</t>
  </si>
  <si>
    <t>Qty naik, Local transport terkait YIG FA meeting Jan ke PASI, ketika YIG meeting transportasi yang digunakan hotel ke office PASI menggunakan taksi/MRT untuk 3 orang. Tidak ada reimbursement atas local transport di T-84 sehingga di T-85 ditambahkan</t>
  </si>
  <si>
    <t>Price naik, konfirmasi purchasing ada kenaikkan pada quotation yang diinfokan dari supplier</t>
  </si>
  <si>
    <t>Qty naik, T-84 kebutuhan hanya untuk staff Finance &amp; Acc. T-85 kebutuhan ditambahkan untuk Tax &amp; 1 member accounting lagi</t>
  </si>
  <si>
    <t>Biaya transportasi T-85 untuk perjalanan dinas turun karena biaya sudah All in untuk perjalanan dinas by car 3 hari, kecuali biaya tol dan parkir serta biaya inap driver</t>
  </si>
  <si>
    <t>Qty naik, T-84 kebutuhan hanya untuk staff Finance &amp; Acc. T-85 kebutuhan ditambahkan untuk Tax &amp; pricing</t>
  </si>
  <si>
    <t>Qty turun, karena stock tinta warna hitam masih ada dan bisa untuk 1 term</t>
  </si>
  <si>
    <t>Price turun, konfirmasi Tax T84 audit, keberatan dan banding ada 3, 2020, 2021, 2022. T85 hanya ada 2, 2021 dan 2022</t>
  </si>
  <si>
    <t>T-85 ada perubahan jumlah member brevet pajak training. T-85 brevet pajak untuk 2 member,T-84 brevet pajak untuk 3 member</t>
  </si>
  <si>
    <t>Qty turun, T-85 transportasi untuk konsolidasi Finance TF-JF dengan tujuan meningkatkan komunikasi yang dilakukan 1-2x dalam 1 tahun. Sementara T-84 biaya sewa armada untuk akomodasi tamu affiliasi saat YIG meeting diadakan di SAMI di bulan Juli 2025</t>
  </si>
  <si>
    <t>Item Baru, pembelian oleh-oleh makanan untuk benchmark ke SAI-JAI-SUAI, aturan GA diijinkan memberikan sovenir jika tujuannya benchmark</t>
  </si>
  <si>
    <t>Budget T-85 tidak ada karena YIG meeting hanya dilaksanakan sesuai urutan di afiliasi, belum tentu 1 tahun sekali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</si>
</sst>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 * #,##0.00_ ;_ * \-#,##0.00_ ;_ * &quot;-&quot;_ ;_ @_ 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FF66C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99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166" fontId="3" fillId="3" borderId="0" xfId="0" applyNumberFormat="1" applyFont="1" applyFill="1"/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0" fontId="0" fillId="0" borderId="1" xfId="0" applyNumberFormat="1" applyBorder="1"/>
    <xf numFmtId="0" fontId="0" fillId="6" borderId="0" xfId="0" applyFill="1"/>
    <xf numFmtId="0" fontId="1" fillId="7" borderId="2" xfId="0" applyFont="1" applyFill="1" applyBorder="1"/>
    <xf numFmtId="0" fontId="1" fillId="7" borderId="3" xfId="0" applyFont="1" applyFill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" fillId="7" borderId="3" xfId="0" applyNumberFormat="1" applyFont="1" applyFill="1" applyBorder="1"/>
    <xf numFmtId="43" fontId="0" fillId="0" borderId="0" xfId="0" applyNumberFormat="1"/>
    <xf numFmtId="0" fontId="0" fillId="6" borderId="0" xfId="0" applyFill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 applyAlignment="1">
      <alignment wrapText="1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/>
    <xf numFmtId="0" fontId="1" fillId="8" borderId="3" xfId="0" applyFont="1" applyFill="1" applyBorder="1"/>
    <xf numFmtId="0" fontId="0" fillId="8" borderId="0" xfId="0" applyFill="1"/>
    <xf numFmtId="165" fontId="0" fillId="8" borderId="1" xfId="0" applyNumberFormat="1" applyFill="1" applyBorder="1"/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2" xfId="0" applyFont="1" applyFill="1" applyBorder="1"/>
    <xf numFmtId="0" fontId="1" fillId="9" borderId="3" xfId="0" applyFont="1" applyFill="1" applyBorder="1"/>
    <xf numFmtId="0" fontId="0" fillId="9" borderId="0" xfId="0" applyFill="1"/>
    <xf numFmtId="165" fontId="0" fillId="9" borderId="1" xfId="0" applyNumberFormat="1" applyFill="1" applyBorder="1"/>
    <xf numFmtId="0" fontId="4" fillId="0" borderId="0" xfId="0" applyFont="1"/>
    <xf numFmtId="165" fontId="4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20"/>
  <sheetViews>
    <sheetView topLeftCell="A6" zoomScale="52" zoomScaleNormal="40" workbookViewId="0">
      <pane xSplit="5" ySplit="8" topLeftCell="BG87" activePane="bottomRight" state="frozen"/>
      <selection activeCell="A6" sqref="A6"/>
      <selection pane="topRight" activeCell="F6" sqref="F6"/>
      <selection pane="bottomLeft" activeCell="A14" sqref="A14"/>
      <selection pane="bottomRight" activeCell="BO13" sqref="BO13:BO120"/>
    </sheetView>
  </sheetViews>
  <sheetFormatPr defaultRowHeight="14.5" x14ac:dyDescent="0.35"/>
  <cols>
    <col min="1" max="1" width="8.453125" customWidth="1"/>
    <col min="2" max="3" width="17.453125" customWidth="1"/>
    <col min="4" max="4" width="28.453125" customWidth="1"/>
    <col min="5" max="5" width="50" customWidth="1"/>
    <col min="6" max="6" width="18.453125" customWidth="1"/>
    <col min="7" max="7" width="13" customWidth="1"/>
    <col min="8" max="8" width="12" customWidth="1"/>
    <col min="9" max="9" width="30" customWidth="1"/>
    <col min="10" max="13" width="19" customWidth="1"/>
    <col min="14" max="14" width="10" customWidth="1"/>
    <col min="15" max="66" width="12" customWidth="1"/>
    <col min="67" max="69" width="18" customWidth="1"/>
    <col min="70" max="78" width="9" customWidth="1"/>
  </cols>
  <sheetData>
    <row r="1" spans="1:78" x14ac:dyDescent="0.35">
      <c r="A1" s="3" t="s">
        <v>0</v>
      </c>
    </row>
    <row r="2" spans="1:78" x14ac:dyDescent="0.35">
      <c r="A2" s="3" t="s">
        <v>1</v>
      </c>
      <c r="N2" s="13" t="s">
        <v>2</v>
      </c>
      <c r="O2" s="13"/>
    </row>
    <row r="3" spans="1:78" x14ac:dyDescent="0.35">
      <c r="A3" s="3" t="s">
        <v>3</v>
      </c>
      <c r="N3" s="13" t="s">
        <v>4</v>
      </c>
      <c r="O3" s="13">
        <v>15798.6</v>
      </c>
    </row>
    <row r="4" spans="1:78" x14ac:dyDescent="0.35">
      <c r="A4" s="3" t="s">
        <v>5</v>
      </c>
      <c r="N4" s="13" t="s">
        <v>6</v>
      </c>
      <c r="O4" s="13">
        <v>151</v>
      </c>
    </row>
    <row r="5" spans="1:78" x14ac:dyDescent="0.35">
      <c r="A5" s="3"/>
      <c r="N5" s="13" t="s">
        <v>7</v>
      </c>
      <c r="O5" s="13">
        <v>57.670999999999999</v>
      </c>
    </row>
    <row r="6" spans="1:78" x14ac:dyDescent="0.35">
      <c r="N6" s="13" t="s">
        <v>8</v>
      </c>
      <c r="O6" s="13">
        <v>34.372999999999998</v>
      </c>
    </row>
    <row r="7" spans="1:78" x14ac:dyDescent="0.35">
      <c r="N7" s="13" t="s">
        <v>9</v>
      </c>
      <c r="O7" s="13">
        <v>1</v>
      </c>
    </row>
    <row r="8" spans="1:78" x14ac:dyDescent="0.35">
      <c r="N8" s="13" t="s">
        <v>10</v>
      </c>
      <c r="O8" s="13">
        <v>0.92600000000000005</v>
      </c>
    </row>
    <row r="9" spans="1:78" x14ac:dyDescent="0.35">
      <c r="N9" t="s">
        <v>11</v>
      </c>
      <c r="O9">
        <v>0.872</v>
      </c>
    </row>
    <row r="10" spans="1:78" x14ac:dyDescent="0.35">
      <c r="A10" s="51" t="s">
        <v>12</v>
      </c>
      <c r="B10" s="51" t="s">
        <v>13</v>
      </c>
      <c r="C10" s="51" t="s">
        <v>14</v>
      </c>
      <c r="D10" s="51" t="s">
        <v>15</v>
      </c>
      <c r="E10" s="51" t="s">
        <v>16</v>
      </c>
      <c r="F10" s="51" t="s">
        <v>17</v>
      </c>
      <c r="G10" s="52" t="s">
        <v>18</v>
      </c>
      <c r="H10" s="51" t="s">
        <v>19</v>
      </c>
      <c r="I10" s="51" t="s">
        <v>20</v>
      </c>
      <c r="J10" s="51" t="s">
        <v>21</v>
      </c>
      <c r="K10" s="51" t="s">
        <v>22</v>
      </c>
      <c r="L10" s="51" t="s">
        <v>23</v>
      </c>
      <c r="M10" s="51" t="s">
        <v>24</v>
      </c>
      <c r="N10" s="51" t="s">
        <v>25</v>
      </c>
      <c r="O10" s="51" t="s">
        <v>26</v>
      </c>
      <c r="P10" s="51" t="s">
        <v>27</v>
      </c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 t="s">
        <v>28</v>
      </c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6">
        <v>202507</v>
      </c>
      <c r="AO10" s="6">
        <v>202508</v>
      </c>
      <c r="AP10" s="6">
        <v>202509</v>
      </c>
      <c r="AQ10" s="6">
        <v>202510</v>
      </c>
      <c r="AR10" s="6">
        <v>202511</v>
      </c>
      <c r="AS10" s="6">
        <v>202512</v>
      </c>
      <c r="AT10" s="6">
        <v>202601</v>
      </c>
      <c r="AU10" s="6">
        <v>202602</v>
      </c>
      <c r="AV10" s="6">
        <v>202603</v>
      </c>
      <c r="AW10" s="6">
        <v>202604</v>
      </c>
      <c r="AX10" s="6">
        <v>202605</v>
      </c>
      <c r="AY10" s="6">
        <v>202606</v>
      </c>
      <c r="AZ10" s="51" t="s">
        <v>29</v>
      </c>
      <c r="BA10" s="51" t="s">
        <v>30</v>
      </c>
      <c r="BB10" s="5"/>
      <c r="BC10" s="6">
        <v>202507</v>
      </c>
      <c r="BD10" s="6">
        <v>202508</v>
      </c>
      <c r="BE10" s="6">
        <v>202509</v>
      </c>
      <c r="BF10" s="6">
        <v>202510</v>
      </c>
      <c r="BG10" s="6">
        <v>202511</v>
      </c>
      <c r="BH10" s="6">
        <v>202512</v>
      </c>
      <c r="BI10" s="6">
        <v>202601</v>
      </c>
      <c r="BJ10" s="6">
        <v>202602</v>
      </c>
      <c r="BK10" s="6">
        <v>202603</v>
      </c>
      <c r="BL10" s="6">
        <v>202604</v>
      </c>
      <c r="BM10" s="6">
        <v>202605</v>
      </c>
      <c r="BN10" s="6">
        <v>202606</v>
      </c>
      <c r="BO10" s="51" t="s">
        <v>29</v>
      </c>
      <c r="BP10" s="51" t="s">
        <v>30</v>
      </c>
      <c r="BQ10" s="6"/>
      <c r="BR10" s="53" t="s">
        <v>31</v>
      </c>
      <c r="BS10" s="53" t="s">
        <v>32</v>
      </c>
      <c r="BT10" s="53" t="s">
        <v>33</v>
      </c>
      <c r="BU10" s="53" t="s">
        <v>34</v>
      </c>
      <c r="BV10" s="53"/>
      <c r="BW10" s="53"/>
      <c r="BX10" s="53"/>
      <c r="BY10" s="53"/>
      <c r="BZ10" s="53"/>
    </row>
    <row r="11" spans="1:78" ht="30" customHeight="1" x14ac:dyDescent="0.3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6">
        <v>202507</v>
      </c>
      <c r="Q11" s="6">
        <v>202508</v>
      </c>
      <c r="R11" s="6">
        <v>202509</v>
      </c>
      <c r="S11" s="6">
        <v>202510</v>
      </c>
      <c r="T11" s="6">
        <v>202511</v>
      </c>
      <c r="U11" s="6">
        <v>202512</v>
      </c>
      <c r="V11" s="6">
        <v>202601</v>
      </c>
      <c r="W11" s="6">
        <v>202602</v>
      </c>
      <c r="X11" s="6">
        <v>202603</v>
      </c>
      <c r="Y11" s="6">
        <v>202604</v>
      </c>
      <c r="Z11" s="6">
        <v>202605</v>
      </c>
      <c r="AA11" s="6">
        <v>202606</v>
      </c>
      <c r="AB11" s="6">
        <v>202507</v>
      </c>
      <c r="AC11" s="6">
        <v>202508</v>
      </c>
      <c r="AD11" s="6">
        <v>202509</v>
      </c>
      <c r="AE11" s="6">
        <v>202510</v>
      </c>
      <c r="AF11" s="6">
        <v>202511</v>
      </c>
      <c r="AG11" s="6">
        <v>202512</v>
      </c>
      <c r="AH11" s="6">
        <v>202601</v>
      </c>
      <c r="AI11" s="6">
        <v>202602</v>
      </c>
      <c r="AJ11" s="6">
        <v>202603</v>
      </c>
      <c r="AK11" s="6">
        <v>202604</v>
      </c>
      <c r="AL11" s="6">
        <v>202605</v>
      </c>
      <c r="AM11" s="6">
        <v>202606</v>
      </c>
      <c r="AN11" s="6" t="s">
        <v>35</v>
      </c>
      <c r="AO11" s="6" t="s">
        <v>35</v>
      </c>
      <c r="AP11" s="6" t="s">
        <v>35</v>
      </c>
      <c r="AQ11" s="6" t="s">
        <v>35</v>
      </c>
      <c r="AR11" s="6" t="s">
        <v>35</v>
      </c>
      <c r="AS11" s="6" t="s">
        <v>35</v>
      </c>
      <c r="AT11" s="6" t="s">
        <v>35</v>
      </c>
      <c r="AU11" s="6" t="s">
        <v>35</v>
      </c>
      <c r="AV11" s="6" t="s">
        <v>35</v>
      </c>
      <c r="AW11" s="6" t="s">
        <v>35</v>
      </c>
      <c r="AX11" s="6" t="s">
        <v>35</v>
      </c>
      <c r="AY11" s="6" t="s">
        <v>35</v>
      </c>
      <c r="AZ11" s="51"/>
      <c r="BA11" s="51"/>
      <c r="BB11" s="5"/>
      <c r="BC11" s="6" t="s">
        <v>36</v>
      </c>
      <c r="BD11" s="6" t="s">
        <v>36</v>
      </c>
      <c r="BE11" s="6" t="s">
        <v>36</v>
      </c>
      <c r="BF11" s="6" t="s">
        <v>36</v>
      </c>
      <c r="BG11" s="6" t="s">
        <v>36</v>
      </c>
      <c r="BH11" s="6" t="s">
        <v>36</v>
      </c>
      <c r="BI11" s="6" t="s">
        <v>36</v>
      </c>
      <c r="BJ11" s="6" t="s">
        <v>36</v>
      </c>
      <c r="BK11" s="6" t="s">
        <v>36</v>
      </c>
      <c r="BL11" s="6" t="s">
        <v>36</v>
      </c>
      <c r="BM11" s="6" t="s">
        <v>36</v>
      </c>
      <c r="BN11" s="6" t="s">
        <v>36</v>
      </c>
      <c r="BO11" s="51"/>
      <c r="BP11" s="51"/>
      <c r="BQ11" s="6"/>
      <c r="BR11" s="53"/>
      <c r="BS11" s="53"/>
      <c r="BT11" s="53"/>
      <c r="BU11" s="8" t="s">
        <v>37</v>
      </c>
      <c r="BV11" s="8" t="s">
        <v>38</v>
      </c>
      <c r="BW11" s="8" t="s">
        <v>39</v>
      </c>
      <c r="BX11" s="8" t="s">
        <v>40</v>
      </c>
      <c r="BY11" s="8" t="s">
        <v>41</v>
      </c>
      <c r="BZ11" s="8"/>
    </row>
    <row r="12" spans="1:78" ht="20.5" customHeight="1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</row>
    <row r="13" spans="1:78" x14ac:dyDescent="0.35">
      <c r="A13" s="7" t="s">
        <v>42</v>
      </c>
      <c r="B13" s="7"/>
      <c r="C13" s="7" t="s">
        <v>43</v>
      </c>
      <c r="D13" s="7" t="s">
        <v>44</v>
      </c>
      <c r="E13" s="7" t="s">
        <v>45</v>
      </c>
      <c r="F13" s="7" t="s">
        <v>46</v>
      </c>
      <c r="G13" s="7" t="s">
        <v>47</v>
      </c>
      <c r="H13" s="7"/>
      <c r="I13" s="7"/>
      <c r="J13" s="7" t="s">
        <v>48</v>
      </c>
      <c r="K13" s="7" t="s">
        <v>49</v>
      </c>
      <c r="L13" s="7" t="s">
        <v>49</v>
      </c>
      <c r="M13" s="7" t="s">
        <v>49</v>
      </c>
      <c r="N13" s="7" t="s">
        <v>50</v>
      </c>
      <c r="O13" s="7" t="s">
        <v>4</v>
      </c>
      <c r="P13" s="7">
        <v>40541</v>
      </c>
      <c r="Q13" s="7">
        <v>40541</v>
      </c>
      <c r="R13" s="7">
        <v>40541</v>
      </c>
      <c r="S13" s="7">
        <v>40541</v>
      </c>
      <c r="T13" s="7">
        <v>40541</v>
      </c>
      <c r="U13" s="7">
        <v>40541</v>
      </c>
      <c r="V13" s="7">
        <v>40541</v>
      </c>
      <c r="W13" s="7">
        <v>40541</v>
      </c>
      <c r="X13" s="7">
        <v>40541</v>
      </c>
      <c r="Y13" s="7">
        <v>40541</v>
      </c>
      <c r="Z13" s="7">
        <v>40541</v>
      </c>
      <c r="AA13" s="7">
        <v>40541</v>
      </c>
      <c r="AB13" s="9">
        <v>2.5661134530908001</v>
      </c>
      <c r="AC13" s="9">
        <v>2.5661134530908001</v>
      </c>
      <c r="AD13" s="9">
        <v>2.5661134530908001</v>
      </c>
      <c r="AE13" s="9">
        <v>2.5661134530908001</v>
      </c>
      <c r="AF13" s="9">
        <v>2.5661134530908001</v>
      </c>
      <c r="AG13" s="9">
        <v>2.5661134530908001</v>
      </c>
      <c r="AH13" s="9">
        <v>2.5661134530908001</v>
      </c>
      <c r="AI13" s="9">
        <v>2.5661134530908001</v>
      </c>
      <c r="AJ13" s="9">
        <v>2.5661134530908001</v>
      </c>
      <c r="AK13" s="9">
        <v>2.5661134530908001</v>
      </c>
      <c r="AL13" s="9">
        <v>2.5661134530908001</v>
      </c>
      <c r="AM13" s="9">
        <v>2.5661134530908001</v>
      </c>
      <c r="AN13" s="10">
        <v>0</v>
      </c>
      <c r="AO13" s="10">
        <v>0</v>
      </c>
      <c r="AP13" s="10">
        <v>0</v>
      </c>
      <c r="AQ13" s="10">
        <v>2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7">
        <f t="shared" ref="AZ13:AZ44" si="0">SUM(AN13:AY13)</f>
        <v>2</v>
      </c>
      <c r="BA13" s="11">
        <f t="shared" ref="BA13:BA44" si="1">AZ13/12</f>
        <v>0.16666666666666666</v>
      </c>
      <c r="BC13" s="12">
        <v>0</v>
      </c>
      <c r="BD13" s="12">
        <v>0</v>
      </c>
      <c r="BE13" s="12">
        <v>0</v>
      </c>
      <c r="BF13" s="12">
        <v>5.1322269061816002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f t="shared" ref="BO13:BO44" si="2">SUM(BC13:BN13)</f>
        <v>5.1322269061816002</v>
      </c>
      <c r="BP13" s="12">
        <f t="shared" ref="BP13:BP44" si="3">BO13/12</f>
        <v>0.42768557551513336</v>
      </c>
      <c r="BQ13" s="7"/>
      <c r="BR13" s="7"/>
      <c r="BS13" s="7" t="s">
        <v>51</v>
      </c>
      <c r="BT13" s="7" t="s">
        <v>52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/>
    </row>
    <row r="14" spans="1:78" x14ac:dyDescent="0.35">
      <c r="A14" s="7" t="s">
        <v>42</v>
      </c>
      <c r="B14" s="7"/>
      <c r="C14" s="7" t="s">
        <v>53</v>
      </c>
      <c r="D14" s="7" t="s">
        <v>54</v>
      </c>
      <c r="E14" s="7" t="s">
        <v>55</v>
      </c>
      <c r="F14" s="7" t="s">
        <v>46</v>
      </c>
      <c r="G14" s="7" t="s">
        <v>47</v>
      </c>
      <c r="H14" s="7"/>
      <c r="I14" s="7"/>
      <c r="J14" s="7" t="s">
        <v>48</v>
      </c>
      <c r="K14" s="7" t="s">
        <v>49</v>
      </c>
      <c r="L14" s="7" t="s">
        <v>49</v>
      </c>
      <c r="M14" s="7" t="s">
        <v>49</v>
      </c>
      <c r="N14" s="7" t="s">
        <v>56</v>
      </c>
      <c r="O14" s="7" t="s">
        <v>4</v>
      </c>
      <c r="P14" s="7">
        <v>1486</v>
      </c>
      <c r="Q14" s="7">
        <v>1486</v>
      </c>
      <c r="R14" s="7">
        <v>1486</v>
      </c>
      <c r="S14" s="7">
        <v>1486</v>
      </c>
      <c r="T14" s="7">
        <v>1486</v>
      </c>
      <c r="U14" s="7">
        <v>1486</v>
      </c>
      <c r="V14" s="7">
        <v>1486</v>
      </c>
      <c r="W14" s="7">
        <v>1486</v>
      </c>
      <c r="X14" s="7">
        <v>1486</v>
      </c>
      <c r="Y14" s="7">
        <v>1486</v>
      </c>
      <c r="Z14" s="7">
        <v>1486</v>
      </c>
      <c r="AA14" s="7">
        <v>1486</v>
      </c>
      <c r="AB14" s="9" t="s">
        <v>57</v>
      </c>
      <c r="AC14" s="9" t="s">
        <v>57</v>
      </c>
      <c r="AD14" s="9" t="s">
        <v>57</v>
      </c>
      <c r="AE14" s="9" t="s">
        <v>57</v>
      </c>
      <c r="AF14" s="9" t="s">
        <v>57</v>
      </c>
      <c r="AG14" s="9" t="s">
        <v>57</v>
      </c>
      <c r="AH14" s="9" t="s">
        <v>57</v>
      </c>
      <c r="AI14" s="9" t="s">
        <v>57</v>
      </c>
      <c r="AJ14" s="9" t="s">
        <v>57</v>
      </c>
      <c r="AK14" s="9" t="s">
        <v>57</v>
      </c>
      <c r="AL14" s="9" t="s">
        <v>57</v>
      </c>
      <c r="AM14" s="9" t="s">
        <v>57</v>
      </c>
      <c r="AN14" s="10">
        <v>0</v>
      </c>
      <c r="AO14" s="10">
        <v>0</v>
      </c>
      <c r="AP14" s="10">
        <v>0</v>
      </c>
      <c r="AQ14" s="10">
        <v>12</v>
      </c>
      <c r="AR14" s="10">
        <v>0</v>
      </c>
      <c r="AS14" s="10">
        <v>0</v>
      </c>
      <c r="AT14" s="10">
        <v>0</v>
      </c>
      <c r="AU14" s="10">
        <v>12</v>
      </c>
      <c r="AV14" s="10">
        <v>0</v>
      </c>
      <c r="AW14" s="10">
        <v>0</v>
      </c>
      <c r="AX14" s="10">
        <v>0</v>
      </c>
      <c r="AY14" s="10">
        <v>0</v>
      </c>
      <c r="AZ14" s="7">
        <f t="shared" si="0"/>
        <v>24</v>
      </c>
      <c r="BA14" s="11">
        <f t="shared" si="1"/>
        <v>2</v>
      </c>
      <c r="BC14" s="12">
        <v>0</v>
      </c>
      <c r="BD14" s="12">
        <v>0</v>
      </c>
      <c r="BE14" s="12">
        <v>0</v>
      </c>
      <c r="BF14" s="12">
        <v>1.1287076070032001</v>
      </c>
      <c r="BG14" s="12">
        <v>0</v>
      </c>
      <c r="BH14" s="12">
        <v>0</v>
      </c>
      <c r="BI14" s="12">
        <v>0</v>
      </c>
      <c r="BJ14" s="12">
        <v>1.1287076070032001</v>
      </c>
      <c r="BK14" s="12">
        <v>0</v>
      </c>
      <c r="BL14" s="12">
        <v>0</v>
      </c>
      <c r="BM14" s="12">
        <v>0</v>
      </c>
      <c r="BN14" s="12">
        <v>0</v>
      </c>
      <c r="BO14" s="12">
        <f t="shared" si="2"/>
        <v>2.2574152140064001</v>
      </c>
      <c r="BP14" s="12">
        <f t="shared" si="3"/>
        <v>0.18811793450053335</v>
      </c>
      <c r="BQ14" s="7"/>
      <c r="BR14" s="7"/>
      <c r="BS14" s="7" t="s">
        <v>51</v>
      </c>
      <c r="BT14" s="7" t="s">
        <v>52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/>
    </row>
    <row r="15" spans="1:78" x14ac:dyDescent="0.35">
      <c r="A15" s="7" t="s">
        <v>42</v>
      </c>
      <c r="B15" s="7"/>
      <c r="C15" s="7" t="s">
        <v>58</v>
      </c>
      <c r="D15" s="7" t="s">
        <v>59</v>
      </c>
      <c r="E15" s="7" t="s">
        <v>60</v>
      </c>
      <c r="F15" s="7" t="s">
        <v>61</v>
      </c>
      <c r="G15" s="7" t="s">
        <v>47</v>
      </c>
      <c r="H15" s="7"/>
      <c r="I15" s="7"/>
      <c r="J15" s="7" t="s">
        <v>48</v>
      </c>
      <c r="K15" s="7" t="s">
        <v>49</v>
      </c>
      <c r="L15" s="7" t="s">
        <v>49</v>
      </c>
      <c r="M15" s="7" t="s">
        <v>49</v>
      </c>
      <c r="N15" s="7" t="s">
        <v>62</v>
      </c>
      <c r="O15" s="7" t="s">
        <v>4</v>
      </c>
      <c r="P15" s="7">
        <v>2432</v>
      </c>
      <c r="Q15" s="7">
        <v>2432</v>
      </c>
      <c r="R15" s="7">
        <v>2432</v>
      </c>
      <c r="S15" s="7">
        <v>2432</v>
      </c>
      <c r="T15" s="7">
        <v>2432</v>
      </c>
      <c r="U15" s="7">
        <v>2432</v>
      </c>
      <c r="V15" s="7">
        <v>2432</v>
      </c>
      <c r="W15" s="7">
        <v>2432</v>
      </c>
      <c r="X15" s="7">
        <v>2432</v>
      </c>
      <c r="Y15" s="7">
        <v>2432</v>
      </c>
      <c r="Z15" s="7">
        <v>2432</v>
      </c>
      <c r="AA15" s="7">
        <v>2432</v>
      </c>
      <c r="AB15" s="9">
        <v>0.15393769068145</v>
      </c>
      <c r="AC15" s="9">
        <v>0.15393769068145</v>
      </c>
      <c r="AD15" s="9">
        <v>0.15393769068145</v>
      </c>
      <c r="AE15" s="9">
        <v>0.15393769068145</v>
      </c>
      <c r="AF15" s="9">
        <v>0.15393769068145</v>
      </c>
      <c r="AG15" s="9">
        <v>0.15393769068145</v>
      </c>
      <c r="AH15" s="9">
        <v>0.15393769068145</v>
      </c>
      <c r="AI15" s="9">
        <v>0.15393769068145</v>
      </c>
      <c r="AJ15" s="9">
        <v>0.15393769068145</v>
      </c>
      <c r="AK15" s="9">
        <v>0.15393769068145</v>
      </c>
      <c r="AL15" s="9">
        <v>0.15393769068145</v>
      </c>
      <c r="AM15" s="9">
        <v>0.15393769068145</v>
      </c>
      <c r="AN15" s="10">
        <v>6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6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7">
        <f t="shared" si="0"/>
        <v>12</v>
      </c>
      <c r="BA15" s="11">
        <f t="shared" si="1"/>
        <v>1</v>
      </c>
      <c r="BC15" s="12">
        <v>0.92362614408872001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0.92362614408872001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f t="shared" si="2"/>
        <v>1.84725228817744</v>
      </c>
      <c r="BP15" s="12">
        <f t="shared" si="3"/>
        <v>0.15393769068145333</v>
      </c>
      <c r="BQ15" s="7"/>
      <c r="BR15" s="7"/>
      <c r="BS15" s="7" t="s">
        <v>51</v>
      </c>
      <c r="BT15" s="7" t="s">
        <v>52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/>
    </row>
    <row r="16" spans="1:78" x14ac:dyDescent="0.35">
      <c r="A16" s="7" t="s">
        <v>42</v>
      </c>
      <c r="B16" s="7"/>
      <c r="C16" s="7" t="s">
        <v>63</v>
      </c>
      <c r="D16" s="7" t="s">
        <v>64</v>
      </c>
      <c r="E16" s="7" t="s">
        <v>65</v>
      </c>
      <c r="F16" s="7" t="s">
        <v>66</v>
      </c>
      <c r="G16" s="7" t="s">
        <v>47</v>
      </c>
      <c r="H16" s="7"/>
      <c r="I16" s="7"/>
      <c r="J16" s="7" t="s">
        <v>48</v>
      </c>
      <c r="K16" s="7" t="s">
        <v>49</v>
      </c>
      <c r="L16" s="7" t="s">
        <v>49</v>
      </c>
      <c r="M16" s="7" t="s">
        <v>49</v>
      </c>
      <c r="N16" s="7" t="s">
        <v>67</v>
      </c>
      <c r="O16" s="7" t="s">
        <v>4</v>
      </c>
      <c r="P16" s="7">
        <v>1261</v>
      </c>
      <c r="Q16" s="7">
        <v>1261</v>
      </c>
      <c r="R16" s="7">
        <v>1261</v>
      </c>
      <c r="S16" s="7">
        <v>1261</v>
      </c>
      <c r="T16" s="7">
        <v>1261</v>
      </c>
      <c r="U16" s="7">
        <v>1261</v>
      </c>
      <c r="V16" s="7">
        <v>1261</v>
      </c>
      <c r="W16" s="7">
        <v>1261</v>
      </c>
      <c r="X16" s="7">
        <v>1261</v>
      </c>
      <c r="Y16" s="7">
        <v>1261</v>
      </c>
      <c r="Z16" s="7">
        <v>1261</v>
      </c>
      <c r="AA16" s="7">
        <v>1261</v>
      </c>
      <c r="AB16" s="9" t="s">
        <v>68</v>
      </c>
      <c r="AC16" s="9" t="s">
        <v>68</v>
      </c>
      <c r="AD16" s="9" t="s">
        <v>68</v>
      </c>
      <c r="AE16" s="9" t="s">
        <v>68</v>
      </c>
      <c r="AF16" s="9" t="s">
        <v>68</v>
      </c>
      <c r="AG16" s="9" t="s">
        <v>68</v>
      </c>
      <c r="AH16" s="9" t="s">
        <v>68</v>
      </c>
      <c r="AI16" s="9" t="s">
        <v>68</v>
      </c>
      <c r="AJ16" s="9" t="s">
        <v>68</v>
      </c>
      <c r="AK16" s="9" t="s">
        <v>68</v>
      </c>
      <c r="AL16" s="9" t="s">
        <v>68</v>
      </c>
      <c r="AM16" s="9" t="s">
        <v>68</v>
      </c>
      <c r="AN16" s="10">
        <v>2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7">
        <f t="shared" si="0"/>
        <v>2</v>
      </c>
      <c r="BA16" s="11">
        <f t="shared" si="1"/>
        <v>0.16666666666666666</v>
      </c>
      <c r="BC16" s="12">
        <v>0.15963439798463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f t="shared" si="2"/>
        <v>0.15963439798463</v>
      </c>
      <c r="BP16" s="12">
        <f t="shared" si="3"/>
        <v>1.3302866498719167E-2</v>
      </c>
      <c r="BQ16" s="7"/>
      <c r="BR16" s="7"/>
      <c r="BS16" s="7" t="s">
        <v>51</v>
      </c>
      <c r="BT16" s="7" t="s">
        <v>52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/>
    </row>
    <row r="17" spans="1:78" x14ac:dyDescent="0.35">
      <c r="A17" s="7" t="s">
        <v>42</v>
      </c>
      <c r="B17" s="7"/>
      <c r="C17" s="7" t="s">
        <v>69</v>
      </c>
      <c r="D17" s="7" t="s">
        <v>70</v>
      </c>
      <c r="E17" s="7" t="s">
        <v>71</v>
      </c>
      <c r="F17" s="7" t="s">
        <v>66</v>
      </c>
      <c r="G17" s="7" t="s">
        <v>47</v>
      </c>
      <c r="H17" s="7"/>
      <c r="I17" s="7"/>
      <c r="J17" s="7" t="s">
        <v>48</v>
      </c>
      <c r="K17" s="7" t="s">
        <v>49</v>
      </c>
      <c r="L17" s="7" t="s">
        <v>49</v>
      </c>
      <c r="M17" s="7" t="s">
        <v>49</v>
      </c>
      <c r="N17" s="7" t="s">
        <v>62</v>
      </c>
      <c r="O17" s="7" t="s">
        <v>4</v>
      </c>
      <c r="P17" s="7">
        <v>1171</v>
      </c>
      <c r="Q17" s="7">
        <v>1171</v>
      </c>
      <c r="R17" s="7">
        <v>1171</v>
      </c>
      <c r="S17" s="7">
        <v>1171</v>
      </c>
      <c r="T17" s="7">
        <v>1171</v>
      </c>
      <c r="U17" s="7">
        <v>1171</v>
      </c>
      <c r="V17" s="7">
        <v>1171</v>
      </c>
      <c r="W17" s="7">
        <v>1171</v>
      </c>
      <c r="X17" s="7">
        <v>1171</v>
      </c>
      <c r="Y17" s="7">
        <v>1171</v>
      </c>
      <c r="Z17" s="7">
        <v>1171</v>
      </c>
      <c r="AA17" s="7">
        <v>1171</v>
      </c>
      <c r="AB17" s="9" t="s">
        <v>72</v>
      </c>
      <c r="AC17" s="9" t="s">
        <v>72</v>
      </c>
      <c r="AD17" s="9" t="s">
        <v>72</v>
      </c>
      <c r="AE17" s="9" t="s">
        <v>72</v>
      </c>
      <c r="AF17" s="9" t="s">
        <v>72</v>
      </c>
      <c r="AG17" s="9" t="s">
        <v>72</v>
      </c>
      <c r="AH17" s="9" t="s">
        <v>72</v>
      </c>
      <c r="AI17" s="9" t="s">
        <v>72</v>
      </c>
      <c r="AJ17" s="9" t="s">
        <v>72</v>
      </c>
      <c r="AK17" s="9" t="s">
        <v>72</v>
      </c>
      <c r="AL17" s="9" t="s">
        <v>72</v>
      </c>
      <c r="AM17" s="9" t="s">
        <v>72</v>
      </c>
      <c r="AN17" s="10">
        <v>2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7">
        <f t="shared" si="0"/>
        <v>2</v>
      </c>
      <c r="BA17" s="11">
        <f t="shared" si="1"/>
        <v>0.16666666666666666</v>
      </c>
      <c r="BC17" s="12">
        <v>0.14824098337826999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f t="shared" si="2"/>
        <v>0.14824098337826999</v>
      </c>
      <c r="BP17" s="12">
        <f t="shared" si="3"/>
        <v>1.2353415281522499E-2</v>
      </c>
      <c r="BQ17" s="7"/>
      <c r="BR17" s="7"/>
      <c r="BS17" s="7" t="s">
        <v>51</v>
      </c>
      <c r="BT17" s="7" t="s">
        <v>52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/>
    </row>
    <row r="18" spans="1:78" x14ac:dyDescent="0.35">
      <c r="A18" s="7" t="s">
        <v>42</v>
      </c>
      <c r="B18" s="7"/>
      <c r="C18" s="7" t="s">
        <v>73</v>
      </c>
      <c r="D18" s="7" t="s">
        <v>74</v>
      </c>
      <c r="E18" s="7" t="s">
        <v>75</v>
      </c>
      <c r="F18" s="7" t="s">
        <v>66</v>
      </c>
      <c r="G18" s="7" t="s">
        <v>47</v>
      </c>
      <c r="H18" s="7"/>
      <c r="I18" s="7"/>
      <c r="J18" s="7" t="s">
        <v>48</v>
      </c>
      <c r="K18" s="7" t="s">
        <v>49</v>
      </c>
      <c r="L18" s="7" t="s">
        <v>49</v>
      </c>
      <c r="M18" s="7" t="s">
        <v>49</v>
      </c>
      <c r="N18" s="7" t="s">
        <v>56</v>
      </c>
      <c r="O18" s="7" t="s">
        <v>4</v>
      </c>
      <c r="P18" s="7">
        <v>2477</v>
      </c>
      <c r="Q18" s="7">
        <v>2477</v>
      </c>
      <c r="R18" s="7">
        <v>2477</v>
      </c>
      <c r="S18" s="7">
        <v>2477</v>
      </c>
      <c r="T18" s="7">
        <v>2477</v>
      </c>
      <c r="U18" s="7">
        <v>2477</v>
      </c>
      <c r="V18" s="7">
        <v>2477</v>
      </c>
      <c r="W18" s="7">
        <v>2477</v>
      </c>
      <c r="X18" s="7">
        <v>2477</v>
      </c>
      <c r="Y18" s="7">
        <v>2477</v>
      </c>
      <c r="Z18" s="7">
        <v>2477</v>
      </c>
      <c r="AA18" s="7">
        <v>2477</v>
      </c>
      <c r="AB18" s="9">
        <v>0.15678604433304</v>
      </c>
      <c r="AC18" s="9">
        <v>0.15678604433304</v>
      </c>
      <c r="AD18" s="9">
        <v>0.15678604433304</v>
      </c>
      <c r="AE18" s="9">
        <v>0.15678604433304</v>
      </c>
      <c r="AF18" s="9">
        <v>0.15678604433304</v>
      </c>
      <c r="AG18" s="9">
        <v>0.15678604433304</v>
      </c>
      <c r="AH18" s="9">
        <v>0.15678604433304</v>
      </c>
      <c r="AI18" s="9">
        <v>0.15678604433304</v>
      </c>
      <c r="AJ18" s="9">
        <v>0.15678604433304</v>
      </c>
      <c r="AK18" s="9">
        <v>0.15678604433304</v>
      </c>
      <c r="AL18" s="9">
        <v>0.15678604433304</v>
      </c>
      <c r="AM18" s="9">
        <v>0.15678604433304</v>
      </c>
      <c r="AN18" s="10">
        <v>2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7">
        <f t="shared" si="0"/>
        <v>2</v>
      </c>
      <c r="BA18" s="11">
        <f t="shared" si="1"/>
        <v>0.16666666666666666</v>
      </c>
      <c r="BC18" s="12">
        <v>0.31357208866608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f t="shared" si="2"/>
        <v>0.31357208866608</v>
      </c>
      <c r="BP18" s="12">
        <f t="shared" si="3"/>
        <v>2.613100738884E-2</v>
      </c>
      <c r="BQ18" s="7"/>
      <c r="BR18" s="7"/>
      <c r="BS18" s="7" t="s">
        <v>51</v>
      </c>
      <c r="BT18" s="7" t="s">
        <v>52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/>
    </row>
    <row r="19" spans="1:78" x14ac:dyDescent="0.35">
      <c r="A19" s="7" t="s">
        <v>42</v>
      </c>
      <c r="B19" s="7"/>
      <c r="C19" s="7" t="s">
        <v>76</v>
      </c>
      <c r="D19" s="7" t="s">
        <v>77</v>
      </c>
      <c r="E19" s="7" t="s">
        <v>78</v>
      </c>
      <c r="F19" s="7" t="s">
        <v>66</v>
      </c>
      <c r="G19" s="7" t="s">
        <v>47</v>
      </c>
      <c r="H19" s="7"/>
      <c r="I19" s="7"/>
      <c r="J19" s="7" t="s">
        <v>48</v>
      </c>
      <c r="K19" s="7" t="s">
        <v>49</v>
      </c>
      <c r="L19" s="7" t="s">
        <v>49</v>
      </c>
      <c r="M19" s="7" t="s">
        <v>49</v>
      </c>
      <c r="N19" s="7" t="s">
        <v>56</v>
      </c>
      <c r="O19" s="7" t="s">
        <v>4</v>
      </c>
      <c r="P19" s="7">
        <v>2613</v>
      </c>
      <c r="Q19" s="7">
        <v>2613</v>
      </c>
      <c r="R19" s="7">
        <v>2613</v>
      </c>
      <c r="S19" s="7">
        <v>2613</v>
      </c>
      <c r="T19" s="7">
        <v>2613</v>
      </c>
      <c r="U19" s="7">
        <v>2613</v>
      </c>
      <c r="V19" s="7">
        <v>2613</v>
      </c>
      <c r="W19" s="7">
        <v>2613</v>
      </c>
      <c r="X19" s="7">
        <v>2613</v>
      </c>
      <c r="Y19" s="7">
        <v>2613</v>
      </c>
      <c r="Z19" s="7">
        <v>2613</v>
      </c>
      <c r="AA19" s="7">
        <v>2613</v>
      </c>
      <c r="AB19" s="9">
        <v>0.16539440203562</v>
      </c>
      <c r="AC19" s="9">
        <v>0.16539440203562</v>
      </c>
      <c r="AD19" s="9">
        <v>0.16539440203562</v>
      </c>
      <c r="AE19" s="9">
        <v>0.16539440203562</v>
      </c>
      <c r="AF19" s="9">
        <v>0.16539440203562</v>
      </c>
      <c r="AG19" s="9">
        <v>0.16539440203562</v>
      </c>
      <c r="AH19" s="9">
        <v>0.16539440203562</v>
      </c>
      <c r="AI19" s="9">
        <v>0.16539440203562</v>
      </c>
      <c r="AJ19" s="9">
        <v>0.16539440203562</v>
      </c>
      <c r="AK19" s="9">
        <v>0.16539440203562</v>
      </c>
      <c r="AL19" s="9">
        <v>0.16539440203562</v>
      </c>
      <c r="AM19" s="9">
        <v>0.16539440203562</v>
      </c>
      <c r="AN19" s="10">
        <v>4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7">
        <f t="shared" si="0"/>
        <v>4</v>
      </c>
      <c r="BA19" s="11">
        <f t="shared" si="1"/>
        <v>0.33333333333333331</v>
      </c>
      <c r="BC19" s="12">
        <v>0.66157760814249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f t="shared" si="2"/>
        <v>0.66157760814249</v>
      </c>
      <c r="BP19" s="12">
        <f t="shared" si="3"/>
        <v>5.5131467345207498E-2</v>
      </c>
      <c r="BQ19" s="7"/>
      <c r="BR19" s="7"/>
      <c r="BS19" s="7" t="s">
        <v>51</v>
      </c>
      <c r="BT19" s="7" t="s">
        <v>52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/>
    </row>
    <row r="20" spans="1:78" x14ac:dyDescent="0.35">
      <c r="A20" s="7" t="s">
        <v>42</v>
      </c>
      <c r="B20" s="7"/>
      <c r="C20" s="7" t="s">
        <v>79</v>
      </c>
      <c r="D20" s="7" t="s">
        <v>80</v>
      </c>
      <c r="E20" s="7" t="s">
        <v>81</v>
      </c>
      <c r="F20" s="7" t="s">
        <v>66</v>
      </c>
      <c r="G20" s="7" t="s">
        <v>47</v>
      </c>
      <c r="H20" s="7"/>
      <c r="I20" s="7"/>
      <c r="J20" s="7" t="s">
        <v>48</v>
      </c>
      <c r="K20" s="7" t="s">
        <v>49</v>
      </c>
      <c r="L20" s="7" t="s">
        <v>49</v>
      </c>
      <c r="M20" s="7" t="s">
        <v>49</v>
      </c>
      <c r="N20" s="7" t="s">
        <v>56</v>
      </c>
      <c r="O20" s="7" t="s">
        <v>4</v>
      </c>
      <c r="P20" s="7">
        <v>4865</v>
      </c>
      <c r="Q20" s="7">
        <v>4865</v>
      </c>
      <c r="R20" s="7">
        <v>4865</v>
      </c>
      <c r="S20" s="7">
        <v>4865</v>
      </c>
      <c r="T20" s="7">
        <v>4865</v>
      </c>
      <c r="U20" s="7">
        <v>4865</v>
      </c>
      <c r="V20" s="7">
        <v>4865</v>
      </c>
      <c r="W20" s="7">
        <v>4865</v>
      </c>
      <c r="X20" s="7">
        <v>4865</v>
      </c>
      <c r="Y20" s="7">
        <v>4865</v>
      </c>
      <c r="Z20" s="7">
        <v>4865</v>
      </c>
      <c r="AA20" s="7">
        <v>4865</v>
      </c>
      <c r="AB20" s="9">
        <v>0.30793867811072001</v>
      </c>
      <c r="AC20" s="9">
        <v>0.30793867811072001</v>
      </c>
      <c r="AD20" s="9">
        <v>0.30793867811072001</v>
      </c>
      <c r="AE20" s="9">
        <v>0.30793867811072001</v>
      </c>
      <c r="AF20" s="9">
        <v>0.30793867811072001</v>
      </c>
      <c r="AG20" s="9">
        <v>0.30793867811072001</v>
      </c>
      <c r="AH20" s="9">
        <v>0.30793867811072001</v>
      </c>
      <c r="AI20" s="9">
        <v>0.30793867811072001</v>
      </c>
      <c r="AJ20" s="9">
        <v>0.30793867811072001</v>
      </c>
      <c r="AK20" s="9">
        <v>0.30793867811072001</v>
      </c>
      <c r="AL20" s="9">
        <v>0.30793867811072001</v>
      </c>
      <c r="AM20" s="9">
        <v>0.30793867811072001</v>
      </c>
      <c r="AN20" s="10">
        <v>2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5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7">
        <f t="shared" si="0"/>
        <v>7</v>
      </c>
      <c r="BA20" s="11">
        <f t="shared" si="1"/>
        <v>0.58333333333333337</v>
      </c>
      <c r="BC20" s="12">
        <v>0.61587735622144002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1.5396933905536001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f t="shared" si="2"/>
        <v>2.15557074677504</v>
      </c>
      <c r="BP20" s="12">
        <f t="shared" si="3"/>
        <v>0.17963089556458667</v>
      </c>
      <c r="BQ20" s="7"/>
      <c r="BR20" s="7"/>
      <c r="BS20" s="7" t="s">
        <v>51</v>
      </c>
      <c r="BT20" s="7" t="s">
        <v>52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/>
    </row>
    <row r="21" spans="1:78" x14ac:dyDescent="0.35">
      <c r="A21" s="7" t="s">
        <v>42</v>
      </c>
      <c r="B21" s="7"/>
      <c r="C21" s="7" t="s">
        <v>82</v>
      </c>
      <c r="D21" s="7" t="s">
        <v>83</v>
      </c>
      <c r="E21" s="7" t="s">
        <v>84</v>
      </c>
      <c r="F21" s="7" t="s">
        <v>66</v>
      </c>
      <c r="G21" s="7" t="s">
        <v>47</v>
      </c>
      <c r="H21" s="7"/>
      <c r="I21" s="7"/>
      <c r="J21" s="7" t="s">
        <v>48</v>
      </c>
      <c r="K21" s="7" t="s">
        <v>49</v>
      </c>
      <c r="L21" s="7" t="s">
        <v>49</v>
      </c>
      <c r="M21" s="7" t="s">
        <v>49</v>
      </c>
      <c r="N21" s="7" t="s">
        <v>56</v>
      </c>
      <c r="O21" s="7" t="s">
        <v>4</v>
      </c>
      <c r="P21" s="7">
        <v>9550</v>
      </c>
      <c r="Q21" s="7">
        <v>9550</v>
      </c>
      <c r="R21" s="7">
        <v>9550</v>
      </c>
      <c r="S21" s="7">
        <v>9550</v>
      </c>
      <c r="T21" s="7">
        <v>9550</v>
      </c>
      <c r="U21" s="7">
        <v>9550</v>
      </c>
      <c r="V21" s="7">
        <v>9550</v>
      </c>
      <c r="W21" s="7">
        <v>9550</v>
      </c>
      <c r="X21" s="7">
        <v>9550</v>
      </c>
      <c r="Y21" s="7">
        <v>9550</v>
      </c>
      <c r="Z21" s="7">
        <v>9550</v>
      </c>
      <c r="AA21" s="7">
        <v>9550</v>
      </c>
      <c r="AB21" s="9">
        <v>0.60448394161508001</v>
      </c>
      <c r="AC21" s="9">
        <v>0.60448394161508001</v>
      </c>
      <c r="AD21" s="9">
        <v>0.60448394161508001</v>
      </c>
      <c r="AE21" s="9">
        <v>0.60448394161508001</v>
      </c>
      <c r="AF21" s="9">
        <v>0.60448394161508001</v>
      </c>
      <c r="AG21" s="9">
        <v>0.60448394161508001</v>
      </c>
      <c r="AH21" s="9">
        <v>0.60448394161508001</v>
      </c>
      <c r="AI21" s="9">
        <v>0.60448394161508001</v>
      </c>
      <c r="AJ21" s="9">
        <v>0.60448394161508001</v>
      </c>
      <c r="AK21" s="9">
        <v>0.60448394161508001</v>
      </c>
      <c r="AL21" s="9">
        <v>0.60448394161508001</v>
      </c>
      <c r="AM21" s="9">
        <v>0.60448394161508001</v>
      </c>
      <c r="AN21" s="10">
        <v>1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7">
        <f t="shared" si="0"/>
        <v>1</v>
      </c>
      <c r="BA21" s="11">
        <f t="shared" si="1"/>
        <v>8.3333333333333329E-2</v>
      </c>
      <c r="BC21" s="12">
        <v>0.60448394161508001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f t="shared" si="2"/>
        <v>0.60448394161508001</v>
      </c>
      <c r="BP21" s="12">
        <f t="shared" si="3"/>
        <v>5.0373661801256665E-2</v>
      </c>
      <c r="BQ21" s="7"/>
      <c r="BR21" s="7"/>
      <c r="BS21" s="7" t="s">
        <v>51</v>
      </c>
      <c r="BT21" s="7" t="s">
        <v>52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/>
    </row>
    <row r="22" spans="1:78" x14ac:dyDescent="0.35">
      <c r="A22" s="7" t="s">
        <v>42</v>
      </c>
      <c r="B22" s="7"/>
      <c r="C22" s="7" t="s">
        <v>85</v>
      </c>
      <c r="D22" s="7" t="s">
        <v>86</v>
      </c>
      <c r="E22" s="7" t="s">
        <v>87</v>
      </c>
      <c r="F22" s="7" t="s">
        <v>66</v>
      </c>
      <c r="G22" s="7" t="s">
        <v>47</v>
      </c>
      <c r="H22" s="7"/>
      <c r="I22" s="7"/>
      <c r="J22" s="7" t="s">
        <v>48</v>
      </c>
      <c r="K22" s="7" t="s">
        <v>49</v>
      </c>
      <c r="L22" s="7" t="s">
        <v>49</v>
      </c>
      <c r="M22" s="7" t="s">
        <v>49</v>
      </c>
      <c r="N22" s="7" t="s">
        <v>56</v>
      </c>
      <c r="O22" s="7" t="s">
        <v>4</v>
      </c>
      <c r="P22" s="7">
        <v>18739</v>
      </c>
      <c r="Q22" s="7">
        <v>18739</v>
      </c>
      <c r="R22" s="7">
        <v>18739</v>
      </c>
      <c r="S22" s="7">
        <v>18739</v>
      </c>
      <c r="T22" s="7">
        <v>18739</v>
      </c>
      <c r="U22" s="7">
        <v>18739</v>
      </c>
      <c r="V22" s="7">
        <v>18739</v>
      </c>
      <c r="W22" s="7">
        <v>18739</v>
      </c>
      <c r="X22" s="7">
        <v>18739</v>
      </c>
      <c r="Y22" s="7">
        <v>18739</v>
      </c>
      <c r="Z22" s="7">
        <v>18739</v>
      </c>
      <c r="AA22" s="7">
        <v>18739</v>
      </c>
      <c r="AB22" s="9">
        <v>1.1861177572696</v>
      </c>
      <c r="AC22" s="9">
        <v>1.1861177572696</v>
      </c>
      <c r="AD22" s="9">
        <v>1.1861177572696</v>
      </c>
      <c r="AE22" s="9">
        <v>1.1861177572696</v>
      </c>
      <c r="AF22" s="9">
        <v>1.1861177572696</v>
      </c>
      <c r="AG22" s="9">
        <v>1.1861177572696</v>
      </c>
      <c r="AH22" s="9">
        <v>1.1861177572696</v>
      </c>
      <c r="AI22" s="9">
        <v>1.1861177572696</v>
      </c>
      <c r="AJ22" s="9">
        <v>1.1861177572696</v>
      </c>
      <c r="AK22" s="9">
        <v>1.1861177572696</v>
      </c>
      <c r="AL22" s="9">
        <v>1.1861177572696</v>
      </c>
      <c r="AM22" s="9">
        <v>1.1861177572696</v>
      </c>
      <c r="AN22" s="10">
        <v>2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3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7">
        <f t="shared" si="0"/>
        <v>5</v>
      </c>
      <c r="BA22" s="11">
        <f t="shared" si="1"/>
        <v>0.41666666666666669</v>
      </c>
      <c r="BC22" s="12">
        <v>2.3722355145392999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3.5583532718089002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f t="shared" si="2"/>
        <v>5.9305887863482001</v>
      </c>
      <c r="BP22" s="12">
        <f t="shared" si="3"/>
        <v>0.49421573219568332</v>
      </c>
      <c r="BQ22" s="7"/>
      <c r="BR22" s="7"/>
      <c r="BS22" s="7" t="s">
        <v>51</v>
      </c>
      <c r="BT22" s="7" t="s">
        <v>52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/>
    </row>
    <row r="23" spans="1:78" x14ac:dyDescent="0.35">
      <c r="A23" s="7" t="s">
        <v>42</v>
      </c>
      <c r="B23" s="7"/>
      <c r="C23" s="7" t="s">
        <v>88</v>
      </c>
      <c r="D23" s="7" t="s">
        <v>86</v>
      </c>
      <c r="E23" s="7" t="s">
        <v>89</v>
      </c>
      <c r="F23" s="7" t="s">
        <v>66</v>
      </c>
      <c r="G23" s="7" t="s">
        <v>47</v>
      </c>
      <c r="H23" s="7"/>
      <c r="I23" s="7"/>
      <c r="J23" s="7" t="s">
        <v>48</v>
      </c>
      <c r="K23" s="7" t="s">
        <v>49</v>
      </c>
      <c r="L23" s="7" t="s">
        <v>49</v>
      </c>
      <c r="M23" s="7" t="s">
        <v>49</v>
      </c>
      <c r="N23" s="7" t="s">
        <v>56</v>
      </c>
      <c r="O23" s="7" t="s">
        <v>4</v>
      </c>
      <c r="P23" s="7">
        <v>7117</v>
      </c>
      <c r="Q23" s="7">
        <v>7117</v>
      </c>
      <c r="R23" s="7">
        <v>7117</v>
      </c>
      <c r="S23" s="7">
        <v>7117</v>
      </c>
      <c r="T23" s="7">
        <v>7117</v>
      </c>
      <c r="U23" s="7">
        <v>7117</v>
      </c>
      <c r="V23" s="7">
        <v>7117</v>
      </c>
      <c r="W23" s="7">
        <v>7117</v>
      </c>
      <c r="X23" s="7">
        <v>7117</v>
      </c>
      <c r="Y23" s="7">
        <v>7117</v>
      </c>
      <c r="Z23" s="7">
        <v>7117</v>
      </c>
      <c r="AA23" s="7">
        <v>7117</v>
      </c>
      <c r="AB23" s="9">
        <v>0.45048295418581003</v>
      </c>
      <c r="AC23" s="9">
        <v>0.45048295418581003</v>
      </c>
      <c r="AD23" s="9">
        <v>0.45048295418581003</v>
      </c>
      <c r="AE23" s="9">
        <v>0.45048295418581003</v>
      </c>
      <c r="AF23" s="9">
        <v>0.45048295418581003</v>
      </c>
      <c r="AG23" s="9">
        <v>0.45048295418581003</v>
      </c>
      <c r="AH23" s="9">
        <v>0.45048295418581003</v>
      </c>
      <c r="AI23" s="9">
        <v>0.45048295418581003</v>
      </c>
      <c r="AJ23" s="9">
        <v>0.45048295418581003</v>
      </c>
      <c r="AK23" s="9">
        <v>0.45048295418581003</v>
      </c>
      <c r="AL23" s="9">
        <v>0.45048295418581003</v>
      </c>
      <c r="AM23" s="9">
        <v>0.45048295418581003</v>
      </c>
      <c r="AN23" s="10">
        <v>2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3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7">
        <f t="shared" si="0"/>
        <v>5</v>
      </c>
      <c r="BA23" s="11">
        <f t="shared" si="1"/>
        <v>0.41666666666666669</v>
      </c>
      <c r="BC23" s="12">
        <v>0.90096590837163004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1.3514488625573999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f t="shared" si="2"/>
        <v>2.2524147709290299</v>
      </c>
      <c r="BP23" s="12">
        <f t="shared" si="3"/>
        <v>0.1877012309107525</v>
      </c>
      <c r="BQ23" s="7"/>
      <c r="BR23" s="7"/>
      <c r="BS23" s="7" t="s">
        <v>51</v>
      </c>
      <c r="BT23" s="7" t="s">
        <v>52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/>
    </row>
    <row r="24" spans="1:78" x14ac:dyDescent="0.35">
      <c r="A24" s="7" t="s">
        <v>42</v>
      </c>
      <c r="B24" s="7"/>
      <c r="C24" s="7" t="s">
        <v>90</v>
      </c>
      <c r="D24" s="7" t="s">
        <v>91</v>
      </c>
      <c r="E24" s="7" t="s">
        <v>92</v>
      </c>
      <c r="F24" s="7" t="s">
        <v>66</v>
      </c>
      <c r="G24" s="7" t="s">
        <v>47</v>
      </c>
      <c r="H24" s="7"/>
      <c r="I24" s="7"/>
      <c r="J24" s="7" t="s">
        <v>48</v>
      </c>
      <c r="K24" s="7" t="s">
        <v>49</v>
      </c>
      <c r="L24" s="7" t="s">
        <v>49</v>
      </c>
      <c r="M24" s="7" t="s">
        <v>49</v>
      </c>
      <c r="N24" s="7" t="s">
        <v>56</v>
      </c>
      <c r="O24" s="7" t="s">
        <v>4</v>
      </c>
      <c r="P24" s="7">
        <v>5945</v>
      </c>
      <c r="Q24" s="7">
        <v>5945</v>
      </c>
      <c r="R24" s="7">
        <v>5945</v>
      </c>
      <c r="S24" s="7">
        <v>5945</v>
      </c>
      <c r="T24" s="7">
        <v>5945</v>
      </c>
      <c r="U24" s="7">
        <v>5945</v>
      </c>
      <c r="V24" s="7">
        <v>5945</v>
      </c>
      <c r="W24" s="7">
        <v>5945</v>
      </c>
      <c r="X24" s="7">
        <v>5945</v>
      </c>
      <c r="Y24" s="7">
        <v>5945</v>
      </c>
      <c r="Z24" s="7">
        <v>5945</v>
      </c>
      <c r="AA24" s="7">
        <v>5945</v>
      </c>
      <c r="AB24" s="9">
        <v>0.37629916574886002</v>
      </c>
      <c r="AC24" s="9">
        <v>0.37629916574886002</v>
      </c>
      <c r="AD24" s="9">
        <v>0.37629916574886002</v>
      </c>
      <c r="AE24" s="9">
        <v>0.37629916574886002</v>
      </c>
      <c r="AF24" s="9">
        <v>0.37629916574886002</v>
      </c>
      <c r="AG24" s="9">
        <v>0.37629916574886002</v>
      </c>
      <c r="AH24" s="9">
        <v>0.37629916574886002</v>
      </c>
      <c r="AI24" s="9">
        <v>0.37629916574886002</v>
      </c>
      <c r="AJ24" s="9">
        <v>0.37629916574886002</v>
      </c>
      <c r="AK24" s="9">
        <v>0.37629916574886002</v>
      </c>
      <c r="AL24" s="9">
        <v>0.37629916574886002</v>
      </c>
      <c r="AM24" s="9">
        <v>0.37629916574886002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1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7">
        <f t="shared" si="0"/>
        <v>1</v>
      </c>
      <c r="BA24" s="11">
        <f t="shared" si="1"/>
        <v>8.3333333333333329E-2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0.37629916574886002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f t="shared" si="2"/>
        <v>0.37629916574886002</v>
      </c>
      <c r="BP24" s="12">
        <f t="shared" si="3"/>
        <v>3.1358263812405002E-2</v>
      </c>
      <c r="BQ24" s="7"/>
      <c r="BR24" s="7"/>
      <c r="BS24" s="7" t="s">
        <v>51</v>
      </c>
      <c r="BT24" s="7" t="s">
        <v>52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/>
    </row>
    <row r="25" spans="1:78" x14ac:dyDescent="0.35">
      <c r="A25" s="7" t="s">
        <v>42</v>
      </c>
      <c r="B25" s="7"/>
      <c r="C25" s="7" t="s">
        <v>93</v>
      </c>
      <c r="D25" s="7" t="s">
        <v>94</v>
      </c>
      <c r="E25" s="7" t="s">
        <v>95</v>
      </c>
      <c r="F25" s="7" t="s">
        <v>66</v>
      </c>
      <c r="G25" s="7" t="s">
        <v>47</v>
      </c>
      <c r="H25" s="7"/>
      <c r="I25" s="7"/>
      <c r="J25" s="7" t="s">
        <v>48</v>
      </c>
      <c r="K25" s="7" t="s">
        <v>49</v>
      </c>
      <c r="L25" s="7" t="s">
        <v>49</v>
      </c>
      <c r="M25" s="7" t="s">
        <v>49</v>
      </c>
      <c r="N25" s="7" t="s">
        <v>96</v>
      </c>
      <c r="O25" s="7" t="s">
        <v>4</v>
      </c>
      <c r="P25" s="7">
        <v>3919</v>
      </c>
      <c r="Q25" s="7">
        <v>3919</v>
      </c>
      <c r="R25" s="7">
        <v>3919</v>
      </c>
      <c r="S25" s="7">
        <v>3919</v>
      </c>
      <c r="T25" s="7">
        <v>3919</v>
      </c>
      <c r="U25" s="7">
        <v>3919</v>
      </c>
      <c r="V25" s="7">
        <v>3919</v>
      </c>
      <c r="W25" s="7">
        <v>3919</v>
      </c>
      <c r="X25" s="7">
        <v>3919</v>
      </c>
      <c r="Y25" s="7">
        <v>3919</v>
      </c>
      <c r="Z25" s="7">
        <v>3919</v>
      </c>
      <c r="AA25" s="7">
        <v>3919</v>
      </c>
      <c r="AB25" s="9">
        <v>0.24805995467952999</v>
      </c>
      <c r="AC25" s="9">
        <v>0.24805995467952999</v>
      </c>
      <c r="AD25" s="9">
        <v>0.24805995467952999</v>
      </c>
      <c r="AE25" s="9">
        <v>0.24805995467952999</v>
      </c>
      <c r="AF25" s="9">
        <v>0.24805995467952999</v>
      </c>
      <c r="AG25" s="9">
        <v>0.24805995467952999</v>
      </c>
      <c r="AH25" s="9">
        <v>0.24805995467952999</v>
      </c>
      <c r="AI25" s="9">
        <v>0.24805995467952999</v>
      </c>
      <c r="AJ25" s="9">
        <v>0.24805995467952999</v>
      </c>
      <c r="AK25" s="9">
        <v>0.24805995467952999</v>
      </c>
      <c r="AL25" s="9">
        <v>0.24805995467952999</v>
      </c>
      <c r="AM25" s="9">
        <v>0.24805995467952999</v>
      </c>
      <c r="AN25" s="10">
        <v>15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19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7">
        <f t="shared" si="0"/>
        <v>34</v>
      </c>
      <c r="BA25" s="11">
        <f t="shared" si="1"/>
        <v>2.8333333333333335</v>
      </c>
      <c r="BC25" s="12">
        <v>3.7208993201928999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4.713139138911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f t="shared" si="2"/>
        <v>8.434038459103899</v>
      </c>
      <c r="BP25" s="12">
        <f t="shared" si="3"/>
        <v>0.70283653825865822</v>
      </c>
      <c r="BQ25" s="7"/>
      <c r="BR25" s="7"/>
      <c r="BS25" s="7" t="s">
        <v>51</v>
      </c>
      <c r="BT25" s="7" t="s">
        <v>52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/>
    </row>
    <row r="26" spans="1:78" x14ac:dyDescent="0.35">
      <c r="A26" s="7" t="s">
        <v>42</v>
      </c>
      <c r="B26" s="7"/>
      <c r="C26" s="7" t="s">
        <v>97</v>
      </c>
      <c r="D26" s="7" t="s">
        <v>94</v>
      </c>
      <c r="E26" s="7" t="s">
        <v>98</v>
      </c>
      <c r="F26" s="7" t="s">
        <v>66</v>
      </c>
      <c r="G26" s="7" t="s">
        <v>47</v>
      </c>
      <c r="H26" s="7"/>
      <c r="I26" s="7"/>
      <c r="J26" s="7" t="s">
        <v>48</v>
      </c>
      <c r="K26" s="7" t="s">
        <v>49</v>
      </c>
      <c r="L26" s="7" t="s">
        <v>49</v>
      </c>
      <c r="M26" s="7" t="s">
        <v>49</v>
      </c>
      <c r="N26" s="7" t="s">
        <v>99</v>
      </c>
      <c r="O26" s="7" t="s">
        <v>4</v>
      </c>
      <c r="P26" s="7">
        <v>5225</v>
      </c>
      <c r="Q26" s="7">
        <v>5225</v>
      </c>
      <c r="R26" s="7">
        <v>5225</v>
      </c>
      <c r="S26" s="7">
        <v>5225</v>
      </c>
      <c r="T26" s="7">
        <v>5225</v>
      </c>
      <c r="U26" s="7">
        <v>5225</v>
      </c>
      <c r="V26" s="7">
        <v>5225</v>
      </c>
      <c r="W26" s="7">
        <v>5225</v>
      </c>
      <c r="X26" s="7">
        <v>5225</v>
      </c>
      <c r="Y26" s="7">
        <v>5225</v>
      </c>
      <c r="Z26" s="7">
        <v>5225</v>
      </c>
      <c r="AA26" s="7">
        <v>5225</v>
      </c>
      <c r="AB26" s="9">
        <v>0.33072550732342998</v>
      </c>
      <c r="AC26" s="9">
        <v>0.33072550732342998</v>
      </c>
      <c r="AD26" s="9">
        <v>0.33072550732342998</v>
      </c>
      <c r="AE26" s="9">
        <v>0.33072550732342998</v>
      </c>
      <c r="AF26" s="9">
        <v>0.33072550732342998</v>
      </c>
      <c r="AG26" s="9">
        <v>0.33072550732342998</v>
      </c>
      <c r="AH26" s="9">
        <v>0.33072550732342998</v>
      </c>
      <c r="AI26" s="9">
        <v>0.33072550732342998</v>
      </c>
      <c r="AJ26" s="9">
        <v>0.33072550732342998</v>
      </c>
      <c r="AK26" s="9">
        <v>0.33072550732342998</v>
      </c>
      <c r="AL26" s="9">
        <v>0.33072550732342998</v>
      </c>
      <c r="AM26" s="9">
        <v>0.33072550732342998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29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7">
        <f t="shared" si="0"/>
        <v>29</v>
      </c>
      <c r="BA26" s="11">
        <f t="shared" si="1"/>
        <v>2.4166666666666665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9.5910397123795992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f t="shared" si="2"/>
        <v>9.5910397123795992</v>
      </c>
      <c r="BP26" s="12">
        <f t="shared" si="3"/>
        <v>0.79925330936496664</v>
      </c>
      <c r="BQ26" s="7"/>
      <c r="BR26" s="7"/>
      <c r="BS26" s="7" t="s">
        <v>51</v>
      </c>
      <c r="BT26" s="7" t="s">
        <v>52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/>
    </row>
    <row r="27" spans="1:78" x14ac:dyDescent="0.35">
      <c r="A27" s="7" t="s">
        <v>42</v>
      </c>
      <c r="B27" s="7"/>
      <c r="C27" s="7" t="s">
        <v>100</v>
      </c>
      <c r="D27" s="7" t="s">
        <v>101</v>
      </c>
      <c r="E27" s="7" t="s">
        <v>102</v>
      </c>
      <c r="F27" s="7" t="s">
        <v>46</v>
      </c>
      <c r="G27" s="7" t="s">
        <v>47</v>
      </c>
      <c r="H27" s="7"/>
      <c r="I27" s="7"/>
      <c r="J27" s="7" t="s">
        <v>48</v>
      </c>
      <c r="K27" s="7" t="s">
        <v>49</v>
      </c>
      <c r="L27" s="7" t="s">
        <v>49</v>
      </c>
      <c r="M27" s="7" t="s">
        <v>49</v>
      </c>
      <c r="N27" s="7" t="s">
        <v>56</v>
      </c>
      <c r="O27" s="7" t="s">
        <v>4</v>
      </c>
      <c r="P27" s="7">
        <v>10811</v>
      </c>
      <c r="Q27" s="7">
        <v>10811</v>
      </c>
      <c r="R27" s="7">
        <v>10811</v>
      </c>
      <c r="S27" s="7">
        <v>10811</v>
      </c>
      <c r="T27" s="7">
        <v>10811</v>
      </c>
      <c r="U27" s="7">
        <v>10811</v>
      </c>
      <c r="V27" s="7">
        <v>10811</v>
      </c>
      <c r="W27" s="7">
        <v>10811</v>
      </c>
      <c r="X27" s="7">
        <v>10811</v>
      </c>
      <c r="Y27" s="7">
        <v>10811</v>
      </c>
      <c r="Z27" s="7">
        <v>10811</v>
      </c>
      <c r="AA27" s="7">
        <v>10811</v>
      </c>
      <c r="AB27" s="9">
        <v>0.68430114060739999</v>
      </c>
      <c r="AC27" s="9">
        <v>0.68430114060739999</v>
      </c>
      <c r="AD27" s="9">
        <v>0.68430114060739999</v>
      </c>
      <c r="AE27" s="9">
        <v>0.68430114060739999</v>
      </c>
      <c r="AF27" s="9">
        <v>0.68430114060739999</v>
      </c>
      <c r="AG27" s="9">
        <v>0.68430114060739999</v>
      </c>
      <c r="AH27" s="9">
        <v>0.68430114060739999</v>
      </c>
      <c r="AI27" s="9">
        <v>0.68430114060739999</v>
      </c>
      <c r="AJ27" s="9">
        <v>0.68430114060739999</v>
      </c>
      <c r="AK27" s="9">
        <v>0.68430114060739999</v>
      </c>
      <c r="AL27" s="9">
        <v>0.68430114060739999</v>
      </c>
      <c r="AM27" s="9">
        <v>0.68430114060739999</v>
      </c>
      <c r="AN27" s="10">
        <v>130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100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7">
        <f t="shared" si="0"/>
        <v>230</v>
      </c>
      <c r="BA27" s="11">
        <f t="shared" si="1"/>
        <v>19.166666666666668</v>
      </c>
      <c r="BC27" s="12">
        <v>88.959148278960996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68.430114060739996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f t="shared" si="2"/>
        <v>157.38926233970099</v>
      </c>
      <c r="BP27" s="12">
        <f t="shared" si="3"/>
        <v>13.115771861641749</v>
      </c>
      <c r="BQ27" s="7"/>
      <c r="BR27" s="7"/>
      <c r="BS27" s="7" t="s">
        <v>51</v>
      </c>
      <c r="BT27" s="7" t="s">
        <v>52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/>
    </row>
    <row r="28" spans="1:78" x14ac:dyDescent="0.35">
      <c r="A28" s="7" t="s">
        <v>42</v>
      </c>
      <c r="B28" s="7"/>
      <c r="C28" s="7" t="s">
        <v>103</v>
      </c>
      <c r="D28" s="7" t="s">
        <v>104</v>
      </c>
      <c r="E28" s="7" t="s">
        <v>105</v>
      </c>
      <c r="F28" s="7" t="s">
        <v>66</v>
      </c>
      <c r="G28" s="7" t="s">
        <v>47</v>
      </c>
      <c r="H28" s="7"/>
      <c r="I28" s="7"/>
      <c r="J28" s="7" t="s">
        <v>48</v>
      </c>
      <c r="K28" s="7" t="s">
        <v>49</v>
      </c>
      <c r="L28" s="7" t="s">
        <v>49</v>
      </c>
      <c r="M28" s="7" t="s">
        <v>49</v>
      </c>
      <c r="N28" s="7" t="s">
        <v>106</v>
      </c>
      <c r="O28" s="7" t="s">
        <v>4</v>
      </c>
      <c r="P28" s="7">
        <v>8144.65</v>
      </c>
      <c r="Q28" s="7">
        <v>8144.65</v>
      </c>
      <c r="R28" s="7">
        <v>8144.65</v>
      </c>
      <c r="S28" s="7">
        <v>8144.65</v>
      </c>
      <c r="T28" s="7">
        <v>8144.65</v>
      </c>
      <c r="U28" s="7">
        <v>8144.65</v>
      </c>
      <c r="V28" s="7">
        <v>8144.65</v>
      </c>
      <c r="W28" s="7">
        <v>8144.65</v>
      </c>
      <c r="X28" s="7">
        <v>8144.65</v>
      </c>
      <c r="Y28" s="7">
        <v>8144.65</v>
      </c>
      <c r="Z28" s="7">
        <v>8144.65</v>
      </c>
      <c r="AA28" s="7">
        <v>8144.65</v>
      </c>
      <c r="AB28" s="9">
        <v>0.51552985707594001</v>
      </c>
      <c r="AC28" s="9">
        <v>0.51552985707594001</v>
      </c>
      <c r="AD28" s="9">
        <v>0.51552985707594001</v>
      </c>
      <c r="AE28" s="9">
        <v>0.51552985707594001</v>
      </c>
      <c r="AF28" s="9">
        <v>0.51552985707594001</v>
      </c>
      <c r="AG28" s="9">
        <v>0.51552985707594001</v>
      </c>
      <c r="AH28" s="9">
        <v>0.51552985707594001</v>
      </c>
      <c r="AI28" s="9">
        <v>0.51552985707594001</v>
      </c>
      <c r="AJ28" s="9">
        <v>0.51552985707594001</v>
      </c>
      <c r="AK28" s="9">
        <v>0.51552985707594001</v>
      </c>
      <c r="AL28" s="9">
        <v>0.51552985707594001</v>
      </c>
      <c r="AM28" s="9">
        <v>0.51552985707594001</v>
      </c>
      <c r="AN28" s="10">
        <v>3</v>
      </c>
      <c r="AO28" s="10">
        <v>0</v>
      </c>
      <c r="AP28" s="10">
        <v>0</v>
      </c>
      <c r="AQ28" s="10">
        <v>0</v>
      </c>
      <c r="AR28" s="10">
        <v>0</v>
      </c>
      <c r="AS28" s="10">
        <v>4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7">
        <f t="shared" si="0"/>
        <v>7</v>
      </c>
      <c r="BA28" s="11">
        <f t="shared" si="1"/>
        <v>0.58333333333333337</v>
      </c>
      <c r="BC28" s="12">
        <v>1.5465895712277999</v>
      </c>
      <c r="BD28" s="12">
        <v>0</v>
      </c>
      <c r="BE28" s="12">
        <v>0</v>
      </c>
      <c r="BF28" s="12">
        <v>0</v>
      </c>
      <c r="BG28" s="12">
        <v>0</v>
      </c>
      <c r="BH28" s="12">
        <v>2.0621194283038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f t="shared" si="2"/>
        <v>3.6087089995315997</v>
      </c>
      <c r="BP28" s="12">
        <f t="shared" si="3"/>
        <v>0.30072574996096663</v>
      </c>
      <c r="BQ28" s="7"/>
      <c r="BR28" s="7"/>
      <c r="BS28" s="7" t="s">
        <v>51</v>
      </c>
      <c r="BT28" s="7" t="s">
        <v>52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/>
    </row>
    <row r="29" spans="1:78" x14ac:dyDescent="0.35">
      <c r="A29" s="7" t="s">
        <v>42</v>
      </c>
      <c r="B29" s="7"/>
      <c r="C29" s="7" t="s">
        <v>107</v>
      </c>
      <c r="D29" s="7" t="s">
        <v>108</v>
      </c>
      <c r="E29" s="7" t="s">
        <v>109</v>
      </c>
      <c r="F29" s="7" t="s">
        <v>110</v>
      </c>
      <c r="G29" s="7" t="s">
        <v>47</v>
      </c>
      <c r="H29" s="7"/>
      <c r="I29" s="7"/>
      <c r="J29" s="7" t="s">
        <v>48</v>
      </c>
      <c r="K29" s="7" t="s">
        <v>49</v>
      </c>
      <c r="L29" s="7" t="s">
        <v>49</v>
      </c>
      <c r="M29" s="7" t="s">
        <v>49</v>
      </c>
      <c r="N29" s="7" t="s">
        <v>56</v>
      </c>
      <c r="O29" s="7" t="s">
        <v>4</v>
      </c>
      <c r="P29" s="7">
        <v>285000</v>
      </c>
      <c r="Q29" s="7">
        <v>285000</v>
      </c>
      <c r="R29" s="7">
        <v>285000</v>
      </c>
      <c r="S29" s="7">
        <v>285000</v>
      </c>
      <c r="T29" s="7">
        <v>285000</v>
      </c>
      <c r="U29" s="7">
        <v>285000</v>
      </c>
      <c r="V29" s="7">
        <v>285000</v>
      </c>
      <c r="W29" s="7">
        <v>285000</v>
      </c>
      <c r="X29" s="7">
        <v>285000</v>
      </c>
      <c r="Y29" s="7">
        <v>285000</v>
      </c>
      <c r="Z29" s="7">
        <v>285000</v>
      </c>
      <c r="AA29" s="7">
        <v>285000</v>
      </c>
      <c r="AB29" s="9">
        <v>18.039573126733</v>
      </c>
      <c r="AC29" s="9">
        <v>18.039573126733</v>
      </c>
      <c r="AD29" s="9">
        <v>18.039573126733</v>
      </c>
      <c r="AE29" s="9">
        <v>18.039573126733</v>
      </c>
      <c r="AF29" s="9">
        <v>18.039573126733</v>
      </c>
      <c r="AG29" s="9">
        <v>18.039573126733</v>
      </c>
      <c r="AH29" s="9">
        <v>18.039573126733</v>
      </c>
      <c r="AI29" s="9">
        <v>18.039573126733</v>
      </c>
      <c r="AJ29" s="9">
        <v>18.039573126733</v>
      </c>
      <c r="AK29" s="9">
        <v>18.039573126733</v>
      </c>
      <c r="AL29" s="9">
        <v>18.039573126733</v>
      </c>
      <c r="AM29" s="9">
        <v>18.039573126733</v>
      </c>
      <c r="AN29" s="10">
        <v>2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2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7">
        <f t="shared" si="0"/>
        <v>4</v>
      </c>
      <c r="BA29" s="11">
        <f t="shared" si="1"/>
        <v>0.33333333333333331</v>
      </c>
      <c r="BC29" s="12">
        <v>36.079146253464998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36.079146253464998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f t="shared" si="2"/>
        <v>72.158292506929996</v>
      </c>
      <c r="BP29" s="12">
        <f t="shared" si="3"/>
        <v>6.0131910422441663</v>
      </c>
      <c r="BQ29" s="7"/>
      <c r="BR29" s="7"/>
      <c r="BS29" s="7" t="s">
        <v>51</v>
      </c>
      <c r="BT29" s="7" t="s">
        <v>52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/>
    </row>
    <row r="30" spans="1:78" x14ac:dyDescent="0.35">
      <c r="A30" s="7" t="s">
        <v>42</v>
      </c>
      <c r="B30" s="7"/>
      <c r="C30" s="7" t="s">
        <v>111</v>
      </c>
      <c r="D30" s="7" t="s">
        <v>112</v>
      </c>
      <c r="E30" s="7" t="s">
        <v>113</v>
      </c>
      <c r="F30" s="7" t="s">
        <v>114</v>
      </c>
      <c r="G30" s="7" t="s">
        <v>47</v>
      </c>
      <c r="H30" s="7"/>
      <c r="I30" s="7"/>
      <c r="J30" s="7" t="s">
        <v>48</v>
      </c>
      <c r="K30" s="7" t="s">
        <v>49</v>
      </c>
      <c r="L30" s="7" t="s">
        <v>49</v>
      </c>
      <c r="M30" s="7" t="s">
        <v>49</v>
      </c>
      <c r="N30" s="7" t="s">
        <v>115</v>
      </c>
      <c r="O30" s="7" t="s">
        <v>4</v>
      </c>
      <c r="P30" s="7">
        <v>50000</v>
      </c>
      <c r="Q30" s="7">
        <v>50000</v>
      </c>
      <c r="R30" s="7">
        <v>50000</v>
      </c>
      <c r="S30" s="7">
        <v>50000</v>
      </c>
      <c r="T30" s="7">
        <v>50000</v>
      </c>
      <c r="U30" s="7">
        <v>50000</v>
      </c>
      <c r="V30" s="7">
        <v>50000</v>
      </c>
      <c r="W30" s="7">
        <v>50000</v>
      </c>
      <c r="X30" s="7">
        <v>50000</v>
      </c>
      <c r="Y30" s="7">
        <v>50000</v>
      </c>
      <c r="Z30" s="7">
        <v>50000</v>
      </c>
      <c r="AA30" s="7">
        <v>50000</v>
      </c>
      <c r="AB30" s="9">
        <v>3.1648373906548999</v>
      </c>
      <c r="AC30" s="9">
        <v>3.1648373906548999</v>
      </c>
      <c r="AD30" s="9">
        <v>3.1648373906548999</v>
      </c>
      <c r="AE30" s="9">
        <v>3.1648373906548999</v>
      </c>
      <c r="AF30" s="9">
        <v>3.1648373906548999</v>
      </c>
      <c r="AG30" s="9">
        <v>3.1648373906548999</v>
      </c>
      <c r="AH30" s="9">
        <v>3.1648373906548999</v>
      </c>
      <c r="AI30" s="9">
        <v>3.1648373906548999</v>
      </c>
      <c r="AJ30" s="9">
        <v>3.1648373906548999</v>
      </c>
      <c r="AK30" s="9">
        <v>3.1648373906548999</v>
      </c>
      <c r="AL30" s="9">
        <v>3.1648373906548999</v>
      </c>
      <c r="AM30" s="9">
        <v>3.1648373906548999</v>
      </c>
      <c r="AN30" s="10">
        <v>0</v>
      </c>
      <c r="AO30" s="10">
        <v>0</v>
      </c>
      <c r="AP30" s="10">
        <v>0</v>
      </c>
      <c r="AQ30" s="10">
        <v>115</v>
      </c>
      <c r="AR30" s="10">
        <v>0</v>
      </c>
      <c r="AS30" s="10">
        <v>60</v>
      </c>
      <c r="AT30" s="10">
        <v>0</v>
      </c>
      <c r="AU30" s="10">
        <v>0</v>
      </c>
      <c r="AV30" s="10">
        <v>12</v>
      </c>
      <c r="AW30" s="10">
        <v>170</v>
      </c>
      <c r="AX30" s="10">
        <v>0</v>
      </c>
      <c r="AY30" s="10">
        <v>0</v>
      </c>
      <c r="AZ30" s="7">
        <f t="shared" si="0"/>
        <v>357</v>
      </c>
      <c r="BA30" s="11">
        <f t="shared" si="1"/>
        <v>29.75</v>
      </c>
      <c r="BC30" s="12">
        <v>0</v>
      </c>
      <c r="BD30" s="12">
        <v>0</v>
      </c>
      <c r="BE30" s="12">
        <v>0</v>
      </c>
      <c r="BF30" s="12">
        <v>363.95629992531002</v>
      </c>
      <c r="BG30" s="12">
        <v>0</v>
      </c>
      <c r="BH30" s="12">
        <v>189.89024343929</v>
      </c>
      <c r="BI30" s="12">
        <v>0</v>
      </c>
      <c r="BJ30" s="12">
        <v>0</v>
      </c>
      <c r="BK30" s="12">
        <v>37.978048687857999</v>
      </c>
      <c r="BL30" s="12">
        <v>538.02235641132995</v>
      </c>
      <c r="BM30" s="12">
        <v>0</v>
      </c>
      <c r="BN30" s="12">
        <v>0</v>
      </c>
      <c r="BO30" s="12">
        <f t="shared" si="2"/>
        <v>1129.8469484637881</v>
      </c>
      <c r="BP30" s="12">
        <f t="shared" si="3"/>
        <v>94.153912371982344</v>
      </c>
      <c r="BQ30" s="7"/>
      <c r="BR30" s="7"/>
      <c r="BS30" s="7" t="s">
        <v>116</v>
      </c>
      <c r="BT30" s="7" t="s">
        <v>52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/>
    </row>
    <row r="31" spans="1:78" x14ac:dyDescent="0.35">
      <c r="A31" s="7" t="s">
        <v>42</v>
      </c>
      <c r="B31" s="7"/>
      <c r="C31" s="7" t="s">
        <v>117</v>
      </c>
      <c r="D31" s="7" t="s">
        <v>112</v>
      </c>
      <c r="E31" s="7" t="s">
        <v>118</v>
      </c>
      <c r="F31" s="7" t="s">
        <v>114</v>
      </c>
      <c r="G31" s="7" t="s">
        <v>47</v>
      </c>
      <c r="H31" s="7"/>
      <c r="I31" s="7"/>
      <c r="J31" s="7" t="s">
        <v>48</v>
      </c>
      <c r="K31" s="7" t="s">
        <v>49</v>
      </c>
      <c r="L31" s="7" t="s">
        <v>49</v>
      </c>
      <c r="M31" s="7" t="s">
        <v>49</v>
      </c>
      <c r="N31" s="7" t="s">
        <v>115</v>
      </c>
      <c r="O31" s="7" t="s">
        <v>4</v>
      </c>
      <c r="P31" s="7">
        <v>150000</v>
      </c>
      <c r="Q31" s="7">
        <v>150000</v>
      </c>
      <c r="R31" s="7">
        <v>150000</v>
      </c>
      <c r="S31" s="7">
        <v>150000</v>
      </c>
      <c r="T31" s="7">
        <v>150000</v>
      </c>
      <c r="U31" s="7">
        <v>150000</v>
      </c>
      <c r="V31" s="7">
        <v>150000</v>
      </c>
      <c r="W31" s="7">
        <v>150000</v>
      </c>
      <c r="X31" s="7">
        <v>150000</v>
      </c>
      <c r="Y31" s="7">
        <v>150000</v>
      </c>
      <c r="Z31" s="7">
        <v>150000</v>
      </c>
      <c r="AA31" s="7">
        <v>150000</v>
      </c>
      <c r="AB31" s="9">
        <v>9.4945121719645993</v>
      </c>
      <c r="AC31" s="9">
        <v>9.4945121719645993</v>
      </c>
      <c r="AD31" s="9">
        <v>9.4945121719645993</v>
      </c>
      <c r="AE31" s="9">
        <v>9.4945121719645993</v>
      </c>
      <c r="AF31" s="9">
        <v>9.4945121719645993</v>
      </c>
      <c r="AG31" s="9">
        <v>9.4945121719645993</v>
      </c>
      <c r="AH31" s="9">
        <v>9.4945121719645993</v>
      </c>
      <c r="AI31" s="9">
        <v>9.4945121719645993</v>
      </c>
      <c r="AJ31" s="9">
        <v>9.4945121719645993</v>
      </c>
      <c r="AK31" s="9">
        <v>9.4945121719645993</v>
      </c>
      <c r="AL31" s="9">
        <v>9.4945121719645993</v>
      </c>
      <c r="AM31" s="9">
        <v>9.4945121719645993</v>
      </c>
      <c r="AN31" s="10">
        <v>0</v>
      </c>
      <c r="AO31" s="10">
        <v>0</v>
      </c>
      <c r="AP31" s="10">
        <v>0</v>
      </c>
      <c r="AQ31" s="10">
        <v>18</v>
      </c>
      <c r="AR31" s="10">
        <v>0</v>
      </c>
      <c r="AS31" s="10">
        <v>10</v>
      </c>
      <c r="AT31" s="10">
        <v>0</v>
      </c>
      <c r="AU31" s="10">
        <v>0</v>
      </c>
      <c r="AV31" s="10">
        <v>0</v>
      </c>
      <c r="AW31" s="10">
        <v>40</v>
      </c>
      <c r="AX31" s="10">
        <v>0</v>
      </c>
      <c r="AY31" s="10">
        <v>0</v>
      </c>
      <c r="AZ31" s="7">
        <f t="shared" si="0"/>
        <v>68</v>
      </c>
      <c r="BA31" s="11">
        <f t="shared" si="1"/>
        <v>5.666666666666667</v>
      </c>
      <c r="BC31" s="12">
        <v>0</v>
      </c>
      <c r="BD31" s="12">
        <v>0</v>
      </c>
      <c r="BE31" s="12">
        <v>0</v>
      </c>
      <c r="BF31" s="12">
        <v>170.90121909536001</v>
      </c>
      <c r="BG31" s="12">
        <v>0</v>
      </c>
      <c r="BH31" s="12">
        <v>94.945121719645996</v>
      </c>
      <c r="BI31" s="12">
        <v>0</v>
      </c>
      <c r="BJ31" s="12">
        <v>0</v>
      </c>
      <c r="BK31" s="12">
        <v>0</v>
      </c>
      <c r="BL31" s="12">
        <v>379.78048687858001</v>
      </c>
      <c r="BM31" s="12">
        <v>0</v>
      </c>
      <c r="BN31" s="12">
        <v>0</v>
      </c>
      <c r="BO31" s="12">
        <f t="shared" si="2"/>
        <v>645.62682769358594</v>
      </c>
      <c r="BP31" s="12">
        <f t="shared" si="3"/>
        <v>53.802235641132164</v>
      </c>
      <c r="BQ31" s="7"/>
      <c r="BR31" s="7"/>
      <c r="BS31" s="7" t="s">
        <v>116</v>
      </c>
      <c r="BT31" s="7" t="s">
        <v>52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/>
    </row>
    <row r="32" spans="1:78" x14ac:dyDescent="0.35">
      <c r="A32" s="7" t="s">
        <v>42</v>
      </c>
      <c r="B32" s="7"/>
      <c r="C32" s="7" t="s">
        <v>119</v>
      </c>
      <c r="D32" s="7" t="s">
        <v>120</v>
      </c>
      <c r="E32" s="7" t="s">
        <v>121</v>
      </c>
      <c r="F32" s="7" t="s">
        <v>122</v>
      </c>
      <c r="G32" s="7" t="s">
        <v>47</v>
      </c>
      <c r="H32" s="7"/>
      <c r="I32" s="7"/>
      <c r="J32" s="7" t="s">
        <v>48</v>
      </c>
      <c r="K32" s="7" t="s">
        <v>49</v>
      </c>
      <c r="L32" s="7" t="s">
        <v>49</v>
      </c>
      <c r="M32" s="7" t="s">
        <v>49</v>
      </c>
      <c r="N32" s="7" t="s">
        <v>123</v>
      </c>
      <c r="O32" s="7" t="s">
        <v>4</v>
      </c>
      <c r="P32" s="7">
        <v>12205510</v>
      </c>
      <c r="Q32" s="7">
        <v>12205510</v>
      </c>
      <c r="R32" s="7">
        <v>12205510</v>
      </c>
      <c r="S32" s="7">
        <v>12205510</v>
      </c>
      <c r="T32" s="7">
        <v>12205510</v>
      </c>
      <c r="U32" s="7">
        <v>12205510</v>
      </c>
      <c r="V32" s="7">
        <v>23591085</v>
      </c>
      <c r="W32" s="7">
        <v>23591085</v>
      </c>
      <c r="X32" s="7">
        <v>23591085</v>
      </c>
      <c r="Y32" s="7">
        <v>23591085</v>
      </c>
      <c r="Z32" s="7">
        <v>23591085</v>
      </c>
      <c r="AA32" s="7">
        <v>23591085</v>
      </c>
      <c r="AB32" s="9">
        <v>772.56908840024005</v>
      </c>
      <c r="AC32" s="9">
        <v>772.56908840024005</v>
      </c>
      <c r="AD32" s="9">
        <v>772.56908840024005</v>
      </c>
      <c r="AE32" s="9">
        <v>772.56908840024005</v>
      </c>
      <c r="AF32" s="9">
        <v>772.56908840024005</v>
      </c>
      <c r="AG32" s="9">
        <v>772.56908840024005</v>
      </c>
      <c r="AH32" s="9">
        <v>1493.2389578822999</v>
      </c>
      <c r="AI32" s="9">
        <v>1493.2389578822999</v>
      </c>
      <c r="AJ32" s="9">
        <v>1493.2389578822999</v>
      </c>
      <c r="AK32" s="9">
        <v>1493.2389578822999</v>
      </c>
      <c r="AL32" s="9">
        <v>1493.2389578822999</v>
      </c>
      <c r="AM32" s="9">
        <v>1493.2389578822999</v>
      </c>
      <c r="AN32" s="10">
        <v>0</v>
      </c>
      <c r="AO32" s="10">
        <v>0</v>
      </c>
      <c r="AP32" s="10">
        <v>0</v>
      </c>
      <c r="AQ32" s="10">
        <v>0</v>
      </c>
      <c r="AR32" s="10">
        <v>1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1</v>
      </c>
      <c r="AZ32" s="7">
        <f t="shared" si="0"/>
        <v>2</v>
      </c>
      <c r="BA32" s="11">
        <f t="shared" si="1"/>
        <v>0.16666666666666666</v>
      </c>
      <c r="BC32" s="12">
        <v>0</v>
      </c>
      <c r="BD32" s="12">
        <v>0</v>
      </c>
      <c r="BE32" s="12">
        <v>0</v>
      </c>
      <c r="BF32" s="12">
        <v>0</v>
      </c>
      <c r="BG32" s="12">
        <v>772.56908840024005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1493.2389578822999</v>
      </c>
      <c r="BO32" s="12">
        <f t="shared" si="2"/>
        <v>2265.8080462825401</v>
      </c>
      <c r="BP32" s="12">
        <f t="shared" si="3"/>
        <v>188.81733719021167</v>
      </c>
      <c r="BQ32" s="7"/>
      <c r="BR32" s="7"/>
      <c r="BS32" s="7" t="s">
        <v>124</v>
      </c>
      <c r="BT32" s="7" t="s">
        <v>52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/>
    </row>
    <row r="33" spans="1:78" x14ac:dyDescent="0.35">
      <c r="A33" s="7" t="s">
        <v>42</v>
      </c>
      <c r="B33" s="7"/>
      <c r="C33" s="7" t="s">
        <v>125</v>
      </c>
      <c r="D33" s="7" t="s">
        <v>126</v>
      </c>
      <c r="E33" s="7" t="s">
        <v>127</v>
      </c>
      <c r="F33" s="7" t="s">
        <v>128</v>
      </c>
      <c r="G33" s="7" t="s">
        <v>47</v>
      </c>
      <c r="H33" s="7"/>
      <c r="I33" s="7"/>
      <c r="J33" s="7" t="s">
        <v>48</v>
      </c>
      <c r="K33" s="7" t="s">
        <v>49</v>
      </c>
      <c r="L33" s="7" t="s">
        <v>49</v>
      </c>
      <c r="M33" s="7" t="s">
        <v>49</v>
      </c>
      <c r="N33" s="7" t="s">
        <v>123</v>
      </c>
      <c r="O33" s="7" t="s">
        <v>4</v>
      </c>
      <c r="P33" s="7">
        <v>183027223</v>
      </c>
      <c r="Q33" s="7">
        <v>183027223</v>
      </c>
      <c r="R33" s="7">
        <v>183027223</v>
      </c>
      <c r="S33" s="7">
        <v>183027223</v>
      </c>
      <c r="T33" s="7">
        <v>298764165</v>
      </c>
      <c r="U33" s="7">
        <v>298764165</v>
      </c>
      <c r="V33" s="7">
        <v>298764165</v>
      </c>
      <c r="W33" s="7">
        <v>298764165</v>
      </c>
      <c r="X33" s="7">
        <v>298764165</v>
      </c>
      <c r="Y33" s="7">
        <v>298764165</v>
      </c>
      <c r="Z33" s="7">
        <v>298764165</v>
      </c>
      <c r="AA33" s="7">
        <v>119505666</v>
      </c>
      <c r="AB33" s="9">
        <v>11585.027977162999</v>
      </c>
      <c r="AC33" s="9">
        <v>11585.027977162999</v>
      </c>
      <c r="AD33" s="9">
        <v>11585.027977162999</v>
      </c>
      <c r="AE33" s="9">
        <v>11585.027977162999</v>
      </c>
      <c r="AF33" s="9">
        <v>18910.800007596001</v>
      </c>
      <c r="AG33" s="9">
        <v>18910.800007596001</v>
      </c>
      <c r="AH33" s="9">
        <v>18910.800007596001</v>
      </c>
      <c r="AI33" s="9">
        <v>18910.800007596001</v>
      </c>
      <c r="AJ33" s="9">
        <v>18910.800007596001</v>
      </c>
      <c r="AK33" s="9">
        <v>18910.800007596001</v>
      </c>
      <c r="AL33" s="9">
        <v>18910.800007596001</v>
      </c>
      <c r="AM33" s="9">
        <v>7564.3200030382004</v>
      </c>
      <c r="AN33" s="10">
        <v>0</v>
      </c>
      <c r="AO33" s="10">
        <v>0</v>
      </c>
      <c r="AP33" s="10">
        <v>1</v>
      </c>
      <c r="AQ33" s="10">
        <v>0</v>
      </c>
      <c r="AR33" s="10">
        <v>0</v>
      </c>
      <c r="AS33" s="10">
        <v>1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1</v>
      </c>
      <c r="AZ33" s="7">
        <f t="shared" si="0"/>
        <v>3</v>
      </c>
      <c r="BA33" s="11">
        <f t="shared" si="1"/>
        <v>0.25</v>
      </c>
      <c r="BC33" s="12">
        <v>0</v>
      </c>
      <c r="BD33" s="12">
        <v>0</v>
      </c>
      <c r="BE33" s="12">
        <v>11585.027977162999</v>
      </c>
      <c r="BF33" s="12">
        <v>0</v>
      </c>
      <c r="BG33" s="12">
        <v>0</v>
      </c>
      <c r="BH33" s="12">
        <v>18910.800007596001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7564.3200030382004</v>
      </c>
      <c r="BO33" s="12">
        <f t="shared" si="2"/>
        <v>38060.147987797201</v>
      </c>
      <c r="BP33" s="12">
        <f t="shared" si="3"/>
        <v>3171.6789989831</v>
      </c>
      <c r="BQ33" s="7"/>
      <c r="BR33" s="7"/>
      <c r="BS33" s="7" t="s">
        <v>124</v>
      </c>
      <c r="BT33" s="7" t="s">
        <v>52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/>
    </row>
    <row r="34" spans="1:78" x14ac:dyDescent="0.35">
      <c r="A34" s="7" t="s">
        <v>42</v>
      </c>
      <c r="B34" s="7"/>
      <c r="C34" s="7" t="s">
        <v>129</v>
      </c>
      <c r="D34" s="7" t="s">
        <v>130</v>
      </c>
      <c r="E34" s="7" t="s">
        <v>131</v>
      </c>
      <c r="F34" s="7" t="s">
        <v>132</v>
      </c>
      <c r="G34" s="7" t="s">
        <v>47</v>
      </c>
      <c r="H34" s="7"/>
      <c r="I34" s="7"/>
      <c r="J34" s="7" t="s">
        <v>48</v>
      </c>
      <c r="K34" s="7" t="s">
        <v>49</v>
      </c>
      <c r="L34" s="7" t="s">
        <v>49</v>
      </c>
      <c r="M34" s="7" t="s">
        <v>49</v>
      </c>
      <c r="N34" s="7" t="s">
        <v>123</v>
      </c>
      <c r="O34" s="7" t="s">
        <v>4</v>
      </c>
      <c r="P34" s="7">
        <v>50000000</v>
      </c>
      <c r="Q34" s="7">
        <v>50000000</v>
      </c>
      <c r="R34" s="7">
        <v>50000000</v>
      </c>
      <c r="S34" s="7">
        <v>50000000</v>
      </c>
      <c r="T34" s="7">
        <v>50000000</v>
      </c>
      <c r="U34" s="7">
        <v>50000000</v>
      </c>
      <c r="V34" s="7">
        <v>50000000</v>
      </c>
      <c r="W34" s="7">
        <v>50000000</v>
      </c>
      <c r="X34" s="7">
        <v>50000000</v>
      </c>
      <c r="Y34" s="7">
        <v>50000000</v>
      </c>
      <c r="Z34" s="7">
        <v>50000000</v>
      </c>
      <c r="AA34" s="7">
        <v>50000000</v>
      </c>
      <c r="AB34" s="9">
        <v>3164.8373906549</v>
      </c>
      <c r="AC34" s="9">
        <v>3164.8373906549</v>
      </c>
      <c r="AD34" s="9">
        <v>3164.8373906549</v>
      </c>
      <c r="AE34" s="9">
        <v>3164.8373906549</v>
      </c>
      <c r="AF34" s="9">
        <v>3164.8373906549</v>
      </c>
      <c r="AG34" s="9">
        <v>3164.8373906549</v>
      </c>
      <c r="AH34" s="9">
        <v>3164.8373906549</v>
      </c>
      <c r="AI34" s="9">
        <v>3164.8373906549</v>
      </c>
      <c r="AJ34" s="9">
        <v>3164.8373906549</v>
      </c>
      <c r="AK34" s="9">
        <v>3164.8373906549</v>
      </c>
      <c r="AL34" s="9">
        <v>3164.8373906549</v>
      </c>
      <c r="AM34" s="9">
        <v>3164.8373906549</v>
      </c>
      <c r="AN34" s="10">
        <v>1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7">
        <f t="shared" si="0"/>
        <v>1</v>
      </c>
      <c r="BA34" s="11">
        <f t="shared" si="1"/>
        <v>8.3333333333333329E-2</v>
      </c>
      <c r="BC34" s="12">
        <v>3164.8373906549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f t="shared" si="2"/>
        <v>3164.8373906549</v>
      </c>
      <c r="BP34" s="12">
        <f t="shared" si="3"/>
        <v>263.73644922124168</v>
      </c>
      <c r="BQ34" s="7"/>
      <c r="BR34" s="7"/>
      <c r="BS34" s="7" t="s">
        <v>124</v>
      </c>
      <c r="BT34" s="7" t="s">
        <v>52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/>
    </row>
    <row r="35" spans="1:78" x14ac:dyDescent="0.35">
      <c r="A35" s="7" t="s">
        <v>42</v>
      </c>
      <c r="B35" s="7"/>
      <c r="C35" s="7" t="s">
        <v>133</v>
      </c>
      <c r="D35" s="7" t="s">
        <v>130</v>
      </c>
      <c r="E35" s="7" t="s">
        <v>134</v>
      </c>
      <c r="F35" s="7" t="s">
        <v>135</v>
      </c>
      <c r="G35" s="7" t="s">
        <v>47</v>
      </c>
      <c r="H35" s="7"/>
      <c r="I35" s="7"/>
      <c r="J35" s="7" t="s">
        <v>48</v>
      </c>
      <c r="K35" s="7" t="s">
        <v>49</v>
      </c>
      <c r="L35" s="7" t="s">
        <v>49</v>
      </c>
      <c r="M35" s="7" t="s">
        <v>49</v>
      </c>
      <c r="N35" s="7" t="s">
        <v>123</v>
      </c>
      <c r="O35" s="7" t="s">
        <v>4</v>
      </c>
      <c r="P35" s="7">
        <v>188161326</v>
      </c>
      <c r="Q35" s="7">
        <v>188161326</v>
      </c>
      <c r="R35" s="7">
        <v>188161326</v>
      </c>
      <c r="S35" s="7">
        <v>188161326</v>
      </c>
      <c r="T35" s="7">
        <v>188161326</v>
      </c>
      <c r="U35" s="7">
        <v>188161326</v>
      </c>
      <c r="V35" s="7">
        <v>188161326</v>
      </c>
      <c r="W35" s="7">
        <v>188161326</v>
      </c>
      <c r="X35" s="7">
        <v>188161326</v>
      </c>
      <c r="Y35" s="7">
        <v>188161326</v>
      </c>
      <c r="Z35" s="7">
        <v>188161326</v>
      </c>
      <c r="AA35" s="7">
        <v>188161326</v>
      </c>
      <c r="AB35" s="9">
        <v>11910</v>
      </c>
      <c r="AC35" s="9">
        <v>11910</v>
      </c>
      <c r="AD35" s="9">
        <v>11910</v>
      </c>
      <c r="AE35" s="9">
        <v>11910</v>
      </c>
      <c r="AF35" s="9">
        <v>11910</v>
      </c>
      <c r="AG35" s="9">
        <v>11910</v>
      </c>
      <c r="AH35" s="9">
        <v>11910</v>
      </c>
      <c r="AI35" s="9">
        <v>11910</v>
      </c>
      <c r="AJ35" s="9">
        <v>11910</v>
      </c>
      <c r="AK35" s="9">
        <v>11910</v>
      </c>
      <c r="AL35" s="9">
        <v>11910</v>
      </c>
      <c r="AM35" s="9">
        <v>11910</v>
      </c>
      <c r="AN35" s="10">
        <v>0</v>
      </c>
      <c r="AO35" s="10">
        <v>0</v>
      </c>
      <c r="AP35" s="10">
        <v>1</v>
      </c>
      <c r="AQ35" s="10">
        <v>0</v>
      </c>
      <c r="AR35" s="10">
        <v>0</v>
      </c>
      <c r="AS35" s="10">
        <v>1</v>
      </c>
      <c r="AT35" s="10">
        <v>0</v>
      </c>
      <c r="AU35" s="10">
        <v>0</v>
      </c>
      <c r="AV35" s="10">
        <v>1</v>
      </c>
      <c r="AW35" s="10">
        <v>0</v>
      </c>
      <c r="AX35" s="10">
        <v>0</v>
      </c>
      <c r="AY35" s="10">
        <v>1</v>
      </c>
      <c r="AZ35" s="7">
        <f t="shared" si="0"/>
        <v>4</v>
      </c>
      <c r="BA35" s="11">
        <f t="shared" si="1"/>
        <v>0.33333333333333331</v>
      </c>
      <c r="BC35" s="12">
        <v>0</v>
      </c>
      <c r="BD35" s="12">
        <v>0</v>
      </c>
      <c r="BE35" s="12">
        <v>11910</v>
      </c>
      <c r="BF35" s="12">
        <v>0</v>
      </c>
      <c r="BG35" s="12">
        <v>0</v>
      </c>
      <c r="BH35" s="12">
        <v>11910</v>
      </c>
      <c r="BI35" s="12">
        <v>0</v>
      </c>
      <c r="BJ35" s="12">
        <v>0</v>
      </c>
      <c r="BK35" s="12">
        <v>11910</v>
      </c>
      <c r="BL35" s="12">
        <v>0</v>
      </c>
      <c r="BM35" s="12">
        <v>0</v>
      </c>
      <c r="BN35" s="12">
        <v>11910</v>
      </c>
      <c r="BO35" s="12">
        <f t="shared" si="2"/>
        <v>47640</v>
      </c>
      <c r="BP35" s="12">
        <f t="shared" si="3"/>
        <v>3970</v>
      </c>
      <c r="BQ35" s="7"/>
      <c r="BR35" s="7"/>
      <c r="BS35" s="7" t="s">
        <v>124</v>
      </c>
      <c r="BT35" s="7" t="s">
        <v>52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/>
    </row>
    <row r="36" spans="1:78" x14ac:dyDescent="0.35">
      <c r="A36" s="7" t="s">
        <v>42</v>
      </c>
      <c r="B36" s="7"/>
      <c r="C36" s="7" t="s">
        <v>136</v>
      </c>
      <c r="D36" s="7" t="s">
        <v>130</v>
      </c>
      <c r="E36" s="7" t="s">
        <v>137</v>
      </c>
      <c r="F36" s="7" t="s">
        <v>138</v>
      </c>
      <c r="G36" s="7" t="s">
        <v>47</v>
      </c>
      <c r="H36" s="7"/>
      <c r="I36" s="7"/>
      <c r="J36" s="7" t="s">
        <v>48</v>
      </c>
      <c r="K36" s="7" t="s">
        <v>49</v>
      </c>
      <c r="L36" s="7" t="s">
        <v>49</v>
      </c>
      <c r="M36" s="7" t="s">
        <v>49</v>
      </c>
      <c r="N36" s="7" t="s">
        <v>123</v>
      </c>
      <c r="O36" s="7" t="s">
        <v>4</v>
      </c>
      <c r="P36" s="7">
        <v>30000000</v>
      </c>
      <c r="Q36" s="7">
        <v>30000000</v>
      </c>
      <c r="R36" s="7">
        <v>30000000</v>
      </c>
      <c r="S36" s="7">
        <v>30000000</v>
      </c>
      <c r="T36" s="7">
        <v>30000000</v>
      </c>
      <c r="U36" s="7">
        <v>30000000</v>
      </c>
      <c r="V36" s="7">
        <v>30000000</v>
      </c>
      <c r="W36" s="7">
        <v>60000000</v>
      </c>
      <c r="X36" s="7">
        <v>60000000</v>
      </c>
      <c r="Y36" s="7">
        <v>60000000</v>
      </c>
      <c r="Z36" s="7">
        <v>30000000</v>
      </c>
      <c r="AA36" s="7">
        <v>30000000</v>
      </c>
      <c r="AB36" s="9">
        <v>1898.9024343929</v>
      </c>
      <c r="AC36" s="9">
        <v>1898.9024343929</v>
      </c>
      <c r="AD36" s="9">
        <v>1898.9024343929</v>
      </c>
      <c r="AE36" s="9">
        <v>1898.9024343929</v>
      </c>
      <c r="AF36" s="9">
        <v>1898.9024343929</v>
      </c>
      <c r="AG36" s="9">
        <v>1898.9024343929</v>
      </c>
      <c r="AH36" s="9">
        <v>1898.9024343929</v>
      </c>
      <c r="AI36" s="9">
        <v>3797.8048687858</v>
      </c>
      <c r="AJ36" s="9">
        <v>3797.8048687858</v>
      </c>
      <c r="AK36" s="9">
        <v>3797.8048687858</v>
      </c>
      <c r="AL36" s="9">
        <v>1898.9024343929</v>
      </c>
      <c r="AM36" s="9">
        <v>1898.9024343929</v>
      </c>
      <c r="AN36" s="10">
        <v>1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1</v>
      </c>
      <c r="AW36" s="10">
        <v>0</v>
      </c>
      <c r="AX36" s="10">
        <v>0</v>
      </c>
      <c r="AY36" s="10">
        <v>1</v>
      </c>
      <c r="AZ36" s="7">
        <f t="shared" si="0"/>
        <v>3</v>
      </c>
      <c r="BA36" s="11">
        <f t="shared" si="1"/>
        <v>0.25</v>
      </c>
      <c r="BC36" s="12">
        <v>1898.9024343929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3797.8048687858</v>
      </c>
      <c r="BL36" s="12">
        <v>0</v>
      </c>
      <c r="BM36" s="12">
        <v>0</v>
      </c>
      <c r="BN36" s="12">
        <v>1898.9024343929</v>
      </c>
      <c r="BO36" s="12">
        <f t="shared" si="2"/>
        <v>7595.6097375715999</v>
      </c>
      <c r="BP36" s="12">
        <f t="shared" si="3"/>
        <v>632.9674781309667</v>
      </c>
      <c r="BQ36" s="7"/>
      <c r="BR36" s="7"/>
      <c r="BS36" s="7" t="s">
        <v>124</v>
      </c>
      <c r="BT36" s="7" t="s">
        <v>52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/>
    </row>
    <row r="37" spans="1:78" x14ac:dyDescent="0.35">
      <c r="A37" s="7" t="s">
        <v>42</v>
      </c>
      <c r="B37" s="7"/>
      <c r="C37" s="7" t="s">
        <v>139</v>
      </c>
      <c r="D37" s="7" t="s">
        <v>140</v>
      </c>
      <c r="E37" s="7" t="s">
        <v>141</v>
      </c>
      <c r="F37" s="7" t="s">
        <v>142</v>
      </c>
      <c r="G37" s="7" t="s">
        <v>47</v>
      </c>
      <c r="H37" s="7"/>
      <c r="I37" s="7"/>
      <c r="J37" s="7" t="s">
        <v>48</v>
      </c>
      <c r="K37" s="7" t="s">
        <v>49</v>
      </c>
      <c r="L37" s="7" t="s">
        <v>49</v>
      </c>
      <c r="M37" s="7" t="s">
        <v>49</v>
      </c>
      <c r="N37" s="7" t="s">
        <v>123</v>
      </c>
      <c r="O37" s="7" t="s">
        <v>6</v>
      </c>
      <c r="P37" s="7">
        <v>5000</v>
      </c>
      <c r="Q37" s="7">
        <v>5000</v>
      </c>
      <c r="R37" s="7">
        <v>5000</v>
      </c>
      <c r="S37" s="7">
        <v>5000</v>
      </c>
      <c r="T37" s="7">
        <v>5000</v>
      </c>
      <c r="U37" s="7">
        <v>5000</v>
      </c>
      <c r="V37" s="7">
        <v>5000</v>
      </c>
      <c r="W37" s="7">
        <v>5000</v>
      </c>
      <c r="X37" s="7">
        <v>5000</v>
      </c>
      <c r="Y37" s="7">
        <v>5000</v>
      </c>
      <c r="Z37" s="7">
        <v>5000</v>
      </c>
      <c r="AA37" s="7">
        <v>5000</v>
      </c>
      <c r="AB37" s="9">
        <v>33.112582781457</v>
      </c>
      <c r="AC37" s="9">
        <v>33.112582781457</v>
      </c>
      <c r="AD37" s="9">
        <v>33.112582781457</v>
      </c>
      <c r="AE37" s="9">
        <v>33.112582781457</v>
      </c>
      <c r="AF37" s="9">
        <v>33.112582781457</v>
      </c>
      <c r="AG37" s="9">
        <v>33.112582781457</v>
      </c>
      <c r="AH37" s="9">
        <v>33.112582781457</v>
      </c>
      <c r="AI37" s="9">
        <v>33.112582781457</v>
      </c>
      <c r="AJ37" s="9">
        <v>33.112582781457</v>
      </c>
      <c r="AK37" s="9">
        <v>33.112582781457</v>
      </c>
      <c r="AL37" s="9">
        <v>33.112582781457</v>
      </c>
      <c r="AM37" s="9">
        <v>33.112582781457</v>
      </c>
      <c r="AN37" s="10">
        <v>3</v>
      </c>
      <c r="AO37" s="10">
        <v>0</v>
      </c>
      <c r="AP37" s="10">
        <v>0</v>
      </c>
      <c r="AQ37" s="10">
        <v>3</v>
      </c>
      <c r="AR37" s="10">
        <v>0</v>
      </c>
      <c r="AS37" s="10">
        <v>0</v>
      </c>
      <c r="AT37" s="10">
        <v>3</v>
      </c>
      <c r="AU37" s="10">
        <v>0</v>
      </c>
      <c r="AV37" s="10">
        <v>0</v>
      </c>
      <c r="AW37" s="10">
        <v>3</v>
      </c>
      <c r="AX37" s="10">
        <v>0</v>
      </c>
      <c r="AY37" s="10">
        <v>0</v>
      </c>
      <c r="AZ37" s="7">
        <f t="shared" si="0"/>
        <v>12</v>
      </c>
      <c r="BA37" s="11">
        <f t="shared" si="1"/>
        <v>1</v>
      </c>
      <c r="BC37" s="12">
        <v>99.337748344370993</v>
      </c>
      <c r="BD37" s="12">
        <v>0</v>
      </c>
      <c r="BE37" s="12">
        <v>0</v>
      </c>
      <c r="BF37" s="12">
        <v>99.337748344370993</v>
      </c>
      <c r="BG37" s="12">
        <v>0</v>
      </c>
      <c r="BH37" s="12">
        <v>0</v>
      </c>
      <c r="BI37" s="12">
        <v>99.337748344370993</v>
      </c>
      <c r="BJ37" s="12">
        <v>0</v>
      </c>
      <c r="BK37" s="12">
        <v>0</v>
      </c>
      <c r="BL37" s="12">
        <v>99.337748344370993</v>
      </c>
      <c r="BM37" s="12">
        <v>0</v>
      </c>
      <c r="BN37" s="12">
        <v>0</v>
      </c>
      <c r="BO37" s="12">
        <f t="shared" si="2"/>
        <v>397.35099337748397</v>
      </c>
      <c r="BP37" s="12">
        <f t="shared" si="3"/>
        <v>33.112582781457</v>
      </c>
      <c r="BQ37" s="7"/>
      <c r="BR37" s="7"/>
      <c r="BS37" s="7" t="s">
        <v>124</v>
      </c>
      <c r="BT37" s="7" t="s">
        <v>52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/>
    </row>
    <row r="38" spans="1:78" x14ac:dyDescent="0.35">
      <c r="A38" s="7" t="s">
        <v>42</v>
      </c>
      <c r="B38" s="7"/>
      <c r="C38" s="7" t="s">
        <v>143</v>
      </c>
      <c r="D38" s="7" t="s">
        <v>126</v>
      </c>
      <c r="E38" s="7" t="s">
        <v>144</v>
      </c>
      <c r="F38" s="7" t="s">
        <v>145</v>
      </c>
      <c r="G38" s="7" t="s">
        <v>47</v>
      </c>
      <c r="H38" s="7"/>
      <c r="I38" s="7"/>
      <c r="J38" s="7" t="s">
        <v>48</v>
      </c>
      <c r="K38" s="7" t="s">
        <v>49</v>
      </c>
      <c r="L38" s="7" t="s">
        <v>49</v>
      </c>
      <c r="M38" s="7" t="s">
        <v>49</v>
      </c>
      <c r="N38" s="7" t="s">
        <v>123</v>
      </c>
      <c r="O38" s="7" t="s">
        <v>4</v>
      </c>
      <c r="P38" s="7">
        <v>78440239</v>
      </c>
      <c r="Q38" s="7">
        <v>78440239</v>
      </c>
      <c r="R38" s="7">
        <v>78440239</v>
      </c>
      <c r="S38" s="7">
        <v>78440239</v>
      </c>
      <c r="T38" s="7">
        <v>78440239</v>
      </c>
      <c r="U38" s="7">
        <v>179258499</v>
      </c>
      <c r="V38" s="7">
        <v>228674387</v>
      </c>
      <c r="W38" s="7">
        <v>228674387</v>
      </c>
      <c r="X38" s="7">
        <v>228674387</v>
      </c>
      <c r="Y38" s="7">
        <v>228674387</v>
      </c>
      <c r="Z38" s="7">
        <v>228674387</v>
      </c>
      <c r="AA38" s="7">
        <v>228674387</v>
      </c>
      <c r="AB38" s="9">
        <v>4965.0120263821</v>
      </c>
      <c r="AC38" s="9">
        <v>4965.0120263821</v>
      </c>
      <c r="AD38" s="9">
        <v>4965.0120263821</v>
      </c>
      <c r="AE38" s="9">
        <v>4965.0120263821</v>
      </c>
      <c r="AF38" s="9">
        <v>4965.0120263821</v>
      </c>
      <c r="AG38" s="9">
        <v>11346.480004556999</v>
      </c>
      <c r="AH38" s="9">
        <v>14474.345005253999</v>
      </c>
      <c r="AI38" s="9">
        <v>14474.345005253999</v>
      </c>
      <c r="AJ38" s="9">
        <v>14474.345005253999</v>
      </c>
      <c r="AK38" s="9">
        <v>14474.345005253999</v>
      </c>
      <c r="AL38" s="9">
        <v>14474.345005253999</v>
      </c>
      <c r="AM38" s="9">
        <v>14474.345005253999</v>
      </c>
      <c r="AN38" s="10">
        <v>0</v>
      </c>
      <c r="AO38" s="10">
        <v>0</v>
      </c>
      <c r="AP38" s="10">
        <v>0</v>
      </c>
      <c r="AQ38" s="10">
        <v>0</v>
      </c>
      <c r="AR38" s="10">
        <v>1</v>
      </c>
      <c r="AS38" s="10">
        <v>1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7">
        <f t="shared" si="0"/>
        <v>2</v>
      </c>
      <c r="BA38" s="11">
        <f t="shared" si="1"/>
        <v>0.16666666666666666</v>
      </c>
      <c r="BC38" s="12">
        <v>0</v>
      </c>
      <c r="BD38" s="12">
        <v>0</v>
      </c>
      <c r="BE38" s="12">
        <v>0</v>
      </c>
      <c r="BF38" s="12">
        <v>0</v>
      </c>
      <c r="BG38" s="12">
        <v>4965.0120263821</v>
      </c>
      <c r="BH38" s="12">
        <v>11346.480004556999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f t="shared" si="2"/>
        <v>16311.492030939098</v>
      </c>
      <c r="BP38" s="12">
        <f t="shared" si="3"/>
        <v>1359.2910025782583</v>
      </c>
      <c r="BQ38" s="7"/>
      <c r="BR38" s="7"/>
      <c r="BS38" s="7" t="s">
        <v>124</v>
      </c>
      <c r="BT38" s="7" t="s">
        <v>52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/>
    </row>
    <row r="39" spans="1:78" x14ac:dyDescent="0.35">
      <c r="A39" s="7" t="s">
        <v>42</v>
      </c>
      <c r="B39" s="7"/>
      <c r="C39" s="7" t="s">
        <v>146</v>
      </c>
      <c r="D39" s="7" t="s">
        <v>130</v>
      </c>
      <c r="E39" s="7" t="s">
        <v>147</v>
      </c>
      <c r="F39" s="7" t="s">
        <v>148</v>
      </c>
      <c r="G39" s="7" t="s">
        <v>47</v>
      </c>
      <c r="H39" s="7"/>
      <c r="I39" s="7"/>
      <c r="J39" s="7" t="s">
        <v>48</v>
      </c>
      <c r="K39" s="7" t="s">
        <v>49</v>
      </c>
      <c r="L39" s="7" t="s">
        <v>49</v>
      </c>
      <c r="M39" s="7" t="s">
        <v>49</v>
      </c>
      <c r="N39" s="7" t="s">
        <v>123</v>
      </c>
      <c r="O39" s="7" t="s">
        <v>4</v>
      </c>
      <c r="P39" s="7">
        <v>595587703</v>
      </c>
      <c r="Q39" s="7">
        <v>595587703</v>
      </c>
      <c r="R39" s="7">
        <v>595587703</v>
      </c>
      <c r="S39" s="7">
        <v>595587703</v>
      </c>
      <c r="T39" s="7">
        <v>610475951</v>
      </c>
      <c r="U39" s="7">
        <v>610475951</v>
      </c>
      <c r="V39" s="7">
        <v>610475951</v>
      </c>
      <c r="W39" s="7">
        <v>109818819</v>
      </c>
      <c r="X39" s="7">
        <v>109818819</v>
      </c>
      <c r="Y39" s="7">
        <v>109818819</v>
      </c>
      <c r="Z39" s="7">
        <v>243671641</v>
      </c>
      <c r="AA39" s="7">
        <v>243671641</v>
      </c>
      <c r="AB39" s="9">
        <v>37698.764637373002</v>
      </c>
      <c r="AC39" s="9">
        <v>37698.764637373002</v>
      </c>
      <c r="AD39" s="9">
        <v>37698.764637373002</v>
      </c>
      <c r="AE39" s="9">
        <v>37698.764637373002</v>
      </c>
      <c r="AF39" s="9">
        <v>38641.142316407997</v>
      </c>
      <c r="AG39" s="9">
        <v>38641.142316407997</v>
      </c>
      <c r="AH39" s="9">
        <v>38641.142316407997</v>
      </c>
      <c r="AI39" s="9">
        <v>6951.1740913752001</v>
      </c>
      <c r="AJ39" s="9">
        <v>6951.1740913752001</v>
      </c>
      <c r="AK39" s="9">
        <v>6951.1740913752001</v>
      </c>
      <c r="AL39" s="9">
        <v>15423.622409580999</v>
      </c>
      <c r="AM39" s="9">
        <v>15423.622409580999</v>
      </c>
      <c r="AN39" s="10">
        <v>0</v>
      </c>
      <c r="AO39" s="10">
        <v>0</v>
      </c>
      <c r="AP39" s="10">
        <v>1</v>
      </c>
      <c r="AQ39" s="10">
        <v>0</v>
      </c>
      <c r="AR39" s="10">
        <v>0</v>
      </c>
      <c r="AS39" s="10">
        <v>1</v>
      </c>
      <c r="AT39" s="10">
        <v>0</v>
      </c>
      <c r="AU39" s="10">
        <v>0</v>
      </c>
      <c r="AV39" s="10">
        <v>1</v>
      </c>
      <c r="AW39" s="10">
        <v>0</v>
      </c>
      <c r="AX39" s="10">
        <v>0</v>
      </c>
      <c r="AY39" s="10">
        <v>1</v>
      </c>
      <c r="AZ39" s="7">
        <f t="shared" si="0"/>
        <v>4</v>
      </c>
      <c r="BA39" s="11">
        <f t="shared" si="1"/>
        <v>0.33333333333333331</v>
      </c>
      <c r="BC39" s="12">
        <v>0</v>
      </c>
      <c r="BD39" s="12">
        <v>0</v>
      </c>
      <c r="BE39" s="12">
        <v>37698.764637373002</v>
      </c>
      <c r="BF39" s="12">
        <v>0</v>
      </c>
      <c r="BG39" s="12">
        <v>0</v>
      </c>
      <c r="BH39" s="12">
        <v>38641.142316407997</v>
      </c>
      <c r="BI39" s="12">
        <v>0</v>
      </c>
      <c r="BJ39" s="12">
        <v>0</v>
      </c>
      <c r="BK39" s="12">
        <v>6951.1740913752001</v>
      </c>
      <c r="BL39" s="12">
        <v>0</v>
      </c>
      <c r="BM39" s="12">
        <v>0</v>
      </c>
      <c r="BN39" s="12">
        <v>15423.622409580999</v>
      </c>
      <c r="BO39" s="12">
        <f t="shared" si="2"/>
        <v>98714.703454737202</v>
      </c>
      <c r="BP39" s="12">
        <f t="shared" si="3"/>
        <v>8226.2252878947675</v>
      </c>
      <c r="BQ39" s="7"/>
      <c r="BR39" s="7"/>
      <c r="BS39" s="7" t="s">
        <v>124</v>
      </c>
      <c r="BT39" s="7" t="s">
        <v>52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/>
    </row>
    <row r="40" spans="1:78" x14ac:dyDescent="0.35">
      <c r="A40" s="7" t="s">
        <v>42</v>
      </c>
      <c r="B40" s="7"/>
      <c r="C40" s="7" t="s">
        <v>149</v>
      </c>
      <c r="D40" s="7" t="s">
        <v>150</v>
      </c>
      <c r="E40" s="7" t="s">
        <v>150</v>
      </c>
      <c r="F40" s="7" t="s">
        <v>66</v>
      </c>
      <c r="G40" s="7" t="s">
        <v>47</v>
      </c>
      <c r="H40" s="7"/>
      <c r="I40" s="7"/>
      <c r="J40" s="7" t="s">
        <v>48</v>
      </c>
      <c r="K40" s="7" t="s">
        <v>49</v>
      </c>
      <c r="L40" s="7" t="s">
        <v>49</v>
      </c>
      <c r="M40" s="7" t="s">
        <v>49</v>
      </c>
      <c r="N40" s="7" t="s">
        <v>151</v>
      </c>
      <c r="O40" s="7" t="s">
        <v>4</v>
      </c>
      <c r="P40" s="7">
        <v>48063</v>
      </c>
      <c r="Q40" s="7">
        <v>48063</v>
      </c>
      <c r="R40" s="7">
        <v>48063</v>
      </c>
      <c r="S40" s="7">
        <v>48063</v>
      </c>
      <c r="T40" s="7">
        <v>48063</v>
      </c>
      <c r="U40" s="7">
        <v>48063</v>
      </c>
      <c r="V40" s="7">
        <v>48063</v>
      </c>
      <c r="W40" s="7">
        <v>48063</v>
      </c>
      <c r="X40" s="7">
        <v>48063</v>
      </c>
      <c r="Y40" s="7">
        <v>48063</v>
      </c>
      <c r="Z40" s="7">
        <v>48063</v>
      </c>
      <c r="AA40" s="7">
        <v>48063</v>
      </c>
      <c r="AB40" s="9">
        <v>3.0422315901408998</v>
      </c>
      <c r="AC40" s="9">
        <v>3.0422315901408998</v>
      </c>
      <c r="AD40" s="9">
        <v>3.0422315901408998</v>
      </c>
      <c r="AE40" s="9">
        <v>3.0422315901408998</v>
      </c>
      <c r="AF40" s="9">
        <v>3.0422315901408998</v>
      </c>
      <c r="AG40" s="9">
        <v>3.0422315901408998</v>
      </c>
      <c r="AH40" s="9">
        <v>3.0422315901408998</v>
      </c>
      <c r="AI40" s="9">
        <v>3.0422315901408998</v>
      </c>
      <c r="AJ40" s="9">
        <v>3.0422315901408998</v>
      </c>
      <c r="AK40" s="9">
        <v>3.0422315901408998</v>
      </c>
      <c r="AL40" s="9">
        <v>3.0422315901408998</v>
      </c>
      <c r="AM40" s="9">
        <v>3.0422315901408998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1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7">
        <f t="shared" si="0"/>
        <v>1</v>
      </c>
      <c r="BA40" s="11">
        <f t="shared" si="1"/>
        <v>8.3333333333333329E-2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3.0422315901408998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f t="shared" si="2"/>
        <v>3.0422315901408998</v>
      </c>
      <c r="BP40" s="12">
        <f t="shared" si="3"/>
        <v>0.25351929917840832</v>
      </c>
      <c r="BQ40" s="7"/>
      <c r="BR40" s="7"/>
      <c r="BS40" s="7" t="s">
        <v>51</v>
      </c>
      <c r="BT40" s="7" t="s">
        <v>52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/>
    </row>
    <row r="41" spans="1:78" x14ac:dyDescent="0.35">
      <c r="A41" s="7" t="s">
        <v>42</v>
      </c>
      <c r="B41" s="7"/>
      <c r="C41" s="7" t="s">
        <v>152</v>
      </c>
      <c r="D41" s="7" t="s">
        <v>153</v>
      </c>
      <c r="E41" s="7" t="s">
        <v>154</v>
      </c>
      <c r="F41" s="7" t="s">
        <v>61</v>
      </c>
      <c r="G41" s="7" t="s">
        <v>47</v>
      </c>
      <c r="H41" s="7"/>
      <c r="I41" s="7"/>
      <c r="J41" s="7" t="s">
        <v>48</v>
      </c>
      <c r="K41" s="7" t="s">
        <v>49</v>
      </c>
      <c r="L41" s="7" t="s">
        <v>49</v>
      </c>
      <c r="M41" s="7" t="s">
        <v>49</v>
      </c>
      <c r="N41" s="7" t="s">
        <v>56</v>
      </c>
      <c r="O41" s="7" t="s">
        <v>4</v>
      </c>
      <c r="P41" s="7">
        <v>1100</v>
      </c>
      <c r="Q41" s="7">
        <v>1100</v>
      </c>
      <c r="R41" s="7">
        <v>1100</v>
      </c>
      <c r="S41" s="7">
        <v>1100</v>
      </c>
      <c r="T41" s="7">
        <v>1100</v>
      </c>
      <c r="U41" s="7">
        <v>1100</v>
      </c>
      <c r="V41" s="7">
        <v>1100</v>
      </c>
      <c r="W41" s="7">
        <v>1100</v>
      </c>
      <c r="X41" s="7">
        <v>1100</v>
      </c>
      <c r="Y41" s="7">
        <v>1100</v>
      </c>
      <c r="Z41" s="7">
        <v>1100</v>
      </c>
      <c r="AA41" s="7">
        <v>1100</v>
      </c>
      <c r="AB41" s="9">
        <v>6.9626422594407003E-2</v>
      </c>
      <c r="AC41" s="9">
        <v>6.9626422594407003E-2</v>
      </c>
      <c r="AD41" s="9">
        <v>6.9626422594407003E-2</v>
      </c>
      <c r="AE41" s="9">
        <v>6.9626422594407003E-2</v>
      </c>
      <c r="AF41" s="9">
        <v>6.9626422594407003E-2</v>
      </c>
      <c r="AG41" s="9">
        <v>6.9626422594407003E-2</v>
      </c>
      <c r="AH41" s="9">
        <v>6.9626422594407003E-2</v>
      </c>
      <c r="AI41" s="9">
        <v>6.9626422594407003E-2</v>
      </c>
      <c r="AJ41" s="9">
        <v>6.9626422594407003E-2</v>
      </c>
      <c r="AK41" s="9">
        <v>6.9626422594407003E-2</v>
      </c>
      <c r="AL41" s="9">
        <v>6.9626422594407003E-2</v>
      </c>
      <c r="AM41" s="9">
        <v>6.9626422594407003E-2</v>
      </c>
      <c r="AN41" s="10">
        <v>150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7">
        <f t="shared" si="0"/>
        <v>150</v>
      </c>
      <c r="BA41" s="11">
        <f t="shared" si="1"/>
        <v>12.5</v>
      </c>
      <c r="BC41" s="12">
        <v>10.443963389161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f t="shared" si="2"/>
        <v>10.443963389161</v>
      </c>
      <c r="BP41" s="12">
        <f t="shared" si="3"/>
        <v>0.87033028243008337</v>
      </c>
      <c r="BQ41" s="7"/>
      <c r="BR41" s="7"/>
      <c r="BS41" s="7" t="s">
        <v>51</v>
      </c>
      <c r="BT41" s="7" t="s">
        <v>52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/>
    </row>
    <row r="42" spans="1:78" x14ac:dyDescent="0.35">
      <c r="A42" s="7" t="s">
        <v>42</v>
      </c>
      <c r="B42" s="7"/>
      <c r="C42" s="7" t="s">
        <v>155</v>
      </c>
      <c r="D42" s="7" t="s">
        <v>156</v>
      </c>
      <c r="E42" s="7" t="s">
        <v>157</v>
      </c>
      <c r="F42" s="7" t="s">
        <v>110</v>
      </c>
      <c r="G42" s="7" t="s">
        <v>47</v>
      </c>
      <c r="H42" s="7"/>
      <c r="I42" s="7"/>
      <c r="J42" s="7" t="s">
        <v>48</v>
      </c>
      <c r="K42" s="7" t="s">
        <v>49</v>
      </c>
      <c r="L42" s="7" t="s">
        <v>49</v>
      </c>
      <c r="M42" s="7" t="s">
        <v>49</v>
      </c>
      <c r="N42" s="7" t="s">
        <v>56</v>
      </c>
      <c r="O42" s="7" t="s">
        <v>4</v>
      </c>
      <c r="P42" s="7">
        <v>125</v>
      </c>
      <c r="Q42" s="7">
        <v>125</v>
      </c>
      <c r="R42" s="7">
        <v>125</v>
      </c>
      <c r="S42" s="7">
        <v>125</v>
      </c>
      <c r="T42" s="7">
        <v>125</v>
      </c>
      <c r="U42" s="7">
        <v>125</v>
      </c>
      <c r="V42" s="7">
        <v>125</v>
      </c>
      <c r="W42" s="7">
        <v>125</v>
      </c>
      <c r="X42" s="7">
        <v>125</v>
      </c>
      <c r="Y42" s="7">
        <v>125</v>
      </c>
      <c r="Z42" s="7">
        <v>125</v>
      </c>
      <c r="AA42" s="7">
        <v>125</v>
      </c>
      <c r="AB42" s="9" t="s">
        <v>158</v>
      </c>
      <c r="AC42" s="9" t="s">
        <v>158</v>
      </c>
      <c r="AD42" s="9" t="s">
        <v>158</v>
      </c>
      <c r="AE42" s="9" t="s">
        <v>158</v>
      </c>
      <c r="AF42" s="9" t="s">
        <v>158</v>
      </c>
      <c r="AG42" s="9" t="s">
        <v>158</v>
      </c>
      <c r="AH42" s="9" t="s">
        <v>158</v>
      </c>
      <c r="AI42" s="9" t="s">
        <v>158</v>
      </c>
      <c r="AJ42" s="9" t="s">
        <v>158</v>
      </c>
      <c r="AK42" s="9" t="s">
        <v>158</v>
      </c>
      <c r="AL42" s="9" t="s">
        <v>158</v>
      </c>
      <c r="AM42" s="9" t="s">
        <v>158</v>
      </c>
      <c r="AN42" s="10">
        <v>6950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6950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7">
        <f t="shared" si="0"/>
        <v>13900</v>
      </c>
      <c r="BA42" s="11">
        <f t="shared" si="1"/>
        <v>1158.3333333333333</v>
      </c>
      <c r="BC42" s="12">
        <v>54.989049662627998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54.989049662627998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f t="shared" si="2"/>
        <v>109.978099325256</v>
      </c>
      <c r="BP42" s="12">
        <f t="shared" si="3"/>
        <v>9.1648416104379997</v>
      </c>
      <c r="BQ42" s="7"/>
      <c r="BR42" s="7"/>
      <c r="BS42" s="7" t="s">
        <v>51</v>
      </c>
      <c r="BT42" s="7" t="s">
        <v>52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/>
    </row>
    <row r="43" spans="1:78" x14ac:dyDescent="0.35">
      <c r="A43" s="7" t="s">
        <v>42</v>
      </c>
      <c r="B43" s="7"/>
      <c r="C43" s="7" t="s">
        <v>159</v>
      </c>
      <c r="D43" s="7" t="s">
        <v>160</v>
      </c>
      <c r="E43" s="7" t="s">
        <v>161</v>
      </c>
      <c r="F43" s="7" t="s">
        <v>162</v>
      </c>
      <c r="G43" s="7" t="s">
        <v>47</v>
      </c>
      <c r="H43" s="7"/>
      <c r="I43" s="7"/>
      <c r="J43" s="7" t="s">
        <v>48</v>
      </c>
      <c r="K43" s="7" t="s">
        <v>49</v>
      </c>
      <c r="L43" s="7" t="s">
        <v>49</v>
      </c>
      <c r="M43" s="7" t="s">
        <v>49</v>
      </c>
      <c r="N43" s="7" t="s">
        <v>56</v>
      </c>
      <c r="O43" s="7" t="s">
        <v>4</v>
      </c>
      <c r="P43" s="7">
        <v>20000</v>
      </c>
      <c r="Q43" s="7">
        <v>20000</v>
      </c>
      <c r="R43" s="7">
        <v>20000</v>
      </c>
      <c r="S43" s="7">
        <v>20000</v>
      </c>
      <c r="T43" s="7">
        <v>20000</v>
      </c>
      <c r="U43" s="7">
        <v>20000</v>
      </c>
      <c r="V43" s="7">
        <v>20000</v>
      </c>
      <c r="W43" s="7">
        <v>20000</v>
      </c>
      <c r="X43" s="7">
        <v>20000</v>
      </c>
      <c r="Y43" s="7">
        <v>20000</v>
      </c>
      <c r="Z43" s="7">
        <v>20000</v>
      </c>
      <c r="AA43" s="7">
        <v>20000</v>
      </c>
      <c r="AB43" s="9">
        <v>1.2659349562619</v>
      </c>
      <c r="AC43" s="9">
        <v>1.2659349562619</v>
      </c>
      <c r="AD43" s="9">
        <v>1.2659349562619</v>
      </c>
      <c r="AE43" s="9">
        <v>1.2659349562619</v>
      </c>
      <c r="AF43" s="9">
        <v>1.2659349562619</v>
      </c>
      <c r="AG43" s="9">
        <v>1.2659349562619</v>
      </c>
      <c r="AH43" s="9">
        <v>1.2659349562619</v>
      </c>
      <c r="AI43" s="9">
        <v>1.2659349562619</v>
      </c>
      <c r="AJ43" s="9">
        <v>1.2659349562619</v>
      </c>
      <c r="AK43" s="9">
        <v>1.2659349562619</v>
      </c>
      <c r="AL43" s="9">
        <v>1.2659349562619</v>
      </c>
      <c r="AM43" s="9">
        <v>1.2659349562619</v>
      </c>
      <c r="AN43" s="10">
        <v>0</v>
      </c>
      <c r="AO43" s="10">
        <v>2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7">
        <f t="shared" si="0"/>
        <v>2</v>
      </c>
      <c r="BA43" s="11">
        <f t="shared" si="1"/>
        <v>0.16666666666666666</v>
      </c>
      <c r="BC43" s="12">
        <v>0</v>
      </c>
      <c r="BD43" s="12">
        <v>2.5318699125238999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f t="shared" si="2"/>
        <v>2.5318699125238999</v>
      </c>
      <c r="BP43" s="12">
        <f t="shared" si="3"/>
        <v>0.21098915937699167</v>
      </c>
      <c r="BQ43" s="7"/>
      <c r="BR43" s="7"/>
      <c r="BS43" s="7" t="s">
        <v>51</v>
      </c>
      <c r="BT43" s="7" t="s">
        <v>52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/>
    </row>
    <row r="44" spans="1:78" x14ac:dyDescent="0.35">
      <c r="A44" s="7" t="s">
        <v>42</v>
      </c>
      <c r="B44" s="7"/>
      <c r="C44" s="7" t="s">
        <v>163</v>
      </c>
      <c r="D44" s="7" t="s">
        <v>160</v>
      </c>
      <c r="E44" s="7" t="s">
        <v>164</v>
      </c>
      <c r="F44" s="7" t="s">
        <v>162</v>
      </c>
      <c r="G44" s="7" t="s">
        <v>47</v>
      </c>
      <c r="H44" s="7"/>
      <c r="I44" s="7"/>
      <c r="J44" s="7" t="s">
        <v>48</v>
      </c>
      <c r="K44" s="7" t="s">
        <v>49</v>
      </c>
      <c r="L44" s="7" t="s">
        <v>49</v>
      </c>
      <c r="M44" s="7" t="s">
        <v>49</v>
      </c>
      <c r="N44" s="7" t="s">
        <v>56</v>
      </c>
      <c r="O44" s="7" t="s">
        <v>4</v>
      </c>
      <c r="P44" s="7">
        <v>20000</v>
      </c>
      <c r="Q44" s="7">
        <v>20000</v>
      </c>
      <c r="R44" s="7">
        <v>20000</v>
      </c>
      <c r="S44" s="7">
        <v>20000</v>
      </c>
      <c r="T44" s="7">
        <v>20000</v>
      </c>
      <c r="U44" s="7">
        <v>20000</v>
      </c>
      <c r="V44" s="7">
        <v>20000</v>
      </c>
      <c r="W44" s="7">
        <v>20000</v>
      </c>
      <c r="X44" s="7">
        <v>20000</v>
      </c>
      <c r="Y44" s="7">
        <v>20000</v>
      </c>
      <c r="Z44" s="7">
        <v>20000</v>
      </c>
      <c r="AA44" s="7">
        <v>20000</v>
      </c>
      <c r="AB44" s="9">
        <v>1.2659349562619</v>
      </c>
      <c r="AC44" s="9">
        <v>1.2659349562619</v>
      </c>
      <c r="AD44" s="9">
        <v>1.2659349562619</v>
      </c>
      <c r="AE44" s="9">
        <v>1.2659349562619</v>
      </c>
      <c r="AF44" s="9">
        <v>1.2659349562619</v>
      </c>
      <c r="AG44" s="9">
        <v>1.2659349562619</v>
      </c>
      <c r="AH44" s="9">
        <v>1.2659349562619</v>
      </c>
      <c r="AI44" s="9">
        <v>1.2659349562619</v>
      </c>
      <c r="AJ44" s="9">
        <v>1.2659349562619</v>
      </c>
      <c r="AK44" s="9">
        <v>1.2659349562619</v>
      </c>
      <c r="AL44" s="9">
        <v>1.2659349562619</v>
      </c>
      <c r="AM44" s="9">
        <v>1.2659349562619</v>
      </c>
      <c r="AN44" s="10">
        <v>0</v>
      </c>
      <c r="AO44" s="10">
        <v>2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7">
        <f t="shared" si="0"/>
        <v>2</v>
      </c>
      <c r="BA44" s="11">
        <f t="shared" si="1"/>
        <v>0.16666666666666666</v>
      </c>
      <c r="BC44" s="12">
        <v>0</v>
      </c>
      <c r="BD44" s="12">
        <v>2.5318699125238999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f t="shared" si="2"/>
        <v>2.5318699125238999</v>
      </c>
      <c r="BP44" s="12">
        <f t="shared" si="3"/>
        <v>0.21098915937699167</v>
      </c>
      <c r="BQ44" s="7"/>
      <c r="BR44" s="7"/>
      <c r="BS44" s="7" t="s">
        <v>51</v>
      </c>
      <c r="BT44" s="7" t="s">
        <v>52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/>
    </row>
    <row r="45" spans="1:78" x14ac:dyDescent="0.35">
      <c r="A45" s="7" t="s">
        <v>42</v>
      </c>
      <c r="B45" s="7"/>
      <c r="C45" s="7" t="s">
        <v>165</v>
      </c>
      <c r="D45" s="7" t="s">
        <v>166</v>
      </c>
      <c r="E45" s="7" t="s">
        <v>167</v>
      </c>
      <c r="F45" s="7" t="s">
        <v>168</v>
      </c>
      <c r="G45" s="7" t="s">
        <v>47</v>
      </c>
      <c r="H45" s="7"/>
      <c r="I45" s="7"/>
      <c r="J45" s="7" t="s">
        <v>48</v>
      </c>
      <c r="K45" s="7" t="s">
        <v>49</v>
      </c>
      <c r="L45" s="7" t="s">
        <v>49</v>
      </c>
      <c r="M45" s="7" t="s">
        <v>49</v>
      </c>
      <c r="N45" s="7" t="s">
        <v>56</v>
      </c>
      <c r="O45" s="7" t="s">
        <v>4</v>
      </c>
      <c r="P45" s="7">
        <v>250000</v>
      </c>
      <c r="Q45" s="7">
        <v>250000</v>
      </c>
      <c r="R45" s="7">
        <v>250000</v>
      </c>
      <c r="S45" s="7">
        <v>250000</v>
      </c>
      <c r="T45" s="7">
        <v>250000</v>
      </c>
      <c r="U45" s="7">
        <v>250000</v>
      </c>
      <c r="V45" s="7">
        <v>250000</v>
      </c>
      <c r="W45" s="7">
        <v>250000</v>
      </c>
      <c r="X45" s="7">
        <v>250000</v>
      </c>
      <c r="Y45" s="7">
        <v>250000</v>
      </c>
      <c r="Z45" s="7">
        <v>250000</v>
      </c>
      <c r="AA45" s="7">
        <v>250000</v>
      </c>
      <c r="AB45" s="9">
        <v>15.824186953273999</v>
      </c>
      <c r="AC45" s="9">
        <v>15.824186953273999</v>
      </c>
      <c r="AD45" s="9">
        <v>15.824186953273999</v>
      </c>
      <c r="AE45" s="9">
        <v>15.824186953273999</v>
      </c>
      <c r="AF45" s="9">
        <v>15.824186953273999</v>
      </c>
      <c r="AG45" s="9">
        <v>15.824186953273999</v>
      </c>
      <c r="AH45" s="9">
        <v>15.824186953273999</v>
      </c>
      <c r="AI45" s="9">
        <v>15.824186953273999</v>
      </c>
      <c r="AJ45" s="9">
        <v>15.824186953273999</v>
      </c>
      <c r="AK45" s="9">
        <v>15.824186953273999</v>
      </c>
      <c r="AL45" s="9">
        <v>15.824186953273999</v>
      </c>
      <c r="AM45" s="9">
        <v>15.824186953273999</v>
      </c>
      <c r="AN45" s="10">
        <v>2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7">
        <f t="shared" ref="AZ45:AZ76" si="4">SUM(AN45:AY45)</f>
        <v>2</v>
      </c>
      <c r="BA45" s="11">
        <f t="shared" ref="BA45:BA76" si="5">AZ45/12</f>
        <v>0.16666666666666666</v>
      </c>
      <c r="BC45" s="12">
        <v>31.648373906549001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f t="shared" ref="BO45:BO76" si="6">SUM(BC45:BN45)</f>
        <v>31.648373906549001</v>
      </c>
      <c r="BP45" s="12">
        <f t="shared" ref="BP45:BP76" si="7">BO45/12</f>
        <v>2.6373644922124169</v>
      </c>
      <c r="BQ45" s="7"/>
      <c r="BR45" s="7"/>
      <c r="BS45" s="7" t="s">
        <v>51</v>
      </c>
      <c r="BT45" s="7" t="s">
        <v>52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/>
    </row>
    <row r="46" spans="1:78" x14ac:dyDescent="0.35">
      <c r="A46" s="7" t="s">
        <v>42</v>
      </c>
      <c r="B46" s="7"/>
      <c r="C46" s="7" t="s">
        <v>165</v>
      </c>
      <c r="D46" s="7" t="s">
        <v>166</v>
      </c>
      <c r="E46" s="7" t="s">
        <v>167</v>
      </c>
      <c r="F46" s="7" t="s">
        <v>169</v>
      </c>
      <c r="G46" s="7" t="s">
        <v>47</v>
      </c>
      <c r="H46" s="7"/>
      <c r="I46" s="7"/>
      <c r="J46" s="7" t="s">
        <v>48</v>
      </c>
      <c r="K46" s="7" t="s">
        <v>49</v>
      </c>
      <c r="L46" s="7" t="s">
        <v>49</v>
      </c>
      <c r="M46" s="7" t="s">
        <v>49</v>
      </c>
      <c r="N46" s="7" t="s">
        <v>56</v>
      </c>
      <c r="O46" s="7" t="s">
        <v>4</v>
      </c>
      <c r="P46" s="7">
        <v>250000</v>
      </c>
      <c r="Q46" s="7">
        <v>250000</v>
      </c>
      <c r="R46" s="7">
        <v>250000</v>
      </c>
      <c r="S46" s="7">
        <v>250000</v>
      </c>
      <c r="T46" s="7">
        <v>250000</v>
      </c>
      <c r="U46" s="7">
        <v>250000</v>
      </c>
      <c r="V46" s="7">
        <v>250000</v>
      </c>
      <c r="W46" s="7">
        <v>250000</v>
      </c>
      <c r="X46" s="7">
        <v>250000</v>
      </c>
      <c r="Y46" s="7">
        <v>250000</v>
      </c>
      <c r="Z46" s="7">
        <v>250000</v>
      </c>
      <c r="AA46" s="7">
        <v>250000</v>
      </c>
      <c r="AB46" s="9">
        <v>15.824186953273999</v>
      </c>
      <c r="AC46" s="9">
        <v>15.824186953273999</v>
      </c>
      <c r="AD46" s="9">
        <v>15.824186953273999</v>
      </c>
      <c r="AE46" s="9">
        <v>15.824186953273999</v>
      </c>
      <c r="AF46" s="9">
        <v>15.824186953273999</v>
      </c>
      <c r="AG46" s="9">
        <v>15.824186953273999</v>
      </c>
      <c r="AH46" s="9">
        <v>15.824186953273999</v>
      </c>
      <c r="AI46" s="9">
        <v>15.824186953273999</v>
      </c>
      <c r="AJ46" s="9">
        <v>15.824186953273999</v>
      </c>
      <c r="AK46" s="9">
        <v>15.824186953273999</v>
      </c>
      <c r="AL46" s="9">
        <v>15.824186953273999</v>
      </c>
      <c r="AM46" s="9">
        <v>15.824186953273999</v>
      </c>
      <c r="AN46" s="10">
        <v>1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7">
        <f t="shared" si="4"/>
        <v>1</v>
      </c>
      <c r="BA46" s="11">
        <f t="shared" si="5"/>
        <v>8.3333333333333329E-2</v>
      </c>
      <c r="BC46" s="12">
        <v>15.824186953273999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f t="shared" si="6"/>
        <v>15.824186953273999</v>
      </c>
      <c r="BP46" s="12">
        <f t="shared" si="7"/>
        <v>1.3186822461061667</v>
      </c>
      <c r="BQ46" s="7"/>
      <c r="BR46" s="7"/>
      <c r="BS46" s="7" t="s">
        <v>51</v>
      </c>
      <c r="BT46" s="7" t="s">
        <v>52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/>
    </row>
    <row r="47" spans="1:78" x14ac:dyDescent="0.35">
      <c r="A47" s="7" t="s">
        <v>42</v>
      </c>
      <c r="B47" s="7"/>
      <c r="C47" s="7" t="s">
        <v>165</v>
      </c>
      <c r="D47" s="7" t="s">
        <v>166</v>
      </c>
      <c r="E47" s="7" t="s">
        <v>167</v>
      </c>
      <c r="F47" s="7" t="s">
        <v>170</v>
      </c>
      <c r="G47" s="7" t="s">
        <v>47</v>
      </c>
      <c r="H47" s="7"/>
      <c r="I47" s="7"/>
      <c r="J47" s="7" t="s">
        <v>48</v>
      </c>
      <c r="K47" s="7" t="s">
        <v>49</v>
      </c>
      <c r="L47" s="7" t="s">
        <v>49</v>
      </c>
      <c r="M47" s="7" t="s">
        <v>49</v>
      </c>
      <c r="N47" s="7" t="s">
        <v>56</v>
      </c>
      <c r="O47" s="7" t="s">
        <v>4</v>
      </c>
      <c r="P47" s="7">
        <v>250000</v>
      </c>
      <c r="Q47" s="7">
        <v>250000</v>
      </c>
      <c r="R47" s="7">
        <v>250000</v>
      </c>
      <c r="S47" s="7">
        <v>250000</v>
      </c>
      <c r="T47" s="7">
        <v>250000</v>
      </c>
      <c r="U47" s="7">
        <v>250000</v>
      </c>
      <c r="V47" s="7">
        <v>250000</v>
      </c>
      <c r="W47" s="7">
        <v>250000</v>
      </c>
      <c r="X47" s="7">
        <v>250000</v>
      </c>
      <c r="Y47" s="7">
        <v>250000</v>
      </c>
      <c r="Z47" s="7">
        <v>250000</v>
      </c>
      <c r="AA47" s="7">
        <v>250000</v>
      </c>
      <c r="AB47" s="9">
        <v>15.824186953273999</v>
      </c>
      <c r="AC47" s="9">
        <v>15.824186953273999</v>
      </c>
      <c r="AD47" s="9">
        <v>15.824186953273999</v>
      </c>
      <c r="AE47" s="9">
        <v>15.824186953273999</v>
      </c>
      <c r="AF47" s="9">
        <v>15.824186953273999</v>
      </c>
      <c r="AG47" s="9">
        <v>15.824186953273999</v>
      </c>
      <c r="AH47" s="9">
        <v>15.824186953273999</v>
      </c>
      <c r="AI47" s="9">
        <v>15.824186953273999</v>
      </c>
      <c r="AJ47" s="9">
        <v>15.824186953273999</v>
      </c>
      <c r="AK47" s="9">
        <v>15.824186953273999</v>
      </c>
      <c r="AL47" s="9">
        <v>15.824186953273999</v>
      </c>
      <c r="AM47" s="9">
        <v>15.824186953273999</v>
      </c>
      <c r="AN47" s="10">
        <v>1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7">
        <f t="shared" si="4"/>
        <v>1</v>
      </c>
      <c r="BA47" s="11">
        <f t="shared" si="5"/>
        <v>8.3333333333333329E-2</v>
      </c>
      <c r="BC47" s="12">
        <v>15.824186953273999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f t="shared" si="6"/>
        <v>15.824186953273999</v>
      </c>
      <c r="BP47" s="12">
        <f t="shared" si="7"/>
        <v>1.3186822461061667</v>
      </c>
      <c r="BQ47" s="7"/>
      <c r="BR47" s="7"/>
      <c r="BS47" s="7" t="s">
        <v>51</v>
      </c>
      <c r="BT47" s="7" t="s">
        <v>52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/>
    </row>
    <row r="48" spans="1:78" x14ac:dyDescent="0.35">
      <c r="A48" s="7" t="s">
        <v>42</v>
      </c>
      <c r="B48" s="7"/>
      <c r="C48" s="7" t="s">
        <v>165</v>
      </c>
      <c r="D48" s="7" t="s">
        <v>166</v>
      </c>
      <c r="E48" s="7" t="s">
        <v>167</v>
      </c>
      <c r="F48" s="7" t="s">
        <v>171</v>
      </c>
      <c r="G48" s="7" t="s">
        <v>47</v>
      </c>
      <c r="H48" s="7"/>
      <c r="I48" s="7"/>
      <c r="J48" s="7" t="s">
        <v>48</v>
      </c>
      <c r="K48" s="7" t="s">
        <v>49</v>
      </c>
      <c r="L48" s="7" t="s">
        <v>49</v>
      </c>
      <c r="M48" s="7" t="s">
        <v>49</v>
      </c>
      <c r="N48" s="7" t="s">
        <v>56</v>
      </c>
      <c r="O48" s="7" t="s">
        <v>4</v>
      </c>
      <c r="P48" s="7">
        <v>250000</v>
      </c>
      <c r="Q48" s="7">
        <v>250000</v>
      </c>
      <c r="R48" s="7">
        <v>250000</v>
      </c>
      <c r="S48" s="7">
        <v>250000</v>
      </c>
      <c r="T48" s="7">
        <v>250000</v>
      </c>
      <c r="U48" s="7">
        <v>250000</v>
      </c>
      <c r="V48" s="7">
        <v>250000</v>
      </c>
      <c r="W48" s="7">
        <v>250000</v>
      </c>
      <c r="X48" s="7">
        <v>250000</v>
      </c>
      <c r="Y48" s="7">
        <v>250000</v>
      </c>
      <c r="Z48" s="7">
        <v>250000</v>
      </c>
      <c r="AA48" s="7">
        <v>250000</v>
      </c>
      <c r="AB48" s="9">
        <v>15.824186953273999</v>
      </c>
      <c r="AC48" s="9">
        <v>15.824186953273999</v>
      </c>
      <c r="AD48" s="9">
        <v>15.824186953273999</v>
      </c>
      <c r="AE48" s="9">
        <v>15.824186953273999</v>
      </c>
      <c r="AF48" s="9">
        <v>15.824186953273999</v>
      </c>
      <c r="AG48" s="9">
        <v>15.824186953273999</v>
      </c>
      <c r="AH48" s="9">
        <v>15.824186953273999</v>
      </c>
      <c r="AI48" s="9">
        <v>15.824186953273999</v>
      </c>
      <c r="AJ48" s="9">
        <v>15.824186953273999</v>
      </c>
      <c r="AK48" s="9">
        <v>15.824186953273999</v>
      </c>
      <c r="AL48" s="9">
        <v>15.824186953273999</v>
      </c>
      <c r="AM48" s="9">
        <v>15.824186953273999</v>
      </c>
      <c r="AN48" s="10">
        <v>1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7">
        <f t="shared" si="4"/>
        <v>1</v>
      </c>
      <c r="BA48" s="11">
        <f t="shared" si="5"/>
        <v>8.3333333333333329E-2</v>
      </c>
      <c r="BC48" s="12">
        <v>15.824186953273999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f t="shared" si="6"/>
        <v>15.824186953273999</v>
      </c>
      <c r="BP48" s="12">
        <f t="shared" si="7"/>
        <v>1.3186822461061667</v>
      </c>
      <c r="BQ48" s="7"/>
      <c r="BR48" s="7"/>
      <c r="BS48" s="7" t="s">
        <v>51</v>
      </c>
      <c r="BT48" s="7" t="s">
        <v>52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/>
    </row>
    <row r="49" spans="1:78" x14ac:dyDescent="0.35">
      <c r="A49" s="7" t="s">
        <v>42</v>
      </c>
      <c r="B49" s="7"/>
      <c r="C49" s="7" t="s">
        <v>165</v>
      </c>
      <c r="D49" s="7" t="s">
        <v>166</v>
      </c>
      <c r="E49" s="7" t="s">
        <v>167</v>
      </c>
      <c r="F49" s="7" t="s">
        <v>172</v>
      </c>
      <c r="G49" s="7" t="s">
        <v>47</v>
      </c>
      <c r="H49" s="7"/>
      <c r="I49" s="7"/>
      <c r="J49" s="7" t="s">
        <v>48</v>
      </c>
      <c r="K49" s="7" t="s">
        <v>49</v>
      </c>
      <c r="L49" s="7" t="s">
        <v>49</v>
      </c>
      <c r="M49" s="7" t="s">
        <v>49</v>
      </c>
      <c r="N49" s="7" t="s">
        <v>56</v>
      </c>
      <c r="O49" s="7" t="s">
        <v>4</v>
      </c>
      <c r="P49" s="7">
        <v>250000</v>
      </c>
      <c r="Q49" s="7">
        <v>250000</v>
      </c>
      <c r="R49" s="7">
        <v>250000</v>
      </c>
      <c r="S49" s="7">
        <v>250000</v>
      </c>
      <c r="T49" s="7">
        <v>250000</v>
      </c>
      <c r="U49" s="7">
        <v>250000</v>
      </c>
      <c r="V49" s="7">
        <v>250000</v>
      </c>
      <c r="W49" s="7">
        <v>250000</v>
      </c>
      <c r="X49" s="7">
        <v>250000</v>
      </c>
      <c r="Y49" s="7">
        <v>250000</v>
      </c>
      <c r="Z49" s="7">
        <v>250000</v>
      </c>
      <c r="AA49" s="7">
        <v>250000</v>
      </c>
      <c r="AB49" s="9">
        <v>15.824186953273999</v>
      </c>
      <c r="AC49" s="9">
        <v>15.824186953273999</v>
      </c>
      <c r="AD49" s="9">
        <v>15.824186953273999</v>
      </c>
      <c r="AE49" s="9">
        <v>15.824186953273999</v>
      </c>
      <c r="AF49" s="9">
        <v>15.824186953273999</v>
      </c>
      <c r="AG49" s="9">
        <v>15.824186953273999</v>
      </c>
      <c r="AH49" s="9">
        <v>15.824186953273999</v>
      </c>
      <c r="AI49" s="9">
        <v>15.824186953273999</v>
      </c>
      <c r="AJ49" s="9">
        <v>15.824186953273999</v>
      </c>
      <c r="AK49" s="9">
        <v>15.824186953273999</v>
      </c>
      <c r="AL49" s="9">
        <v>15.824186953273999</v>
      </c>
      <c r="AM49" s="9">
        <v>15.824186953273999</v>
      </c>
      <c r="AN49" s="10">
        <v>1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7">
        <f t="shared" si="4"/>
        <v>1</v>
      </c>
      <c r="BA49" s="11">
        <f t="shared" si="5"/>
        <v>8.3333333333333329E-2</v>
      </c>
      <c r="BC49" s="12">
        <v>15.824186953273999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f t="shared" si="6"/>
        <v>15.824186953273999</v>
      </c>
      <c r="BP49" s="12">
        <f t="shared" si="7"/>
        <v>1.3186822461061667</v>
      </c>
      <c r="BQ49" s="7"/>
      <c r="BR49" s="7"/>
      <c r="BS49" s="7" t="s">
        <v>51</v>
      </c>
      <c r="BT49" s="7" t="s">
        <v>52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/>
    </row>
    <row r="50" spans="1:78" x14ac:dyDescent="0.35">
      <c r="A50" s="7" t="s">
        <v>42</v>
      </c>
      <c r="B50" s="7"/>
      <c r="C50" s="7" t="s">
        <v>173</v>
      </c>
      <c r="D50" s="7" t="s">
        <v>174</v>
      </c>
      <c r="E50" s="7" t="s">
        <v>175</v>
      </c>
      <c r="F50" s="7" t="s">
        <v>176</v>
      </c>
      <c r="G50" s="7" t="s">
        <v>47</v>
      </c>
      <c r="H50" s="7"/>
      <c r="I50" s="7"/>
      <c r="J50" s="7" t="s">
        <v>48</v>
      </c>
      <c r="K50" s="7" t="s">
        <v>49</v>
      </c>
      <c r="L50" s="7" t="s">
        <v>49</v>
      </c>
      <c r="M50" s="7" t="s">
        <v>49</v>
      </c>
      <c r="N50" s="7" t="s">
        <v>177</v>
      </c>
      <c r="O50" s="7" t="s">
        <v>4</v>
      </c>
      <c r="P50" s="7">
        <v>1850000</v>
      </c>
      <c r="Q50" s="7">
        <v>1850000</v>
      </c>
      <c r="R50" s="7">
        <v>1850000</v>
      </c>
      <c r="S50" s="7">
        <v>1850000</v>
      </c>
      <c r="T50" s="7">
        <v>1850000</v>
      </c>
      <c r="U50" s="7">
        <v>1850000</v>
      </c>
      <c r="V50" s="7">
        <v>2053500</v>
      </c>
      <c r="W50" s="7">
        <v>2053500</v>
      </c>
      <c r="X50" s="7">
        <v>2053500</v>
      </c>
      <c r="Y50" s="7">
        <v>2053500</v>
      </c>
      <c r="Z50" s="7">
        <v>2053500</v>
      </c>
      <c r="AA50" s="7">
        <v>2053500</v>
      </c>
      <c r="AB50" s="9">
        <v>117.09898345422999</v>
      </c>
      <c r="AC50" s="9">
        <v>117.09898345422999</v>
      </c>
      <c r="AD50" s="9">
        <v>117.09898345422999</v>
      </c>
      <c r="AE50" s="9">
        <v>117.09898345422999</v>
      </c>
      <c r="AF50" s="9">
        <v>117.09898345422999</v>
      </c>
      <c r="AG50" s="9">
        <v>117.09898345422999</v>
      </c>
      <c r="AH50" s="9">
        <v>129.97987163420001</v>
      </c>
      <c r="AI50" s="9">
        <v>129.97987163420001</v>
      </c>
      <c r="AJ50" s="9">
        <v>129.97987163420001</v>
      </c>
      <c r="AK50" s="9">
        <v>129.97987163420001</v>
      </c>
      <c r="AL50" s="9">
        <v>129.97987163420001</v>
      </c>
      <c r="AM50" s="9">
        <v>129.97987163420001</v>
      </c>
      <c r="AN50" s="10">
        <v>0</v>
      </c>
      <c r="AO50" s="10">
        <v>3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7">
        <f t="shared" si="4"/>
        <v>3</v>
      </c>
      <c r="BA50" s="11">
        <f t="shared" si="5"/>
        <v>0.25</v>
      </c>
      <c r="BC50" s="12">
        <v>0</v>
      </c>
      <c r="BD50" s="12">
        <v>351.29695036268998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f t="shared" si="6"/>
        <v>351.29695036268998</v>
      </c>
      <c r="BP50" s="12">
        <f t="shared" si="7"/>
        <v>29.274745863557499</v>
      </c>
      <c r="BQ50" s="7"/>
      <c r="BR50" s="7"/>
      <c r="BS50" s="7" t="s">
        <v>124</v>
      </c>
      <c r="BT50" s="7" t="s">
        <v>52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/>
    </row>
    <row r="51" spans="1:78" x14ac:dyDescent="0.35">
      <c r="A51" s="7" t="s">
        <v>42</v>
      </c>
      <c r="B51" s="7"/>
      <c r="C51" s="7" t="s">
        <v>178</v>
      </c>
      <c r="D51" s="7" t="s">
        <v>174</v>
      </c>
      <c r="E51" s="7" t="s">
        <v>179</v>
      </c>
      <c r="F51" s="7" t="s">
        <v>176</v>
      </c>
      <c r="G51" s="7" t="s">
        <v>47</v>
      </c>
      <c r="H51" s="7"/>
      <c r="I51" s="7"/>
      <c r="J51" s="7" t="s">
        <v>48</v>
      </c>
      <c r="K51" s="7" t="s">
        <v>49</v>
      </c>
      <c r="L51" s="7" t="s">
        <v>49</v>
      </c>
      <c r="M51" s="7" t="s">
        <v>49</v>
      </c>
      <c r="N51" s="7" t="s">
        <v>177</v>
      </c>
      <c r="O51" s="7" t="s">
        <v>4</v>
      </c>
      <c r="P51" s="7">
        <v>1100000</v>
      </c>
      <c r="Q51" s="7">
        <v>1100000</v>
      </c>
      <c r="R51" s="7">
        <v>1100000</v>
      </c>
      <c r="S51" s="7">
        <v>1100000</v>
      </c>
      <c r="T51" s="7">
        <v>1100000</v>
      </c>
      <c r="U51" s="7">
        <v>1100000</v>
      </c>
      <c r="V51" s="7">
        <v>1100000</v>
      </c>
      <c r="W51" s="7">
        <v>1100000</v>
      </c>
      <c r="X51" s="7">
        <v>1100000</v>
      </c>
      <c r="Y51" s="7">
        <v>1100000</v>
      </c>
      <c r="Z51" s="7">
        <v>1100000</v>
      </c>
      <c r="AA51" s="7">
        <v>1100000</v>
      </c>
      <c r="AB51" s="9">
        <v>69.626422594407003</v>
      </c>
      <c r="AC51" s="9">
        <v>69.626422594407003</v>
      </c>
      <c r="AD51" s="9">
        <v>69.626422594407003</v>
      </c>
      <c r="AE51" s="9">
        <v>69.626422594407003</v>
      </c>
      <c r="AF51" s="9">
        <v>69.626422594407003</v>
      </c>
      <c r="AG51" s="9">
        <v>69.626422594407003</v>
      </c>
      <c r="AH51" s="9">
        <v>69.626422594407003</v>
      </c>
      <c r="AI51" s="9">
        <v>69.626422594407003</v>
      </c>
      <c r="AJ51" s="9">
        <v>69.626422594407003</v>
      </c>
      <c r="AK51" s="9">
        <v>69.626422594407003</v>
      </c>
      <c r="AL51" s="9">
        <v>69.626422594407003</v>
      </c>
      <c r="AM51" s="9">
        <v>69.626422594407003</v>
      </c>
      <c r="AN51" s="10">
        <v>0</v>
      </c>
      <c r="AO51" s="10">
        <v>1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7">
        <f t="shared" si="4"/>
        <v>1</v>
      </c>
      <c r="BA51" s="11">
        <f t="shared" si="5"/>
        <v>8.3333333333333329E-2</v>
      </c>
      <c r="BC51" s="12">
        <v>0</v>
      </c>
      <c r="BD51" s="12">
        <v>69.626422594407003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f t="shared" si="6"/>
        <v>69.626422594407003</v>
      </c>
      <c r="BP51" s="12">
        <f t="shared" si="7"/>
        <v>5.8022018828672506</v>
      </c>
      <c r="BQ51" s="7"/>
      <c r="BR51" s="7"/>
      <c r="BS51" s="7" t="s">
        <v>124</v>
      </c>
      <c r="BT51" s="7" t="s">
        <v>52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/>
    </row>
    <row r="52" spans="1:78" x14ac:dyDescent="0.35">
      <c r="A52" s="7" t="s">
        <v>42</v>
      </c>
      <c r="B52" s="7"/>
      <c r="C52" s="7" t="s">
        <v>180</v>
      </c>
      <c r="D52" s="7" t="s">
        <v>174</v>
      </c>
      <c r="E52" s="7" t="s">
        <v>181</v>
      </c>
      <c r="F52" s="7" t="s">
        <v>176</v>
      </c>
      <c r="G52" s="7" t="s">
        <v>47</v>
      </c>
      <c r="H52" s="7"/>
      <c r="I52" s="7"/>
      <c r="J52" s="7" t="s">
        <v>48</v>
      </c>
      <c r="K52" s="7" t="s">
        <v>49</v>
      </c>
      <c r="L52" s="7" t="s">
        <v>49</v>
      </c>
      <c r="M52" s="7" t="s">
        <v>49</v>
      </c>
      <c r="N52" s="7" t="s">
        <v>182</v>
      </c>
      <c r="O52" s="7" t="s">
        <v>4</v>
      </c>
      <c r="P52" s="7">
        <v>200000</v>
      </c>
      <c r="Q52" s="7">
        <v>200000</v>
      </c>
      <c r="R52" s="7">
        <v>200000</v>
      </c>
      <c r="S52" s="7">
        <v>200000</v>
      </c>
      <c r="T52" s="7">
        <v>200000</v>
      </c>
      <c r="U52" s="7">
        <v>200000</v>
      </c>
      <c r="V52" s="7">
        <v>200000</v>
      </c>
      <c r="W52" s="7">
        <v>200000</v>
      </c>
      <c r="X52" s="7">
        <v>200000</v>
      </c>
      <c r="Y52" s="7">
        <v>200000</v>
      </c>
      <c r="Z52" s="7">
        <v>200000</v>
      </c>
      <c r="AA52" s="7">
        <v>200000</v>
      </c>
      <c r="AB52" s="9">
        <v>12.659349562618999</v>
      </c>
      <c r="AC52" s="9">
        <v>12.659349562618999</v>
      </c>
      <c r="AD52" s="9">
        <v>12.659349562618999</v>
      </c>
      <c r="AE52" s="9">
        <v>12.659349562618999</v>
      </c>
      <c r="AF52" s="9">
        <v>12.659349562618999</v>
      </c>
      <c r="AG52" s="9">
        <v>12.659349562618999</v>
      </c>
      <c r="AH52" s="9">
        <v>12.659349562618999</v>
      </c>
      <c r="AI52" s="9">
        <v>12.659349562618999</v>
      </c>
      <c r="AJ52" s="9">
        <v>12.659349562618999</v>
      </c>
      <c r="AK52" s="9">
        <v>12.659349562618999</v>
      </c>
      <c r="AL52" s="9">
        <v>12.659349562618999</v>
      </c>
      <c r="AM52" s="9">
        <v>12.659349562618999</v>
      </c>
      <c r="AN52" s="10">
        <v>0</v>
      </c>
      <c r="AO52" s="10">
        <v>2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7">
        <f t="shared" si="4"/>
        <v>2</v>
      </c>
      <c r="BA52" s="11">
        <f t="shared" si="5"/>
        <v>0.16666666666666666</v>
      </c>
      <c r="BC52" s="12">
        <v>0</v>
      </c>
      <c r="BD52" s="12">
        <v>25.318699125239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f t="shared" si="6"/>
        <v>25.318699125239</v>
      </c>
      <c r="BP52" s="12">
        <f t="shared" si="7"/>
        <v>2.1098915937699165</v>
      </c>
      <c r="BQ52" s="7"/>
      <c r="BR52" s="7"/>
      <c r="BS52" s="7" t="s">
        <v>116</v>
      </c>
      <c r="BT52" s="7" t="s">
        <v>52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/>
    </row>
    <row r="53" spans="1:78" x14ac:dyDescent="0.35">
      <c r="A53" s="7" t="s">
        <v>42</v>
      </c>
      <c r="B53" s="7"/>
      <c r="C53" s="7" t="s">
        <v>183</v>
      </c>
      <c r="D53" s="7" t="s">
        <v>174</v>
      </c>
      <c r="E53" s="7" t="s">
        <v>184</v>
      </c>
      <c r="F53" s="7" t="s">
        <v>185</v>
      </c>
      <c r="G53" s="7" t="s">
        <v>47</v>
      </c>
      <c r="H53" s="7"/>
      <c r="I53" s="7"/>
      <c r="J53" s="7" t="s">
        <v>48</v>
      </c>
      <c r="K53" s="7" t="s">
        <v>49</v>
      </c>
      <c r="L53" s="7" t="s">
        <v>49</v>
      </c>
      <c r="M53" s="7" t="s">
        <v>49</v>
      </c>
      <c r="N53" s="7" t="s">
        <v>115</v>
      </c>
      <c r="O53" s="7" t="s">
        <v>4</v>
      </c>
      <c r="P53" s="7">
        <v>2500000</v>
      </c>
      <c r="Q53" s="7">
        <v>2500000</v>
      </c>
      <c r="R53" s="7">
        <v>2500000</v>
      </c>
      <c r="S53" s="7">
        <v>2500000</v>
      </c>
      <c r="T53" s="7">
        <v>2500000</v>
      </c>
      <c r="U53" s="7">
        <v>2500000</v>
      </c>
      <c r="V53" s="7">
        <v>2500000</v>
      </c>
      <c r="W53" s="7">
        <v>2500000</v>
      </c>
      <c r="X53" s="7">
        <v>2500000</v>
      </c>
      <c r="Y53" s="7">
        <v>2500000</v>
      </c>
      <c r="Z53" s="7">
        <v>2500000</v>
      </c>
      <c r="AA53" s="7">
        <v>2500000</v>
      </c>
      <c r="AB53" s="9">
        <v>158.24186953274</v>
      </c>
      <c r="AC53" s="9">
        <v>158.24186953274</v>
      </c>
      <c r="AD53" s="9">
        <v>158.24186953274</v>
      </c>
      <c r="AE53" s="9">
        <v>158.24186953274</v>
      </c>
      <c r="AF53" s="9">
        <v>158.24186953274</v>
      </c>
      <c r="AG53" s="9">
        <v>158.24186953274</v>
      </c>
      <c r="AH53" s="9">
        <v>158.24186953274</v>
      </c>
      <c r="AI53" s="9">
        <v>158.24186953274</v>
      </c>
      <c r="AJ53" s="9">
        <v>158.24186953274</v>
      </c>
      <c r="AK53" s="9">
        <v>158.24186953274</v>
      </c>
      <c r="AL53" s="9">
        <v>158.24186953274</v>
      </c>
      <c r="AM53" s="9">
        <v>158.24186953274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2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7">
        <f t="shared" si="4"/>
        <v>2</v>
      </c>
      <c r="BA53" s="11">
        <f t="shared" si="5"/>
        <v>0.16666666666666666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316.48373906549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f t="shared" si="6"/>
        <v>316.48373906549</v>
      </c>
      <c r="BP53" s="12">
        <f t="shared" si="7"/>
        <v>26.373644922124168</v>
      </c>
      <c r="BQ53" s="7"/>
      <c r="BR53" s="7"/>
      <c r="BS53" s="7" t="s">
        <v>116</v>
      </c>
      <c r="BT53" s="7" t="s">
        <v>52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/>
    </row>
    <row r="54" spans="1:78" x14ac:dyDescent="0.35">
      <c r="A54" s="7" t="s">
        <v>42</v>
      </c>
      <c r="B54" s="7"/>
      <c r="C54" s="7" t="s">
        <v>186</v>
      </c>
      <c r="D54" s="7" t="s">
        <v>174</v>
      </c>
      <c r="E54" s="7" t="s">
        <v>187</v>
      </c>
      <c r="F54" s="7" t="s">
        <v>185</v>
      </c>
      <c r="G54" s="7" t="s">
        <v>47</v>
      </c>
      <c r="H54" s="7"/>
      <c r="I54" s="7"/>
      <c r="J54" s="7" t="s">
        <v>48</v>
      </c>
      <c r="K54" s="7" t="s">
        <v>49</v>
      </c>
      <c r="L54" s="7" t="s">
        <v>49</v>
      </c>
      <c r="M54" s="7" t="s">
        <v>49</v>
      </c>
      <c r="N54" s="7" t="s">
        <v>115</v>
      </c>
      <c r="O54" s="7" t="s">
        <v>4</v>
      </c>
      <c r="P54" s="7">
        <v>2500000</v>
      </c>
      <c r="Q54" s="7">
        <v>2500000</v>
      </c>
      <c r="R54" s="7">
        <v>2500000</v>
      </c>
      <c r="S54" s="7">
        <v>2500000</v>
      </c>
      <c r="T54" s="7">
        <v>2500000</v>
      </c>
      <c r="U54" s="7">
        <v>2500000</v>
      </c>
      <c r="V54" s="7">
        <v>2500000</v>
      </c>
      <c r="W54" s="7">
        <v>2500000</v>
      </c>
      <c r="X54" s="7">
        <v>2500000</v>
      </c>
      <c r="Y54" s="7">
        <v>2500000</v>
      </c>
      <c r="Z54" s="7">
        <v>2500000</v>
      </c>
      <c r="AA54" s="7">
        <v>2500000</v>
      </c>
      <c r="AB54" s="9">
        <v>158.24186953274</v>
      </c>
      <c r="AC54" s="9">
        <v>158.24186953274</v>
      </c>
      <c r="AD54" s="9">
        <v>158.24186953274</v>
      </c>
      <c r="AE54" s="9">
        <v>158.24186953274</v>
      </c>
      <c r="AF54" s="9">
        <v>158.24186953274</v>
      </c>
      <c r="AG54" s="9">
        <v>158.24186953274</v>
      </c>
      <c r="AH54" s="9">
        <v>158.24186953274</v>
      </c>
      <c r="AI54" s="9">
        <v>158.24186953274</v>
      </c>
      <c r="AJ54" s="9">
        <v>158.24186953274</v>
      </c>
      <c r="AK54" s="9">
        <v>158.24186953274</v>
      </c>
      <c r="AL54" s="9">
        <v>158.24186953274</v>
      </c>
      <c r="AM54" s="9">
        <v>158.24186953274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1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7">
        <f t="shared" si="4"/>
        <v>1</v>
      </c>
      <c r="BA54" s="11">
        <f t="shared" si="5"/>
        <v>8.3333333333333329E-2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158.24186953274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f t="shared" si="6"/>
        <v>158.24186953274</v>
      </c>
      <c r="BP54" s="12">
        <f t="shared" si="7"/>
        <v>13.186822461061666</v>
      </c>
      <c r="BQ54" s="7"/>
      <c r="BR54" s="7"/>
      <c r="BS54" s="7" t="s">
        <v>116</v>
      </c>
      <c r="BT54" s="7" t="s">
        <v>52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/>
    </row>
    <row r="55" spans="1:78" x14ac:dyDescent="0.35">
      <c r="A55" s="7" t="s">
        <v>42</v>
      </c>
      <c r="B55" s="7"/>
      <c r="C55" s="7" t="s">
        <v>188</v>
      </c>
      <c r="D55" s="7" t="s">
        <v>174</v>
      </c>
      <c r="E55" s="7" t="s">
        <v>189</v>
      </c>
      <c r="F55" s="7" t="s">
        <v>190</v>
      </c>
      <c r="G55" s="7" t="s">
        <v>47</v>
      </c>
      <c r="H55" s="7"/>
      <c r="I55" s="7"/>
      <c r="J55" s="7" t="s">
        <v>48</v>
      </c>
      <c r="K55" s="7" t="s">
        <v>49</v>
      </c>
      <c r="L55" s="7" t="s">
        <v>49</v>
      </c>
      <c r="M55" s="7" t="s">
        <v>49</v>
      </c>
      <c r="N55" s="7" t="s">
        <v>115</v>
      </c>
      <c r="O55" s="7" t="s">
        <v>4</v>
      </c>
      <c r="P55" s="7">
        <v>16000000</v>
      </c>
      <c r="Q55" s="7">
        <v>16000000</v>
      </c>
      <c r="R55" s="7">
        <v>16000000</v>
      </c>
      <c r="S55" s="7">
        <v>16000000</v>
      </c>
      <c r="T55" s="7">
        <v>16000000</v>
      </c>
      <c r="U55" s="7">
        <v>16000000</v>
      </c>
      <c r="V55" s="7">
        <v>16000000</v>
      </c>
      <c r="W55" s="7">
        <v>16000000</v>
      </c>
      <c r="X55" s="7">
        <v>16000000</v>
      </c>
      <c r="Y55" s="7">
        <v>16000000</v>
      </c>
      <c r="Z55" s="7">
        <v>16000000</v>
      </c>
      <c r="AA55" s="7">
        <v>16000000</v>
      </c>
      <c r="AB55" s="9">
        <v>1012.7479650096</v>
      </c>
      <c r="AC55" s="9">
        <v>1012.7479650096</v>
      </c>
      <c r="AD55" s="9">
        <v>1012.7479650096</v>
      </c>
      <c r="AE55" s="9">
        <v>1012.7479650096</v>
      </c>
      <c r="AF55" s="9">
        <v>1012.7479650096</v>
      </c>
      <c r="AG55" s="9">
        <v>1012.7479650096</v>
      </c>
      <c r="AH55" s="9">
        <v>1012.7479650096</v>
      </c>
      <c r="AI55" s="9">
        <v>1012.7479650096</v>
      </c>
      <c r="AJ55" s="9">
        <v>1012.7479650096</v>
      </c>
      <c r="AK55" s="9">
        <v>1012.7479650096</v>
      </c>
      <c r="AL55" s="9">
        <v>1012.7479650096</v>
      </c>
      <c r="AM55" s="9">
        <v>1012.7479650096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1</v>
      </c>
      <c r="AX55" s="10">
        <v>0</v>
      </c>
      <c r="AY55" s="10">
        <v>0</v>
      </c>
      <c r="AZ55" s="7">
        <f t="shared" si="4"/>
        <v>1</v>
      </c>
      <c r="BA55" s="11">
        <f t="shared" si="5"/>
        <v>8.3333333333333329E-2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1012.7479650096</v>
      </c>
      <c r="BM55" s="12">
        <v>0</v>
      </c>
      <c r="BN55" s="12">
        <v>0</v>
      </c>
      <c r="BO55" s="12">
        <f t="shared" si="6"/>
        <v>1012.7479650096</v>
      </c>
      <c r="BP55" s="12">
        <f t="shared" si="7"/>
        <v>84.395663750799997</v>
      </c>
      <c r="BQ55" s="7"/>
      <c r="BR55" s="7"/>
      <c r="BS55" s="7" t="s">
        <v>116</v>
      </c>
      <c r="BT55" s="7" t="s">
        <v>52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/>
    </row>
    <row r="56" spans="1:78" x14ac:dyDescent="0.35">
      <c r="A56" s="7" t="s">
        <v>42</v>
      </c>
      <c r="B56" s="7"/>
      <c r="C56" s="7" t="s">
        <v>191</v>
      </c>
      <c r="D56" s="7" t="s">
        <v>192</v>
      </c>
      <c r="E56" s="7" t="s">
        <v>193</v>
      </c>
      <c r="F56" s="7" t="s">
        <v>122</v>
      </c>
      <c r="G56" s="7" t="s">
        <v>47</v>
      </c>
      <c r="H56" s="7"/>
      <c r="I56" s="7"/>
      <c r="J56" s="7" t="s">
        <v>48</v>
      </c>
      <c r="K56" s="7" t="s">
        <v>49</v>
      </c>
      <c r="L56" s="7" t="s">
        <v>49</v>
      </c>
      <c r="M56" s="7" t="s">
        <v>49</v>
      </c>
      <c r="N56" s="7" t="s">
        <v>194</v>
      </c>
      <c r="O56" s="7" t="s">
        <v>4</v>
      </c>
      <c r="P56" s="7">
        <v>800000</v>
      </c>
      <c r="Q56" s="7">
        <v>800000</v>
      </c>
      <c r="R56" s="7">
        <v>800000</v>
      </c>
      <c r="S56" s="7">
        <v>800000</v>
      </c>
      <c r="T56" s="7">
        <v>800000</v>
      </c>
      <c r="U56" s="7">
        <v>800000</v>
      </c>
      <c r="V56" s="7">
        <v>800000</v>
      </c>
      <c r="W56" s="7">
        <v>800000</v>
      </c>
      <c r="X56" s="7">
        <v>800000</v>
      </c>
      <c r="Y56" s="7">
        <v>800000</v>
      </c>
      <c r="Z56" s="7">
        <v>800000</v>
      </c>
      <c r="AA56" s="7">
        <v>800000</v>
      </c>
      <c r="AB56" s="9">
        <v>50.637398250478</v>
      </c>
      <c r="AC56" s="9">
        <v>50.637398250478</v>
      </c>
      <c r="AD56" s="9">
        <v>50.637398250478</v>
      </c>
      <c r="AE56" s="9">
        <v>50.637398250478</v>
      </c>
      <c r="AF56" s="9">
        <v>50.637398250478</v>
      </c>
      <c r="AG56" s="9">
        <v>50.637398250478</v>
      </c>
      <c r="AH56" s="9">
        <v>50.637398250478</v>
      </c>
      <c r="AI56" s="9">
        <v>50.637398250478</v>
      </c>
      <c r="AJ56" s="9">
        <v>50.637398250478</v>
      </c>
      <c r="AK56" s="9">
        <v>50.637398250478</v>
      </c>
      <c r="AL56" s="9">
        <v>50.637398250478</v>
      </c>
      <c r="AM56" s="9">
        <v>50.637398250478</v>
      </c>
      <c r="AN56" s="10">
        <v>0</v>
      </c>
      <c r="AO56" s="10">
        <v>0</v>
      </c>
      <c r="AP56" s="10">
        <v>0</v>
      </c>
      <c r="AQ56" s="10">
        <v>33</v>
      </c>
      <c r="AR56" s="10">
        <v>0</v>
      </c>
      <c r="AS56" s="10">
        <v>11</v>
      </c>
      <c r="AT56" s="10">
        <v>0</v>
      </c>
      <c r="AU56" s="10">
        <v>0</v>
      </c>
      <c r="AV56" s="10">
        <v>0</v>
      </c>
      <c r="AW56" s="10">
        <v>76</v>
      </c>
      <c r="AX56" s="10">
        <v>0</v>
      </c>
      <c r="AY56" s="10">
        <v>0</v>
      </c>
      <c r="AZ56" s="7">
        <f t="shared" si="4"/>
        <v>120</v>
      </c>
      <c r="BA56" s="11">
        <f t="shared" si="5"/>
        <v>10</v>
      </c>
      <c r="BC56" s="12">
        <v>0</v>
      </c>
      <c r="BD56" s="12">
        <v>0</v>
      </c>
      <c r="BE56" s="12">
        <v>0</v>
      </c>
      <c r="BF56" s="12">
        <v>1671.0341422658</v>
      </c>
      <c r="BG56" s="12">
        <v>0</v>
      </c>
      <c r="BH56" s="12">
        <v>557.01138075526001</v>
      </c>
      <c r="BI56" s="12">
        <v>0</v>
      </c>
      <c r="BJ56" s="12">
        <v>0</v>
      </c>
      <c r="BK56" s="12">
        <v>0</v>
      </c>
      <c r="BL56" s="12">
        <v>3848.4422670363001</v>
      </c>
      <c r="BM56" s="12">
        <v>0</v>
      </c>
      <c r="BN56" s="12">
        <v>0</v>
      </c>
      <c r="BO56" s="12">
        <f t="shared" si="6"/>
        <v>6076.4877900573601</v>
      </c>
      <c r="BP56" s="12">
        <f t="shared" si="7"/>
        <v>506.37398250478003</v>
      </c>
      <c r="BQ56" s="7"/>
      <c r="BR56" s="7"/>
      <c r="BS56" s="7" t="s">
        <v>116</v>
      </c>
      <c r="BT56" s="7" t="s">
        <v>52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/>
    </row>
    <row r="57" spans="1:78" x14ac:dyDescent="0.35">
      <c r="A57" s="7" t="s">
        <v>42</v>
      </c>
      <c r="B57" s="7"/>
      <c r="C57" s="7" t="s">
        <v>195</v>
      </c>
      <c r="D57" s="7" t="s">
        <v>192</v>
      </c>
      <c r="E57" s="7" t="s">
        <v>196</v>
      </c>
      <c r="F57" s="7" t="s">
        <v>176</v>
      </c>
      <c r="G57" s="7" t="s">
        <v>47</v>
      </c>
      <c r="H57" s="7"/>
      <c r="I57" s="7"/>
      <c r="J57" s="7" t="s">
        <v>48</v>
      </c>
      <c r="K57" s="7" t="s">
        <v>49</v>
      </c>
      <c r="L57" s="7" t="s">
        <v>49</v>
      </c>
      <c r="M57" s="7" t="s">
        <v>49</v>
      </c>
      <c r="N57" s="7" t="s">
        <v>194</v>
      </c>
      <c r="O57" s="7" t="s">
        <v>4</v>
      </c>
      <c r="P57" s="7">
        <v>1200000</v>
      </c>
      <c r="Q57" s="7">
        <v>1200000</v>
      </c>
      <c r="R57" s="7">
        <v>1200000</v>
      </c>
      <c r="S57" s="7">
        <v>1200000</v>
      </c>
      <c r="T57" s="7">
        <v>1200000</v>
      </c>
      <c r="U57" s="7">
        <v>1200000</v>
      </c>
      <c r="V57" s="7">
        <v>1200000</v>
      </c>
      <c r="W57" s="7">
        <v>1200000</v>
      </c>
      <c r="X57" s="7">
        <v>1200000</v>
      </c>
      <c r="Y57" s="7">
        <v>1200000</v>
      </c>
      <c r="Z57" s="7">
        <v>1200000</v>
      </c>
      <c r="AA57" s="7">
        <v>1200000</v>
      </c>
      <c r="AB57" s="9">
        <v>75.956097375716993</v>
      </c>
      <c r="AC57" s="9">
        <v>75.956097375716993</v>
      </c>
      <c r="AD57" s="9">
        <v>75.956097375716993</v>
      </c>
      <c r="AE57" s="9">
        <v>75.956097375716993</v>
      </c>
      <c r="AF57" s="9">
        <v>75.956097375716993</v>
      </c>
      <c r="AG57" s="9">
        <v>75.956097375716993</v>
      </c>
      <c r="AH57" s="9">
        <v>75.956097375716993</v>
      </c>
      <c r="AI57" s="9">
        <v>75.956097375716993</v>
      </c>
      <c r="AJ57" s="9">
        <v>75.956097375716993</v>
      </c>
      <c r="AK57" s="9">
        <v>75.956097375716993</v>
      </c>
      <c r="AL57" s="9">
        <v>75.956097375716993</v>
      </c>
      <c r="AM57" s="9">
        <v>75.956097375716993</v>
      </c>
      <c r="AN57" s="10">
        <v>0</v>
      </c>
      <c r="AO57" s="10">
        <v>4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7">
        <f t="shared" si="4"/>
        <v>4</v>
      </c>
      <c r="BA57" s="11">
        <f t="shared" si="5"/>
        <v>0.33333333333333331</v>
      </c>
      <c r="BC57" s="12">
        <v>0</v>
      </c>
      <c r="BD57" s="12">
        <v>303.82438950287002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f t="shared" si="6"/>
        <v>303.82438950287002</v>
      </c>
      <c r="BP57" s="12">
        <f t="shared" si="7"/>
        <v>25.318699125239167</v>
      </c>
      <c r="BQ57" s="7"/>
      <c r="BR57" s="7"/>
      <c r="BS57" s="7" t="s">
        <v>116</v>
      </c>
      <c r="BT57" s="7" t="s">
        <v>52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/>
    </row>
    <row r="58" spans="1:78" x14ac:dyDescent="0.35">
      <c r="A58" s="7" t="s">
        <v>42</v>
      </c>
      <c r="B58" s="7"/>
      <c r="C58" s="7" t="s">
        <v>195</v>
      </c>
      <c r="D58" s="7" t="s">
        <v>192</v>
      </c>
      <c r="E58" s="7" t="s">
        <v>196</v>
      </c>
      <c r="F58" s="7" t="s">
        <v>185</v>
      </c>
      <c r="G58" s="7" t="s">
        <v>47</v>
      </c>
      <c r="H58" s="7"/>
      <c r="I58" s="7"/>
      <c r="J58" s="7" t="s">
        <v>48</v>
      </c>
      <c r="K58" s="7" t="s">
        <v>49</v>
      </c>
      <c r="L58" s="7" t="s">
        <v>49</v>
      </c>
      <c r="M58" s="7" t="s">
        <v>49</v>
      </c>
      <c r="N58" s="7" t="s">
        <v>194</v>
      </c>
      <c r="O58" s="7" t="s">
        <v>4</v>
      </c>
      <c r="P58" s="7">
        <v>1200000</v>
      </c>
      <c r="Q58" s="7">
        <v>1200000</v>
      </c>
      <c r="R58" s="7">
        <v>1200000</v>
      </c>
      <c r="S58" s="7">
        <v>1200000</v>
      </c>
      <c r="T58" s="7">
        <v>1200000</v>
      </c>
      <c r="U58" s="7">
        <v>1200000</v>
      </c>
      <c r="V58" s="7">
        <v>1200000</v>
      </c>
      <c r="W58" s="7">
        <v>1200000</v>
      </c>
      <c r="X58" s="7">
        <v>1200000</v>
      </c>
      <c r="Y58" s="7">
        <v>1200000</v>
      </c>
      <c r="Z58" s="7">
        <v>1200000</v>
      </c>
      <c r="AA58" s="7">
        <v>1200000</v>
      </c>
      <c r="AB58" s="9">
        <v>75.956097375716993</v>
      </c>
      <c r="AC58" s="9">
        <v>75.956097375716993</v>
      </c>
      <c r="AD58" s="9">
        <v>75.956097375716993</v>
      </c>
      <c r="AE58" s="9">
        <v>75.956097375716993</v>
      </c>
      <c r="AF58" s="9">
        <v>75.956097375716993</v>
      </c>
      <c r="AG58" s="9">
        <v>75.956097375716993</v>
      </c>
      <c r="AH58" s="9">
        <v>75.956097375716993</v>
      </c>
      <c r="AI58" s="9">
        <v>75.956097375716993</v>
      </c>
      <c r="AJ58" s="9">
        <v>75.956097375716993</v>
      </c>
      <c r="AK58" s="9">
        <v>75.956097375716993</v>
      </c>
      <c r="AL58" s="9">
        <v>75.956097375716993</v>
      </c>
      <c r="AM58" s="9">
        <v>75.956097375716993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4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7">
        <f t="shared" si="4"/>
        <v>4</v>
      </c>
      <c r="BA58" s="11">
        <f t="shared" si="5"/>
        <v>0.33333333333333331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303.82438950287002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f t="shared" si="6"/>
        <v>303.82438950287002</v>
      </c>
      <c r="BP58" s="12">
        <f t="shared" si="7"/>
        <v>25.318699125239167</v>
      </c>
      <c r="BQ58" s="7"/>
      <c r="BR58" s="7"/>
      <c r="BS58" s="7" t="s">
        <v>116</v>
      </c>
      <c r="BT58" s="7" t="s">
        <v>52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/>
    </row>
    <row r="59" spans="1:78" x14ac:dyDescent="0.35">
      <c r="A59" s="7" t="s">
        <v>42</v>
      </c>
      <c r="B59" s="7"/>
      <c r="C59" s="7" t="s">
        <v>197</v>
      </c>
      <c r="D59" s="7" t="s">
        <v>192</v>
      </c>
      <c r="E59" s="7" t="s">
        <v>198</v>
      </c>
      <c r="F59" s="7" t="s">
        <v>176</v>
      </c>
      <c r="G59" s="7" t="s">
        <v>47</v>
      </c>
      <c r="H59" s="7"/>
      <c r="I59" s="7"/>
      <c r="J59" s="7" t="s">
        <v>48</v>
      </c>
      <c r="K59" s="7" t="s">
        <v>49</v>
      </c>
      <c r="L59" s="7" t="s">
        <v>49</v>
      </c>
      <c r="M59" s="7" t="s">
        <v>49</v>
      </c>
      <c r="N59" s="7" t="s">
        <v>194</v>
      </c>
      <c r="O59" s="7" t="s">
        <v>4</v>
      </c>
      <c r="P59" s="7">
        <v>1200000</v>
      </c>
      <c r="Q59" s="7">
        <v>1200000</v>
      </c>
      <c r="R59" s="7">
        <v>1200000</v>
      </c>
      <c r="S59" s="7">
        <v>1200000</v>
      </c>
      <c r="T59" s="7">
        <v>1200000</v>
      </c>
      <c r="U59" s="7">
        <v>1200000</v>
      </c>
      <c r="V59" s="7">
        <v>1200000</v>
      </c>
      <c r="W59" s="7">
        <v>1200000</v>
      </c>
      <c r="X59" s="7">
        <v>1200000</v>
      </c>
      <c r="Y59" s="7">
        <v>1200000</v>
      </c>
      <c r="Z59" s="7">
        <v>1200000</v>
      </c>
      <c r="AA59" s="7">
        <v>1200000</v>
      </c>
      <c r="AB59" s="9">
        <v>75.956097375716993</v>
      </c>
      <c r="AC59" s="9">
        <v>75.956097375716993</v>
      </c>
      <c r="AD59" s="9">
        <v>75.956097375716993</v>
      </c>
      <c r="AE59" s="9">
        <v>75.956097375716993</v>
      </c>
      <c r="AF59" s="9">
        <v>75.956097375716993</v>
      </c>
      <c r="AG59" s="9">
        <v>75.956097375716993</v>
      </c>
      <c r="AH59" s="9">
        <v>75.956097375716993</v>
      </c>
      <c r="AI59" s="9">
        <v>75.956097375716993</v>
      </c>
      <c r="AJ59" s="9">
        <v>75.956097375716993</v>
      </c>
      <c r="AK59" s="9">
        <v>75.956097375716993</v>
      </c>
      <c r="AL59" s="9">
        <v>75.956097375716993</v>
      </c>
      <c r="AM59" s="9">
        <v>75.956097375716993</v>
      </c>
      <c r="AN59" s="10">
        <v>0</v>
      </c>
      <c r="AO59" s="10">
        <v>2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7">
        <f t="shared" si="4"/>
        <v>2</v>
      </c>
      <c r="BA59" s="11">
        <f t="shared" si="5"/>
        <v>0.16666666666666666</v>
      </c>
      <c r="BC59" s="12">
        <v>0</v>
      </c>
      <c r="BD59" s="12">
        <v>151.91219475143001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f t="shared" si="6"/>
        <v>151.91219475143001</v>
      </c>
      <c r="BP59" s="12">
        <f t="shared" si="7"/>
        <v>12.659349562619168</v>
      </c>
      <c r="BQ59" s="7"/>
      <c r="BR59" s="7"/>
      <c r="BS59" s="7" t="s">
        <v>116</v>
      </c>
      <c r="BT59" s="7" t="s">
        <v>52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/>
    </row>
    <row r="60" spans="1:78" x14ac:dyDescent="0.35">
      <c r="A60" s="7" t="s">
        <v>42</v>
      </c>
      <c r="B60" s="7"/>
      <c r="C60" s="7" t="s">
        <v>197</v>
      </c>
      <c r="D60" s="7" t="s">
        <v>192</v>
      </c>
      <c r="E60" s="7" t="s">
        <v>198</v>
      </c>
      <c r="F60" s="7" t="s">
        <v>185</v>
      </c>
      <c r="G60" s="7" t="s">
        <v>47</v>
      </c>
      <c r="H60" s="7"/>
      <c r="I60" s="7"/>
      <c r="J60" s="7" t="s">
        <v>48</v>
      </c>
      <c r="K60" s="7" t="s">
        <v>49</v>
      </c>
      <c r="L60" s="7" t="s">
        <v>49</v>
      </c>
      <c r="M60" s="7" t="s">
        <v>49</v>
      </c>
      <c r="N60" s="7" t="s">
        <v>194</v>
      </c>
      <c r="O60" s="7" t="s">
        <v>4</v>
      </c>
      <c r="P60" s="7">
        <v>1200000</v>
      </c>
      <c r="Q60" s="7">
        <v>1200000</v>
      </c>
      <c r="R60" s="7">
        <v>1200000</v>
      </c>
      <c r="S60" s="7">
        <v>1200000</v>
      </c>
      <c r="T60" s="7">
        <v>1200000</v>
      </c>
      <c r="U60" s="7">
        <v>1200000</v>
      </c>
      <c r="V60" s="7">
        <v>1200000</v>
      </c>
      <c r="W60" s="7">
        <v>1200000</v>
      </c>
      <c r="X60" s="7">
        <v>1200000</v>
      </c>
      <c r="Y60" s="7">
        <v>1200000</v>
      </c>
      <c r="Z60" s="7">
        <v>1200000</v>
      </c>
      <c r="AA60" s="7">
        <v>1200000</v>
      </c>
      <c r="AB60" s="9">
        <v>75.956097375716993</v>
      </c>
      <c r="AC60" s="9">
        <v>75.956097375716993</v>
      </c>
      <c r="AD60" s="9">
        <v>75.956097375716993</v>
      </c>
      <c r="AE60" s="9">
        <v>75.956097375716993</v>
      </c>
      <c r="AF60" s="9">
        <v>75.956097375716993</v>
      </c>
      <c r="AG60" s="9">
        <v>75.956097375716993</v>
      </c>
      <c r="AH60" s="9">
        <v>75.956097375716993</v>
      </c>
      <c r="AI60" s="9">
        <v>75.956097375716993</v>
      </c>
      <c r="AJ60" s="9">
        <v>75.956097375716993</v>
      </c>
      <c r="AK60" s="9">
        <v>75.956097375716993</v>
      </c>
      <c r="AL60" s="9">
        <v>75.956097375716993</v>
      </c>
      <c r="AM60" s="9">
        <v>75.956097375716993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2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7">
        <f t="shared" si="4"/>
        <v>2</v>
      </c>
      <c r="BA60" s="11">
        <f t="shared" si="5"/>
        <v>0.16666666666666666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151.91219475143001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f t="shared" si="6"/>
        <v>151.91219475143001</v>
      </c>
      <c r="BP60" s="12">
        <f t="shared" si="7"/>
        <v>12.659349562619168</v>
      </c>
      <c r="BQ60" s="7"/>
      <c r="BR60" s="7"/>
      <c r="BS60" s="7" t="s">
        <v>116</v>
      </c>
      <c r="BT60" s="7" t="s">
        <v>52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/>
    </row>
    <row r="61" spans="1:78" x14ac:dyDescent="0.35">
      <c r="A61" s="7" t="s">
        <v>42</v>
      </c>
      <c r="B61" s="7"/>
      <c r="C61" s="7" t="s">
        <v>199</v>
      </c>
      <c r="D61" s="7" t="s">
        <v>192</v>
      </c>
      <c r="E61" s="7" t="s">
        <v>200</v>
      </c>
      <c r="F61" s="7" t="s">
        <v>190</v>
      </c>
      <c r="G61" s="7" t="s">
        <v>47</v>
      </c>
      <c r="H61" s="7"/>
      <c r="I61" s="7"/>
      <c r="J61" s="7" t="s">
        <v>48</v>
      </c>
      <c r="K61" s="7" t="s">
        <v>49</v>
      </c>
      <c r="L61" s="7" t="s">
        <v>49</v>
      </c>
      <c r="M61" s="7" t="s">
        <v>49</v>
      </c>
      <c r="N61" s="7" t="s">
        <v>194</v>
      </c>
      <c r="O61" s="7" t="s">
        <v>9</v>
      </c>
      <c r="P61" s="7">
        <v>200</v>
      </c>
      <c r="Q61" s="7">
        <v>200</v>
      </c>
      <c r="R61" s="7">
        <v>200</v>
      </c>
      <c r="S61" s="7">
        <v>200</v>
      </c>
      <c r="T61" s="7">
        <v>200</v>
      </c>
      <c r="U61" s="7">
        <v>200</v>
      </c>
      <c r="V61" s="7">
        <v>200</v>
      </c>
      <c r="W61" s="7">
        <v>200</v>
      </c>
      <c r="X61" s="7">
        <v>200</v>
      </c>
      <c r="Y61" s="7">
        <v>200</v>
      </c>
      <c r="Z61" s="7">
        <v>200</v>
      </c>
      <c r="AA61" s="7">
        <v>200</v>
      </c>
      <c r="AB61" s="9">
        <v>200</v>
      </c>
      <c r="AC61" s="9">
        <v>200</v>
      </c>
      <c r="AD61" s="9">
        <v>200</v>
      </c>
      <c r="AE61" s="9">
        <v>200</v>
      </c>
      <c r="AF61" s="9">
        <v>200</v>
      </c>
      <c r="AG61" s="9">
        <v>200</v>
      </c>
      <c r="AH61" s="9">
        <v>200</v>
      </c>
      <c r="AI61" s="9">
        <v>200</v>
      </c>
      <c r="AJ61" s="9">
        <v>200</v>
      </c>
      <c r="AK61" s="9">
        <v>200</v>
      </c>
      <c r="AL61" s="9">
        <v>200</v>
      </c>
      <c r="AM61" s="9">
        <v>200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2</v>
      </c>
      <c r="AX61" s="10">
        <v>0</v>
      </c>
      <c r="AY61" s="10">
        <v>0</v>
      </c>
      <c r="AZ61" s="7">
        <f t="shared" si="4"/>
        <v>2</v>
      </c>
      <c r="BA61" s="11">
        <f t="shared" si="5"/>
        <v>0.16666666666666666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400</v>
      </c>
      <c r="BM61" s="12">
        <v>0</v>
      </c>
      <c r="BN61" s="12">
        <v>0</v>
      </c>
      <c r="BO61" s="12">
        <f t="shared" si="6"/>
        <v>400</v>
      </c>
      <c r="BP61" s="12">
        <f t="shared" si="7"/>
        <v>33.333333333333336</v>
      </c>
      <c r="BQ61" s="7"/>
      <c r="BR61" s="7"/>
      <c r="BS61" s="7" t="s">
        <v>116</v>
      </c>
      <c r="BT61" s="7" t="s">
        <v>52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/>
    </row>
    <row r="62" spans="1:78" x14ac:dyDescent="0.35">
      <c r="A62" s="7" t="s">
        <v>42</v>
      </c>
      <c r="B62" s="7"/>
      <c r="C62" s="7" t="s">
        <v>201</v>
      </c>
      <c r="D62" s="7" t="s">
        <v>174</v>
      </c>
      <c r="E62" s="7" t="s">
        <v>202</v>
      </c>
      <c r="F62" s="7" t="s">
        <v>185</v>
      </c>
      <c r="G62" s="7" t="s">
        <v>47</v>
      </c>
      <c r="H62" s="7"/>
      <c r="I62" s="7"/>
      <c r="J62" s="7" t="s">
        <v>48</v>
      </c>
      <c r="K62" s="7" t="s">
        <v>49</v>
      </c>
      <c r="L62" s="7" t="s">
        <v>49</v>
      </c>
      <c r="M62" s="7" t="s">
        <v>49</v>
      </c>
      <c r="N62" s="7" t="s">
        <v>194</v>
      </c>
      <c r="O62" s="7" t="s">
        <v>4</v>
      </c>
      <c r="P62" s="7">
        <v>100000</v>
      </c>
      <c r="Q62" s="7">
        <v>100000</v>
      </c>
      <c r="R62" s="7">
        <v>100000</v>
      </c>
      <c r="S62" s="7">
        <v>100000</v>
      </c>
      <c r="T62" s="7">
        <v>100000</v>
      </c>
      <c r="U62" s="7">
        <v>100000</v>
      </c>
      <c r="V62" s="7">
        <v>100000</v>
      </c>
      <c r="W62" s="7">
        <v>100000</v>
      </c>
      <c r="X62" s="7">
        <v>100000</v>
      </c>
      <c r="Y62" s="7">
        <v>100000</v>
      </c>
      <c r="Z62" s="7">
        <v>100000</v>
      </c>
      <c r="AA62" s="7">
        <v>100000</v>
      </c>
      <c r="AB62" s="9">
        <v>6.3296747813097003</v>
      </c>
      <c r="AC62" s="9">
        <v>6.3296747813097003</v>
      </c>
      <c r="AD62" s="9">
        <v>6.3296747813097003</v>
      </c>
      <c r="AE62" s="9">
        <v>6.3296747813097003</v>
      </c>
      <c r="AF62" s="9">
        <v>6.3296747813097003</v>
      </c>
      <c r="AG62" s="9">
        <v>6.3296747813097003</v>
      </c>
      <c r="AH62" s="9">
        <v>6.3296747813097003</v>
      </c>
      <c r="AI62" s="9">
        <v>6.3296747813097003</v>
      </c>
      <c r="AJ62" s="9">
        <v>6.3296747813097003</v>
      </c>
      <c r="AK62" s="9">
        <v>6.3296747813097003</v>
      </c>
      <c r="AL62" s="9">
        <v>6.3296747813097003</v>
      </c>
      <c r="AM62" s="9">
        <v>6.3296747813097003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9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7">
        <f t="shared" si="4"/>
        <v>9</v>
      </c>
      <c r="BA62" s="11">
        <f t="shared" si="5"/>
        <v>0.75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56.967073031787997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f t="shared" si="6"/>
        <v>56.967073031787997</v>
      </c>
      <c r="BP62" s="12">
        <f t="shared" si="7"/>
        <v>4.7472560859823334</v>
      </c>
      <c r="BQ62" s="7"/>
      <c r="BR62" s="7"/>
      <c r="BS62" s="7" t="s">
        <v>124</v>
      </c>
      <c r="BT62" s="7" t="s">
        <v>52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/>
    </row>
    <row r="63" spans="1:78" x14ac:dyDescent="0.35">
      <c r="A63" s="7" t="s">
        <v>42</v>
      </c>
      <c r="B63" s="7"/>
      <c r="C63" s="7" t="s">
        <v>203</v>
      </c>
      <c r="D63" s="7" t="s">
        <v>204</v>
      </c>
      <c r="E63" s="7" t="s">
        <v>205</v>
      </c>
      <c r="F63" s="7" t="s">
        <v>66</v>
      </c>
      <c r="G63" s="7" t="s">
        <v>47</v>
      </c>
      <c r="H63" s="7"/>
      <c r="I63" s="7"/>
      <c r="J63" s="7" t="s">
        <v>48</v>
      </c>
      <c r="K63" s="7" t="s">
        <v>49</v>
      </c>
      <c r="L63" s="7" t="s">
        <v>49</v>
      </c>
      <c r="M63" s="7" t="s">
        <v>49</v>
      </c>
      <c r="N63" s="7" t="s">
        <v>62</v>
      </c>
      <c r="O63" s="7" t="s">
        <v>4</v>
      </c>
      <c r="P63" s="7">
        <v>78500</v>
      </c>
      <c r="Q63" s="7">
        <v>78500</v>
      </c>
      <c r="R63" s="7">
        <v>78500</v>
      </c>
      <c r="S63" s="7">
        <v>78500</v>
      </c>
      <c r="T63" s="7">
        <v>78500</v>
      </c>
      <c r="U63" s="7">
        <v>78500</v>
      </c>
      <c r="V63" s="7">
        <v>78500</v>
      </c>
      <c r="W63" s="7">
        <v>78500</v>
      </c>
      <c r="X63" s="7">
        <v>78500</v>
      </c>
      <c r="Y63" s="7">
        <v>78500</v>
      </c>
      <c r="Z63" s="7">
        <v>78500</v>
      </c>
      <c r="AA63" s="7">
        <v>78500</v>
      </c>
      <c r="AB63" s="9">
        <v>4.9687947033280997</v>
      </c>
      <c r="AC63" s="9">
        <v>4.9687947033280997</v>
      </c>
      <c r="AD63" s="9">
        <v>4.9687947033280997</v>
      </c>
      <c r="AE63" s="9">
        <v>4.9687947033280997</v>
      </c>
      <c r="AF63" s="9">
        <v>4.9687947033280997</v>
      </c>
      <c r="AG63" s="9">
        <v>4.9687947033280997</v>
      </c>
      <c r="AH63" s="9">
        <v>4.9687947033280997</v>
      </c>
      <c r="AI63" s="9">
        <v>4.9687947033280997</v>
      </c>
      <c r="AJ63" s="9">
        <v>4.9687947033280997</v>
      </c>
      <c r="AK63" s="9">
        <v>4.9687947033280997</v>
      </c>
      <c r="AL63" s="9">
        <v>4.9687947033280997</v>
      </c>
      <c r="AM63" s="9">
        <v>4.9687947033280997</v>
      </c>
      <c r="AN63" s="10">
        <v>2</v>
      </c>
      <c r="AO63" s="10">
        <v>0</v>
      </c>
      <c r="AP63" s="10">
        <v>0</v>
      </c>
      <c r="AQ63" s="10">
        <v>2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7">
        <f t="shared" si="4"/>
        <v>4</v>
      </c>
      <c r="BA63" s="11">
        <f t="shared" si="5"/>
        <v>0.33333333333333331</v>
      </c>
      <c r="BC63" s="12">
        <v>9.9375894066563006</v>
      </c>
      <c r="BD63" s="12">
        <v>0</v>
      </c>
      <c r="BE63" s="12">
        <v>0</v>
      </c>
      <c r="BF63" s="12">
        <v>9.9375894066563006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f t="shared" si="6"/>
        <v>19.875178813312601</v>
      </c>
      <c r="BP63" s="12">
        <f t="shared" si="7"/>
        <v>1.6562649011093835</v>
      </c>
      <c r="BQ63" s="7"/>
      <c r="BR63" s="7"/>
      <c r="BS63" s="7" t="s">
        <v>51</v>
      </c>
      <c r="BT63" s="7" t="s">
        <v>52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/>
    </row>
    <row r="64" spans="1:78" x14ac:dyDescent="0.35">
      <c r="A64" s="7" t="s">
        <v>42</v>
      </c>
      <c r="B64" s="7"/>
      <c r="C64" s="7" t="s">
        <v>206</v>
      </c>
      <c r="D64" s="7" t="s">
        <v>207</v>
      </c>
      <c r="E64" s="7" t="s">
        <v>208</v>
      </c>
      <c r="F64" s="7" t="s">
        <v>185</v>
      </c>
      <c r="G64" s="7" t="s">
        <v>47</v>
      </c>
      <c r="H64" s="7"/>
      <c r="I64" s="7"/>
      <c r="J64" s="7" t="s">
        <v>48</v>
      </c>
      <c r="K64" s="7" t="s">
        <v>49</v>
      </c>
      <c r="L64" s="7" t="s">
        <v>49</v>
      </c>
      <c r="M64" s="7" t="s">
        <v>49</v>
      </c>
      <c r="N64" s="7" t="s">
        <v>115</v>
      </c>
      <c r="O64" s="7" t="s">
        <v>4</v>
      </c>
      <c r="P64" s="7">
        <v>300000</v>
      </c>
      <c r="Q64" s="7">
        <v>300000</v>
      </c>
      <c r="R64" s="7">
        <v>300000</v>
      </c>
      <c r="S64" s="7">
        <v>300000</v>
      </c>
      <c r="T64" s="7">
        <v>300000</v>
      </c>
      <c r="U64" s="7">
        <v>300000</v>
      </c>
      <c r="V64" s="7">
        <v>300000</v>
      </c>
      <c r="W64" s="7">
        <v>300000</v>
      </c>
      <c r="X64" s="7">
        <v>300000</v>
      </c>
      <c r="Y64" s="7">
        <v>300000</v>
      </c>
      <c r="Z64" s="7">
        <v>300000</v>
      </c>
      <c r="AA64" s="7">
        <v>300000</v>
      </c>
      <c r="AB64" s="9">
        <v>18.989024343929</v>
      </c>
      <c r="AC64" s="9">
        <v>18.989024343929</v>
      </c>
      <c r="AD64" s="9">
        <v>18.989024343929</v>
      </c>
      <c r="AE64" s="9">
        <v>18.989024343929</v>
      </c>
      <c r="AF64" s="9">
        <v>18.989024343929</v>
      </c>
      <c r="AG64" s="9">
        <v>18.989024343929</v>
      </c>
      <c r="AH64" s="9">
        <v>18.989024343929</v>
      </c>
      <c r="AI64" s="9">
        <v>18.989024343929</v>
      </c>
      <c r="AJ64" s="9">
        <v>18.989024343929</v>
      </c>
      <c r="AK64" s="9">
        <v>18.989024343929</v>
      </c>
      <c r="AL64" s="9">
        <v>18.989024343929</v>
      </c>
      <c r="AM64" s="9">
        <v>18.989024343929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3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7">
        <f t="shared" si="4"/>
        <v>3</v>
      </c>
      <c r="BA64" s="11">
        <f t="shared" si="5"/>
        <v>0.25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56.967073031787997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f t="shared" si="6"/>
        <v>56.967073031787997</v>
      </c>
      <c r="BP64" s="12">
        <f t="shared" si="7"/>
        <v>4.7472560859823334</v>
      </c>
      <c r="BQ64" s="7"/>
      <c r="BR64" s="7"/>
      <c r="BS64" s="7" t="s">
        <v>116</v>
      </c>
      <c r="BT64" s="7" t="s">
        <v>52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/>
    </row>
    <row r="65" spans="1:78" x14ac:dyDescent="0.35">
      <c r="A65" s="7" t="s">
        <v>42</v>
      </c>
      <c r="B65" s="7"/>
      <c r="C65" s="7" t="s">
        <v>209</v>
      </c>
      <c r="D65" s="7" t="s">
        <v>210</v>
      </c>
      <c r="E65" s="7" t="s">
        <v>211</v>
      </c>
      <c r="F65" s="7" t="s">
        <v>190</v>
      </c>
      <c r="G65" s="7" t="s">
        <v>47</v>
      </c>
      <c r="H65" s="7"/>
      <c r="I65" s="7"/>
      <c r="J65" s="7" t="s">
        <v>48</v>
      </c>
      <c r="K65" s="7" t="s">
        <v>49</v>
      </c>
      <c r="L65" s="7" t="s">
        <v>49</v>
      </c>
      <c r="M65" s="7" t="s">
        <v>49</v>
      </c>
      <c r="N65" s="7" t="s">
        <v>194</v>
      </c>
      <c r="O65" s="7" t="s">
        <v>9</v>
      </c>
      <c r="P65" s="7">
        <v>48</v>
      </c>
      <c r="Q65" s="7">
        <v>48</v>
      </c>
      <c r="R65" s="7">
        <v>48</v>
      </c>
      <c r="S65" s="7">
        <v>48</v>
      </c>
      <c r="T65" s="7">
        <v>48</v>
      </c>
      <c r="U65" s="7">
        <v>48</v>
      </c>
      <c r="V65" s="7">
        <v>48</v>
      </c>
      <c r="W65" s="7">
        <v>48</v>
      </c>
      <c r="X65" s="7">
        <v>48</v>
      </c>
      <c r="Y65" s="7">
        <v>48</v>
      </c>
      <c r="Z65" s="7">
        <v>48</v>
      </c>
      <c r="AA65" s="7">
        <v>48</v>
      </c>
      <c r="AB65" s="9">
        <v>48</v>
      </c>
      <c r="AC65" s="9">
        <v>48</v>
      </c>
      <c r="AD65" s="9">
        <v>48</v>
      </c>
      <c r="AE65" s="9">
        <v>48</v>
      </c>
      <c r="AF65" s="9">
        <v>48</v>
      </c>
      <c r="AG65" s="9">
        <v>48</v>
      </c>
      <c r="AH65" s="9">
        <v>48</v>
      </c>
      <c r="AI65" s="9">
        <v>48</v>
      </c>
      <c r="AJ65" s="9">
        <v>48</v>
      </c>
      <c r="AK65" s="9">
        <v>48</v>
      </c>
      <c r="AL65" s="9">
        <v>48</v>
      </c>
      <c r="AM65" s="9">
        <v>48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2</v>
      </c>
      <c r="AX65" s="10">
        <v>0</v>
      </c>
      <c r="AY65" s="10">
        <v>0</v>
      </c>
      <c r="AZ65" s="7">
        <f t="shared" si="4"/>
        <v>2</v>
      </c>
      <c r="BA65" s="11">
        <f t="shared" si="5"/>
        <v>0.16666666666666666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96</v>
      </c>
      <c r="BM65" s="12">
        <v>0</v>
      </c>
      <c r="BN65" s="12">
        <v>0</v>
      </c>
      <c r="BO65" s="12">
        <f t="shared" si="6"/>
        <v>96</v>
      </c>
      <c r="BP65" s="12">
        <f t="shared" si="7"/>
        <v>8</v>
      </c>
      <c r="BQ65" s="7"/>
      <c r="BR65" s="7"/>
      <c r="BS65" s="7" t="s">
        <v>116</v>
      </c>
      <c r="BT65" s="7" t="s">
        <v>52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/>
    </row>
    <row r="66" spans="1:78" x14ac:dyDescent="0.35">
      <c r="A66" s="7" t="s">
        <v>42</v>
      </c>
      <c r="B66" s="7"/>
      <c r="C66" s="7" t="s">
        <v>212</v>
      </c>
      <c r="D66" s="7" t="s">
        <v>213</v>
      </c>
      <c r="E66" s="7" t="s">
        <v>214</v>
      </c>
      <c r="F66" s="7" t="s">
        <v>176</v>
      </c>
      <c r="G66" s="7" t="s">
        <v>47</v>
      </c>
      <c r="H66" s="7"/>
      <c r="I66" s="7"/>
      <c r="J66" s="7" t="s">
        <v>48</v>
      </c>
      <c r="K66" s="7" t="s">
        <v>49</v>
      </c>
      <c r="L66" s="7" t="s">
        <v>49</v>
      </c>
      <c r="M66" s="7" t="s">
        <v>49</v>
      </c>
      <c r="N66" s="7" t="s">
        <v>115</v>
      </c>
      <c r="O66" s="7" t="s">
        <v>4</v>
      </c>
      <c r="P66" s="7">
        <v>40000</v>
      </c>
      <c r="Q66" s="7">
        <v>40000</v>
      </c>
      <c r="R66" s="7">
        <v>40000</v>
      </c>
      <c r="S66" s="7">
        <v>40000</v>
      </c>
      <c r="T66" s="7">
        <v>40000</v>
      </c>
      <c r="U66" s="7">
        <v>40000</v>
      </c>
      <c r="V66" s="7">
        <v>40000</v>
      </c>
      <c r="W66" s="7">
        <v>40000</v>
      </c>
      <c r="X66" s="7">
        <v>40000</v>
      </c>
      <c r="Y66" s="7">
        <v>40000</v>
      </c>
      <c r="Z66" s="7">
        <v>40000</v>
      </c>
      <c r="AA66" s="7">
        <v>40000</v>
      </c>
      <c r="AB66" s="9">
        <v>2.5318699125238999</v>
      </c>
      <c r="AC66" s="9">
        <v>2.5318699125238999</v>
      </c>
      <c r="AD66" s="9">
        <v>2.5318699125238999</v>
      </c>
      <c r="AE66" s="9">
        <v>2.5318699125238999</v>
      </c>
      <c r="AF66" s="9">
        <v>2.5318699125238999</v>
      </c>
      <c r="AG66" s="9">
        <v>2.5318699125238999</v>
      </c>
      <c r="AH66" s="9">
        <v>2.5318699125238999</v>
      </c>
      <c r="AI66" s="9">
        <v>2.5318699125238999</v>
      </c>
      <c r="AJ66" s="9">
        <v>2.5318699125238999</v>
      </c>
      <c r="AK66" s="9">
        <v>2.5318699125238999</v>
      </c>
      <c r="AL66" s="9">
        <v>2.5318699125238999</v>
      </c>
      <c r="AM66" s="9">
        <v>2.5318699125238999</v>
      </c>
      <c r="AN66" s="10">
        <v>0</v>
      </c>
      <c r="AO66" s="10">
        <v>6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7">
        <f t="shared" si="4"/>
        <v>6</v>
      </c>
      <c r="BA66" s="11">
        <f t="shared" si="5"/>
        <v>0.5</v>
      </c>
      <c r="BC66" s="12">
        <v>0</v>
      </c>
      <c r="BD66" s="12">
        <v>15.191219475143001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f t="shared" si="6"/>
        <v>15.191219475143001</v>
      </c>
      <c r="BP66" s="12">
        <f t="shared" si="7"/>
        <v>1.2659349562619167</v>
      </c>
      <c r="BQ66" s="7"/>
      <c r="BR66" s="7"/>
      <c r="BS66" s="7" t="s">
        <v>116</v>
      </c>
      <c r="BT66" s="7" t="s">
        <v>52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/>
    </row>
    <row r="67" spans="1:78" x14ac:dyDescent="0.35">
      <c r="A67" s="7" t="s">
        <v>42</v>
      </c>
      <c r="B67" s="7"/>
      <c r="C67" s="7" t="s">
        <v>212</v>
      </c>
      <c r="D67" s="7" t="s">
        <v>213</v>
      </c>
      <c r="E67" s="7" t="s">
        <v>214</v>
      </c>
      <c r="F67" s="7" t="s">
        <v>185</v>
      </c>
      <c r="G67" s="7" t="s">
        <v>47</v>
      </c>
      <c r="H67" s="7"/>
      <c r="I67" s="7"/>
      <c r="J67" s="7" t="s">
        <v>48</v>
      </c>
      <c r="K67" s="7" t="s">
        <v>49</v>
      </c>
      <c r="L67" s="7" t="s">
        <v>49</v>
      </c>
      <c r="M67" s="7" t="s">
        <v>49</v>
      </c>
      <c r="N67" s="7" t="s">
        <v>115</v>
      </c>
      <c r="O67" s="7" t="s">
        <v>4</v>
      </c>
      <c r="P67" s="7">
        <v>40000</v>
      </c>
      <c r="Q67" s="7">
        <v>40000</v>
      </c>
      <c r="R67" s="7">
        <v>40000</v>
      </c>
      <c r="S67" s="7">
        <v>40000</v>
      </c>
      <c r="T67" s="7">
        <v>40000</v>
      </c>
      <c r="U67" s="7">
        <v>40000</v>
      </c>
      <c r="V67" s="7">
        <v>40000</v>
      </c>
      <c r="W67" s="7">
        <v>40000</v>
      </c>
      <c r="X67" s="7">
        <v>40000</v>
      </c>
      <c r="Y67" s="7">
        <v>40000</v>
      </c>
      <c r="Z67" s="7">
        <v>40000</v>
      </c>
      <c r="AA67" s="7">
        <v>40000</v>
      </c>
      <c r="AB67" s="9">
        <v>2.5318699125238999</v>
      </c>
      <c r="AC67" s="9">
        <v>2.5318699125238999</v>
      </c>
      <c r="AD67" s="9">
        <v>2.5318699125238999</v>
      </c>
      <c r="AE67" s="9">
        <v>2.5318699125238999</v>
      </c>
      <c r="AF67" s="9">
        <v>2.5318699125238999</v>
      </c>
      <c r="AG67" s="9">
        <v>2.5318699125238999</v>
      </c>
      <c r="AH67" s="9">
        <v>2.5318699125238999</v>
      </c>
      <c r="AI67" s="9">
        <v>2.5318699125238999</v>
      </c>
      <c r="AJ67" s="9">
        <v>2.5318699125238999</v>
      </c>
      <c r="AK67" s="9">
        <v>2.5318699125238999</v>
      </c>
      <c r="AL67" s="9">
        <v>2.5318699125238999</v>
      </c>
      <c r="AM67" s="9">
        <v>2.5318699125238999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6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7">
        <f t="shared" si="4"/>
        <v>6</v>
      </c>
      <c r="BA67" s="11">
        <f t="shared" si="5"/>
        <v>0.5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15.191219475143001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f t="shared" si="6"/>
        <v>15.191219475143001</v>
      </c>
      <c r="BP67" s="12">
        <f t="shared" si="7"/>
        <v>1.2659349562619167</v>
      </c>
      <c r="BQ67" s="7"/>
      <c r="BR67" s="7"/>
      <c r="BS67" s="7" t="s">
        <v>116</v>
      </c>
      <c r="BT67" s="7" t="s">
        <v>52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/>
    </row>
    <row r="68" spans="1:78" x14ac:dyDescent="0.35">
      <c r="A68" s="7" t="s">
        <v>42</v>
      </c>
      <c r="B68" s="7"/>
      <c r="C68" s="7" t="s">
        <v>215</v>
      </c>
      <c r="D68" s="7" t="s">
        <v>213</v>
      </c>
      <c r="E68" s="7" t="s">
        <v>216</v>
      </c>
      <c r="F68" s="7" t="s">
        <v>176</v>
      </c>
      <c r="G68" s="7" t="s">
        <v>47</v>
      </c>
      <c r="H68" s="7"/>
      <c r="I68" s="7"/>
      <c r="J68" s="7" t="s">
        <v>48</v>
      </c>
      <c r="K68" s="7" t="s">
        <v>49</v>
      </c>
      <c r="L68" s="7" t="s">
        <v>49</v>
      </c>
      <c r="M68" s="7" t="s">
        <v>49</v>
      </c>
      <c r="N68" s="7" t="s">
        <v>115</v>
      </c>
      <c r="O68" s="7" t="s">
        <v>4</v>
      </c>
      <c r="P68" s="7">
        <v>27500</v>
      </c>
      <c r="Q68" s="7">
        <v>27500</v>
      </c>
      <c r="R68" s="7">
        <v>27500</v>
      </c>
      <c r="S68" s="7">
        <v>27500</v>
      </c>
      <c r="T68" s="7">
        <v>27500</v>
      </c>
      <c r="U68" s="7">
        <v>27500</v>
      </c>
      <c r="V68" s="7">
        <v>27500</v>
      </c>
      <c r="W68" s="7">
        <v>27500</v>
      </c>
      <c r="X68" s="7">
        <v>27500</v>
      </c>
      <c r="Y68" s="7">
        <v>27500</v>
      </c>
      <c r="Z68" s="7">
        <v>27500</v>
      </c>
      <c r="AA68" s="7">
        <v>27500</v>
      </c>
      <c r="AB68" s="9">
        <v>1.7406605648602</v>
      </c>
      <c r="AC68" s="9">
        <v>1.7406605648602</v>
      </c>
      <c r="AD68" s="9">
        <v>1.7406605648602</v>
      </c>
      <c r="AE68" s="9">
        <v>1.7406605648602</v>
      </c>
      <c r="AF68" s="9">
        <v>1.7406605648602</v>
      </c>
      <c r="AG68" s="9">
        <v>1.7406605648602</v>
      </c>
      <c r="AH68" s="9">
        <v>1.7406605648602</v>
      </c>
      <c r="AI68" s="9">
        <v>1.7406605648602</v>
      </c>
      <c r="AJ68" s="9">
        <v>1.7406605648602</v>
      </c>
      <c r="AK68" s="9">
        <v>1.7406605648602</v>
      </c>
      <c r="AL68" s="9">
        <v>1.7406605648602</v>
      </c>
      <c r="AM68" s="9">
        <v>1.7406605648602</v>
      </c>
      <c r="AN68" s="10">
        <v>0</v>
      </c>
      <c r="AO68" s="10">
        <v>4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7">
        <f t="shared" si="4"/>
        <v>4</v>
      </c>
      <c r="BA68" s="11">
        <f t="shared" si="5"/>
        <v>0.33333333333333331</v>
      </c>
      <c r="BC68" s="12">
        <v>0</v>
      </c>
      <c r="BD68" s="12">
        <v>6.9626422594406998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f t="shared" si="6"/>
        <v>6.9626422594406998</v>
      </c>
      <c r="BP68" s="12">
        <f t="shared" si="7"/>
        <v>0.58022018828672495</v>
      </c>
      <c r="BQ68" s="7"/>
      <c r="BR68" s="7"/>
      <c r="BS68" s="7" t="s">
        <v>116</v>
      </c>
      <c r="BT68" s="7" t="s">
        <v>52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/>
    </row>
    <row r="69" spans="1:78" x14ac:dyDescent="0.35">
      <c r="A69" s="7" t="s">
        <v>42</v>
      </c>
      <c r="B69" s="7"/>
      <c r="C69" s="7" t="s">
        <v>215</v>
      </c>
      <c r="D69" s="7" t="s">
        <v>213</v>
      </c>
      <c r="E69" s="7" t="s">
        <v>216</v>
      </c>
      <c r="F69" s="7" t="s">
        <v>185</v>
      </c>
      <c r="G69" s="7" t="s">
        <v>47</v>
      </c>
      <c r="H69" s="7"/>
      <c r="I69" s="7"/>
      <c r="J69" s="7" t="s">
        <v>48</v>
      </c>
      <c r="K69" s="7" t="s">
        <v>49</v>
      </c>
      <c r="L69" s="7" t="s">
        <v>49</v>
      </c>
      <c r="M69" s="7" t="s">
        <v>49</v>
      </c>
      <c r="N69" s="7" t="s">
        <v>115</v>
      </c>
      <c r="O69" s="7" t="s">
        <v>4</v>
      </c>
      <c r="P69" s="7">
        <v>27500</v>
      </c>
      <c r="Q69" s="7">
        <v>27500</v>
      </c>
      <c r="R69" s="7">
        <v>27500</v>
      </c>
      <c r="S69" s="7">
        <v>27500</v>
      </c>
      <c r="T69" s="7">
        <v>27500</v>
      </c>
      <c r="U69" s="7">
        <v>27500</v>
      </c>
      <c r="V69" s="7">
        <v>27500</v>
      </c>
      <c r="W69" s="7">
        <v>27500</v>
      </c>
      <c r="X69" s="7">
        <v>27500</v>
      </c>
      <c r="Y69" s="7">
        <v>27500</v>
      </c>
      <c r="Z69" s="7">
        <v>27500</v>
      </c>
      <c r="AA69" s="7">
        <v>27500</v>
      </c>
      <c r="AB69" s="9">
        <v>1.7406605648602</v>
      </c>
      <c r="AC69" s="9">
        <v>1.7406605648602</v>
      </c>
      <c r="AD69" s="9">
        <v>1.7406605648602</v>
      </c>
      <c r="AE69" s="9">
        <v>1.7406605648602</v>
      </c>
      <c r="AF69" s="9">
        <v>1.7406605648602</v>
      </c>
      <c r="AG69" s="9">
        <v>1.7406605648602</v>
      </c>
      <c r="AH69" s="9">
        <v>1.7406605648602</v>
      </c>
      <c r="AI69" s="9">
        <v>1.7406605648602</v>
      </c>
      <c r="AJ69" s="9">
        <v>1.7406605648602</v>
      </c>
      <c r="AK69" s="9">
        <v>1.7406605648602</v>
      </c>
      <c r="AL69" s="9">
        <v>1.7406605648602</v>
      </c>
      <c r="AM69" s="9">
        <v>1.7406605648602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2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7">
        <f t="shared" si="4"/>
        <v>2</v>
      </c>
      <c r="BA69" s="11">
        <f t="shared" si="5"/>
        <v>0.16666666666666666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3.4813211297204001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f t="shared" si="6"/>
        <v>3.4813211297204001</v>
      </c>
      <c r="BP69" s="12">
        <f t="shared" si="7"/>
        <v>0.29011009414336669</v>
      </c>
      <c r="BQ69" s="7"/>
      <c r="BR69" s="7"/>
      <c r="BS69" s="7" t="s">
        <v>116</v>
      </c>
      <c r="BT69" s="7" t="s">
        <v>52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/>
    </row>
    <row r="70" spans="1:78" x14ac:dyDescent="0.35">
      <c r="A70" s="7" t="s">
        <v>42</v>
      </c>
      <c r="B70" s="7"/>
      <c r="C70" s="7" t="s">
        <v>217</v>
      </c>
      <c r="D70" s="7" t="s">
        <v>213</v>
      </c>
      <c r="E70" s="7" t="s">
        <v>218</v>
      </c>
      <c r="F70" s="7" t="s">
        <v>176</v>
      </c>
      <c r="G70" s="7" t="s">
        <v>47</v>
      </c>
      <c r="H70" s="7"/>
      <c r="I70" s="7"/>
      <c r="J70" s="7" t="s">
        <v>48</v>
      </c>
      <c r="K70" s="7" t="s">
        <v>49</v>
      </c>
      <c r="L70" s="7" t="s">
        <v>49</v>
      </c>
      <c r="M70" s="7" t="s">
        <v>49</v>
      </c>
      <c r="N70" s="7" t="s">
        <v>115</v>
      </c>
      <c r="O70" s="7" t="s">
        <v>4</v>
      </c>
      <c r="P70" s="7">
        <v>27500</v>
      </c>
      <c r="Q70" s="7">
        <v>27500</v>
      </c>
      <c r="R70" s="7">
        <v>27500</v>
      </c>
      <c r="S70" s="7">
        <v>27500</v>
      </c>
      <c r="T70" s="7">
        <v>27500</v>
      </c>
      <c r="U70" s="7">
        <v>27500</v>
      </c>
      <c r="V70" s="7">
        <v>27500</v>
      </c>
      <c r="W70" s="7">
        <v>27500</v>
      </c>
      <c r="X70" s="7">
        <v>27500</v>
      </c>
      <c r="Y70" s="7">
        <v>27500</v>
      </c>
      <c r="Z70" s="7">
        <v>27500</v>
      </c>
      <c r="AA70" s="7">
        <v>27500</v>
      </c>
      <c r="AB70" s="9">
        <v>1.7406605648602</v>
      </c>
      <c r="AC70" s="9">
        <v>1.7406605648602</v>
      </c>
      <c r="AD70" s="9">
        <v>1.7406605648602</v>
      </c>
      <c r="AE70" s="9">
        <v>1.7406605648602</v>
      </c>
      <c r="AF70" s="9">
        <v>1.7406605648602</v>
      </c>
      <c r="AG70" s="9">
        <v>1.7406605648602</v>
      </c>
      <c r="AH70" s="9">
        <v>1.7406605648602</v>
      </c>
      <c r="AI70" s="9">
        <v>1.7406605648602</v>
      </c>
      <c r="AJ70" s="9">
        <v>1.7406605648602</v>
      </c>
      <c r="AK70" s="9">
        <v>1.7406605648602</v>
      </c>
      <c r="AL70" s="9">
        <v>1.7406605648602</v>
      </c>
      <c r="AM70" s="9">
        <v>1.7406605648602</v>
      </c>
      <c r="AN70" s="10">
        <v>0</v>
      </c>
      <c r="AO70" s="10">
        <v>6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7">
        <f t="shared" si="4"/>
        <v>6</v>
      </c>
      <c r="BA70" s="11">
        <f t="shared" si="5"/>
        <v>0.5</v>
      </c>
      <c r="BC70" s="12">
        <v>0</v>
      </c>
      <c r="BD70" s="12">
        <v>10.443963389161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f t="shared" si="6"/>
        <v>10.443963389161</v>
      </c>
      <c r="BP70" s="12">
        <f t="shared" si="7"/>
        <v>0.87033028243008337</v>
      </c>
      <c r="BQ70" s="7"/>
      <c r="BR70" s="7"/>
      <c r="BS70" s="7" t="s">
        <v>116</v>
      </c>
      <c r="BT70" s="7" t="s">
        <v>52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/>
    </row>
    <row r="71" spans="1:78" x14ac:dyDescent="0.35">
      <c r="A71" s="7" t="s">
        <v>42</v>
      </c>
      <c r="B71" s="7"/>
      <c r="C71" s="7" t="s">
        <v>217</v>
      </c>
      <c r="D71" s="7" t="s">
        <v>213</v>
      </c>
      <c r="E71" s="7" t="s">
        <v>218</v>
      </c>
      <c r="F71" s="7" t="s">
        <v>185</v>
      </c>
      <c r="G71" s="7" t="s">
        <v>47</v>
      </c>
      <c r="H71" s="7"/>
      <c r="I71" s="7"/>
      <c r="J71" s="7" t="s">
        <v>48</v>
      </c>
      <c r="K71" s="7" t="s">
        <v>49</v>
      </c>
      <c r="L71" s="7" t="s">
        <v>49</v>
      </c>
      <c r="M71" s="7" t="s">
        <v>49</v>
      </c>
      <c r="N71" s="7" t="s">
        <v>115</v>
      </c>
      <c r="O71" s="7" t="s">
        <v>4</v>
      </c>
      <c r="P71" s="7">
        <v>27500</v>
      </c>
      <c r="Q71" s="7">
        <v>27500</v>
      </c>
      <c r="R71" s="7">
        <v>27500</v>
      </c>
      <c r="S71" s="7">
        <v>27500</v>
      </c>
      <c r="T71" s="7">
        <v>27500</v>
      </c>
      <c r="U71" s="7">
        <v>27500</v>
      </c>
      <c r="V71" s="7">
        <v>27500</v>
      </c>
      <c r="W71" s="7">
        <v>27500</v>
      </c>
      <c r="X71" s="7">
        <v>27500</v>
      </c>
      <c r="Y71" s="7">
        <v>27500</v>
      </c>
      <c r="Z71" s="7">
        <v>27500</v>
      </c>
      <c r="AA71" s="7">
        <v>27500</v>
      </c>
      <c r="AB71" s="9">
        <v>1.7406605648602</v>
      </c>
      <c r="AC71" s="9">
        <v>1.7406605648602</v>
      </c>
      <c r="AD71" s="9">
        <v>1.7406605648602</v>
      </c>
      <c r="AE71" s="9">
        <v>1.7406605648602</v>
      </c>
      <c r="AF71" s="9">
        <v>1.7406605648602</v>
      </c>
      <c r="AG71" s="9">
        <v>1.7406605648602</v>
      </c>
      <c r="AH71" s="9">
        <v>1.7406605648602</v>
      </c>
      <c r="AI71" s="9">
        <v>1.7406605648602</v>
      </c>
      <c r="AJ71" s="9">
        <v>1.7406605648602</v>
      </c>
      <c r="AK71" s="9">
        <v>1.7406605648602</v>
      </c>
      <c r="AL71" s="9">
        <v>1.7406605648602</v>
      </c>
      <c r="AM71" s="9">
        <v>1.7406605648602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6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7">
        <f t="shared" si="4"/>
        <v>6</v>
      </c>
      <c r="BA71" s="11">
        <f t="shared" si="5"/>
        <v>0.5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10.443963389161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f t="shared" si="6"/>
        <v>10.443963389161</v>
      </c>
      <c r="BP71" s="12">
        <f t="shared" si="7"/>
        <v>0.87033028243008337</v>
      </c>
      <c r="BQ71" s="7"/>
      <c r="BR71" s="7"/>
      <c r="BS71" s="7" t="s">
        <v>116</v>
      </c>
      <c r="BT71" s="7" t="s">
        <v>52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/>
    </row>
    <row r="72" spans="1:78" x14ac:dyDescent="0.35">
      <c r="A72" s="7" t="s">
        <v>42</v>
      </c>
      <c r="B72" s="7"/>
      <c r="C72" s="7" t="s">
        <v>219</v>
      </c>
      <c r="D72" s="7" t="s">
        <v>213</v>
      </c>
      <c r="E72" s="7" t="s">
        <v>220</v>
      </c>
      <c r="F72" s="7" t="s">
        <v>176</v>
      </c>
      <c r="G72" s="7" t="s">
        <v>47</v>
      </c>
      <c r="H72" s="7"/>
      <c r="I72" s="7"/>
      <c r="J72" s="7" t="s">
        <v>48</v>
      </c>
      <c r="K72" s="7" t="s">
        <v>49</v>
      </c>
      <c r="L72" s="7" t="s">
        <v>49</v>
      </c>
      <c r="M72" s="7" t="s">
        <v>49</v>
      </c>
      <c r="N72" s="7" t="s">
        <v>115</v>
      </c>
      <c r="O72" s="7" t="s">
        <v>4</v>
      </c>
      <c r="P72" s="7">
        <v>50000</v>
      </c>
      <c r="Q72" s="7">
        <v>50000</v>
      </c>
      <c r="R72" s="7">
        <v>50000</v>
      </c>
      <c r="S72" s="7">
        <v>50000</v>
      </c>
      <c r="T72" s="7">
        <v>50000</v>
      </c>
      <c r="U72" s="7">
        <v>50000</v>
      </c>
      <c r="V72" s="7">
        <v>50000</v>
      </c>
      <c r="W72" s="7">
        <v>50000</v>
      </c>
      <c r="X72" s="7">
        <v>50000</v>
      </c>
      <c r="Y72" s="7">
        <v>50000</v>
      </c>
      <c r="Z72" s="7">
        <v>50000</v>
      </c>
      <c r="AA72" s="7">
        <v>50000</v>
      </c>
      <c r="AB72" s="9">
        <v>3.1648373906548999</v>
      </c>
      <c r="AC72" s="9">
        <v>3.1648373906548999</v>
      </c>
      <c r="AD72" s="9">
        <v>3.1648373906548999</v>
      </c>
      <c r="AE72" s="9">
        <v>3.1648373906548999</v>
      </c>
      <c r="AF72" s="9">
        <v>3.1648373906548999</v>
      </c>
      <c r="AG72" s="9">
        <v>3.1648373906548999</v>
      </c>
      <c r="AH72" s="9">
        <v>3.1648373906548999</v>
      </c>
      <c r="AI72" s="9">
        <v>3.1648373906548999</v>
      </c>
      <c r="AJ72" s="9">
        <v>3.1648373906548999</v>
      </c>
      <c r="AK72" s="9">
        <v>3.1648373906548999</v>
      </c>
      <c r="AL72" s="9">
        <v>3.1648373906548999</v>
      </c>
      <c r="AM72" s="9">
        <v>3.1648373906548999</v>
      </c>
      <c r="AN72" s="10">
        <v>0</v>
      </c>
      <c r="AO72" s="10">
        <v>3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7">
        <f t="shared" si="4"/>
        <v>3</v>
      </c>
      <c r="BA72" s="11">
        <f t="shared" si="5"/>
        <v>0.25</v>
      </c>
      <c r="BC72" s="12">
        <v>0</v>
      </c>
      <c r="BD72" s="12">
        <v>9.4945121719645993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f t="shared" si="6"/>
        <v>9.4945121719645993</v>
      </c>
      <c r="BP72" s="12">
        <f t="shared" si="7"/>
        <v>0.79120934766371664</v>
      </c>
      <c r="BQ72" s="7"/>
      <c r="BR72" s="7"/>
      <c r="BS72" s="7" t="s">
        <v>116</v>
      </c>
      <c r="BT72" s="7" t="s">
        <v>52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/>
    </row>
    <row r="73" spans="1:78" x14ac:dyDescent="0.35">
      <c r="A73" s="7" t="s">
        <v>42</v>
      </c>
      <c r="B73" s="7"/>
      <c r="C73" s="7" t="s">
        <v>219</v>
      </c>
      <c r="D73" s="7" t="s">
        <v>213</v>
      </c>
      <c r="E73" s="7" t="s">
        <v>220</v>
      </c>
      <c r="F73" s="7" t="s">
        <v>185</v>
      </c>
      <c r="G73" s="7" t="s">
        <v>47</v>
      </c>
      <c r="H73" s="7"/>
      <c r="I73" s="7"/>
      <c r="J73" s="7" t="s">
        <v>48</v>
      </c>
      <c r="K73" s="7" t="s">
        <v>49</v>
      </c>
      <c r="L73" s="7" t="s">
        <v>49</v>
      </c>
      <c r="M73" s="7" t="s">
        <v>49</v>
      </c>
      <c r="N73" s="7" t="s">
        <v>115</v>
      </c>
      <c r="O73" s="7" t="s">
        <v>4</v>
      </c>
      <c r="P73" s="7">
        <v>50000</v>
      </c>
      <c r="Q73" s="7">
        <v>50000</v>
      </c>
      <c r="R73" s="7">
        <v>50000</v>
      </c>
      <c r="S73" s="7">
        <v>50000</v>
      </c>
      <c r="T73" s="7">
        <v>50000</v>
      </c>
      <c r="U73" s="7">
        <v>50000</v>
      </c>
      <c r="V73" s="7">
        <v>50000</v>
      </c>
      <c r="W73" s="7">
        <v>50000</v>
      </c>
      <c r="X73" s="7">
        <v>50000</v>
      </c>
      <c r="Y73" s="7">
        <v>50000</v>
      </c>
      <c r="Z73" s="7">
        <v>50000</v>
      </c>
      <c r="AA73" s="7">
        <v>50000</v>
      </c>
      <c r="AB73" s="9">
        <v>3.1648373906548999</v>
      </c>
      <c r="AC73" s="9">
        <v>3.1648373906548999</v>
      </c>
      <c r="AD73" s="9">
        <v>3.1648373906548999</v>
      </c>
      <c r="AE73" s="9">
        <v>3.1648373906548999</v>
      </c>
      <c r="AF73" s="9">
        <v>3.1648373906548999</v>
      </c>
      <c r="AG73" s="9">
        <v>3.1648373906548999</v>
      </c>
      <c r="AH73" s="9">
        <v>3.1648373906548999</v>
      </c>
      <c r="AI73" s="9">
        <v>3.1648373906548999</v>
      </c>
      <c r="AJ73" s="9">
        <v>3.1648373906548999</v>
      </c>
      <c r="AK73" s="9">
        <v>3.1648373906548999</v>
      </c>
      <c r="AL73" s="9">
        <v>3.1648373906548999</v>
      </c>
      <c r="AM73" s="9">
        <v>3.1648373906548999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3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7">
        <f t="shared" si="4"/>
        <v>3</v>
      </c>
      <c r="BA73" s="11">
        <f t="shared" si="5"/>
        <v>0.25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9.4945121719645993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f t="shared" si="6"/>
        <v>9.4945121719645993</v>
      </c>
      <c r="BP73" s="12">
        <f t="shared" si="7"/>
        <v>0.79120934766371664</v>
      </c>
      <c r="BQ73" s="7"/>
      <c r="BR73" s="7"/>
      <c r="BS73" s="7" t="s">
        <v>116</v>
      </c>
      <c r="BT73" s="7" t="s">
        <v>52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/>
    </row>
    <row r="74" spans="1:78" x14ac:dyDescent="0.35">
      <c r="A74" s="7" t="s">
        <v>42</v>
      </c>
      <c r="B74" s="7"/>
      <c r="C74" s="7" t="s">
        <v>221</v>
      </c>
      <c r="D74" s="7" t="s">
        <v>213</v>
      </c>
      <c r="E74" s="7" t="s">
        <v>222</v>
      </c>
      <c r="F74" s="7" t="s">
        <v>176</v>
      </c>
      <c r="G74" s="7" t="s">
        <v>47</v>
      </c>
      <c r="H74" s="7"/>
      <c r="I74" s="7"/>
      <c r="J74" s="7" t="s">
        <v>48</v>
      </c>
      <c r="K74" s="7" t="s">
        <v>49</v>
      </c>
      <c r="L74" s="7" t="s">
        <v>49</v>
      </c>
      <c r="M74" s="7" t="s">
        <v>49</v>
      </c>
      <c r="N74" s="7" t="s">
        <v>115</v>
      </c>
      <c r="O74" s="7" t="s">
        <v>4</v>
      </c>
      <c r="P74" s="7">
        <v>30000</v>
      </c>
      <c r="Q74" s="7">
        <v>30000</v>
      </c>
      <c r="R74" s="7">
        <v>30000</v>
      </c>
      <c r="S74" s="7">
        <v>30000</v>
      </c>
      <c r="T74" s="7">
        <v>30000</v>
      </c>
      <c r="U74" s="7">
        <v>30000</v>
      </c>
      <c r="V74" s="7">
        <v>30000</v>
      </c>
      <c r="W74" s="7">
        <v>30000</v>
      </c>
      <c r="X74" s="7">
        <v>30000</v>
      </c>
      <c r="Y74" s="7">
        <v>30000</v>
      </c>
      <c r="Z74" s="7">
        <v>30000</v>
      </c>
      <c r="AA74" s="7">
        <v>30000</v>
      </c>
      <c r="AB74" s="9">
        <v>1.8989024343929</v>
      </c>
      <c r="AC74" s="9">
        <v>1.8989024343929</v>
      </c>
      <c r="AD74" s="9">
        <v>1.8989024343929</v>
      </c>
      <c r="AE74" s="9">
        <v>1.8989024343929</v>
      </c>
      <c r="AF74" s="9">
        <v>1.8989024343929</v>
      </c>
      <c r="AG74" s="9">
        <v>1.8989024343929</v>
      </c>
      <c r="AH74" s="9">
        <v>1.8989024343929</v>
      </c>
      <c r="AI74" s="9">
        <v>1.8989024343929</v>
      </c>
      <c r="AJ74" s="9">
        <v>1.8989024343929</v>
      </c>
      <c r="AK74" s="9">
        <v>1.8989024343929</v>
      </c>
      <c r="AL74" s="9">
        <v>1.8989024343929</v>
      </c>
      <c r="AM74" s="9">
        <v>1.8989024343929</v>
      </c>
      <c r="AN74" s="10">
        <v>0</v>
      </c>
      <c r="AO74" s="10">
        <v>4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7">
        <f t="shared" si="4"/>
        <v>4</v>
      </c>
      <c r="BA74" s="11">
        <f t="shared" si="5"/>
        <v>0.33333333333333331</v>
      </c>
      <c r="BC74" s="12">
        <v>0</v>
      </c>
      <c r="BD74" s="12">
        <v>7.5956097375717002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f t="shared" si="6"/>
        <v>7.5956097375717002</v>
      </c>
      <c r="BP74" s="12">
        <f t="shared" si="7"/>
        <v>0.63296747813097498</v>
      </c>
      <c r="BQ74" s="7"/>
      <c r="BR74" s="7"/>
      <c r="BS74" s="7" t="s">
        <v>116</v>
      </c>
      <c r="BT74" s="7" t="s">
        <v>52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/>
    </row>
    <row r="75" spans="1:78" x14ac:dyDescent="0.35">
      <c r="A75" s="7" t="s">
        <v>42</v>
      </c>
      <c r="B75" s="7"/>
      <c r="C75" s="7" t="s">
        <v>221</v>
      </c>
      <c r="D75" s="7" t="s">
        <v>213</v>
      </c>
      <c r="E75" s="7" t="s">
        <v>222</v>
      </c>
      <c r="F75" s="7" t="s">
        <v>185</v>
      </c>
      <c r="G75" s="7" t="s">
        <v>47</v>
      </c>
      <c r="H75" s="7"/>
      <c r="I75" s="7"/>
      <c r="J75" s="7" t="s">
        <v>48</v>
      </c>
      <c r="K75" s="7" t="s">
        <v>49</v>
      </c>
      <c r="L75" s="7" t="s">
        <v>49</v>
      </c>
      <c r="M75" s="7" t="s">
        <v>49</v>
      </c>
      <c r="N75" s="7" t="s">
        <v>115</v>
      </c>
      <c r="O75" s="7" t="s">
        <v>4</v>
      </c>
      <c r="P75" s="7">
        <v>30000</v>
      </c>
      <c r="Q75" s="7">
        <v>30000</v>
      </c>
      <c r="R75" s="7">
        <v>30000</v>
      </c>
      <c r="S75" s="7">
        <v>30000</v>
      </c>
      <c r="T75" s="7">
        <v>30000</v>
      </c>
      <c r="U75" s="7">
        <v>30000</v>
      </c>
      <c r="V75" s="7">
        <v>30000</v>
      </c>
      <c r="W75" s="7">
        <v>30000</v>
      </c>
      <c r="X75" s="7">
        <v>30000</v>
      </c>
      <c r="Y75" s="7">
        <v>30000</v>
      </c>
      <c r="Z75" s="7">
        <v>30000</v>
      </c>
      <c r="AA75" s="7">
        <v>30000</v>
      </c>
      <c r="AB75" s="9">
        <v>1.8989024343929</v>
      </c>
      <c r="AC75" s="9">
        <v>1.8989024343929</v>
      </c>
      <c r="AD75" s="9">
        <v>1.8989024343929</v>
      </c>
      <c r="AE75" s="9">
        <v>1.8989024343929</v>
      </c>
      <c r="AF75" s="9">
        <v>1.8989024343929</v>
      </c>
      <c r="AG75" s="9">
        <v>1.8989024343929</v>
      </c>
      <c r="AH75" s="9">
        <v>1.8989024343929</v>
      </c>
      <c r="AI75" s="9">
        <v>1.8989024343929</v>
      </c>
      <c r="AJ75" s="9">
        <v>1.8989024343929</v>
      </c>
      <c r="AK75" s="9">
        <v>1.8989024343929</v>
      </c>
      <c r="AL75" s="9">
        <v>1.8989024343929</v>
      </c>
      <c r="AM75" s="9">
        <v>1.8989024343929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4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7">
        <f t="shared" si="4"/>
        <v>4</v>
      </c>
      <c r="BA75" s="11">
        <f t="shared" si="5"/>
        <v>0.33333333333333331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7.5956097375717002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f t="shared" si="6"/>
        <v>7.5956097375717002</v>
      </c>
      <c r="BP75" s="12">
        <f t="shared" si="7"/>
        <v>0.63296747813097498</v>
      </c>
      <c r="BQ75" s="7"/>
      <c r="BR75" s="7"/>
      <c r="BS75" s="7" t="s">
        <v>116</v>
      </c>
      <c r="BT75" s="7" t="s">
        <v>52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/>
    </row>
    <row r="76" spans="1:78" x14ac:dyDescent="0.35">
      <c r="A76" s="7" t="s">
        <v>42</v>
      </c>
      <c r="B76" s="7"/>
      <c r="C76" s="7" t="s">
        <v>223</v>
      </c>
      <c r="D76" s="7" t="s">
        <v>213</v>
      </c>
      <c r="E76" s="7" t="s">
        <v>224</v>
      </c>
      <c r="F76" s="7" t="s">
        <v>176</v>
      </c>
      <c r="G76" s="7" t="s">
        <v>47</v>
      </c>
      <c r="H76" s="7"/>
      <c r="I76" s="7"/>
      <c r="J76" s="7" t="s">
        <v>48</v>
      </c>
      <c r="K76" s="7" t="s">
        <v>49</v>
      </c>
      <c r="L76" s="7" t="s">
        <v>49</v>
      </c>
      <c r="M76" s="7" t="s">
        <v>49</v>
      </c>
      <c r="N76" s="7" t="s">
        <v>115</v>
      </c>
      <c r="O76" s="7" t="s">
        <v>4</v>
      </c>
      <c r="P76" s="7">
        <v>30000</v>
      </c>
      <c r="Q76" s="7">
        <v>30000</v>
      </c>
      <c r="R76" s="7">
        <v>30000</v>
      </c>
      <c r="S76" s="7">
        <v>30000</v>
      </c>
      <c r="T76" s="7">
        <v>30000</v>
      </c>
      <c r="U76" s="7">
        <v>30000</v>
      </c>
      <c r="V76" s="7">
        <v>30000</v>
      </c>
      <c r="W76" s="7">
        <v>30000</v>
      </c>
      <c r="X76" s="7">
        <v>30000</v>
      </c>
      <c r="Y76" s="7">
        <v>30000</v>
      </c>
      <c r="Z76" s="7">
        <v>30000</v>
      </c>
      <c r="AA76" s="7">
        <v>30000</v>
      </c>
      <c r="AB76" s="9">
        <v>1.8989024343929</v>
      </c>
      <c r="AC76" s="9">
        <v>1.8989024343929</v>
      </c>
      <c r="AD76" s="9">
        <v>1.8989024343929</v>
      </c>
      <c r="AE76" s="9">
        <v>1.8989024343929</v>
      </c>
      <c r="AF76" s="9">
        <v>1.8989024343929</v>
      </c>
      <c r="AG76" s="9">
        <v>1.8989024343929</v>
      </c>
      <c r="AH76" s="9">
        <v>1.8989024343929</v>
      </c>
      <c r="AI76" s="9">
        <v>1.8989024343929</v>
      </c>
      <c r="AJ76" s="9">
        <v>1.8989024343929</v>
      </c>
      <c r="AK76" s="9">
        <v>1.8989024343929</v>
      </c>
      <c r="AL76" s="9">
        <v>1.8989024343929</v>
      </c>
      <c r="AM76" s="9">
        <v>1.8989024343929</v>
      </c>
      <c r="AN76" s="10">
        <v>0</v>
      </c>
      <c r="AO76" s="10">
        <v>6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7">
        <f t="shared" si="4"/>
        <v>6</v>
      </c>
      <c r="BA76" s="11">
        <f t="shared" si="5"/>
        <v>0.5</v>
      </c>
      <c r="BC76" s="12">
        <v>0</v>
      </c>
      <c r="BD76" s="12">
        <v>11.393414606358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f t="shared" si="6"/>
        <v>11.393414606358</v>
      </c>
      <c r="BP76" s="12">
        <f t="shared" si="7"/>
        <v>0.94945121719650005</v>
      </c>
      <c r="BQ76" s="7"/>
      <c r="BR76" s="7"/>
      <c r="BS76" s="7" t="s">
        <v>116</v>
      </c>
      <c r="BT76" s="7" t="s">
        <v>52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/>
    </row>
    <row r="77" spans="1:78" x14ac:dyDescent="0.35">
      <c r="A77" s="7" t="s">
        <v>42</v>
      </c>
      <c r="B77" s="7"/>
      <c r="C77" s="7" t="s">
        <v>223</v>
      </c>
      <c r="D77" s="7" t="s">
        <v>213</v>
      </c>
      <c r="E77" s="7" t="s">
        <v>224</v>
      </c>
      <c r="F77" s="7" t="s">
        <v>185</v>
      </c>
      <c r="G77" s="7" t="s">
        <v>47</v>
      </c>
      <c r="H77" s="7"/>
      <c r="I77" s="7"/>
      <c r="J77" s="7" t="s">
        <v>48</v>
      </c>
      <c r="K77" s="7" t="s">
        <v>49</v>
      </c>
      <c r="L77" s="7" t="s">
        <v>49</v>
      </c>
      <c r="M77" s="7" t="s">
        <v>49</v>
      </c>
      <c r="N77" s="7" t="s">
        <v>115</v>
      </c>
      <c r="O77" s="7" t="s">
        <v>4</v>
      </c>
      <c r="P77" s="7">
        <v>30000</v>
      </c>
      <c r="Q77" s="7">
        <v>30000</v>
      </c>
      <c r="R77" s="7">
        <v>30000</v>
      </c>
      <c r="S77" s="7">
        <v>30000</v>
      </c>
      <c r="T77" s="7">
        <v>30000</v>
      </c>
      <c r="U77" s="7">
        <v>30000</v>
      </c>
      <c r="V77" s="7">
        <v>30000</v>
      </c>
      <c r="W77" s="7">
        <v>30000</v>
      </c>
      <c r="X77" s="7">
        <v>30000</v>
      </c>
      <c r="Y77" s="7">
        <v>30000</v>
      </c>
      <c r="Z77" s="7">
        <v>30000</v>
      </c>
      <c r="AA77" s="7">
        <v>30000</v>
      </c>
      <c r="AB77" s="9">
        <v>1.8989024343929</v>
      </c>
      <c r="AC77" s="9">
        <v>1.8989024343929</v>
      </c>
      <c r="AD77" s="9">
        <v>1.8989024343929</v>
      </c>
      <c r="AE77" s="9">
        <v>1.8989024343929</v>
      </c>
      <c r="AF77" s="9">
        <v>1.8989024343929</v>
      </c>
      <c r="AG77" s="9">
        <v>1.8989024343929</v>
      </c>
      <c r="AH77" s="9">
        <v>1.8989024343929</v>
      </c>
      <c r="AI77" s="9">
        <v>1.8989024343929</v>
      </c>
      <c r="AJ77" s="9">
        <v>1.8989024343929</v>
      </c>
      <c r="AK77" s="9">
        <v>1.8989024343929</v>
      </c>
      <c r="AL77" s="9">
        <v>1.8989024343929</v>
      </c>
      <c r="AM77" s="9">
        <v>1.8989024343929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6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7">
        <f t="shared" ref="AZ77:AZ108" si="8">SUM(AN77:AY77)</f>
        <v>6</v>
      </c>
      <c r="BA77" s="11">
        <f t="shared" ref="BA77:BA108" si="9">AZ77/12</f>
        <v>0.5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11.393414606358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f t="shared" ref="BO77:BO108" si="10">SUM(BC77:BN77)</f>
        <v>11.393414606358</v>
      </c>
      <c r="BP77" s="12">
        <f t="shared" ref="BP77:BP108" si="11">BO77/12</f>
        <v>0.94945121719650005</v>
      </c>
      <c r="BQ77" s="7"/>
      <c r="BR77" s="7"/>
      <c r="BS77" s="7" t="s">
        <v>116</v>
      </c>
      <c r="BT77" s="7" t="s">
        <v>52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/>
    </row>
    <row r="78" spans="1:78" x14ac:dyDescent="0.35">
      <c r="A78" s="7" t="s">
        <v>42</v>
      </c>
      <c r="B78" s="7"/>
      <c r="C78" s="7" t="s">
        <v>225</v>
      </c>
      <c r="D78" s="7" t="s">
        <v>213</v>
      </c>
      <c r="E78" s="7" t="s">
        <v>226</v>
      </c>
      <c r="F78" s="7" t="s">
        <v>190</v>
      </c>
      <c r="G78" s="7" t="s">
        <v>47</v>
      </c>
      <c r="H78" s="7"/>
      <c r="I78" s="7"/>
      <c r="J78" s="7" t="s">
        <v>48</v>
      </c>
      <c r="K78" s="7" t="s">
        <v>49</v>
      </c>
      <c r="L78" s="7" t="s">
        <v>49</v>
      </c>
      <c r="M78" s="7" t="s">
        <v>49</v>
      </c>
      <c r="N78" s="7" t="s">
        <v>115</v>
      </c>
      <c r="O78" s="7" t="s">
        <v>9</v>
      </c>
      <c r="P78" s="7">
        <v>65</v>
      </c>
      <c r="Q78" s="7">
        <v>65</v>
      </c>
      <c r="R78" s="7">
        <v>65</v>
      </c>
      <c r="S78" s="7">
        <v>65</v>
      </c>
      <c r="T78" s="7">
        <v>65</v>
      </c>
      <c r="U78" s="7">
        <v>65</v>
      </c>
      <c r="V78" s="7">
        <v>65</v>
      </c>
      <c r="W78" s="7">
        <v>65</v>
      </c>
      <c r="X78" s="7">
        <v>65</v>
      </c>
      <c r="Y78" s="7">
        <v>65</v>
      </c>
      <c r="Z78" s="7">
        <v>65</v>
      </c>
      <c r="AA78" s="7">
        <v>65</v>
      </c>
      <c r="AB78" s="9">
        <v>65</v>
      </c>
      <c r="AC78" s="9">
        <v>65</v>
      </c>
      <c r="AD78" s="9">
        <v>65</v>
      </c>
      <c r="AE78" s="9">
        <v>65</v>
      </c>
      <c r="AF78" s="9">
        <v>65</v>
      </c>
      <c r="AG78" s="9">
        <v>65</v>
      </c>
      <c r="AH78" s="9">
        <v>65</v>
      </c>
      <c r="AI78" s="9">
        <v>65</v>
      </c>
      <c r="AJ78" s="9">
        <v>65</v>
      </c>
      <c r="AK78" s="9">
        <v>65</v>
      </c>
      <c r="AL78" s="9">
        <v>65</v>
      </c>
      <c r="AM78" s="9">
        <v>65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3</v>
      </c>
      <c r="AX78" s="10">
        <v>0</v>
      </c>
      <c r="AY78" s="10">
        <v>0</v>
      </c>
      <c r="AZ78" s="7">
        <f t="shared" si="8"/>
        <v>3</v>
      </c>
      <c r="BA78" s="11">
        <f t="shared" si="9"/>
        <v>0.25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195</v>
      </c>
      <c r="BM78" s="12">
        <v>0</v>
      </c>
      <c r="BN78" s="12">
        <v>0</v>
      </c>
      <c r="BO78" s="12">
        <f t="shared" si="10"/>
        <v>195</v>
      </c>
      <c r="BP78" s="12">
        <f t="shared" si="11"/>
        <v>16.25</v>
      </c>
      <c r="BQ78" s="7"/>
      <c r="BR78" s="7"/>
      <c r="BS78" s="7" t="s">
        <v>116</v>
      </c>
      <c r="BT78" s="7" t="s">
        <v>52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/>
    </row>
    <row r="79" spans="1:78" x14ac:dyDescent="0.35">
      <c r="A79" s="7" t="s">
        <v>42</v>
      </c>
      <c r="B79" s="7"/>
      <c r="C79" s="7" t="s">
        <v>111</v>
      </c>
      <c r="D79" s="7" t="s">
        <v>112</v>
      </c>
      <c r="E79" s="7" t="s">
        <v>113</v>
      </c>
      <c r="F79" s="7" t="s">
        <v>227</v>
      </c>
      <c r="G79" s="7" t="s">
        <v>47</v>
      </c>
      <c r="H79" s="7"/>
      <c r="I79" s="7"/>
      <c r="J79" s="7" t="s">
        <v>228</v>
      </c>
      <c r="K79" s="7" t="s">
        <v>49</v>
      </c>
      <c r="L79" s="7" t="s">
        <v>49</v>
      </c>
      <c r="M79" s="7" t="s">
        <v>49</v>
      </c>
      <c r="N79" s="7" t="s">
        <v>115</v>
      </c>
      <c r="O79" s="7" t="s">
        <v>4</v>
      </c>
      <c r="P79" s="7">
        <v>50000</v>
      </c>
      <c r="Q79" s="7">
        <v>50000</v>
      </c>
      <c r="R79" s="7">
        <v>50000</v>
      </c>
      <c r="S79" s="7">
        <v>50000</v>
      </c>
      <c r="T79" s="7">
        <v>50000</v>
      </c>
      <c r="U79" s="7">
        <v>50000</v>
      </c>
      <c r="V79" s="7">
        <v>50000</v>
      </c>
      <c r="W79" s="7">
        <v>50000</v>
      </c>
      <c r="X79" s="7">
        <v>50000</v>
      </c>
      <c r="Y79" s="7">
        <v>50000</v>
      </c>
      <c r="Z79" s="7">
        <v>50000</v>
      </c>
      <c r="AA79" s="7">
        <v>50000</v>
      </c>
      <c r="AB79" s="9">
        <v>3.1648373906548999</v>
      </c>
      <c r="AC79" s="9">
        <v>3.1648373906548999</v>
      </c>
      <c r="AD79" s="9">
        <v>3.1648373906548999</v>
      </c>
      <c r="AE79" s="9">
        <v>3.1648373906548999</v>
      </c>
      <c r="AF79" s="9">
        <v>3.1648373906548999</v>
      </c>
      <c r="AG79" s="9">
        <v>3.1648373906548999</v>
      </c>
      <c r="AH79" s="9">
        <v>3.1648373906548999</v>
      </c>
      <c r="AI79" s="9">
        <v>3.1648373906548999</v>
      </c>
      <c r="AJ79" s="9">
        <v>3.1648373906548999</v>
      </c>
      <c r="AK79" s="9">
        <v>3.1648373906548999</v>
      </c>
      <c r="AL79" s="9">
        <v>3.1648373906548999</v>
      </c>
      <c r="AM79" s="9">
        <v>3.1648373906548999</v>
      </c>
      <c r="AN79" s="10">
        <v>0</v>
      </c>
      <c r="AO79" s="10">
        <v>0</v>
      </c>
      <c r="AP79" s="10">
        <v>0</v>
      </c>
      <c r="AQ79" s="10">
        <v>0</v>
      </c>
      <c r="AR79" s="10">
        <v>32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7">
        <f t="shared" si="8"/>
        <v>32</v>
      </c>
      <c r="BA79" s="11">
        <f t="shared" si="9"/>
        <v>2.6666666666666665</v>
      </c>
      <c r="BC79" s="12">
        <v>0</v>
      </c>
      <c r="BD79" s="12">
        <v>0</v>
      </c>
      <c r="BE79" s="12">
        <v>0</v>
      </c>
      <c r="BF79" s="12">
        <v>0</v>
      </c>
      <c r="BG79" s="12">
        <v>101.27479650095999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f t="shared" si="10"/>
        <v>101.27479650095999</v>
      </c>
      <c r="BP79" s="12">
        <f t="shared" si="11"/>
        <v>8.4395663750800001</v>
      </c>
      <c r="BQ79" s="7"/>
      <c r="BR79" s="7"/>
      <c r="BS79" s="7" t="s">
        <v>116</v>
      </c>
      <c r="BT79" s="7" t="s">
        <v>52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/>
    </row>
    <row r="80" spans="1:78" x14ac:dyDescent="0.35">
      <c r="A80" s="7" t="s">
        <v>42</v>
      </c>
      <c r="B80" s="7"/>
      <c r="C80" s="7" t="s">
        <v>111</v>
      </c>
      <c r="D80" s="7" t="s">
        <v>112</v>
      </c>
      <c r="E80" s="7" t="s">
        <v>113</v>
      </c>
      <c r="F80" s="7" t="s">
        <v>229</v>
      </c>
      <c r="G80" s="7" t="s">
        <v>47</v>
      </c>
      <c r="H80" s="7"/>
      <c r="I80" s="7"/>
      <c r="J80" s="7" t="s">
        <v>228</v>
      </c>
      <c r="K80" s="7" t="s">
        <v>49</v>
      </c>
      <c r="L80" s="7" t="s">
        <v>49</v>
      </c>
      <c r="M80" s="7" t="s">
        <v>49</v>
      </c>
      <c r="N80" s="7" t="s">
        <v>115</v>
      </c>
      <c r="O80" s="7" t="s">
        <v>4</v>
      </c>
      <c r="P80" s="7">
        <v>50000</v>
      </c>
      <c r="Q80" s="7">
        <v>50000</v>
      </c>
      <c r="R80" s="7">
        <v>50000</v>
      </c>
      <c r="S80" s="7">
        <v>50000</v>
      </c>
      <c r="T80" s="7">
        <v>50000</v>
      </c>
      <c r="U80" s="7">
        <v>50000</v>
      </c>
      <c r="V80" s="7">
        <v>50000</v>
      </c>
      <c r="W80" s="7">
        <v>50000</v>
      </c>
      <c r="X80" s="7">
        <v>50000</v>
      </c>
      <c r="Y80" s="7">
        <v>50000</v>
      </c>
      <c r="Z80" s="7">
        <v>50000</v>
      </c>
      <c r="AA80" s="7">
        <v>50000</v>
      </c>
      <c r="AB80" s="9">
        <v>3.1648373906548999</v>
      </c>
      <c r="AC80" s="9">
        <v>3.1648373906548999</v>
      </c>
      <c r="AD80" s="9">
        <v>3.1648373906548999</v>
      </c>
      <c r="AE80" s="9">
        <v>3.1648373906548999</v>
      </c>
      <c r="AF80" s="9">
        <v>3.1648373906548999</v>
      </c>
      <c r="AG80" s="9">
        <v>3.1648373906548999</v>
      </c>
      <c r="AH80" s="9">
        <v>3.1648373906548999</v>
      </c>
      <c r="AI80" s="9">
        <v>3.1648373906548999</v>
      </c>
      <c r="AJ80" s="9">
        <v>3.1648373906548999</v>
      </c>
      <c r="AK80" s="9">
        <v>3.1648373906548999</v>
      </c>
      <c r="AL80" s="9">
        <v>3.1648373906548999</v>
      </c>
      <c r="AM80" s="9">
        <v>3.1648373906548999</v>
      </c>
      <c r="AN80" s="10">
        <v>0</v>
      </c>
      <c r="AO80" s="10">
        <v>0</v>
      </c>
      <c r="AP80" s="10">
        <v>14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7">
        <f t="shared" si="8"/>
        <v>14</v>
      </c>
      <c r="BA80" s="11">
        <f t="shared" si="9"/>
        <v>1.1666666666666667</v>
      </c>
      <c r="BC80" s="12">
        <v>0</v>
      </c>
      <c r="BD80" s="12">
        <v>0</v>
      </c>
      <c r="BE80" s="12">
        <v>44.307723469168003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f t="shared" si="10"/>
        <v>44.307723469168003</v>
      </c>
      <c r="BP80" s="12">
        <f t="shared" si="11"/>
        <v>3.6923102890973336</v>
      </c>
      <c r="BQ80" s="7"/>
      <c r="BR80" s="7"/>
      <c r="BS80" s="7" t="s">
        <v>116</v>
      </c>
      <c r="BT80" s="7" t="s">
        <v>52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/>
    </row>
    <row r="81" spans="1:78" x14ac:dyDescent="0.35">
      <c r="A81" s="7" t="s">
        <v>42</v>
      </c>
      <c r="B81" s="7"/>
      <c r="C81" s="7" t="s">
        <v>111</v>
      </c>
      <c r="D81" s="7" t="s">
        <v>112</v>
      </c>
      <c r="E81" s="7" t="s">
        <v>113</v>
      </c>
      <c r="F81" s="7" t="s">
        <v>230</v>
      </c>
      <c r="G81" s="7" t="s">
        <v>47</v>
      </c>
      <c r="H81" s="7"/>
      <c r="I81" s="7"/>
      <c r="J81" s="7" t="s">
        <v>228</v>
      </c>
      <c r="K81" s="7" t="s">
        <v>49</v>
      </c>
      <c r="L81" s="7" t="s">
        <v>49</v>
      </c>
      <c r="M81" s="7" t="s">
        <v>49</v>
      </c>
      <c r="N81" s="7" t="s">
        <v>115</v>
      </c>
      <c r="O81" s="7" t="s">
        <v>4</v>
      </c>
      <c r="P81" s="7">
        <v>50000</v>
      </c>
      <c r="Q81" s="7">
        <v>50000</v>
      </c>
      <c r="R81" s="7">
        <v>50000</v>
      </c>
      <c r="S81" s="7">
        <v>50000</v>
      </c>
      <c r="T81" s="7">
        <v>50000</v>
      </c>
      <c r="U81" s="7">
        <v>50000</v>
      </c>
      <c r="V81" s="7">
        <v>50000</v>
      </c>
      <c r="W81" s="7">
        <v>50000</v>
      </c>
      <c r="X81" s="7">
        <v>50000</v>
      </c>
      <c r="Y81" s="7">
        <v>50000</v>
      </c>
      <c r="Z81" s="7">
        <v>50000</v>
      </c>
      <c r="AA81" s="7">
        <v>50000</v>
      </c>
      <c r="AB81" s="9">
        <v>3.1648373906548999</v>
      </c>
      <c r="AC81" s="9">
        <v>3.1648373906548999</v>
      </c>
      <c r="AD81" s="9">
        <v>3.1648373906548999</v>
      </c>
      <c r="AE81" s="9">
        <v>3.1648373906548999</v>
      </c>
      <c r="AF81" s="9">
        <v>3.1648373906548999</v>
      </c>
      <c r="AG81" s="9">
        <v>3.1648373906548999</v>
      </c>
      <c r="AH81" s="9">
        <v>3.1648373906548999</v>
      </c>
      <c r="AI81" s="9">
        <v>3.1648373906548999</v>
      </c>
      <c r="AJ81" s="9">
        <v>3.1648373906548999</v>
      </c>
      <c r="AK81" s="9">
        <v>3.1648373906548999</v>
      </c>
      <c r="AL81" s="9">
        <v>3.1648373906548999</v>
      </c>
      <c r="AM81" s="9">
        <v>3.1648373906548999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18</v>
      </c>
      <c r="AZ81" s="7">
        <f t="shared" si="8"/>
        <v>18</v>
      </c>
      <c r="BA81" s="11">
        <f t="shared" si="9"/>
        <v>1.5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56.967073031787997</v>
      </c>
      <c r="BO81" s="12">
        <f t="shared" si="10"/>
        <v>56.967073031787997</v>
      </c>
      <c r="BP81" s="12">
        <f t="shared" si="11"/>
        <v>4.7472560859823334</v>
      </c>
      <c r="BQ81" s="7"/>
      <c r="BR81" s="7"/>
      <c r="BS81" s="7" t="s">
        <v>116</v>
      </c>
      <c r="BT81" s="7" t="s">
        <v>52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/>
    </row>
    <row r="82" spans="1:78" x14ac:dyDescent="0.35">
      <c r="A82" s="7" t="s">
        <v>42</v>
      </c>
      <c r="B82" s="7"/>
      <c r="C82" s="7" t="s">
        <v>111</v>
      </c>
      <c r="D82" s="7" t="s">
        <v>112</v>
      </c>
      <c r="E82" s="7" t="s">
        <v>113</v>
      </c>
      <c r="F82" s="7" t="s">
        <v>231</v>
      </c>
      <c r="G82" s="7" t="s">
        <v>47</v>
      </c>
      <c r="H82" s="7"/>
      <c r="I82" s="7"/>
      <c r="J82" s="7" t="s">
        <v>228</v>
      </c>
      <c r="K82" s="7" t="s">
        <v>49</v>
      </c>
      <c r="L82" s="7" t="s">
        <v>49</v>
      </c>
      <c r="M82" s="7" t="s">
        <v>49</v>
      </c>
      <c r="N82" s="7" t="s">
        <v>115</v>
      </c>
      <c r="O82" s="7" t="s">
        <v>4</v>
      </c>
      <c r="P82" s="7">
        <v>50000</v>
      </c>
      <c r="Q82" s="7">
        <v>50000</v>
      </c>
      <c r="R82" s="7">
        <v>50000</v>
      </c>
      <c r="S82" s="7">
        <v>50000</v>
      </c>
      <c r="T82" s="7">
        <v>50000</v>
      </c>
      <c r="U82" s="7">
        <v>50000</v>
      </c>
      <c r="V82" s="7">
        <v>50000</v>
      </c>
      <c r="W82" s="7">
        <v>50000</v>
      </c>
      <c r="X82" s="7">
        <v>50000</v>
      </c>
      <c r="Y82" s="7">
        <v>50000</v>
      </c>
      <c r="Z82" s="7">
        <v>50000</v>
      </c>
      <c r="AA82" s="7">
        <v>50000</v>
      </c>
      <c r="AB82" s="9">
        <v>3.1648373906548999</v>
      </c>
      <c r="AC82" s="9">
        <v>3.1648373906548999</v>
      </c>
      <c r="AD82" s="9">
        <v>3.1648373906548999</v>
      </c>
      <c r="AE82" s="9">
        <v>3.1648373906548999</v>
      </c>
      <c r="AF82" s="9">
        <v>3.1648373906548999</v>
      </c>
      <c r="AG82" s="9">
        <v>3.1648373906548999</v>
      </c>
      <c r="AH82" s="9">
        <v>3.1648373906548999</v>
      </c>
      <c r="AI82" s="9">
        <v>3.1648373906548999</v>
      </c>
      <c r="AJ82" s="9">
        <v>3.1648373906548999</v>
      </c>
      <c r="AK82" s="9">
        <v>3.1648373906548999</v>
      </c>
      <c r="AL82" s="9">
        <v>3.1648373906548999</v>
      </c>
      <c r="AM82" s="9">
        <v>3.1648373906548999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60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7">
        <f t="shared" si="8"/>
        <v>60</v>
      </c>
      <c r="BA82" s="11">
        <f t="shared" si="9"/>
        <v>5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189.89024343929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f t="shared" si="10"/>
        <v>189.89024343929</v>
      </c>
      <c r="BP82" s="12">
        <f t="shared" si="11"/>
        <v>15.824186953274166</v>
      </c>
      <c r="BQ82" s="7"/>
      <c r="BR82" s="7"/>
      <c r="BS82" s="7" t="s">
        <v>116</v>
      </c>
      <c r="BT82" s="7" t="s">
        <v>52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/>
    </row>
    <row r="83" spans="1:78" x14ac:dyDescent="0.35">
      <c r="A83" s="7" t="s">
        <v>42</v>
      </c>
      <c r="B83" s="7"/>
      <c r="C83" s="7" t="s">
        <v>117</v>
      </c>
      <c r="D83" s="7" t="s">
        <v>112</v>
      </c>
      <c r="E83" s="7" t="s">
        <v>118</v>
      </c>
      <c r="F83" s="7" t="s">
        <v>227</v>
      </c>
      <c r="G83" s="7" t="s">
        <v>47</v>
      </c>
      <c r="H83" s="7"/>
      <c r="I83" s="7"/>
      <c r="J83" s="7" t="s">
        <v>228</v>
      </c>
      <c r="K83" s="7" t="s">
        <v>49</v>
      </c>
      <c r="L83" s="7" t="s">
        <v>49</v>
      </c>
      <c r="M83" s="7" t="s">
        <v>49</v>
      </c>
      <c r="N83" s="7" t="s">
        <v>115</v>
      </c>
      <c r="O83" s="7" t="s">
        <v>4</v>
      </c>
      <c r="P83" s="7">
        <v>150000</v>
      </c>
      <c r="Q83" s="7">
        <v>150000</v>
      </c>
      <c r="R83" s="7">
        <v>150000</v>
      </c>
      <c r="S83" s="7">
        <v>150000</v>
      </c>
      <c r="T83" s="7">
        <v>150000</v>
      </c>
      <c r="U83" s="7">
        <v>150000</v>
      </c>
      <c r="V83" s="7">
        <v>150000</v>
      </c>
      <c r="W83" s="7">
        <v>150000</v>
      </c>
      <c r="X83" s="7">
        <v>150000</v>
      </c>
      <c r="Y83" s="7">
        <v>150000</v>
      </c>
      <c r="Z83" s="7">
        <v>150000</v>
      </c>
      <c r="AA83" s="7">
        <v>150000</v>
      </c>
      <c r="AB83" s="9">
        <v>9.4945121719645993</v>
      </c>
      <c r="AC83" s="9">
        <v>9.4945121719645993</v>
      </c>
      <c r="AD83" s="9">
        <v>9.4945121719645993</v>
      </c>
      <c r="AE83" s="9">
        <v>9.4945121719645993</v>
      </c>
      <c r="AF83" s="9">
        <v>9.4945121719645993</v>
      </c>
      <c r="AG83" s="9">
        <v>9.4945121719645993</v>
      </c>
      <c r="AH83" s="9">
        <v>9.4945121719645993</v>
      </c>
      <c r="AI83" s="9">
        <v>9.4945121719645993</v>
      </c>
      <c r="AJ83" s="9">
        <v>9.4945121719645993</v>
      </c>
      <c r="AK83" s="9">
        <v>9.4945121719645993</v>
      </c>
      <c r="AL83" s="9">
        <v>9.4945121719645993</v>
      </c>
      <c r="AM83" s="9">
        <v>9.4945121719645993</v>
      </c>
      <c r="AN83" s="10">
        <v>0</v>
      </c>
      <c r="AO83" s="10">
        <v>0</v>
      </c>
      <c r="AP83" s="10">
        <v>0</v>
      </c>
      <c r="AQ83" s="10">
        <v>0</v>
      </c>
      <c r="AR83" s="10">
        <v>16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7">
        <f t="shared" si="8"/>
        <v>16</v>
      </c>
      <c r="BA83" s="11">
        <f t="shared" si="9"/>
        <v>1.3333333333333333</v>
      </c>
      <c r="BC83" s="12">
        <v>0</v>
      </c>
      <c r="BD83" s="12">
        <v>0</v>
      </c>
      <c r="BE83" s="12">
        <v>0</v>
      </c>
      <c r="BF83" s="12">
        <v>0</v>
      </c>
      <c r="BG83" s="12">
        <v>151.91219475143001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f t="shared" si="10"/>
        <v>151.91219475143001</v>
      </c>
      <c r="BP83" s="12">
        <f t="shared" si="11"/>
        <v>12.659349562619168</v>
      </c>
      <c r="BQ83" s="7"/>
      <c r="BR83" s="7"/>
      <c r="BS83" s="7" t="s">
        <v>116</v>
      </c>
      <c r="BT83" s="7" t="s">
        <v>52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/>
    </row>
    <row r="84" spans="1:78" x14ac:dyDescent="0.35">
      <c r="A84" s="7" t="s">
        <v>42</v>
      </c>
      <c r="B84" s="7"/>
      <c r="C84" s="7" t="s">
        <v>117</v>
      </c>
      <c r="D84" s="7" t="s">
        <v>112</v>
      </c>
      <c r="E84" s="7" t="s">
        <v>118</v>
      </c>
      <c r="F84" s="7" t="s">
        <v>229</v>
      </c>
      <c r="G84" s="7" t="s">
        <v>47</v>
      </c>
      <c r="H84" s="7"/>
      <c r="I84" s="7"/>
      <c r="J84" s="7" t="s">
        <v>228</v>
      </c>
      <c r="K84" s="7" t="s">
        <v>49</v>
      </c>
      <c r="L84" s="7" t="s">
        <v>49</v>
      </c>
      <c r="M84" s="7" t="s">
        <v>49</v>
      </c>
      <c r="N84" s="7" t="s">
        <v>115</v>
      </c>
      <c r="O84" s="7" t="s">
        <v>4</v>
      </c>
      <c r="P84" s="7">
        <v>150000</v>
      </c>
      <c r="Q84" s="7">
        <v>150000</v>
      </c>
      <c r="R84" s="7">
        <v>150000</v>
      </c>
      <c r="S84" s="7">
        <v>150000</v>
      </c>
      <c r="T84" s="7">
        <v>150000</v>
      </c>
      <c r="U84" s="7">
        <v>150000</v>
      </c>
      <c r="V84" s="7">
        <v>150000</v>
      </c>
      <c r="W84" s="7">
        <v>150000</v>
      </c>
      <c r="X84" s="7">
        <v>150000</v>
      </c>
      <c r="Y84" s="7">
        <v>150000</v>
      </c>
      <c r="Z84" s="7">
        <v>150000</v>
      </c>
      <c r="AA84" s="7">
        <v>150000</v>
      </c>
      <c r="AB84" s="9">
        <v>9.4945121719645993</v>
      </c>
      <c r="AC84" s="9">
        <v>9.4945121719645993</v>
      </c>
      <c r="AD84" s="9">
        <v>9.4945121719645993</v>
      </c>
      <c r="AE84" s="9">
        <v>9.4945121719645993</v>
      </c>
      <c r="AF84" s="9">
        <v>9.4945121719645993</v>
      </c>
      <c r="AG84" s="9">
        <v>9.4945121719645993</v>
      </c>
      <c r="AH84" s="9">
        <v>9.4945121719645993</v>
      </c>
      <c r="AI84" s="9">
        <v>9.4945121719645993</v>
      </c>
      <c r="AJ84" s="9">
        <v>9.4945121719645993</v>
      </c>
      <c r="AK84" s="9">
        <v>9.4945121719645993</v>
      </c>
      <c r="AL84" s="9">
        <v>9.4945121719645993</v>
      </c>
      <c r="AM84" s="9">
        <v>9.4945121719645993</v>
      </c>
      <c r="AN84" s="10">
        <v>0</v>
      </c>
      <c r="AO84" s="10">
        <v>0</v>
      </c>
      <c r="AP84" s="10">
        <v>7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7">
        <f t="shared" si="8"/>
        <v>7</v>
      </c>
      <c r="BA84" s="11">
        <f t="shared" si="9"/>
        <v>0.58333333333333337</v>
      </c>
      <c r="BC84" s="12">
        <v>0</v>
      </c>
      <c r="BD84" s="12">
        <v>0</v>
      </c>
      <c r="BE84" s="12">
        <v>66.461585203751994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f t="shared" si="10"/>
        <v>66.461585203751994</v>
      </c>
      <c r="BP84" s="12">
        <f t="shared" si="11"/>
        <v>5.5384654336459995</v>
      </c>
      <c r="BQ84" s="7"/>
      <c r="BR84" s="7"/>
      <c r="BS84" s="7" t="s">
        <v>116</v>
      </c>
      <c r="BT84" s="7" t="s">
        <v>52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/>
    </row>
    <row r="85" spans="1:78" x14ac:dyDescent="0.35">
      <c r="A85" s="7" t="s">
        <v>42</v>
      </c>
      <c r="B85" s="7"/>
      <c r="C85" s="7" t="s">
        <v>117</v>
      </c>
      <c r="D85" s="7" t="s">
        <v>112</v>
      </c>
      <c r="E85" s="7" t="s">
        <v>118</v>
      </c>
      <c r="F85" s="7" t="s">
        <v>230</v>
      </c>
      <c r="G85" s="7" t="s">
        <v>47</v>
      </c>
      <c r="H85" s="7"/>
      <c r="I85" s="7"/>
      <c r="J85" s="7" t="s">
        <v>228</v>
      </c>
      <c r="K85" s="7" t="s">
        <v>49</v>
      </c>
      <c r="L85" s="7" t="s">
        <v>49</v>
      </c>
      <c r="M85" s="7" t="s">
        <v>49</v>
      </c>
      <c r="N85" s="7" t="s">
        <v>115</v>
      </c>
      <c r="O85" s="7" t="s">
        <v>4</v>
      </c>
      <c r="P85" s="7">
        <v>150000</v>
      </c>
      <c r="Q85" s="7">
        <v>150000</v>
      </c>
      <c r="R85" s="7">
        <v>150000</v>
      </c>
      <c r="S85" s="7">
        <v>150000</v>
      </c>
      <c r="T85" s="7">
        <v>150000</v>
      </c>
      <c r="U85" s="7">
        <v>150000</v>
      </c>
      <c r="V85" s="7">
        <v>150000</v>
      </c>
      <c r="W85" s="7">
        <v>150000</v>
      </c>
      <c r="X85" s="7">
        <v>150000</v>
      </c>
      <c r="Y85" s="7">
        <v>150000</v>
      </c>
      <c r="Z85" s="7">
        <v>150000</v>
      </c>
      <c r="AA85" s="7">
        <v>150000</v>
      </c>
      <c r="AB85" s="9">
        <v>9.4945121719645993</v>
      </c>
      <c r="AC85" s="9">
        <v>9.4945121719645993</v>
      </c>
      <c r="AD85" s="9">
        <v>9.4945121719645993</v>
      </c>
      <c r="AE85" s="9">
        <v>9.4945121719645993</v>
      </c>
      <c r="AF85" s="9">
        <v>9.4945121719645993</v>
      </c>
      <c r="AG85" s="9">
        <v>9.4945121719645993</v>
      </c>
      <c r="AH85" s="9">
        <v>9.4945121719645993</v>
      </c>
      <c r="AI85" s="9">
        <v>9.4945121719645993</v>
      </c>
      <c r="AJ85" s="9">
        <v>9.4945121719645993</v>
      </c>
      <c r="AK85" s="9">
        <v>9.4945121719645993</v>
      </c>
      <c r="AL85" s="9">
        <v>9.4945121719645993</v>
      </c>
      <c r="AM85" s="9">
        <v>9.4945121719645993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18</v>
      </c>
      <c r="AZ85" s="7">
        <f t="shared" si="8"/>
        <v>18</v>
      </c>
      <c r="BA85" s="11">
        <f t="shared" si="9"/>
        <v>1.5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170.90121909536001</v>
      </c>
      <c r="BO85" s="12">
        <f t="shared" si="10"/>
        <v>170.90121909536001</v>
      </c>
      <c r="BP85" s="12">
        <f t="shared" si="11"/>
        <v>14.241768257946667</v>
      </c>
      <c r="BQ85" s="7"/>
      <c r="BR85" s="7"/>
      <c r="BS85" s="7" t="s">
        <v>116</v>
      </c>
      <c r="BT85" s="7" t="s">
        <v>52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/>
    </row>
    <row r="86" spans="1:78" x14ac:dyDescent="0.35">
      <c r="A86" s="7" t="s">
        <v>42</v>
      </c>
      <c r="B86" s="7"/>
      <c r="C86" s="7" t="s">
        <v>117</v>
      </c>
      <c r="D86" s="7" t="s">
        <v>112</v>
      </c>
      <c r="E86" s="7" t="s">
        <v>118</v>
      </c>
      <c r="F86" s="7" t="s">
        <v>231</v>
      </c>
      <c r="G86" s="7" t="s">
        <v>47</v>
      </c>
      <c r="H86" s="7"/>
      <c r="I86" s="7"/>
      <c r="J86" s="7" t="s">
        <v>228</v>
      </c>
      <c r="K86" s="7" t="s">
        <v>49</v>
      </c>
      <c r="L86" s="7" t="s">
        <v>49</v>
      </c>
      <c r="M86" s="7" t="s">
        <v>49</v>
      </c>
      <c r="N86" s="7" t="s">
        <v>115</v>
      </c>
      <c r="O86" s="7" t="s">
        <v>4</v>
      </c>
      <c r="P86" s="7">
        <v>150000</v>
      </c>
      <c r="Q86" s="7">
        <v>150000</v>
      </c>
      <c r="R86" s="7">
        <v>150000</v>
      </c>
      <c r="S86" s="7">
        <v>150000</v>
      </c>
      <c r="T86" s="7">
        <v>150000</v>
      </c>
      <c r="U86" s="7">
        <v>150000</v>
      </c>
      <c r="V86" s="7">
        <v>150000</v>
      </c>
      <c r="W86" s="7">
        <v>150000</v>
      </c>
      <c r="X86" s="7">
        <v>150000</v>
      </c>
      <c r="Y86" s="7">
        <v>150000</v>
      </c>
      <c r="Z86" s="7">
        <v>150000</v>
      </c>
      <c r="AA86" s="7">
        <v>150000</v>
      </c>
      <c r="AB86" s="9">
        <v>9.4945121719645993</v>
      </c>
      <c r="AC86" s="9">
        <v>9.4945121719645993</v>
      </c>
      <c r="AD86" s="9">
        <v>9.4945121719645993</v>
      </c>
      <c r="AE86" s="9">
        <v>9.4945121719645993</v>
      </c>
      <c r="AF86" s="9">
        <v>9.4945121719645993</v>
      </c>
      <c r="AG86" s="9">
        <v>9.4945121719645993</v>
      </c>
      <c r="AH86" s="9">
        <v>9.4945121719645993</v>
      </c>
      <c r="AI86" s="9">
        <v>9.4945121719645993</v>
      </c>
      <c r="AJ86" s="9">
        <v>9.4945121719645993</v>
      </c>
      <c r="AK86" s="9">
        <v>9.4945121719645993</v>
      </c>
      <c r="AL86" s="9">
        <v>9.4945121719645993</v>
      </c>
      <c r="AM86" s="9">
        <v>9.4945121719645993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20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7">
        <f t="shared" si="8"/>
        <v>20</v>
      </c>
      <c r="BA86" s="11">
        <f t="shared" si="9"/>
        <v>1.6666666666666667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189.89024343929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f t="shared" si="10"/>
        <v>189.89024343929</v>
      </c>
      <c r="BP86" s="12">
        <f t="shared" si="11"/>
        <v>15.824186953274166</v>
      </c>
      <c r="BQ86" s="7"/>
      <c r="BR86" s="7"/>
      <c r="BS86" s="7" t="s">
        <v>116</v>
      </c>
      <c r="BT86" s="7" t="s">
        <v>52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/>
    </row>
    <row r="87" spans="1:78" x14ac:dyDescent="0.35">
      <c r="A87" s="7" t="s">
        <v>42</v>
      </c>
      <c r="B87" s="7"/>
      <c r="C87" s="7" t="s">
        <v>232</v>
      </c>
      <c r="D87" s="7" t="s">
        <v>233</v>
      </c>
      <c r="E87" s="7" t="s">
        <v>234</v>
      </c>
      <c r="F87" s="7" t="s">
        <v>235</v>
      </c>
      <c r="G87" s="7" t="s">
        <v>47</v>
      </c>
      <c r="H87" s="7"/>
      <c r="I87" s="7"/>
      <c r="J87" s="7" t="s">
        <v>228</v>
      </c>
      <c r="K87" s="7" t="s">
        <v>49</v>
      </c>
      <c r="L87" s="7" t="s">
        <v>49</v>
      </c>
      <c r="M87" s="7" t="s">
        <v>49</v>
      </c>
      <c r="N87" s="7" t="s">
        <v>115</v>
      </c>
      <c r="O87" s="7" t="s">
        <v>4</v>
      </c>
      <c r="P87" s="7">
        <v>3000000</v>
      </c>
      <c r="Q87" s="7">
        <v>3000000</v>
      </c>
      <c r="R87" s="7">
        <v>3000000</v>
      </c>
      <c r="S87" s="7">
        <v>3000000</v>
      </c>
      <c r="T87" s="7">
        <v>3000000</v>
      </c>
      <c r="U87" s="7">
        <v>3000000</v>
      </c>
      <c r="V87" s="7">
        <v>3000000</v>
      </c>
      <c r="W87" s="7">
        <v>3000000</v>
      </c>
      <c r="X87" s="7">
        <v>3000000</v>
      </c>
      <c r="Y87" s="7">
        <v>3000000</v>
      </c>
      <c r="Z87" s="7">
        <v>3000000</v>
      </c>
      <c r="AA87" s="7">
        <v>3000000</v>
      </c>
      <c r="AB87" s="9">
        <v>189.89024343929</v>
      </c>
      <c r="AC87" s="9">
        <v>189.89024343929</v>
      </c>
      <c r="AD87" s="9">
        <v>189.89024343929</v>
      </c>
      <c r="AE87" s="9">
        <v>189.89024343929</v>
      </c>
      <c r="AF87" s="9">
        <v>189.89024343929</v>
      </c>
      <c r="AG87" s="9">
        <v>189.89024343929</v>
      </c>
      <c r="AH87" s="9">
        <v>189.89024343929</v>
      </c>
      <c r="AI87" s="9">
        <v>189.89024343929</v>
      </c>
      <c r="AJ87" s="9">
        <v>189.89024343929</v>
      </c>
      <c r="AK87" s="9">
        <v>189.89024343929</v>
      </c>
      <c r="AL87" s="9">
        <v>189.89024343929</v>
      </c>
      <c r="AM87" s="9">
        <v>189.89024343929</v>
      </c>
      <c r="AN87" s="10">
        <v>0</v>
      </c>
      <c r="AO87" s="10">
        <v>0</v>
      </c>
      <c r="AP87" s="10">
        <v>0</v>
      </c>
      <c r="AQ87" s="10">
        <v>0</v>
      </c>
      <c r="AR87" s="10">
        <v>2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7">
        <f t="shared" si="8"/>
        <v>2</v>
      </c>
      <c r="BA87" s="11">
        <f t="shared" si="9"/>
        <v>0.16666666666666666</v>
      </c>
      <c r="BC87" s="12">
        <v>0</v>
      </c>
      <c r="BD87" s="12">
        <v>0</v>
      </c>
      <c r="BE87" s="12">
        <v>0</v>
      </c>
      <c r="BF87" s="12">
        <v>0</v>
      </c>
      <c r="BG87" s="12">
        <v>379.78048687858001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f t="shared" si="10"/>
        <v>379.78048687858001</v>
      </c>
      <c r="BP87" s="12">
        <f t="shared" si="11"/>
        <v>31.648373906548333</v>
      </c>
      <c r="BQ87" s="7"/>
      <c r="BR87" s="7"/>
      <c r="BS87" s="7" t="s">
        <v>124</v>
      </c>
      <c r="BT87" s="7" t="s">
        <v>52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/>
    </row>
    <row r="88" spans="1:78" x14ac:dyDescent="0.35">
      <c r="A88" s="7" t="s">
        <v>42</v>
      </c>
      <c r="B88" s="7"/>
      <c r="C88" s="7" t="s">
        <v>236</v>
      </c>
      <c r="D88" s="7" t="s">
        <v>233</v>
      </c>
      <c r="E88" s="7" t="s">
        <v>237</v>
      </c>
      <c r="F88" s="7" t="s">
        <v>238</v>
      </c>
      <c r="G88" s="7" t="s">
        <v>47</v>
      </c>
      <c r="H88" s="7"/>
      <c r="I88" s="7"/>
      <c r="J88" s="7" t="s">
        <v>228</v>
      </c>
      <c r="K88" s="7" t="s">
        <v>49</v>
      </c>
      <c r="L88" s="7" t="s">
        <v>49</v>
      </c>
      <c r="M88" s="7" t="s">
        <v>49</v>
      </c>
      <c r="N88" s="7" t="s">
        <v>115</v>
      </c>
      <c r="O88" s="7" t="s">
        <v>4</v>
      </c>
      <c r="P88" s="7">
        <v>7500000</v>
      </c>
      <c r="Q88" s="7">
        <v>7500000</v>
      </c>
      <c r="R88" s="7">
        <v>7500000</v>
      </c>
      <c r="S88" s="7">
        <v>7500000</v>
      </c>
      <c r="T88" s="7">
        <v>7500000</v>
      </c>
      <c r="U88" s="7">
        <v>7500000</v>
      </c>
      <c r="V88" s="7">
        <v>7500000</v>
      </c>
      <c r="W88" s="7">
        <v>7500000</v>
      </c>
      <c r="X88" s="7">
        <v>7500000</v>
      </c>
      <c r="Y88" s="7">
        <v>7500000</v>
      </c>
      <c r="Z88" s="7">
        <v>7500000</v>
      </c>
      <c r="AA88" s="7">
        <v>7500000</v>
      </c>
      <c r="AB88" s="9">
        <v>474.72560859823</v>
      </c>
      <c r="AC88" s="9">
        <v>474.72560859823</v>
      </c>
      <c r="AD88" s="9">
        <v>474.72560859823</v>
      </c>
      <c r="AE88" s="9">
        <v>474.72560859823</v>
      </c>
      <c r="AF88" s="9">
        <v>474.72560859823</v>
      </c>
      <c r="AG88" s="9">
        <v>474.72560859823</v>
      </c>
      <c r="AH88" s="9">
        <v>474.72560859823</v>
      </c>
      <c r="AI88" s="9">
        <v>474.72560859823</v>
      </c>
      <c r="AJ88" s="9">
        <v>474.72560859823</v>
      </c>
      <c r="AK88" s="9">
        <v>474.72560859823</v>
      </c>
      <c r="AL88" s="9">
        <v>474.72560859823</v>
      </c>
      <c r="AM88" s="9">
        <v>474.72560859823</v>
      </c>
      <c r="AN88" s="10">
        <v>0</v>
      </c>
      <c r="AO88" s="10">
        <v>0</v>
      </c>
      <c r="AP88" s="10">
        <v>0</v>
      </c>
      <c r="AQ88" s="10">
        <v>0</v>
      </c>
      <c r="AR88" s="10">
        <v>1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7">
        <f t="shared" si="8"/>
        <v>1</v>
      </c>
      <c r="BA88" s="11">
        <f t="shared" si="9"/>
        <v>8.3333333333333329E-2</v>
      </c>
      <c r="BC88" s="12">
        <v>0</v>
      </c>
      <c r="BD88" s="12">
        <v>0</v>
      </c>
      <c r="BE88" s="12">
        <v>0</v>
      </c>
      <c r="BF88" s="12">
        <v>0</v>
      </c>
      <c r="BG88" s="12">
        <v>474.72560859823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f t="shared" si="10"/>
        <v>474.72560859823</v>
      </c>
      <c r="BP88" s="12">
        <f t="shared" si="11"/>
        <v>39.560467383185831</v>
      </c>
      <c r="BQ88" s="7"/>
      <c r="BR88" s="7"/>
      <c r="BS88" s="7" t="s">
        <v>124</v>
      </c>
      <c r="BT88" s="7" t="s">
        <v>52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/>
    </row>
    <row r="89" spans="1:78" x14ac:dyDescent="0.35">
      <c r="A89" s="7" t="s">
        <v>42</v>
      </c>
      <c r="B89" s="7"/>
      <c r="C89" s="7" t="s">
        <v>239</v>
      </c>
      <c r="D89" s="7" t="s">
        <v>233</v>
      </c>
      <c r="E89" s="7" t="s">
        <v>240</v>
      </c>
      <c r="F89" s="7" t="s">
        <v>241</v>
      </c>
      <c r="G89" s="7" t="s">
        <v>47</v>
      </c>
      <c r="H89" s="7"/>
      <c r="I89" s="7"/>
      <c r="J89" s="7" t="s">
        <v>228</v>
      </c>
      <c r="K89" s="7" t="s">
        <v>49</v>
      </c>
      <c r="L89" s="7" t="s">
        <v>49</v>
      </c>
      <c r="M89" s="7" t="s">
        <v>49</v>
      </c>
      <c r="N89" s="7" t="s">
        <v>115</v>
      </c>
      <c r="O89" s="7" t="s">
        <v>4</v>
      </c>
      <c r="P89" s="7">
        <v>5500000</v>
      </c>
      <c r="Q89" s="7">
        <v>5500000</v>
      </c>
      <c r="R89" s="7">
        <v>5500000</v>
      </c>
      <c r="S89" s="7">
        <v>5500000</v>
      </c>
      <c r="T89" s="7">
        <v>5500000</v>
      </c>
      <c r="U89" s="7">
        <v>5500000</v>
      </c>
      <c r="V89" s="7">
        <v>5500000</v>
      </c>
      <c r="W89" s="7">
        <v>5500000</v>
      </c>
      <c r="X89" s="7">
        <v>5500000</v>
      </c>
      <c r="Y89" s="7">
        <v>5500000</v>
      </c>
      <c r="Z89" s="7">
        <v>5500000</v>
      </c>
      <c r="AA89" s="7">
        <v>5500000</v>
      </c>
      <c r="AB89" s="9">
        <v>348.13211297203998</v>
      </c>
      <c r="AC89" s="9">
        <v>348.13211297203998</v>
      </c>
      <c r="AD89" s="9">
        <v>348.13211297203998</v>
      </c>
      <c r="AE89" s="9">
        <v>348.13211297203998</v>
      </c>
      <c r="AF89" s="9">
        <v>348.13211297203998</v>
      </c>
      <c r="AG89" s="9">
        <v>348.13211297203998</v>
      </c>
      <c r="AH89" s="9">
        <v>348.13211297203998</v>
      </c>
      <c r="AI89" s="9">
        <v>348.13211297203998</v>
      </c>
      <c r="AJ89" s="9">
        <v>348.13211297203998</v>
      </c>
      <c r="AK89" s="9">
        <v>348.13211297203998</v>
      </c>
      <c r="AL89" s="9">
        <v>348.13211297203998</v>
      </c>
      <c r="AM89" s="9">
        <v>348.13211297203998</v>
      </c>
      <c r="AN89" s="10">
        <v>0</v>
      </c>
      <c r="AO89" s="10">
        <v>2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7">
        <f t="shared" si="8"/>
        <v>2</v>
      </c>
      <c r="BA89" s="11">
        <f t="shared" si="9"/>
        <v>0.16666666666666666</v>
      </c>
      <c r="BC89" s="12">
        <v>0</v>
      </c>
      <c r="BD89" s="12">
        <v>696.26422594406995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f t="shared" si="10"/>
        <v>696.26422594406995</v>
      </c>
      <c r="BP89" s="12">
        <f t="shared" si="11"/>
        <v>58.022018828672493</v>
      </c>
      <c r="BQ89" s="7"/>
      <c r="BR89" s="7"/>
      <c r="BS89" s="7" t="s">
        <v>124</v>
      </c>
      <c r="BT89" s="7" t="s">
        <v>52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/>
    </row>
    <row r="90" spans="1:78" x14ac:dyDescent="0.35">
      <c r="A90" s="7" t="s">
        <v>42</v>
      </c>
      <c r="B90" s="7"/>
      <c r="C90" s="7" t="s">
        <v>242</v>
      </c>
      <c r="D90" s="7" t="s">
        <v>243</v>
      </c>
      <c r="E90" s="7" t="s">
        <v>244</v>
      </c>
      <c r="F90" s="7" t="s">
        <v>245</v>
      </c>
      <c r="G90" s="7" t="s">
        <v>47</v>
      </c>
      <c r="H90" s="7"/>
      <c r="I90" s="7"/>
      <c r="J90" s="7" t="s">
        <v>228</v>
      </c>
      <c r="K90" s="7" t="s">
        <v>49</v>
      </c>
      <c r="L90" s="7" t="s">
        <v>49</v>
      </c>
      <c r="M90" s="7" t="s">
        <v>49</v>
      </c>
      <c r="N90" s="7" t="s">
        <v>56</v>
      </c>
      <c r="O90" s="7" t="s">
        <v>4</v>
      </c>
      <c r="P90" s="7">
        <v>1000000</v>
      </c>
      <c r="Q90" s="7">
        <v>1000000</v>
      </c>
      <c r="R90" s="7">
        <v>1000000</v>
      </c>
      <c r="S90" s="7">
        <v>1000000</v>
      </c>
      <c r="T90" s="7">
        <v>1000000</v>
      </c>
      <c r="U90" s="7">
        <v>1000000</v>
      </c>
      <c r="V90" s="7">
        <v>1000000</v>
      </c>
      <c r="W90" s="7">
        <v>1000000</v>
      </c>
      <c r="X90" s="7">
        <v>1000000</v>
      </c>
      <c r="Y90" s="7">
        <v>1000000</v>
      </c>
      <c r="Z90" s="7">
        <v>1000000</v>
      </c>
      <c r="AA90" s="7">
        <v>1000000</v>
      </c>
      <c r="AB90" s="9">
        <v>63.296747813096999</v>
      </c>
      <c r="AC90" s="9">
        <v>63.296747813096999</v>
      </c>
      <c r="AD90" s="9">
        <v>63.296747813096999</v>
      </c>
      <c r="AE90" s="9">
        <v>63.296747813096999</v>
      </c>
      <c r="AF90" s="9">
        <v>63.296747813096999</v>
      </c>
      <c r="AG90" s="9">
        <v>63.296747813096999</v>
      </c>
      <c r="AH90" s="9">
        <v>63.296747813096999</v>
      </c>
      <c r="AI90" s="9">
        <v>63.296747813096999</v>
      </c>
      <c r="AJ90" s="9">
        <v>63.296747813096999</v>
      </c>
      <c r="AK90" s="9">
        <v>63.296747813096999</v>
      </c>
      <c r="AL90" s="9">
        <v>63.296747813096999</v>
      </c>
      <c r="AM90" s="9">
        <v>63.296747813096999</v>
      </c>
      <c r="AN90" s="10">
        <v>2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7">
        <f t="shared" si="8"/>
        <v>2</v>
      </c>
      <c r="BA90" s="11">
        <f t="shared" si="9"/>
        <v>0.16666666666666666</v>
      </c>
      <c r="BC90" s="12">
        <v>126.59349562619001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f t="shared" si="10"/>
        <v>126.59349562619001</v>
      </c>
      <c r="BP90" s="12">
        <f t="shared" si="11"/>
        <v>10.549457968849167</v>
      </c>
      <c r="BQ90" s="7"/>
      <c r="BR90" s="7"/>
      <c r="BS90" s="7" t="s">
        <v>116</v>
      </c>
      <c r="BT90" s="7" t="s">
        <v>52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/>
    </row>
    <row r="91" spans="1:78" x14ac:dyDescent="0.35">
      <c r="A91" s="7" t="s">
        <v>42</v>
      </c>
      <c r="B91" s="7"/>
      <c r="C91" s="7" t="s">
        <v>242</v>
      </c>
      <c r="D91" s="7" t="s">
        <v>243</v>
      </c>
      <c r="E91" s="7" t="s">
        <v>244</v>
      </c>
      <c r="F91" s="7" t="s">
        <v>246</v>
      </c>
      <c r="G91" s="7" t="s">
        <v>47</v>
      </c>
      <c r="H91" s="7"/>
      <c r="I91" s="7"/>
      <c r="J91" s="7" t="s">
        <v>228</v>
      </c>
      <c r="K91" s="7" t="s">
        <v>49</v>
      </c>
      <c r="L91" s="7" t="s">
        <v>49</v>
      </c>
      <c r="M91" s="7" t="s">
        <v>49</v>
      </c>
      <c r="N91" s="7" t="s">
        <v>56</v>
      </c>
      <c r="O91" s="7" t="s">
        <v>4</v>
      </c>
      <c r="P91" s="7">
        <v>1000000</v>
      </c>
      <c r="Q91" s="7">
        <v>1000000</v>
      </c>
      <c r="R91" s="7">
        <v>1000000</v>
      </c>
      <c r="S91" s="7">
        <v>1000000</v>
      </c>
      <c r="T91" s="7">
        <v>1000000</v>
      </c>
      <c r="U91" s="7">
        <v>1000000</v>
      </c>
      <c r="V91" s="7">
        <v>1000000</v>
      </c>
      <c r="W91" s="7">
        <v>1000000</v>
      </c>
      <c r="X91" s="7">
        <v>1000000</v>
      </c>
      <c r="Y91" s="7">
        <v>1000000</v>
      </c>
      <c r="Z91" s="7">
        <v>1000000</v>
      </c>
      <c r="AA91" s="7">
        <v>1000000</v>
      </c>
      <c r="AB91" s="9">
        <v>63.296747813096999</v>
      </c>
      <c r="AC91" s="9">
        <v>63.296747813096999</v>
      </c>
      <c r="AD91" s="9">
        <v>63.296747813096999</v>
      </c>
      <c r="AE91" s="9">
        <v>63.296747813096999</v>
      </c>
      <c r="AF91" s="9">
        <v>63.296747813096999</v>
      </c>
      <c r="AG91" s="9">
        <v>63.296747813096999</v>
      </c>
      <c r="AH91" s="9">
        <v>63.296747813096999</v>
      </c>
      <c r="AI91" s="9">
        <v>63.296747813096999</v>
      </c>
      <c r="AJ91" s="9">
        <v>63.296747813096999</v>
      </c>
      <c r="AK91" s="9">
        <v>63.296747813096999</v>
      </c>
      <c r="AL91" s="9">
        <v>63.296747813096999</v>
      </c>
      <c r="AM91" s="9">
        <v>63.296747813096999</v>
      </c>
      <c r="AN91" s="10">
        <v>0</v>
      </c>
      <c r="AO91" s="10">
        <v>0</v>
      </c>
      <c r="AP91" s="10">
        <v>0</v>
      </c>
      <c r="AQ91" s="10">
        <v>1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7">
        <f t="shared" si="8"/>
        <v>1</v>
      </c>
      <c r="BA91" s="11">
        <f t="shared" si="9"/>
        <v>8.3333333333333329E-2</v>
      </c>
      <c r="BC91" s="12">
        <v>0</v>
      </c>
      <c r="BD91" s="12">
        <v>0</v>
      </c>
      <c r="BE91" s="12">
        <v>0</v>
      </c>
      <c r="BF91" s="12">
        <v>63.296747813096999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f t="shared" si="10"/>
        <v>63.296747813096999</v>
      </c>
      <c r="BP91" s="12">
        <f t="shared" si="11"/>
        <v>5.2747289844247502</v>
      </c>
      <c r="BQ91" s="7"/>
      <c r="BR91" s="7"/>
      <c r="BS91" s="7" t="s">
        <v>116</v>
      </c>
      <c r="BT91" s="7" t="s">
        <v>52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/>
    </row>
    <row r="92" spans="1:78" x14ac:dyDescent="0.35">
      <c r="A92" s="7" t="s">
        <v>42</v>
      </c>
      <c r="B92" s="7"/>
      <c r="C92" s="7" t="s">
        <v>247</v>
      </c>
      <c r="D92" s="7" t="s">
        <v>248</v>
      </c>
      <c r="E92" s="7" t="s">
        <v>249</v>
      </c>
      <c r="F92" s="7" t="s">
        <v>230</v>
      </c>
      <c r="G92" s="7" t="s">
        <v>47</v>
      </c>
      <c r="H92" s="7"/>
      <c r="I92" s="7"/>
      <c r="J92" s="7" t="s">
        <v>228</v>
      </c>
      <c r="K92" s="7" t="s">
        <v>49</v>
      </c>
      <c r="L92" s="7" t="s">
        <v>49</v>
      </c>
      <c r="M92" s="7" t="s">
        <v>49</v>
      </c>
      <c r="N92" s="7" t="s">
        <v>177</v>
      </c>
      <c r="O92" s="7" t="s">
        <v>4</v>
      </c>
      <c r="P92" s="7">
        <v>2700000</v>
      </c>
      <c r="Q92" s="7">
        <v>2700000</v>
      </c>
      <c r="R92" s="7">
        <v>2700000</v>
      </c>
      <c r="S92" s="7">
        <v>2700000</v>
      </c>
      <c r="T92" s="7">
        <v>2700000</v>
      </c>
      <c r="U92" s="7">
        <v>2700000</v>
      </c>
      <c r="V92" s="7">
        <v>2700000</v>
      </c>
      <c r="W92" s="7">
        <v>2700000</v>
      </c>
      <c r="X92" s="7">
        <v>2700000</v>
      </c>
      <c r="Y92" s="7">
        <v>2700000</v>
      </c>
      <c r="Z92" s="7">
        <v>2700000</v>
      </c>
      <c r="AA92" s="7">
        <v>2700000</v>
      </c>
      <c r="AB92" s="9">
        <v>170.90121909536001</v>
      </c>
      <c r="AC92" s="9">
        <v>170.90121909536001</v>
      </c>
      <c r="AD92" s="9">
        <v>170.90121909536001</v>
      </c>
      <c r="AE92" s="9">
        <v>170.90121909536001</v>
      </c>
      <c r="AF92" s="9">
        <v>170.90121909536001</v>
      </c>
      <c r="AG92" s="9">
        <v>170.90121909536001</v>
      </c>
      <c r="AH92" s="9">
        <v>170.90121909536001</v>
      </c>
      <c r="AI92" s="9">
        <v>170.90121909536001</v>
      </c>
      <c r="AJ92" s="9">
        <v>170.90121909536001</v>
      </c>
      <c r="AK92" s="9">
        <v>170.90121909536001</v>
      </c>
      <c r="AL92" s="9">
        <v>170.90121909536001</v>
      </c>
      <c r="AM92" s="9">
        <v>170.90121909536001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1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7">
        <f t="shared" si="8"/>
        <v>1</v>
      </c>
      <c r="BA92" s="11">
        <f t="shared" si="9"/>
        <v>8.3333333333333329E-2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170.90121909536001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f t="shared" si="10"/>
        <v>170.90121909536001</v>
      </c>
      <c r="BP92" s="12">
        <f t="shared" si="11"/>
        <v>14.241768257946667</v>
      </c>
      <c r="BQ92" s="7"/>
      <c r="BR92" s="7"/>
      <c r="BS92" s="7" t="s">
        <v>124</v>
      </c>
      <c r="BT92" s="7" t="s">
        <v>52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/>
    </row>
    <row r="93" spans="1:78" x14ac:dyDescent="0.35">
      <c r="A93" s="7" t="s">
        <v>42</v>
      </c>
      <c r="B93" s="7"/>
      <c r="C93" s="7" t="s">
        <v>173</v>
      </c>
      <c r="D93" s="7" t="s">
        <v>174</v>
      </c>
      <c r="E93" s="7" t="s">
        <v>175</v>
      </c>
      <c r="F93" s="7" t="s">
        <v>245</v>
      </c>
      <c r="G93" s="7" t="s">
        <v>47</v>
      </c>
      <c r="H93" s="7"/>
      <c r="I93" s="7"/>
      <c r="J93" s="7" t="s">
        <v>228</v>
      </c>
      <c r="K93" s="7" t="s">
        <v>49</v>
      </c>
      <c r="L93" s="7" t="s">
        <v>49</v>
      </c>
      <c r="M93" s="7" t="s">
        <v>49</v>
      </c>
      <c r="N93" s="7" t="s">
        <v>177</v>
      </c>
      <c r="O93" s="7" t="s">
        <v>4</v>
      </c>
      <c r="P93" s="7">
        <v>1850000</v>
      </c>
      <c r="Q93" s="7">
        <v>1850000</v>
      </c>
      <c r="R93" s="7">
        <v>1850000</v>
      </c>
      <c r="S93" s="7">
        <v>1850000</v>
      </c>
      <c r="T93" s="7">
        <v>1850000</v>
      </c>
      <c r="U93" s="7">
        <v>1850000</v>
      </c>
      <c r="V93" s="7">
        <v>2053500</v>
      </c>
      <c r="W93" s="7">
        <v>2053500</v>
      </c>
      <c r="X93" s="7">
        <v>2053500</v>
      </c>
      <c r="Y93" s="7">
        <v>2053500</v>
      </c>
      <c r="Z93" s="7">
        <v>2053500</v>
      </c>
      <c r="AA93" s="7">
        <v>2053500</v>
      </c>
      <c r="AB93" s="9">
        <v>117.09898345422999</v>
      </c>
      <c r="AC93" s="9">
        <v>117.09898345422999</v>
      </c>
      <c r="AD93" s="9">
        <v>117.09898345422999</v>
      </c>
      <c r="AE93" s="9">
        <v>117.09898345422999</v>
      </c>
      <c r="AF93" s="9">
        <v>117.09898345422999</v>
      </c>
      <c r="AG93" s="9">
        <v>117.09898345422999</v>
      </c>
      <c r="AH93" s="9">
        <v>129.97987163420001</v>
      </c>
      <c r="AI93" s="9">
        <v>129.97987163420001</v>
      </c>
      <c r="AJ93" s="9">
        <v>129.97987163420001</v>
      </c>
      <c r="AK93" s="9">
        <v>129.97987163420001</v>
      </c>
      <c r="AL93" s="9">
        <v>129.97987163420001</v>
      </c>
      <c r="AM93" s="9">
        <v>129.97987163420001</v>
      </c>
      <c r="AN93" s="10">
        <v>0</v>
      </c>
      <c r="AO93" s="10">
        <v>3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7">
        <f t="shared" si="8"/>
        <v>3</v>
      </c>
      <c r="BA93" s="11">
        <f t="shared" si="9"/>
        <v>0.25</v>
      </c>
      <c r="BC93" s="12">
        <v>0</v>
      </c>
      <c r="BD93" s="12">
        <v>351.29695036268998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f t="shared" si="10"/>
        <v>351.29695036268998</v>
      </c>
      <c r="BP93" s="12">
        <f t="shared" si="11"/>
        <v>29.274745863557499</v>
      </c>
      <c r="BQ93" s="7"/>
      <c r="BR93" s="7"/>
      <c r="BS93" s="7" t="s">
        <v>124</v>
      </c>
      <c r="BT93" s="7" t="s">
        <v>52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/>
    </row>
    <row r="94" spans="1:78" x14ac:dyDescent="0.35">
      <c r="A94" s="7" t="s">
        <v>42</v>
      </c>
      <c r="B94" s="7"/>
      <c r="C94" s="7" t="s">
        <v>250</v>
      </c>
      <c r="D94" s="7" t="s">
        <v>174</v>
      </c>
      <c r="E94" s="7" t="s">
        <v>251</v>
      </c>
      <c r="F94" s="7" t="s">
        <v>246</v>
      </c>
      <c r="G94" s="7" t="s">
        <v>47</v>
      </c>
      <c r="H94" s="7"/>
      <c r="I94" s="7"/>
      <c r="J94" s="7" t="s">
        <v>228</v>
      </c>
      <c r="K94" s="7" t="s">
        <v>49</v>
      </c>
      <c r="L94" s="7" t="s">
        <v>49</v>
      </c>
      <c r="M94" s="7" t="s">
        <v>49</v>
      </c>
      <c r="N94" s="7" t="s">
        <v>177</v>
      </c>
      <c r="O94" s="7" t="s">
        <v>4</v>
      </c>
      <c r="P94" s="7">
        <v>2000000</v>
      </c>
      <c r="Q94" s="7">
        <v>2000000</v>
      </c>
      <c r="R94" s="7">
        <v>2000000</v>
      </c>
      <c r="S94" s="7">
        <v>2000000</v>
      </c>
      <c r="T94" s="7">
        <v>2000000</v>
      </c>
      <c r="U94" s="7">
        <v>2000000</v>
      </c>
      <c r="V94" s="7">
        <v>2220000</v>
      </c>
      <c r="W94" s="7">
        <v>2220000</v>
      </c>
      <c r="X94" s="7">
        <v>2220000</v>
      </c>
      <c r="Y94" s="7">
        <v>2220000</v>
      </c>
      <c r="Z94" s="7">
        <v>2220000</v>
      </c>
      <c r="AA94" s="7">
        <v>2220000</v>
      </c>
      <c r="AB94" s="9">
        <v>126.59349562619001</v>
      </c>
      <c r="AC94" s="9">
        <v>126.59349562619001</v>
      </c>
      <c r="AD94" s="9">
        <v>126.59349562619001</v>
      </c>
      <c r="AE94" s="9">
        <v>126.59349562619001</v>
      </c>
      <c r="AF94" s="9">
        <v>126.59349562619001</v>
      </c>
      <c r="AG94" s="9">
        <v>126.59349562619001</v>
      </c>
      <c r="AH94" s="9">
        <v>140.51878014508</v>
      </c>
      <c r="AI94" s="9">
        <v>140.51878014508</v>
      </c>
      <c r="AJ94" s="9">
        <v>140.51878014508</v>
      </c>
      <c r="AK94" s="9">
        <v>140.51878014508</v>
      </c>
      <c r="AL94" s="9">
        <v>140.51878014508</v>
      </c>
      <c r="AM94" s="9">
        <v>140.51878014508</v>
      </c>
      <c r="AN94" s="10">
        <v>0</v>
      </c>
      <c r="AO94" s="10">
        <v>3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7">
        <f t="shared" si="8"/>
        <v>3</v>
      </c>
      <c r="BA94" s="11">
        <f t="shared" si="9"/>
        <v>0.25</v>
      </c>
      <c r="BC94" s="12">
        <v>0</v>
      </c>
      <c r="BD94" s="12">
        <v>379.78048687858001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f t="shared" si="10"/>
        <v>379.78048687858001</v>
      </c>
      <c r="BP94" s="12">
        <f t="shared" si="11"/>
        <v>31.648373906548333</v>
      </c>
      <c r="BQ94" s="7"/>
      <c r="BR94" s="7"/>
      <c r="BS94" s="7" t="s">
        <v>124</v>
      </c>
      <c r="BT94" s="7" t="s">
        <v>52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/>
    </row>
    <row r="95" spans="1:78" x14ac:dyDescent="0.35">
      <c r="A95" s="7" t="s">
        <v>42</v>
      </c>
      <c r="B95" s="7"/>
      <c r="C95" s="7" t="s">
        <v>178</v>
      </c>
      <c r="D95" s="7" t="s">
        <v>174</v>
      </c>
      <c r="E95" s="7" t="s">
        <v>179</v>
      </c>
      <c r="F95" s="7" t="s">
        <v>245</v>
      </c>
      <c r="G95" s="7" t="s">
        <v>47</v>
      </c>
      <c r="H95" s="7"/>
      <c r="I95" s="7"/>
      <c r="J95" s="7" t="s">
        <v>228</v>
      </c>
      <c r="K95" s="7" t="s">
        <v>49</v>
      </c>
      <c r="L95" s="7" t="s">
        <v>49</v>
      </c>
      <c r="M95" s="7" t="s">
        <v>49</v>
      </c>
      <c r="N95" s="7" t="s">
        <v>177</v>
      </c>
      <c r="O95" s="7" t="s">
        <v>4</v>
      </c>
      <c r="P95" s="7">
        <v>1100000</v>
      </c>
      <c r="Q95" s="7">
        <v>1100000</v>
      </c>
      <c r="R95" s="7">
        <v>1100000</v>
      </c>
      <c r="S95" s="7">
        <v>1100000</v>
      </c>
      <c r="T95" s="7">
        <v>1100000</v>
      </c>
      <c r="U95" s="7">
        <v>1100000</v>
      </c>
      <c r="V95" s="7">
        <v>1100000</v>
      </c>
      <c r="W95" s="7">
        <v>1100000</v>
      </c>
      <c r="X95" s="7">
        <v>1100000</v>
      </c>
      <c r="Y95" s="7">
        <v>1100000</v>
      </c>
      <c r="Z95" s="7">
        <v>1100000</v>
      </c>
      <c r="AA95" s="7">
        <v>1100000</v>
      </c>
      <c r="AB95" s="9">
        <v>69.626422594407003</v>
      </c>
      <c r="AC95" s="9">
        <v>69.626422594407003</v>
      </c>
      <c r="AD95" s="9">
        <v>69.626422594407003</v>
      </c>
      <c r="AE95" s="9">
        <v>69.626422594407003</v>
      </c>
      <c r="AF95" s="9">
        <v>69.626422594407003</v>
      </c>
      <c r="AG95" s="9">
        <v>69.626422594407003</v>
      </c>
      <c r="AH95" s="9">
        <v>69.626422594407003</v>
      </c>
      <c r="AI95" s="9">
        <v>69.626422594407003</v>
      </c>
      <c r="AJ95" s="9">
        <v>69.626422594407003</v>
      </c>
      <c r="AK95" s="9">
        <v>69.626422594407003</v>
      </c>
      <c r="AL95" s="9">
        <v>69.626422594407003</v>
      </c>
      <c r="AM95" s="9">
        <v>69.626422594407003</v>
      </c>
      <c r="AN95" s="10">
        <v>0</v>
      </c>
      <c r="AO95" s="10">
        <v>1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7">
        <f t="shared" si="8"/>
        <v>1</v>
      </c>
      <c r="BA95" s="11">
        <f t="shared" si="9"/>
        <v>8.3333333333333329E-2</v>
      </c>
      <c r="BC95" s="12">
        <v>0</v>
      </c>
      <c r="BD95" s="12">
        <v>69.626422594407003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f t="shared" si="10"/>
        <v>69.626422594407003</v>
      </c>
      <c r="BP95" s="12">
        <f t="shared" si="11"/>
        <v>5.8022018828672506</v>
      </c>
      <c r="BQ95" s="7"/>
      <c r="BR95" s="7"/>
      <c r="BS95" s="7" t="s">
        <v>124</v>
      </c>
      <c r="BT95" s="7" t="s">
        <v>52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/>
    </row>
    <row r="96" spans="1:78" x14ac:dyDescent="0.35">
      <c r="A96" s="7" t="s">
        <v>42</v>
      </c>
      <c r="B96" s="7"/>
      <c r="C96" s="7" t="s">
        <v>178</v>
      </c>
      <c r="D96" s="7" t="s">
        <v>174</v>
      </c>
      <c r="E96" s="7" t="s">
        <v>179</v>
      </c>
      <c r="F96" s="7" t="s">
        <v>246</v>
      </c>
      <c r="G96" s="7" t="s">
        <v>47</v>
      </c>
      <c r="H96" s="7"/>
      <c r="I96" s="7"/>
      <c r="J96" s="7" t="s">
        <v>228</v>
      </c>
      <c r="K96" s="7" t="s">
        <v>49</v>
      </c>
      <c r="L96" s="7" t="s">
        <v>49</v>
      </c>
      <c r="M96" s="7" t="s">
        <v>49</v>
      </c>
      <c r="N96" s="7" t="s">
        <v>177</v>
      </c>
      <c r="O96" s="7" t="s">
        <v>4</v>
      </c>
      <c r="P96" s="7">
        <v>1100000</v>
      </c>
      <c r="Q96" s="7">
        <v>1100000</v>
      </c>
      <c r="R96" s="7">
        <v>1100000</v>
      </c>
      <c r="S96" s="7">
        <v>1100000</v>
      </c>
      <c r="T96" s="7">
        <v>1100000</v>
      </c>
      <c r="U96" s="7">
        <v>1100000</v>
      </c>
      <c r="V96" s="7">
        <v>1100000</v>
      </c>
      <c r="W96" s="7">
        <v>1100000</v>
      </c>
      <c r="X96" s="7">
        <v>1100000</v>
      </c>
      <c r="Y96" s="7">
        <v>1100000</v>
      </c>
      <c r="Z96" s="7">
        <v>1100000</v>
      </c>
      <c r="AA96" s="7">
        <v>1100000</v>
      </c>
      <c r="AB96" s="9">
        <v>69.626422594407003</v>
      </c>
      <c r="AC96" s="9">
        <v>69.626422594407003</v>
      </c>
      <c r="AD96" s="9">
        <v>69.626422594407003</v>
      </c>
      <c r="AE96" s="9">
        <v>69.626422594407003</v>
      </c>
      <c r="AF96" s="9">
        <v>69.626422594407003</v>
      </c>
      <c r="AG96" s="9">
        <v>69.626422594407003</v>
      </c>
      <c r="AH96" s="9">
        <v>69.626422594407003</v>
      </c>
      <c r="AI96" s="9">
        <v>69.626422594407003</v>
      </c>
      <c r="AJ96" s="9">
        <v>69.626422594407003</v>
      </c>
      <c r="AK96" s="9">
        <v>69.626422594407003</v>
      </c>
      <c r="AL96" s="9">
        <v>69.626422594407003</v>
      </c>
      <c r="AM96" s="9">
        <v>69.626422594407003</v>
      </c>
      <c r="AN96" s="10">
        <v>0</v>
      </c>
      <c r="AO96" s="10">
        <v>1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7">
        <f t="shared" si="8"/>
        <v>1</v>
      </c>
      <c r="BA96" s="11">
        <f t="shared" si="9"/>
        <v>8.3333333333333329E-2</v>
      </c>
      <c r="BC96" s="12">
        <v>0</v>
      </c>
      <c r="BD96" s="12">
        <v>69.626422594407003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f t="shared" si="10"/>
        <v>69.626422594407003</v>
      </c>
      <c r="BP96" s="12">
        <f t="shared" si="11"/>
        <v>5.8022018828672506</v>
      </c>
      <c r="BQ96" s="7"/>
      <c r="BR96" s="7"/>
      <c r="BS96" s="7" t="s">
        <v>124</v>
      </c>
      <c r="BT96" s="7" t="s">
        <v>52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/>
    </row>
    <row r="97" spans="1:78" x14ac:dyDescent="0.35">
      <c r="A97" s="7" t="s">
        <v>42</v>
      </c>
      <c r="B97" s="7"/>
      <c r="C97" s="7" t="s">
        <v>180</v>
      </c>
      <c r="D97" s="7" t="s">
        <v>174</v>
      </c>
      <c r="E97" s="7" t="s">
        <v>181</v>
      </c>
      <c r="F97" s="7" t="s">
        <v>245</v>
      </c>
      <c r="G97" s="7" t="s">
        <v>47</v>
      </c>
      <c r="H97" s="7"/>
      <c r="I97" s="7"/>
      <c r="J97" s="7" t="s">
        <v>228</v>
      </c>
      <c r="K97" s="7" t="s">
        <v>49</v>
      </c>
      <c r="L97" s="7" t="s">
        <v>49</v>
      </c>
      <c r="M97" s="7" t="s">
        <v>49</v>
      </c>
      <c r="N97" s="7" t="s">
        <v>182</v>
      </c>
      <c r="O97" s="7" t="s">
        <v>4</v>
      </c>
      <c r="P97" s="7">
        <v>200000</v>
      </c>
      <c r="Q97" s="7">
        <v>200000</v>
      </c>
      <c r="R97" s="7">
        <v>200000</v>
      </c>
      <c r="S97" s="7">
        <v>200000</v>
      </c>
      <c r="T97" s="7">
        <v>200000</v>
      </c>
      <c r="U97" s="7">
        <v>200000</v>
      </c>
      <c r="V97" s="7">
        <v>200000</v>
      </c>
      <c r="W97" s="7">
        <v>200000</v>
      </c>
      <c r="X97" s="7">
        <v>200000</v>
      </c>
      <c r="Y97" s="7">
        <v>200000</v>
      </c>
      <c r="Z97" s="7">
        <v>200000</v>
      </c>
      <c r="AA97" s="7">
        <v>200000</v>
      </c>
      <c r="AB97" s="9">
        <v>12.659349562618999</v>
      </c>
      <c r="AC97" s="9">
        <v>12.659349562618999</v>
      </c>
      <c r="AD97" s="9">
        <v>12.659349562618999</v>
      </c>
      <c r="AE97" s="9">
        <v>12.659349562618999</v>
      </c>
      <c r="AF97" s="9">
        <v>12.659349562618999</v>
      </c>
      <c r="AG97" s="9">
        <v>12.659349562618999</v>
      </c>
      <c r="AH97" s="9">
        <v>12.659349562618999</v>
      </c>
      <c r="AI97" s="9">
        <v>12.659349562618999</v>
      </c>
      <c r="AJ97" s="9">
        <v>12.659349562618999</v>
      </c>
      <c r="AK97" s="9">
        <v>12.659349562618999</v>
      </c>
      <c r="AL97" s="9">
        <v>12.659349562618999</v>
      </c>
      <c r="AM97" s="9">
        <v>12.659349562618999</v>
      </c>
      <c r="AN97" s="10">
        <v>0</v>
      </c>
      <c r="AO97" s="10">
        <v>2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7">
        <f t="shared" si="8"/>
        <v>2</v>
      </c>
      <c r="BA97" s="11">
        <f t="shared" si="9"/>
        <v>0.16666666666666666</v>
      </c>
      <c r="BC97" s="12">
        <v>0</v>
      </c>
      <c r="BD97" s="12">
        <v>25.318699125239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f t="shared" si="10"/>
        <v>25.318699125239</v>
      </c>
      <c r="BP97" s="12">
        <f t="shared" si="11"/>
        <v>2.1098915937699165</v>
      </c>
      <c r="BQ97" s="7"/>
      <c r="BR97" s="7"/>
      <c r="BS97" s="7" t="s">
        <v>116</v>
      </c>
      <c r="BT97" s="7" t="s">
        <v>52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/>
    </row>
    <row r="98" spans="1:78" x14ac:dyDescent="0.35">
      <c r="A98" s="7" t="s">
        <v>42</v>
      </c>
      <c r="B98" s="7"/>
      <c r="C98" s="7" t="s">
        <v>180</v>
      </c>
      <c r="D98" s="7" t="s">
        <v>174</v>
      </c>
      <c r="E98" s="7" t="s">
        <v>181</v>
      </c>
      <c r="F98" s="7" t="s">
        <v>246</v>
      </c>
      <c r="G98" s="7" t="s">
        <v>47</v>
      </c>
      <c r="H98" s="7"/>
      <c r="I98" s="7"/>
      <c r="J98" s="7" t="s">
        <v>228</v>
      </c>
      <c r="K98" s="7" t="s">
        <v>49</v>
      </c>
      <c r="L98" s="7" t="s">
        <v>49</v>
      </c>
      <c r="M98" s="7" t="s">
        <v>49</v>
      </c>
      <c r="N98" s="7" t="s">
        <v>182</v>
      </c>
      <c r="O98" s="7" t="s">
        <v>4</v>
      </c>
      <c r="P98" s="7">
        <v>200000</v>
      </c>
      <c r="Q98" s="7">
        <v>200000</v>
      </c>
      <c r="R98" s="7">
        <v>200000</v>
      </c>
      <c r="S98" s="7">
        <v>200000</v>
      </c>
      <c r="T98" s="7">
        <v>200000</v>
      </c>
      <c r="U98" s="7">
        <v>200000</v>
      </c>
      <c r="V98" s="7">
        <v>200000</v>
      </c>
      <c r="W98" s="7">
        <v>200000</v>
      </c>
      <c r="X98" s="7">
        <v>200000</v>
      </c>
      <c r="Y98" s="7">
        <v>200000</v>
      </c>
      <c r="Z98" s="7">
        <v>200000</v>
      </c>
      <c r="AA98" s="7">
        <v>200000</v>
      </c>
      <c r="AB98" s="9">
        <v>12.659349562618999</v>
      </c>
      <c r="AC98" s="9">
        <v>12.659349562618999</v>
      </c>
      <c r="AD98" s="9">
        <v>12.659349562618999</v>
      </c>
      <c r="AE98" s="9">
        <v>12.659349562618999</v>
      </c>
      <c r="AF98" s="9">
        <v>12.659349562618999</v>
      </c>
      <c r="AG98" s="9">
        <v>12.659349562618999</v>
      </c>
      <c r="AH98" s="9">
        <v>12.659349562618999</v>
      </c>
      <c r="AI98" s="9">
        <v>12.659349562618999</v>
      </c>
      <c r="AJ98" s="9">
        <v>12.659349562618999</v>
      </c>
      <c r="AK98" s="9">
        <v>12.659349562618999</v>
      </c>
      <c r="AL98" s="9">
        <v>12.659349562618999</v>
      </c>
      <c r="AM98" s="9">
        <v>12.659349562618999</v>
      </c>
      <c r="AN98" s="10">
        <v>0</v>
      </c>
      <c r="AO98" s="10">
        <v>2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7">
        <f t="shared" si="8"/>
        <v>2</v>
      </c>
      <c r="BA98" s="11">
        <f t="shared" si="9"/>
        <v>0.16666666666666666</v>
      </c>
      <c r="BC98" s="12">
        <v>0</v>
      </c>
      <c r="BD98" s="12">
        <v>25.318699125239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f t="shared" si="10"/>
        <v>25.318699125239</v>
      </c>
      <c r="BP98" s="12">
        <f t="shared" si="11"/>
        <v>2.1098915937699165</v>
      </c>
      <c r="BQ98" s="7"/>
      <c r="BR98" s="7"/>
      <c r="BS98" s="7" t="s">
        <v>116</v>
      </c>
      <c r="BT98" s="7" t="s">
        <v>52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/>
    </row>
    <row r="99" spans="1:78" x14ac:dyDescent="0.35">
      <c r="A99" s="7" t="s">
        <v>42</v>
      </c>
      <c r="B99" s="7"/>
      <c r="C99" s="7" t="s">
        <v>183</v>
      </c>
      <c r="D99" s="7" t="s">
        <v>174</v>
      </c>
      <c r="E99" s="7" t="s">
        <v>184</v>
      </c>
      <c r="F99" s="7" t="s">
        <v>252</v>
      </c>
      <c r="G99" s="7" t="s">
        <v>47</v>
      </c>
      <c r="H99" s="7"/>
      <c r="I99" s="7"/>
      <c r="J99" s="7" t="s">
        <v>228</v>
      </c>
      <c r="K99" s="7" t="s">
        <v>49</v>
      </c>
      <c r="L99" s="7" t="s">
        <v>49</v>
      </c>
      <c r="M99" s="7" t="s">
        <v>49</v>
      </c>
      <c r="N99" s="7" t="s">
        <v>115</v>
      </c>
      <c r="O99" s="7" t="s">
        <v>4</v>
      </c>
      <c r="P99" s="7">
        <v>2500000</v>
      </c>
      <c r="Q99" s="7">
        <v>2500000</v>
      </c>
      <c r="R99" s="7">
        <v>2500000</v>
      </c>
      <c r="S99" s="7">
        <v>2500000</v>
      </c>
      <c r="T99" s="7">
        <v>2500000</v>
      </c>
      <c r="U99" s="7">
        <v>2500000</v>
      </c>
      <c r="V99" s="7">
        <v>2500000</v>
      </c>
      <c r="W99" s="7">
        <v>2500000</v>
      </c>
      <c r="X99" s="7">
        <v>2500000</v>
      </c>
      <c r="Y99" s="7">
        <v>2500000</v>
      </c>
      <c r="Z99" s="7">
        <v>2500000</v>
      </c>
      <c r="AA99" s="7">
        <v>2500000</v>
      </c>
      <c r="AB99" s="9">
        <v>158.24186953274</v>
      </c>
      <c r="AC99" s="9">
        <v>158.24186953274</v>
      </c>
      <c r="AD99" s="9">
        <v>158.24186953274</v>
      </c>
      <c r="AE99" s="9">
        <v>158.24186953274</v>
      </c>
      <c r="AF99" s="9">
        <v>158.24186953274</v>
      </c>
      <c r="AG99" s="9">
        <v>158.24186953274</v>
      </c>
      <c r="AH99" s="9">
        <v>158.24186953274</v>
      </c>
      <c r="AI99" s="9">
        <v>158.24186953274</v>
      </c>
      <c r="AJ99" s="9">
        <v>158.24186953274</v>
      </c>
      <c r="AK99" s="9">
        <v>158.24186953274</v>
      </c>
      <c r="AL99" s="9">
        <v>158.24186953274</v>
      </c>
      <c r="AM99" s="9">
        <v>158.24186953274</v>
      </c>
      <c r="AN99" s="10">
        <v>0</v>
      </c>
      <c r="AO99" s="10">
        <v>0</v>
      </c>
      <c r="AP99" s="10">
        <v>0</v>
      </c>
      <c r="AQ99" s="10">
        <v>1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7">
        <f t="shared" si="8"/>
        <v>1</v>
      </c>
      <c r="BA99" s="11">
        <f t="shared" si="9"/>
        <v>8.3333333333333329E-2</v>
      </c>
      <c r="BC99" s="12">
        <v>0</v>
      </c>
      <c r="BD99" s="12">
        <v>0</v>
      </c>
      <c r="BE99" s="12">
        <v>0</v>
      </c>
      <c r="BF99" s="12">
        <v>158.24186953274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f t="shared" si="10"/>
        <v>158.24186953274</v>
      </c>
      <c r="BP99" s="12">
        <f t="shared" si="11"/>
        <v>13.186822461061666</v>
      </c>
      <c r="BQ99" s="7"/>
      <c r="BR99" s="7"/>
      <c r="BS99" s="7" t="s">
        <v>116</v>
      </c>
      <c r="BT99" s="7" t="s">
        <v>52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/>
    </row>
    <row r="100" spans="1:78" x14ac:dyDescent="0.35">
      <c r="A100" s="7" t="s">
        <v>42</v>
      </c>
      <c r="B100" s="7"/>
      <c r="C100" s="7" t="s">
        <v>191</v>
      </c>
      <c r="D100" s="7" t="s">
        <v>192</v>
      </c>
      <c r="E100" s="7" t="s">
        <v>193</v>
      </c>
      <c r="F100" s="7" t="s">
        <v>245</v>
      </c>
      <c r="G100" s="7" t="s">
        <v>47</v>
      </c>
      <c r="H100" s="7"/>
      <c r="I100" s="7"/>
      <c r="J100" s="7" t="s">
        <v>228</v>
      </c>
      <c r="K100" s="7" t="s">
        <v>49</v>
      </c>
      <c r="L100" s="7" t="s">
        <v>49</v>
      </c>
      <c r="M100" s="7" t="s">
        <v>49</v>
      </c>
      <c r="N100" s="7" t="s">
        <v>194</v>
      </c>
      <c r="O100" s="7" t="s">
        <v>4</v>
      </c>
      <c r="P100" s="7">
        <v>800000</v>
      </c>
      <c r="Q100" s="7">
        <v>800000</v>
      </c>
      <c r="R100" s="7">
        <v>800000</v>
      </c>
      <c r="S100" s="7">
        <v>800000</v>
      </c>
      <c r="T100" s="7">
        <v>800000</v>
      </c>
      <c r="U100" s="7">
        <v>800000</v>
      </c>
      <c r="V100" s="7">
        <v>800000</v>
      </c>
      <c r="W100" s="7">
        <v>800000</v>
      </c>
      <c r="X100" s="7">
        <v>800000</v>
      </c>
      <c r="Y100" s="7">
        <v>800000</v>
      </c>
      <c r="Z100" s="7">
        <v>800000</v>
      </c>
      <c r="AA100" s="7">
        <v>800000</v>
      </c>
      <c r="AB100" s="9">
        <v>50.637398250478</v>
      </c>
      <c r="AC100" s="9">
        <v>50.637398250478</v>
      </c>
      <c r="AD100" s="9">
        <v>50.637398250478</v>
      </c>
      <c r="AE100" s="9">
        <v>50.637398250478</v>
      </c>
      <c r="AF100" s="9">
        <v>50.637398250478</v>
      </c>
      <c r="AG100" s="9">
        <v>50.637398250478</v>
      </c>
      <c r="AH100" s="9">
        <v>50.637398250478</v>
      </c>
      <c r="AI100" s="9">
        <v>50.637398250478</v>
      </c>
      <c r="AJ100" s="9">
        <v>50.637398250478</v>
      </c>
      <c r="AK100" s="9">
        <v>50.637398250478</v>
      </c>
      <c r="AL100" s="9">
        <v>50.637398250478</v>
      </c>
      <c r="AM100" s="9">
        <v>50.637398250478</v>
      </c>
      <c r="AN100" s="10">
        <v>4</v>
      </c>
      <c r="AO100" s="10">
        <v>0</v>
      </c>
      <c r="AP100" s="10">
        <v>0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7">
        <f t="shared" si="8"/>
        <v>4</v>
      </c>
      <c r="BA100" s="11">
        <f t="shared" si="9"/>
        <v>0.33333333333333331</v>
      </c>
      <c r="BC100" s="12">
        <v>202.54959300191001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f t="shared" si="10"/>
        <v>202.54959300191001</v>
      </c>
      <c r="BP100" s="12">
        <f t="shared" si="11"/>
        <v>16.879132750159169</v>
      </c>
      <c r="BQ100" s="7"/>
      <c r="BR100" s="7"/>
      <c r="BS100" s="7" t="s">
        <v>116</v>
      </c>
      <c r="BT100" s="7" t="s">
        <v>52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/>
    </row>
    <row r="101" spans="1:78" x14ac:dyDescent="0.35">
      <c r="A101" s="7" t="s">
        <v>42</v>
      </c>
      <c r="B101" s="7"/>
      <c r="C101" s="7" t="s">
        <v>191</v>
      </c>
      <c r="D101" s="7" t="s">
        <v>192</v>
      </c>
      <c r="E101" s="7" t="s">
        <v>193</v>
      </c>
      <c r="F101" s="7" t="s">
        <v>246</v>
      </c>
      <c r="G101" s="7" t="s">
        <v>47</v>
      </c>
      <c r="H101" s="7"/>
      <c r="I101" s="7"/>
      <c r="J101" s="7" t="s">
        <v>228</v>
      </c>
      <c r="K101" s="7" t="s">
        <v>49</v>
      </c>
      <c r="L101" s="7" t="s">
        <v>49</v>
      </c>
      <c r="M101" s="7" t="s">
        <v>49</v>
      </c>
      <c r="N101" s="7" t="s">
        <v>194</v>
      </c>
      <c r="O101" s="7" t="s">
        <v>4</v>
      </c>
      <c r="P101" s="7">
        <v>800000</v>
      </c>
      <c r="Q101" s="7">
        <v>800000</v>
      </c>
      <c r="R101" s="7">
        <v>800000</v>
      </c>
      <c r="S101" s="7">
        <v>800000</v>
      </c>
      <c r="T101" s="7">
        <v>800000</v>
      </c>
      <c r="U101" s="7">
        <v>800000</v>
      </c>
      <c r="V101" s="7">
        <v>800000</v>
      </c>
      <c r="W101" s="7">
        <v>800000</v>
      </c>
      <c r="X101" s="7">
        <v>800000</v>
      </c>
      <c r="Y101" s="7">
        <v>800000</v>
      </c>
      <c r="Z101" s="7">
        <v>800000</v>
      </c>
      <c r="AA101" s="7">
        <v>800000</v>
      </c>
      <c r="AB101" s="9">
        <v>50.637398250478</v>
      </c>
      <c r="AC101" s="9">
        <v>50.637398250478</v>
      </c>
      <c r="AD101" s="9">
        <v>50.637398250478</v>
      </c>
      <c r="AE101" s="9">
        <v>50.637398250478</v>
      </c>
      <c r="AF101" s="9">
        <v>50.637398250478</v>
      </c>
      <c r="AG101" s="9">
        <v>50.637398250478</v>
      </c>
      <c r="AH101" s="9">
        <v>50.637398250478</v>
      </c>
      <c r="AI101" s="9">
        <v>50.637398250478</v>
      </c>
      <c r="AJ101" s="9">
        <v>50.637398250478</v>
      </c>
      <c r="AK101" s="9">
        <v>50.637398250478</v>
      </c>
      <c r="AL101" s="9">
        <v>50.637398250478</v>
      </c>
      <c r="AM101" s="9">
        <v>50.637398250478</v>
      </c>
      <c r="AN101" s="10">
        <v>0</v>
      </c>
      <c r="AO101" s="10">
        <v>0</v>
      </c>
      <c r="AP101" s="10">
        <v>0</v>
      </c>
      <c r="AQ101" s="10">
        <v>2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10">
        <v>0</v>
      </c>
      <c r="AY101" s="10">
        <v>0</v>
      </c>
      <c r="AZ101" s="7">
        <f t="shared" si="8"/>
        <v>2</v>
      </c>
      <c r="BA101" s="11">
        <f t="shared" si="9"/>
        <v>0.16666666666666666</v>
      </c>
      <c r="BC101" s="12">
        <v>0</v>
      </c>
      <c r="BD101" s="12">
        <v>0</v>
      </c>
      <c r="BE101" s="12">
        <v>0</v>
      </c>
      <c r="BF101" s="12">
        <v>101.27479650095999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0</v>
      </c>
      <c r="BN101" s="12">
        <v>0</v>
      </c>
      <c r="BO101" s="12">
        <f t="shared" si="10"/>
        <v>101.27479650095999</v>
      </c>
      <c r="BP101" s="12">
        <f t="shared" si="11"/>
        <v>8.4395663750800001</v>
      </c>
      <c r="BQ101" s="7"/>
      <c r="BR101" s="7"/>
      <c r="BS101" s="7" t="s">
        <v>116</v>
      </c>
      <c r="BT101" s="7" t="s">
        <v>52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/>
    </row>
    <row r="102" spans="1:78" x14ac:dyDescent="0.35">
      <c r="A102" s="7" t="s">
        <v>42</v>
      </c>
      <c r="B102" s="7"/>
      <c r="C102" s="7" t="s">
        <v>195</v>
      </c>
      <c r="D102" s="7" t="s">
        <v>192</v>
      </c>
      <c r="E102" s="7" t="s">
        <v>196</v>
      </c>
      <c r="F102" s="7" t="s">
        <v>245</v>
      </c>
      <c r="G102" s="7" t="s">
        <v>47</v>
      </c>
      <c r="H102" s="7"/>
      <c r="I102" s="7"/>
      <c r="J102" s="7" t="s">
        <v>228</v>
      </c>
      <c r="K102" s="7" t="s">
        <v>49</v>
      </c>
      <c r="L102" s="7" t="s">
        <v>49</v>
      </c>
      <c r="M102" s="7" t="s">
        <v>49</v>
      </c>
      <c r="N102" s="7" t="s">
        <v>194</v>
      </c>
      <c r="O102" s="7" t="s">
        <v>4</v>
      </c>
      <c r="P102" s="7">
        <v>1200000</v>
      </c>
      <c r="Q102" s="7">
        <v>1200000</v>
      </c>
      <c r="R102" s="7">
        <v>1200000</v>
      </c>
      <c r="S102" s="7">
        <v>1200000</v>
      </c>
      <c r="T102" s="7">
        <v>1200000</v>
      </c>
      <c r="U102" s="7">
        <v>1200000</v>
      </c>
      <c r="V102" s="7">
        <v>1200000</v>
      </c>
      <c r="W102" s="7">
        <v>1200000</v>
      </c>
      <c r="X102" s="7">
        <v>1200000</v>
      </c>
      <c r="Y102" s="7">
        <v>1200000</v>
      </c>
      <c r="Z102" s="7">
        <v>1200000</v>
      </c>
      <c r="AA102" s="7">
        <v>1200000</v>
      </c>
      <c r="AB102" s="9">
        <v>75.956097375716993</v>
      </c>
      <c r="AC102" s="9">
        <v>75.956097375716993</v>
      </c>
      <c r="AD102" s="9">
        <v>75.956097375716993</v>
      </c>
      <c r="AE102" s="9">
        <v>75.956097375716993</v>
      </c>
      <c r="AF102" s="9">
        <v>75.956097375716993</v>
      </c>
      <c r="AG102" s="9">
        <v>75.956097375716993</v>
      </c>
      <c r="AH102" s="9">
        <v>75.956097375716993</v>
      </c>
      <c r="AI102" s="9">
        <v>75.956097375716993</v>
      </c>
      <c r="AJ102" s="9">
        <v>75.956097375716993</v>
      </c>
      <c r="AK102" s="9">
        <v>75.956097375716993</v>
      </c>
      <c r="AL102" s="9">
        <v>75.956097375716993</v>
      </c>
      <c r="AM102" s="9">
        <v>75.956097375716993</v>
      </c>
      <c r="AN102" s="10">
        <v>4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7">
        <f t="shared" si="8"/>
        <v>4</v>
      </c>
      <c r="BA102" s="11">
        <f t="shared" si="9"/>
        <v>0.33333333333333331</v>
      </c>
      <c r="BC102" s="12">
        <v>303.82438950287002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12">
        <f t="shared" si="10"/>
        <v>303.82438950287002</v>
      </c>
      <c r="BP102" s="12">
        <f t="shared" si="11"/>
        <v>25.318699125239167</v>
      </c>
      <c r="BQ102" s="7"/>
      <c r="BR102" s="7"/>
      <c r="BS102" s="7" t="s">
        <v>116</v>
      </c>
      <c r="BT102" s="7" t="s">
        <v>52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/>
    </row>
    <row r="103" spans="1:78" x14ac:dyDescent="0.35">
      <c r="A103" s="7" t="s">
        <v>42</v>
      </c>
      <c r="B103" s="7"/>
      <c r="C103" s="7" t="s">
        <v>195</v>
      </c>
      <c r="D103" s="7" t="s">
        <v>192</v>
      </c>
      <c r="E103" s="7" t="s">
        <v>196</v>
      </c>
      <c r="F103" s="7" t="s">
        <v>246</v>
      </c>
      <c r="G103" s="7" t="s">
        <v>47</v>
      </c>
      <c r="H103" s="7"/>
      <c r="I103" s="7"/>
      <c r="J103" s="7" t="s">
        <v>228</v>
      </c>
      <c r="K103" s="7" t="s">
        <v>49</v>
      </c>
      <c r="L103" s="7" t="s">
        <v>49</v>
      </c>
      <c r="M103" s="7" t="s">
        <v>49</v>
      </c>
      <c r="N103" s="7" t="s">
        <v>194</v>
      </c>
      <c r="O103" s="7" t="s">
        <v>4</v>
      </c>
      <c r="P103" s="7">
        <v>1200000</v>
      </c>
      <c r="Q103" s="7">
        <v>1200000</v>
      </c>
      <c r="R103" s="7">
        <v>1200000</v>
      </c>
      <c r="S103" s="7">
        <v>1200000</v>
      </c>
      <c r="T103" s="7">
        <v>1200000</v>
      </c>
      <c r="U103" s="7">
        <v>1200000</v>
      </c>
      <c r="V103" s="7">
        <v>1200000</v>
      </c>
      <c r="W103" s="7">
        <v>1200000</v>
      </c>
      <c r="X103" s="7">
        <v>1200000</v>
      </c>
      <c r="Y103" s="7">
        <v>1200000</v>
      </c>
      <c r="Z103" s="7">
        <v>1200000</v>
      </c>
      <c r="AA103" s="7">
        <v>1200000</v>
      </c>
      <c r="AB103" s="9">
        <v>75.956097375716993</v>
      </c>
      <c r="AC103" s="9">
        <v>75.956097375716993</v>
      </c>
      <c r="AD103" s="9">
        <v>75.956097375716993</v>
      </c>
      <c r="AE103" s="9">
        <v>75.956097375716993</v>
      </c>
      <c r="AF103" s="9">
        <v>75.956097375716993</v>
      </c>
      <c r="AG103" s="9">
        <v>75.956097375716993</v>
      </c>
      <c r="AH103" s="9">
        <v>75.956097375716993</v>
      </c>
      <c r="AI103" s="9">
        <v>75.956097375716993</v>
      </c>
      <c r="AJ103" s="9">
        <v>75.956097375716993</v>
      </c>
      <c r="AK103" s="9">
        <v>75.956097375716993</v>
      </c>
      <c r="AL103" s="9">
        <v>75.956097375716993</v>
      </c>
      <c r="AM103" s="9">
        <v>75.956097375716993</v>
      </c>
      <c r="AN103" s="10">
        <v>0</v>
      </c>
      <c r="AO103" s="10">
        <v>0</v>
      </c>
      <c r="AP103" s="10">
        <v>0</v>
      </c>
      <c r="AQ103" s="10">
        <v>4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7">
        <f t="shared" si="8"/>
        <v>4</v>
      </c>
      <c r="BA103" s="11">
        <f t="shared" si="9"/>
        <v>0.33333333333333331</v>
      </c>
      <c r="BC103" s="12">
        <v>0</v>
      </c>
      <c r="BD103" s="12">
        <v>0</v>
      </c>
      <c r="BE103" s="12">
        <v>0</v>
      </c>
      <c r="BF103" s="12">
        <v>303.82438950287002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f t="shared" si="10"/>
        <v>303.82438950287002</v>
      </c>
      <c r="BP103" s="12">
        <f t="shared" si="11"/>
        <v>25.318699125239167</v>
      </c>
      <c r="BQ103" s="7"/>
      <c r="BR103" s="7"/>
      <c r="BS103" s="7" t="s">
        <v>116</v>
      </c>
      <c r="BT103" s="7" t="s">
        <v>52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/>
    </row>
    <row r="104" spans="1:78" x14ac:dyDescent="0.35">
      <c r="A104" s="7" t="s">
        <v>42</v>
      </c>
      <c r="B104" s="7"/>
      <c r="C104" s="7" t="s">
        <v>195</v>
      </c>
      <c r="D104" s="7" t="s">
        <v>192</v>
      </c>
      <c r="E104" s="7" t="s">
        <v>196</v>
      </c>
      <c r="F104" s="7" t="s">
        <v>252</v>
      </c>
      <c r="G104" s="7" t="s">
        <v>47</v>
      </c>
      <c r="H104" s="7"/>
      <c r="I104" s="7"/>
      <c r="J104" s="7" t="s">
        <v>228</v>
      </c>
      <c r="K104" s="7" t="s">
        <v>49</v>
      </c>
      <c r="L104" s="7" t="s">
        <v>49</v>
      </c>
      <c r="M104" s="7" t="s">
        <v>49</v>
      </c>
      <c r="N104" s="7" t="s">
        <v>194</v>
      </c>
      <c r="O104" s="7" t="s">
        <v>4</v>
      </c>
      <c r="P104" s="7">
        <v>1200000</v>
      </c>
      <c r="Q104" s="7">
        <v>1200000</v>
      </c>
      <c r="R104" s="7">
        <v>1200000</v>
      </c>
      <c r="S104" s="7">
        <v>1200000</v>
      </c>
      <c r="T104" s="7">
        <v>1200000</v>
      </c>
      <c r="U104" s="7">
        <v>1200000</v>
      </c>
      <c r="V104" s="7">
        <v>1200000</v>
      </c>
      <c r="W104" s="7">
        <v>1200000</v>
      </c>
      <c r="X104" s="7">
        <v>1200000</v>
      </c>
      <c r="Y104" s="7">
        <v>1200000</v>
      </c>
      <c r="Z104" s="7">
        <v>1200000</v>
      </c>
      <c r="AA104" s="7">
        <v>1200000</v>
      </c>
      <c r="AB104" s="9">
        <v>75.956097375716993</v>
      </c>
      <c r="AC104" s="9">
        <v>75.956097375716993</v>
      </c>
      <c r="AD104" s="9">
        <v>75.956097375716993</v>
      </c>
      <c r="AE104" s="9">
        <v>75.956097375716993</v>
      </c>
      <c r="AF104" s="9">
        <v>75.956097375716993</v>
      </c>
      <c r="AG104" s="9">
        <v>75.956097375716993</v>
      </c>
      <c r="AH104" s="9">
        <v>75.956097375716993</v>
      </c>
      <c r="AI104" s="9">
        <v>75.956097375716993</v>
      </c>
      <c r="AJ104" s="9">
        <v>75.956097375716993</v>
      </c>
      <c r="AK104" s="9">
        <v>75.956097375716993</v>
      </c>
      <c r="AL104" s="9">
        <v>75.956097375716993</v>
      </c>
      <c r="AM104" s="9">
        <v>75.956097375716993</v>
      </c>
      <c r="AN104" s="10">
        <v>0</v>
      </c>
      <c r="AO104" s="10">
        <v>0</v>
      </c>
      <c r="AP104" s="10">
        <v>0</v>
      </c>
      <c r="AQ104" s="10">
        <v>2</v>
      </c>
      <c r="AR104" s="10">
        <v>0</v>
      </c>
      <c r="AS104" s="10">
        <v>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7">
        <f t="shared" si="8"/>
        <v>2</v>
      </c>
      <c r="BA104" s="11">
        <f t="shared" si="9"/>
        <v>0.16666666666666666</v>
      </c>
      <c r="BC104" s="12">
        <v>0</v>
      </c>
      <c r="BD104" s="12">
        <v>0</v>
      </c>
      <c r="BE104" s="12">
        <v>0</v>
      </c>
      <c r="BF104" s="12">
        <v>151.91219475143001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f t="shared" si="10"/>
        <v>151.91219475143001</v>
      </c>
      <c r="BP104" s="12">
        <f t="shared" si="11"/>
        <v>12.659349562619168</v>
      </c>
      <c r="BQ104" s="7"/>
      <c r="BR104" s="7"/>
      <c r="BS104" s="7" t="s">
        <v>116</v>
      </c>
      <c r="BT104" s="7" t="s">
        <v>52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/>
    </row>
    <row r="105" spans="1:78" x14ac:dyDescent="0.35">
      <c r="A105" s="7" t="s">
        <v>42</v>
      </c>
      <c r="B105" s="7"/>
      <c r="C105" s="7" t="s">
        <v>206</v>
      </c>
      <c r="D105" s="7" t="s">
        <v>207</v>
      </c>
      <c r="E105" s="7" t="s">
        <v>208</v>
      </c>
      <c r="F105" s="7" t="s">
        <v>252</v>
      </c>
      <c r="G105" s="7" t="s">
        <v>47</v>
      </c>
      <c r="H105" s="7"/>
      <c r="I105" s="7"/>
      <c r="J105" s="7" t="s">
        <v>228</v>
      </c>
      <c r="K105" s="7" t="s">
        <v>49</v>
      </c>
      <c r="L105" s="7" t="s">
        <v>49</v>
      </c>
      <c r="M105" s="7" t="s">
        <v>49</v>
      </c>
      <c r="N105" s="7" t="s">
        <v>115</v>
      </c>
      <c r="O105" s="7" t="s">
        <v>4</v>
      </c>
      <c r="P105" s="7">
        <v>300000</v>
      </c>
      <c r="Q105" s="7">
        <v>300000</v>
      </c>
      <c r="R105" s="7">
        <v>300000</v>
      </c>
      <c r="S105" s="7">
        <v>300000</v>
      </c>
      <c r="T105" s="7">
        <v>300000</v>
      </c>
      <c r="U105" s="7">
        <v>300000</v>
      </c>
      <c r="V105" s="7">
        <v>300000</v>
      </c>
      <c r="W105" s="7">
        <v>300000</v>
      </c>
      <c r="X105" s="7">
        <v>300000</v>
      </c>
      <c r="Y105" s="7">
        <v>300000</v>
      </c>
      <c r="Z105" s="7">
        <v>300000</v>
      </c>
      <c r="AA105" s="7">
        <v>300000</v>
      </c>
      <c r="AB105" s="9">
        <v>18.989024343929</v>
      </c>
      <c r="AC105" s="9">
        <v>18.989024343929</v>
      </c>
      <c r="AD105" s="9">
        <v>18.989024343929</v>
      </c>
      <c r="AE105" s="9">
        <v>18.989024343929</v>
      </c>
      <c r="AF105" s="9">
        <v>18.989024343929</v>
      </c>
      <c r="AG105" s="9">
        <v>18.989024343929</v>
      </c>
      <c r="AH105" s="9">
        <v>18.989024343929</v>
      </c>
      <c r="AI105" s="9">
        <v>18.989024343929</v>
      </c>
      <c r="AJ105" s="9">
        <v>18.989024343929</v>
      </c>
      <c r="AK105" s="9">
        <v>18.989024343929</v>
      </c>
      <c r="AL105" s="9">
        <v>18.989024343929</v>
      </c>
      <c r="AM105" s="9">
        <v>18.989024343929</v>
      </c>
      <c r="AN105" s="10">
        <v>0</v>
      </c>
      <c r="AO105" s="10">
        <v>0</v>
      </c>
      <c r="AP105" s="10">
        <v>0</v>
      </c>
      <c r="AQ105" s="10">
        <v>1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7">
        <f t="shared" si="8"/>
        <v>1</v>
      </c>
      <c r="BA105" s="11">
        <f t="shared" si="9"/>
        <v>8.3333333333333329E-2</v>
      </c>
      <c r="BC105" s="12">
        <v>0</v>
      </c>
      <c r="BD105" s="12">
        <v>0</v>
      </c>
      <c r="BE105" s="12">
        <v>0</v>
      </c>
      <c r="BF105" s="12">
        <v>18.989024343929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f t="shared" si="10"/>
        <v>18.989024343929</v>
      </c>
      <c r="BP105" s="12">
        <f t="shared" si="11"/>
        <v>1.5824186953274166</v>
      </c>
      <c r="BQ105" s="7"/>
      <c r="BR105" s="7"/>
      <c r="BS105" s="7" t="s">
        <v>116</v>
      </c>
      <c r="BT105" s="7" t="s">
        <v>52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/>
    </row>
    <row r="106" spans="1:78" x14ac:dyDescent="0.35">
      <c r="A106" s="7" t="s">
        <v>42</v>
      </c>
      <c r="B106" s="7"/>
      <c r="C106" s="7" t="s">
        <v>253</v>
      </c>
      <c r="D106" s="7" t="s">
        <v>213</v>
      </c>
      <c r="E106" s="7" t="s">
        <v>254</v>
      </c>
      <c r="F106" s="7" t="s">
        <v>245</v>
      </c>
      <c r="G106" s="7" t="s">
        <v>47</v>
      </c>
      <c r="H106" s="7"/>
      <c r="I106" s="7"/>
      <c r="J106" s="7" t="s">
        <v>228</v>
      </c>
      <c r="K106" s="7" t="s">
        <v>49</v>
      </c>
      <c r="L106" s="7" t="s">
        <v>49</v>
      </c>
      <c r="M106" s="7" t="s">
        <v>49</v>
      </c>
      <c r="N106" s="7" t="s">
        <v>115</v>
      </c>
      <c r="O106" s="7" t="s">
        <v>4</v>
      </c>
      <c r="P106" s="7">
        <v>35000</v>
      </c>
      <c r="Q106" s="7">
        <v>35000</v>
      </c>
      <c r="R106" s="7">
        <v>35000</v>
      </c>
      <c r="S106" s="7">
        <v>35000</v>
      </c>
      <c r="T106" s="7">
        <v>35000</v>
      </c>
      <c r="U106" s="7">
        <v>35000</v>
      </c>
      <c r="V106" s="7">
        <v>35000</v>
      </c>
      <c r="W106" s="7">
        <v>35000</v>
      </c>
      <c r="X106" s="7">
        <v>35000</v>
      </c>
      <c r="Y106" s="7">
        <v>35000</v>
      </c>
      <c r="Z106" s="7">
        <v>35000</v>
      </c>
      <c r="AA106" s="7">
        <v>35000</v>
      </c>
      <c r="AB106" s="9">
        <v>2.2153861734584002</v>
      </c>
      <c r="AC106" s="9">
        <v>2.2153861734584002</v>
      </c>
      <c r="AD106" s="9">
        <v>2.2153861734584002</v>
      </c>
      <c r="AE106" s="9">
        <v>2.2153861734584002</v>
      </c>
      <c r="AF106" s="9">
        <v>2.2153861734584002</v>
      </c>
      <c r="AG106" s="9">
        <v>2.2153861734584002</v>
      </c>
      <c r="AH106" s="9">
        <v>2.2153861734584002</v>
      </c>
      <c r="AI106" s="9">
        <v>2.2153861734584002</v>
      </c>
      <c r="AJ106" s="9">
        <v>2.2153861734584002</v>
      </c>
      <c r="AK106" s="9">
        <v>2.2153861734584002</v>
      </c>
      <c r="AL106" s="9">
        <v>2.2153861734584002</v>
      </c>
      <c r="AM106" s="9">
        <v>2.2153861734584002</v>
      </c>
      <c r="AN106" s="10">
        <v>6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7">
        <f t="shared" si="8"/>
        <v>6</v>
      </c>
      <c r="BA106" s="11">
        <f t="shared" si="9"/>
        <v>0.5</v>
      </c>
      <c r="BC106" s="12">
        <v>13.29231704075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f t="shared" si="10"/>
        <v>13.29231704075</v>
      </c>
      <c r="BP106" s="12">
        <f t="shared" si="11"/>
        <v>1.1076930867291666</v>
      </c>
      <c r="BQ106" s="7"/>
      <c r="BR106" s="7"/>
      <c r="BS106" s="7" t="s">
        <v>116</v>
      </c>
      <c r="BT106" s="7" t="s">
        <v>52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/>
    </row>
    <row r="107" spans="1:78" x14ac:dyDescent="0.35">
      <c r="A107" s="7" t="s">
        <v>42</v>
      </c>
      <c r="B107" s="7"/>
      <c r="C107" s="7" t="s">
        <v>253</v>
      </c>
      <c r="D107" s="7" t="s">
        <v>213</v>
      </c>
      <c r="E107" s="7" t="s">
        <v>254</v>
      </c>
      <c r="F107" s="7" t="s">
        <v>246</v>
      </c>
      <c r="G107" s="7" t="s">
        <v>47</v>
      </c>
      <c r="H107" s="7"/>
      <c r="I107" s="7"/>
      <c r="J107" s="7" t="s">
        <v>228</v>
      </c>
      <c r="K107" s="7" t="s">
        <v>49</v>
      </c>
      <c r="L107" s="7" t="s">
        <v>49</v>
      </c>
      <c r="M107" s="7" t="s">
        <v>49</v>
      </c>
      <c r="N107" s="7" t="s">
        <v>115</v>
      </c>
      <c r="O107" s="7" t="s">
        <v>4</v>
      </c>
      <c r="P107" s="7">
        <v>35000</v>
      </c>
      <c r="Q107" s="7">
        <v>35000</v>
      </c>
      <c r="R107" s="7">
        <v>35000</v>
      </c>
      <c r="S107" s="7">
        <v>35000</v>
      </c>
      <c r="T107" s="7">
        <v>35000</v>
      </c>
      <c r="U107" s="7">
        <v>35000</v>
      </c>
      <c r="V107" s="7">
        <v>35000</v>
      </c>
      <c r="W107" s="7">
        <v>35000</v>
      </c>
      <c r="X107" s="7">
        <v>35000</v>
      </c>
      <c r="Y107" s="7">
        <v>35000</v>
      </c>
      <c r="Z107" s="7">
        <v>35000</v>
      </c>
      <c r="AA107" s="7">
        <v>35000</v>
      </c>
      <c r="AB107" s="9">
        <v>2.2153861734584002</v>
      </c>
      <c r="AC107" s="9">
        <v>2.2153861734584002</v>
      </c>
      <c r="AD107" s="9">
        <v>2.2153861734584002</v>
      </c>
      <c r="AE107" s="9">
        <v>2.2153861734584002</v>
      </c>
      <c r="AF107" s="9">
        <v>2.2153861734584002</v>
      </c>
      <c r="AG107" s="9">
        <v>2.2153861734584002</v>
      </c>
      <c r="AH107" s="9">
        <v>2.2153861734584002</v>
      </c>
      <c r="AI107" s="9">
        <v>2.2153861734584002</v>
      </c>
      <c r="AJ107" s="9">
        <v>2.2153861734584002</v>
      </c>
      <c r="AK107" s="9">
        <v>2.2153861734584002</v>
      </c>
      <c r="AL107" s="9">
        <v>2.2153861734584002</v>
      </c>
      <c r="AM107" s="9">
        <v>2.2153861734584002</v>
      </c>
      <c r="AN107" s="10">
        <v>0</v>
      </c>
      <c r="AO107" s="10">
        <v>0</v>
      </c>
      <c r="AP107" s="10">
        <v>0</v>
      </c>
      <c r="AQ107" s="10">
        <v>3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7">
        <f t="shared" si="8"/>
        <v>3</v>
      </c>
      <c r="BA107" s="11">
        <f t="shared" si="9"/>
        <v>0.25</v>
      </c>
      <c r="BC107" s="12">
        <v>0</v>
      </c>
      <c r="BD107" s="12">
        <v>0</v>
      </c>
      <c r="BE107" s="12">
        <v>0</v>
      </c>
      <c r="BF107" s="12">
        <v>6.6461585203751996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f t="shared" si="10"/>
        <v>6.6461585203751996</v>
      </c>
      <c r="BP107" s="12">
        <f t="shared" si="11"/>
        <v>0.55384654336459993</v>
      </c>
      <c r="BQ107" s="7"/>
      <c r="BR107" s="7"/>
      <c r="BS107" s="7" t="s">
        <v>116</v>
      </c>
      <c r="BT107" s="7" t="s">
        <v>52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/>
    </row>
    <row r="108" spans="1:78" x14ac:dyDescent="0.35">
      <c r="A108" s="7" t="s">
        <v>42</v>
      </c>
      <c r="B108" s="7"/>
      <c r="C108" s="7" t="s">
        <v>255</v>
      </c>
      <c r="D108" s="7" t="s">
        <v>213</v>
      </c>
      <c r="E108" s="7" t="s">
        <v>256</v>
      </c>
      <c r="F108" s="7" t="s">
        <v>245</v>
      </c>
      <c r="G108" s="7" t="s">
        <v>47</v>
      </c>
      <c r="H108" s="7"/>
      <c r="I108" s="7"/>
      <c r="J108" s="7" t="s">
        <v>228</v>
      </c>
      <c r="K108" s="7" t="s">
        <v>49</v>
      </c>
      <c r="L108" s="7" t="s">
        <v>49</v>
      </c>
      <c r="M108" s="7" t="s">
        <v>49</v>
      </c>
      <c r="N108" s="7" t="s">
        <v>115</v>
      </c>
      <c r="O108" s="7" t="s">
        <v>4</v>
      </c>
      <c r="P108" s="7">
        <v>20000</v>
      </c>
      <c r="Q108" s="7">
        <v>20000</v>
      </c>
      <c r="R108" s="7">
        <v>20000</v>
      </c>
      <c r="S108" s="7">
        <v>20000</v>
      </c>
      <c r="T108" s="7">
        <v>20000</v>
      </c>
      <c r="U108" s="7">
        <v>20000</v>
      </c>
      <c r="V108" s="7">
        <v>20000</v>
      </c>
      <c r="W108" s="7">
        <v>20000</v>
      </c>
      <c r="X108" s="7">
        <v>20000</v>
      </c>
      <c r="Y108" s="7">
        <v>20000</v>
      </c>
      <c r="Z108" s="7">
        <v>20000</v>
      </c>
      <c r="AA108" s="7">
        <v>20000</v>
      </c>
      <c r="AB108" s="9">
        <v>1.2659349562619</v>
      </c>
      <c r="AC108" s="9">
        <v>1.2659349562619</v>
      </c>
      <c r="AD108" s="9">
        <v>1.2659349562619</v>
      </c>
      <c r="AE108" s="9">
        <v>1.2659349562619</v>
      </c>
      <c r="AF108" s="9">
        <v>1.2659349562619</v>
      </c>
      <c r="AG108" s="9">
        <v>1.2659349562619</v>
      </c>
      <c r="AH108" s="9">
        <v>1.2659349562619</v>
      </c>
      <c r="AI108" s="9">
        <v>1.2659349562619</v>
      </c>
      <c r="AJ108" s="9">
        <v>1.2659349562619</v>
      </c>
      <c r="AK108" s="9">
        <v>1.2659349562619</v>
      </c>
      <c r="AL108" s="9">
        <v>1.2659349562619</v>
      </c>
      <c r="AM108" s="9">
        <v>1.2659349562619</v>
      </c>
      <c r="AN108" s="10">
        <v>2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0</v>
      </c>
      <c r="AU108" s="10">
        <v>0</v>
      </c>
      <c r="AV108" s="10">
        <v>0</v>
      </c>
      <c r="AW108" s="10">
        <v>0</v>
      </c>
      <c r="AX108" s="10">
        <v>0</v>
      </c>
      <c r="AY108" s="10">
        <v>0</v>
      </c>
      <c r="AZ108" s="7">
        <f t="shared" si="8"/>
        <v>2</v>
      </c>
      <c r="BA108" s="11">
        <f t="shared" si="9"/>
        <v>0.16666666666666666</v>
      </c>
      <c r="BC108" s="12">
        <v>2.5318699125238999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f t="shared" si="10"/>
        <v>2.5318699125238999</v>
      </c>
      <c r="BP108" s="12">
        <f t="shared" si="11"/>
        <v>0.21098915937699167</v>
      </c>
      <c r="BQ108" s="7"/>
      <c r="BR108" s="7"/>
      <c r="BS108" s="7" t="s">
        <v>116</v>
      </c>
      <c r="BT108" s="7" t="s">
        <v>52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/>
    </row>
    <row r="109" spans="1:78" x14ac:dyDescent="0.35">
      <c r="A109" s="7" t="s">
        <v>42</v>
      </c>
      <c r="B109" s="7"/>
      <c r="C109" s="7" t="s">
        <v>255</v>
      </c>
      <c r="D109" s="7" t="s">
        <v>213</v>
      </c>
      <c r="E109" s="7" t="s">
        <v>256</v>
      </c>
      <c r="F109" s="7" t="s">
        <v>246</v>
      </c>
      <c r="G109" s="7" t="s">
        <v>47</v>
      </c>
      <c r="H109" s="7"/>
      <c r="I109" s="7"/>
      <c r="J109" s="7" t="s">
        <v>228</v>
      </c>
      <c r="K109" s="7" t="s">
        <v>49</v>
      </c>
      <c r="L109" s="7" t="s">
        <v>49</v>
      </c>
      <c r="M109" s="7" t="s">
        <v>49</v>
      </c>
      <c r="N109" s="7" t="s">
        <v>115</v>
      </c>
      <c r="O109" s="7" t="s">
        <v>4</v>
      </c>
      <c r="P109" s="7">
        <v>20000</v>
      </c>
      <c r="Q109" s="7">
        <v>20000</v>
      </c>
      <c r="R109" s="7">
        <v>20000</v>
      </c>
      <c r="S109" s="7">
        <v>20000</v>
      </c>
      <c r="T109" s="7">
        <v>20000</v>
      </c>
      <c r="U109" s="7">
        <v>20000</v>
      </c>
      <c r="V109" s="7">
        <v>20000</v>
      </c>
      <c r="W109" s="7">
        <v>20000</v>
      </c>
      <c r="X109" s="7">
        <v>20000</v>
      </c>
      <c r="Y109" s="7">
        <v>20000</v>
      </c>
      <c r="Z109" s="7">
        <v>20000</v>
      </c>
      <c r="AA109" s="7">
        <v>20000</v>
      </c>
      <c r="AB109" s="9">
        <v>1.2659349562619</v>
      </c>
      <c r="AC109" s="9">
        <v>1.2659349562619</v>
      </c>
      <c r="AD109" s="9">
        <v>1.2659349562619</v>
      </c>
      <c r="AE109" s="9">
        <v>1.2659349562619</v>
      </c>
      <c r="AF109" s="9">
        <v>1.2659349562619</v>
      </c>
      <c r="AG109" s="9">
        <v>1.2659349562619</v>
      </c>
      <c r="AH109" s="9">
        <v>1.2659349562619</v>
      </c>
      <c r="AI109" s="9">
        <v>1.2659349562619</v>
      </c>
      <c r="AJ109" s="9">
        <v>1.2659349562619</v>
      </c>
      <c r="AK109" s="9">
        <v>1.2659349562619</v>
      </c>
      <c r="AL109" s="9">
        <v>1.2659349562619</v>
      </c>
      <c r="AM109" s="9">
        <v>1.2659349562619</v>
      </c>
      <c r="AN109" s="10">
        <v>0</v>
      </c>
      <c r="AO109" s="10">
        <v>0</v>
      </c>
      <c r="AP109" s="10">
        <v>0</v>
      </c>
      <c r="AQ109" s="10">
        <v>2</v>
      </c>
      <c r="AR109" s="10">
        <v>0</v>
      </c>
      <c r="AS109" s="10">
        <v>0</v>
      </c>
      <c r="AT109" s="10">
        <v>0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7">
        <f t="shared" ref="AZ109:AZ140" si="12">SUM(AN109:AY109)</f>
        <v>2</v>
      </c>
      <c r="BA109" s="11">
        <f t="shared" ref="BA109:BA140" si="13">AZ109/12</f>
        <v>0.16666666666666666</v>
      </c>
      <c r="BC109" s="12">
        <v>0</v>
      </c>
      <c r="BD109" s="12">
        <v>0</v>
      </c>
      <c r="BE109" s="12">
        <v>0</v>
      </c>
      <c r="BF109" s="12">
        <v>2.5318699125238999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f t="shared" ref="BO109:BO140" si="14">SUM(BC109:BN109)</f>
        <v>2.5318699125238999</v>
      </c>
      <c r="BP109" s="12">
        <f t="shared" ref="BP109:BP140" si="15">BO109/12</f>
        <v>0.21098915937699167</v>
      </c>
      <c r="BQ109" s="7"/>
      <c r="BR109" s="7"/>
      <c r="BS109" s="7" t="s">
        <v>116</v>
      </c>
      <c r="BT109" s="7" t="s">
        <v>52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/>
    </row>
    <row r="110" spans="1:78" x14ac:dyDescent="0.35">
      <c r="A110" s="7" t="s">
        <v>42</v>
      </c>
      <c r="B110" s="7"/>
      <c r="C110" s="7" t="s">
        <v>257</v>
      </c>
      <c r="D110" s="7" t="s">
        <v>213</v>
      </c>
      <c r="E110" s="7" t="s">
        <v>258</v>
      </c>
      <c r="F110" s="7" t="s">
        <v>245</v>
      </c>
      <c r="G110" s="7" t="s">
        <v>47</v>
      </c>
      <c r="H110" s="7"/>
      <c r="I110" s="7"/>
      <c r="J110" s="7" t="s">
        <v>228</v>
      </c>
      <c r="K110" s="7" t="s">
        <v>49</v>
      </c>
      <c r="L110" s="7" t="s">
        <v>49</v>
      </c>
      <c r="M110" s="7" t="s">
        <v>49</v>
      </c>
      <c r="N110" s="7" t="s">
        <v>115</v>
      </c>
      <c r="O110" s="7" t="s">
        <v>4</v>
      </c>
      <c r="P110" s="7">
        <v>20000</v>
      </c>
      <c r="Q110" s="7">
        <v>20000</v>
      </c>
      <c r="R110" s="7">
        <v>20000</v>
      </c>
      <c r="S110" s="7">
        <v>20000</v>
      </c>
      <c r="T110" s="7">
        <v>20000</v>
      </c>
      <c r="U110" s="7">
        <v>20000</v>
      </c>
      <c r="V110" s="7">
        <v>20000</v>
      </c>
      <c r="W110" s="7">
        <v>20000</v>
      </c>
      <c r="X110" s="7">
        <v>20000</v>
      </c>
      <c r="Y110" s="7">
        <v>20000</v>
      </c>
      <c r="Z110" s="7">
        <v>20000</v>
      </c>
      <c r="AA110" s="7">
        <v>20000</v>
      </c>
      <c r="AB110" s="9">
        <v>1.2659349562619</v>
      </c>
      <c r="AC110" s="9">
        <v>1.2659349562619</v>
      </c>
      <c r="AD110" s="9">
        <v>1.2659349562619</v>
      </c>
      <c r="AE110" s="9">
        <v>1.2659349562619</v>
      </c>
      <c r="AF110" s="9">
        <v>1.2659349562619</v>
      </c>
      <c r="AG110" s="9">
        <v>1.2659349562619</v>
      </c>
      <c r="AH110" s="9">
        <v>1.2659349562619</v>
      </c>
      <c r="AI110" s="9">
        <v>1.2659349562619</v>
      </c>
      <c r="AJ110" s="9">
        <v>1.2659349562619</v>
      </c>
      <c r="AK110" s="9">
        <v>1.2659349562619</v>
      </c>
      <c r="AL110" s="9">
        <v>1.2659349562619</v>
      </c>
      <c r="AM110" s="9">
        <v>1.2659349562619</v>
      </c>
      <c r="AN110" s="10">
        <v>4</v>
      </c>
      <c r="AO110" s="10">
        <v>0</v>
      </c>
      <c r="AP110" s="10">
        <v>0</v>
      </c>
      <c r="AQ110" s="10">
        <v>0</v>
      </c>
      <c r="AR110" s="10">
        <v>0</v>
      </c>
      <c r="AS110" s="10">
        <v>0</v>
      </c>
      <c r="AT110" s="10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7">
        <f t="shared" si="12"/>
        <v>4</v>
      </c>
      <c r="BA110" s="11">
        <f t="shared" si="13"/>
        <v>0.33333333333333331</v>
      </c>
      <c r="BC110" s="12">
        <v>5.0637398250477998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f t="shared" si="14"/>
        <v>5.0637398250477998</v>
      </c>
      <c r="BP110" s="12">
        <f t="shared" si="15"/>
        <v>0.42197831875398334</v>
      </c>
      <c r="BQ110" s="7"/>
      <c r="BR110" s="7"/>
      <c r="BS110" s="7" t="s">
        <v>116</v>
      </c>
      <c r="BT110" s="7" t="s">
        <v>52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/>
    </row>
    <row r="111" spans="1:78" x14ac:dyDescent="0.35">
      <c r="A111" s="7" t="s">
        <v>42</v>
      </c>
      <c r="B111" s="7"/>
      <c r="C111" s="7" t="s">
        <v>257</v>
      </c>
      <c r="D111" s="7" t="s">
        <v>213</v>
      </c>
      <c r="E111" s="7" t="s">
        <v>258</v>
      </c>
      <c r="F111" s="7" t="s">
        <v>246</v>
      </c>
      <c r="G111" s="7" t="s">
        <v>47</v>
      </c>
      <c r="H111" s="7"/>
      <c r="I111" s="7"/>
      <c r="J111" s="7" t="s">
        <v>228</v>
      </c>
      <c r="K111" s="7" t="s">
        <v>49</v>
      </c>
      <c r="L111" s="7" t="s">
        <v>49</v>
      </c>
      <c r="M111" s="7" t="s">
        <v>49</v>
      </c>
      <c r="N111" s="7" t="s">
        <v>115</v>
      </c>
      <c r="O111" s="7" t="s">
        <v>4</v>
      </c>
      <c r="P111" s="7">
        <v>20000</v>
      </c>
      <c r="Q111" s="7">
        <v>20000</v>
      </c>
      <c r="R111" s="7">
        <v>20000</v>
      </c>
      <c r="S111" s="7">
        <v>20000</v>
      </c>
      <c r="T111" s="7">
        <v>20000</v>
      </c>
      <c r="U111" s="7">
        <v>20000</v>
      </c>
      <c r="V111" s="7">
        <v>20000</v>
      </c>
      <c r="W111" s="7">
        <v>20000</v>
      </c>
      <c r="X111" s="7">
        <v>20000</v>
      </c>
      <c r="Y111" s="7">
        <v>20000</v>
      </c>
      <c r="Z111" s="7">
        <v>20000</v>
      </c>
      <c r="AA111" s="7">
        <v>20000</v>
      </c>
      <c r="AB111" s="9">
        <v>1.2659349562619</v>
      </c>
      <c r="AC111" s="9">
        <v>1.2659349562619</v>
      </c>
      <c r="AD111" s="9">
        <v>1.2659349562619</v>
      </c>
      <c r="AE111" s="9">
        <v>1.2659349562619</v>
      </c>
      <c r="AF111" s="9">
        <v>1.2659349562619</v>
      </c>
      <c r="AG111" s="9">
        <v>1.2659349562619</v>
      </c>
      <c r="AH111" s="9">
        <v>1.2659349562619</v>
      </c>
      <c r="AI111" s="9">
        <v>1.2659349562619</v>
      </c>
      <c r="AJ111" s="9">
        <v>1.2659349562619</v>
      </c>
      <c r="AK111" s="9">
        <v>1.2659349562619</v>
      </c>
      <c r="AL111" s="9">
        <v>1.2659349562619</v>
      </c>
      <c r="AM111" s="9">
        <v>1.2659349562619</v>
      </c>
      <c r="AN111" s="10">
        <v>0</v>
      </c>
      <c r="AO111" s="10">
        <v>0</v>
      </c>
      <c r="AP111" s="10">
        <v>0</v>
      </c>
      <c r="AQ111" s="10">
        <v>2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7">
        <f t="shared" si="12"/>
        <v>2</v>
      </c>
      <c r="BA111" s="11">
        <f t="shared" si="13"/>
        <v>0.16666666666666666</v>
      </c>
      <c r="BC111" s="12">
        <v>0</v>
      </c>
      <c r="BD111" s="12">
        <v>0</v>
      </c>
      <c r="BE111" s="12">
        <v>0</v>
      </c>
      <c r="BF111" s="12">
        <v>2.5318699125238999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f t="shared" si="14"/>
        <v>2.5318699125238999</v>
      </c>
      <c r="BP111" s="12">
        <f t="shared" si="15"/>
        <v>0.21098915937699167</v>
      </c>
      <c r="BQ111" s="7"/>
      <c r="BR111" s="7"/>
      <c r="BS111" s="7" t="s">
        <v>116</v>
      </c>
      <c r="BT111" s="7" t="s">
        <v>52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/>
    </row>
    <row r="112" spans="1:78" x14ac:dyDescent="0.35">
      <c r="A112" s="7" t="s">
        <v>42</v>
      </c>
      <c r="B112" s="7"/>
      <c r="C112" s="7" t="s">
        <v>212</v>
      </c>
      <c r="D112" s="7" t="s">
        <v>213</v>
      </c>
      <c r="E112" s="7" t="s">
        <v>214</v>
      </c>
      <c r="F112" s="7" t="s">
        <v>245</v>
      </c>
      <c r="G112" s="7" t="s">
        <v>47</v>
      </c>
      <c r="H112" s="7"/>
      <c r="I112" s="7"/>
      <c r="J112" s="7" t="s">
        <v>228</v>
      </c>
      <c r="K112" s="7" t="s">
        <v>49</v>
      </c>
      <c r="L112" s="7" t="s">
        <v>49</v>
      </c>
      <c r="M112" s="7" t="s">
        <v>49</v>
      </c>
      <c r="N112" s="7" t="s">
        <v>115</v>
      </c>
      <c r="O112" s="7" t="s">
        <v>4</v>
      </c>
      <c r="P112" s="7">
        <v>40000</v>
      </c>
      <c r="Q112" s="7">
        <v>40000</v>
      </c>
      <c r="R112" s="7">
        <v>40000</v>
      </c>
      <c r="S112" s="7">
        <v>40000</v>
      </c>
      <c r="T112" s="7">
        <v>40000</v>
      </c>
      <c r="U112" s="7">
        <v>40000</v>
      </c>
      <c r="V112" s="7">
        <v>40000</v>
      </c>
      <c r="W112" s="7">
        <v>40000</v>
      </c>
      <c r="X112" s="7">
        <v>40000</v>
      </c>
      <c r="Y112" s="7">
        <v>40000</v>
      </c>
      <c r="Z112" s="7">
        <v>40000</v>
      </c>
      <c r="AA112" s="7">
        <v>40000</v>
      </c>
      <c r="AB112" s="9">
        <v>2.5318699125238999</v>
      </c>
      <c r="AC112" s="9">
        <v>2.5318699125238999</v>
      </c>
      <c r="AD112" s="9">
        <v>2.5318699125238999</v>
      </c>
      <c r="AE112" s="9">
        <v>2.5318699125238999</v>
      </c>
      <c r="AF112" s="9">
        <v>2.5318699125238999</v>
      </c>
      <c r="AG112" s="9">
        <v>2.5318699125238999</v>
      </c>
      <c r="AH112" s="9">
        <v>2.5318699125238999</v>
      </c>
      <c r="AI112" s="9">
        <v>2.5318699125238999</v>
      </c>
      <c r="AJ112" s="9">
        <v>2.5318699125238999</v>
      </c>
      <c r="AK112" s="9">
        <v>2.5318699125238999</v>
      </c>
      <c r="AL112" s="9">
        <v>2.5318699125238999</v>
      </c>
      <c r="AM112" s="9">
        <v>2.5318699125238999</v>
      </c>
      <c r="AN112" s="10">
        <v>6</v>
      </c>
      <c r="AO112" s="10">
        <v>0</v>
      </c>
      <c r="AP112" s="10">
        <v>0</v>
      </c>
      <c r="AQ112" s="10">
        <v>0</v>
      </c>
      <c r="AR112" s="10">
        <v>0</v>
      </c>
      <c r="AS112" s="10">
        <v>0</v>
      </c>
      <c r="AT112" s="10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0</v>
      </c>
      <c r="AZ112" s="7">
        <f t="shared" si="12"/>
        <v>6</v>
      </c>
      <c r="BA112" s="11">
        <f t="shared" si="13"/>
        <v>0.5</v>
      </c>
      <c r="BC112" s="12">
        <v>15.191219475143001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f t="shared" si="14"/>
        <v>15.191219475143001</v>
      </c>
      <c r="BP112" s="12">
        <f t="shared" si="15"/>
        <v>1.2659349562619167</v>
      </c>
      <c r="BQ112" s="7"/>
      <c r="BR112" s="7"/>
      <c r="BS112" s="7" t="s">
        <v>116</v>
      </c>
      <c r="BT112" s="7" t="s">
        <v>52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/>
    </row>
    <row r="113" spans="1:78" x14ac:dyDescent="0.35">
      <c r="A113" s="7" t="s">
        <v>42</v>
      </c>
      <c r="B113" s="7"/>
      <c r="C113" s="7" t="s">
        <v>212</v>
      </c>
      <c r="D113" s="7" t="s">
        <v>213</v>
      </c>
      <c r="E113" s="7" t="s">
        <v>214</v>
      </c>
      <c r="F113" s="7" t="s">
        <v>246</v>
      </c>
      <c r="G113" s="7" t="s">
        <v>47</v>
      </c>
      <c r="H113" s="7"/>
      <c r="I113" s="7"/>
      <c r="J113" s="7" t="s">
        <v>228</v>
      </c>
      <c r="K113" s="7" t="s">
        <v>49</v>
      </c>
      <c r="L113" s="7" t="s">
        <v>49</v>
      </c>
      <c r="M113" s="7" t="s">
        <v>49</v>
      </c>
      <c r="N113" s="7" t="s">
        <v>115</v>
      </c>
      <c r="O113" s="7" t="s">
        <v>4</v>
      </c>
      <c r="P113" s="7">
        <v>40000</v>
      </c>
      <c r="Q113" s="7">
        <v>40000</v>
      </c>
      <c r="R113" s="7">
        <v>40000</v>
      </c>
      <c r="S113" s="7">
        <v>40000</v>
      </c>
      <c r="T113" s="7">
        <v>40000</v>
      </c>
      <c r="U113" s="7">
        <v>40000</v>
      </c>
      <c r="V113" s="7">
        <v>40000</v>
      </c>
      <c r="W113" s="7">
        <v>40000</v>
      </c>
      <c r="X113" s="7">
        <v>40000</v>
      </c>
      <c r="Y113" s="7">
        <v>40000</v>
      </c>
      <c r="Z113" s="7">
        <v>40000</v>
      </c>
      <c r="AA113" s="7">
        <v>40000</v>
      </c>
      <c r="AB113" s="9">
        <v>2.5318699125238999</v>
      </c>
      <c r="AC113" s="9">
        <v>2.5318699125238999</v>
      </c>
      <c r="AD113" s="9">
        <v>2.5318699125238999</v>
      </c>
      <c r="AE113" s="9">
        <v>2.5318699125238999</v>
      </c>
      <c r="AF113" s="9">
        <v>2.5318699125238999</v>
      </c>
      <c r="AG113" s="9">
        <v>2.5318699125238999</v>
      </c>
      <c r="AH113" s="9">
        <v>2.5318699125238999</v>
      </c>
      <c r="AI113" s="9">
        <v>2.5318699125238999</v>
      </c>
      <c r="AJ113" s="9">
        <v>2.5318699125238999</v>
      </c>
      <c r="AK113" s="9">
        <v>2.5318699125238999</v>
      </c>
      <c r="AL113" s="9">
        <v>2.5318699125238999</v>
      </c>
      <c r="AM113" s="9">
        <v>2.5318699125238999</v>
      </c>
      <c r="AN113" s="10">
        <v>0</v>
      </c>
      <c r="AO113" s="10">
        <v>0</v>
      </c>
      <c r="AP113" s="10">
        <v>0</v>
      </c>
      <c r="AQ113" s="10">
        <v>6</v>
      </c>
      <c r="AR113" s="10">
        <v>0</v>
      </c>
      <c r="AS113" s="10">
        <v>0</v>
      </c>
      <c r="AT113" s="10">
        <v>0</v>
      </c>
      <c r="AU113" s="10">
        <v>0</v>
      </c>
      <c r="AV113" s="10">
        <v>0</v>
      </c>
      <c r="AW113" s="10">
        <v>0</v>
      </c>
      <c r="AX113" s="10">
        <v>0</v>
      </c>
      <c r="AY113" s="10">
        <v>0</v>
      </c>
      <c r="AZ113" s="7">
        <f t="shared" si="12"/>
        <v>6</v>
      </c>
      <c r="BA113" s="11">
        <f t="shared" si="13"/>
        <v>0.5</v>
      </c>
      <c r="BC113" s="12">
        <v>0</v>
      </c>
      <c r="BD113" s="12">
        <v>0</v>
      </c>
      <c r="BE113" s="12">
        <v>0</v>
      </c>
      <c r="BF113" s="12">
        <v>15.191219475143001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f t="shared" si="14"/>
        <v>15.191219475143001</v>
      </c>
      <c r="BP113" s="12">
        <f t="shared" si="15"/>
        <v>1.2659349562619167</v>
      </c>
      <c r="BQ113" s="7"/>
      <c r="BR113" s="7"/>
      <c r="BS113" s="7" t="s">
        <v>116</v>
      </c>
      <c r="BT113" s="7" t="s">
        <v>52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/>
    </row>
    <row r="114" spans="1:78" x14ac:dyDescent="0.35">
      <c r="A114" s="7" t="s">
        <v>42</v>
      </c>
      <c r="B114" s="7"/>
      <c r="C114" s="7" t="s">
        <v>212</v>
      </c>
      <c r="D114" s="7" t="s">
        <v>213</v>
      </c>
      <c r="E114" s="7" t="s">
        <v>214</v>
      </c>
      <c r="F114" s="7" t="s">
        <v>252</v>
      </c>
      <c r="G114" s="7" t="s">
        <v>47</v>
      </c>
      <c r="H114" s="7"/>
      <c r="I114" s="7"/>
      <c r="J114" s="7" t="s">
        <v>228</v>
      </c>
      <c r="K114" s="7" t="s">
        <v>49</v>
      </c>
      <c r="L114" s="7" t="s">
        <v>49</v>
      </c>
      <c r="M114" s="7" t="s">
        <v>49</v>
      </c>
      <c r="N114" s="7" t="s">
        <v>115</v>
      </c>
      <c r="O114" s="7" t="s">
        <v>4</v>
      </c>
      <c r="P114" s="7">
        <v>40000</v>
      </c>
      <c r="Q114" s="7">
        <v>40000</v>
      </c>
      <c r="R114" s="7">
        <v>40000</v>
      </c>
      <c r="S114" s="7">
        <v>40000</v>
      </c>
      <c r="T114" s="7">
        <v>40000</v>
      </c>
      <c r="U114" s="7">
        <v>40000</v>
      </c>
      <c r="V114" s="7">
        <v>40000</v>
      </c>
      <c r="W114" s="7">
        <v>40000</v>
      </c>
      <c r="X114" s="7">
        <v>40000</v>
      </c>
      <c r="Y114" s="7">
        <v>40000</v>
      </c>
      <c r="Z114" s="7">
        <v>40000</v>
      </c>
      <c r="AA114" s="7">
        <v>40000</v>
      </c>
      <c r="AB114" s="9">
        <v>2.5318699125238999</v>
      </c>
      <c r="AC114" s="9">
        <v>2.5318699125238999</v>
      </c>
      <c r="AD114" s="9">
        <v>2.5318699125238999</v>
      </c>
      <c r="AE114" s="9">
        <v>2.5318699125238999</v>
      </c>
      <c r="AF114" s="9">
        <v>2.5318699125238999</v>
      </c>
      <c r="AG114" s="9">
        <v>2.5318699125238999</v>
      </c>
      <c r="AH114" s="9">
        <v>2.5318699125238999</v>
      </c>
      <c r="AI114" s="9">
        <v>2.5318699125238999</v>
      </c>
      <c r="AJ114" s="9">
        <v>2.5318699125238999</v>
      </c>
      <c r="AK114" s="9">
        <v>2.5318699125238999</v>
      </c>
      <c r="AL114" s="9">
        <v>2.5318699125238999</v>
      </c>
      <c r="AM114" s="9">
        <v>2.5318699125238999</v>
      </c>
      <c r="AN114" s="10">
        <v>0</v>
      </c>
      <c r="AO114" s="10">
        <v>0</v>
      </c>
      <c r="AP114" s="10">
        <v>0</v>
      </c>
      <c r="AQ114" s="10">
        <v>3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7">
        <f t="shared" si="12"/>
        <v>3</v>
      </c>
      <c r="BA114" s="11">
        <f t="shared" si="13"/>
        <v>0.25</v>
      </c>
      <c r="BC114" s="12">
        <v>0</v>
      </c>
      <c r="BD114" s="12">
        <v>0</v>
      </c>
      <c r="BE114" s="12">
        <v>0</v>
      </c>
      <c r="BF114" s="12">
        <v>7.5956097375717002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f t="shared" si="14"/>
        <v>7.5956097375717002</v>
      </c>
      <c r="BP114" s="12">
        <f t="shared" si="15"/>
        <v>0.63296747813097498</v>
      </c>
      <c r="BQ114" s="7"/>
      <c r="BR114" s="7"/>
      <c r="BS114" s="7" t="s">
        <v>116</v>
      </c>
      <c r="BT114" s="7" t="s">
        <v>52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/>
    </row>
    <row r="115" spans="1:78" x14ac:dyDescent="0.35">
      <c r="A115" s="7" t="s">
        <v>42</v>
      </c>
      <c r="B115" s="7"/>
      <c r="C115" s="7" t="s">
        <v>215</v>
      </c>
      <c r="D115" s="7" t="s">
        <v>213</v>
      </c>
      <c r="E115" s="7" t="s">
        <v>216</v>
      </c>
      <c r="F115" s="7" t="s">
        <v>245</v>
      </c>
      <c r="G115" s="7" t="s">
        <v>47</v>
      </c>
      <c r="H115" s="7"/>
      <c r="I115" s="7"/>
      <c r="J115" s="7" t="s">
        <v>228</v>
      </c>
      <c r="K115" s="7" t="s">
        <v>49</v>
      </c>
      <c r="L115" s="7" t="s">
        <v>49</v>
      </c>
      <c r="M115" s="7" t="s">
        <v>49</v>
      </c>
      <c r="N115" s="7" t="s">
        <v>115</v>
      </c>
      <c r="O115" s="7" t="s">
        <v>4</v>
      </c>
      <c r="P115" s="7">
        <v>27500</v>
      </c>
      <c r="Q115" s="7">
        <v>27500</v>
      </c>
      <c r="R115" s="7">
        <v>27500</v>
      </c>
      <c r="S115" s="7">
        <v>27500</v>
      </c>
      <c r="T115" s="7">
        <v>27500</v>
      </c>
      <c r="U115" s="7">
        <v>27500</v>
      </c>
      <c r="V115" s="7">
        <v>27500</v>
      </c>
      <c r="W115" s="7">
        <v>27500</v>
      </c>
      <c r="X115" s="7">
        <v>27500</v>
      </c>
      <c r="Y115" s="7">
        <v>27500</v>
      </c>
      <c r="Z115" s="7">
        <v>27500</v>
      </c>
      <c r="AA115" s="7">
        <v>27500</v>
      </c>
      <c r="AB115" s="9">
        <v>1.7406605648602</v>
      </c>
      <c r="AC115" s="9">
        <v>1.7406605648602</v>
      </c>
      <c r="AD115" s="9">
        <v>1.7406605648602</v>
      </c>
      <c r="AE115" s="9">
        <v>1.7406605648602</v>
      </c>
      <c r="AF115" s="9">
        <v>1.7406605648602</v>
      </c>
      <c r="AG115" s="9">
        <v>1.7406605648602</v>
      </c>
      <c r="AH115" s="9">
        <v>1.7406605648602</v>
      </c>
      <c r="AI115" s="9">
        <v>1.7406605648602</v>
      </c>
      <c r="AJ115" s="9">
        <v>1.7406605648602</v>
      </c>
      <c r="AK115" s="9">
        <v>1.7406605648602</v>
      </c>
      <c r="AL115" s="9">
        <v>1.7406605648602</v>
      </c>
      <c r="AM115" s="9">
        <v>1.7406605648602</v>
      </c>
      <c r="AN115" s="10">
        <v>2</v>
      </c>
      <c r="AO115" s="10">
        <v>0</v>
      </c>
      <c r="AP115" s="10">
        <v>0</v>
      </c>
      <c r="AQ115" s="10">
        <v>0</v>
      </c>
      <c r="AR115" s="10">
        <v>0</v>
      </c>
      <c r="AS115" s="10">
        <v>0</v>
      </c>
      <c r="AT115" s="10">
        <v>0</v>
      </c>
      <c r="AU115" s="10">
        <v>0</v>
      </c>
      <c r="AV115" s="10">
        <v>0</v>
      </c>
      <c r="AW115" s="10">
        <v>0</v>
      </c>
      <c r="AX115" s="10">
        <v>0</v>
      </c>
      <c r="AY115" s="10">
        <v>0</v>
      </c>
      <c r="AZ115" s="7">
        <f t="shared" si="12"/>
        <v>2</v>
      </c>
      <c r="BA115" s="11">
        <f t="shared" si="13"/>
        <v>0.16666666666666666</v>
      </c>
      <c r="BC115" s="12">
        <v>3.4813211297204001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f t="shared" si="14"/>
        <v>3.4813211297204001</v>
      </c>
      <c r="BP115" s="12">
        <f t="shared" si="15"/>
        <v>0.29011009414336669</v>
      </c>
      <c r="BQ115" s="7"/>
      <c r="BR115" s="7"/>
      <c r="BS115" s="7" t="s">
        <v>116</v>
      </c>
      <c r="BT115" s="7" t="s">
        <v>52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/>
    </row>
    <row r="116" spans="1:78" x14ac:dyDescent="0.35">
      <c r="A116" s="7" t="s">
        <v>42</v>
      </c>
      <c r="B116" s="7"/>
      <c r="C116" s="7" t="s">
        <v>215</v>
      </c>
      <c r="D116" s="7" t="s">
        <v>213</v>
      </c>
      <c r="E116" s="7" t="s">
        <v>216</v>
      </c>
      <c r="F116" s="7" t="s">
        <v>246</v>
      </c>
      <c r="G116" s="7" t="s">
        <v>47</v>
      </c>
      <c r="H116" s="7"/>
      <c r="I116" s="7"/>
      <c r="J116" s="7" t="s">
        <v>228</v>
      </c>
      <c r="K116" s="7" t="s">
        <v>49</v>
      </c>
      <c r="L116" s="7" t="s">
        <v>49</v>
      </c>
      <c r="M116" s="7" t="s">
        <v>49</v>
      </c>
      <c r="N116" s="7" t="s">
        <v>115</v>
      </c>
      <c r="O116" s="7" t="s">
        <v>4</v>
      </c>
      <c r="P116" s="7">
        <v>27500</v>
      </c>
      <c r="Q116" s="7">
        <v>27500</v>
      </c>
      <c r="R116" s="7">
        <v>27500</v>
      </c>
      <c r="S116" s="7">
        <v>27500</v>
      </c>
      <c r="T116" s="7">
        <v>27500</v>
      </c>
      <c r="U116" s="7">
        <v>27500</v>
      </c>
      <c r="V116" s="7">
        <v>27500</v>
      </c>
      <c r="W116" s="7">
        <v>27500</v>
      </c>
      <c r="X116" s="7">
        <v>27500</v>
      </c>
      <c r="Y116" s="7">
        <v>27500</v>
      </c>
      <c r="Z116" s="7">
        <v>27500</v>
      </c>
      <c r="AA116" s="7">
        <v>27500</v>
      </c>
      <c r="AB116" s="9">
        <v>1.7406605648602</v>
      </c>
      <c r="AC116" s="9">
        <v>1.7406605648602</v>
      </c>
      <c r="AD116" s="9">
        <v>1.7406605648602</v>
      </c>
      <c r="AE116" s="9">
        <v>1.7406605648602</v>
      </c>
      <c r="AF116" s="9">
        <v>1.7406605648602</v>
      </c>
      <c r="AG116" s="9">
        <v>1.7406605648602</v>
      </c>
      <c r="AH116" s="9">
        <v>1.7406605648602</v>
      </c>
      <c r="AI116" s="9">
        <v>1.7406605648602</v>
      </c>
      <c r="AJ116" s="9">
        <v>1.7406605648602</v>
      </c>
      <c r="AK116" s="9">
        <v>1.7406605648602</v>
      </c>
      <c r="AL116" s="9">
        <v>1.7406605648602</v>
      </c>
      <c r="AM116" s="9">
        <v>1.7406605648602</v>
      </c>
      <c r="AN116" s="10">
        <v>0</v>
      </c>
      <c r="AO116" s="10">
        <v>0</v>
      </c>
      <c r="AP116" s="10">
        <v>0</v>
      </c>
      <c r="AQ116" s="10">
        <v>4</v>
      </c>
      <c r="AR116" s="10">
        <v>0</v>
      </c>
      <c r="AS116" s="10">
        <v>0</v>
      </c>
      <c r="AT116" s="10">
        <v>0</v>
      </c>
      <c r="AU116" s="10">
        <v>0</v>
      </c>
      <c r="AV116" s="10">
        <v>0</v>
      </c>
      <c r="AW116" s="10">
        <v>0</v>
      </c>
      <c r="AX116" s="10">
        <v>0</v>
      </c>
      <c r="AY116" s="10">
        <v>0</v>
      </c>
      <c r="AZ116" s="7">
        <f t="shared" si="12"/>
        <v>4</v>
      </c>
      <c r="BA116" s="11">
        <f t="shared" si="13"/>
        <v>0.33333333333333331</v>
      </c>
      <c r="BC116" s="12">
        <v>0</v>
      </c>
      <c r="BD116" s="12">
        <v>0</v>
      </c>
      <c r="BE116" s="12">
        <v>0</v>
      </c>
      <c r="BF116" s="12">
        <v>6.9626422594406998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f t="shared" si="14"/>
        <v>6.9626422594406998</v>
      </c>
      <c r="BP116" s="12">
        <f t="shared" si="15"/>
        <v>0.58022018828672495</v>
      </c>
      <c r="BQ116" s="7"/>
      <c r="BR116" s="7"/>
      <c r="BS116" s="7" t="s">
        <v>116</v>
      </c>
      <c r="BT116" s="7" t="s">
        <v>52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/>
    </row>
    <row r="117" spans="1:78" x14ac:dyDescent="0.35">
      <c r="A117" s="7" t="s">
        <v>42</v>
      </c>
      <c r="B117" s="7"/>
      <c r="C117" s="7" t="s">
        <v>215</v>
      </c>
      <c r="D117" s="7" t="s">
        <v>213</v>
      </c>
      <c r="E117" s="7" t="s">
        <v>216</v>
      </c>
      <c r="F117" s="7" t="s">
        <v>252</v>
      </c>
      <c r="G117" s="7" t="s">
        <v>47</v>
      </c>
      <c r="H117" s="7"/>
      <c r="I117" s="7"/>
      <c r="J117" s="7" t="s">
        <v>228</v>
      </c>
      <c r="K117" s="7" t="s">
        <v>49</v>
      </c>
      <c r="L117" s="7" t="s">
        <v>49</v>
      </c>
      <c r="M117" s="7" t="s">
        <v>49</v>
      </c>
      <c r="N117" s="7" t="s">
        <v>115</v>
      </c>
      <c r="O117" s="7" t="s">
        <v>4</v>
      </c>
      <c r="P117" s="7">
        <v>27500</v>
      </c>
      <c r="Q117" s="7">
        <v>27500</v>
      </c>
      <c r="R117" s="7">
        <v>27500</v>
      </c>
      <c r="S117" s="7">
        <v>27500</v>
      </c>
      <c r="T117" s="7">
        <v>27500</v>
      </c>
      <c r="U117" s="7">
        <v>27500</v>
      </c>
      <c r="V117" s="7">
        <v>27500</v>
      </c>
      <c r="W117" s="7">
        <v>27500</v>
      </c>
      <c r="X117" s="7">
        <v>27500</v>
      </c>
      <c r="Y117" s="7">
        <v>27500</v>
      </c>
      <c r="Z117" s="7">
        <v>27500</v>
      </c>
      <c r="AA117" s="7">
        <v>27500</v>
      </c>
      <c r="AB117" s="9">
        <v>1.7406605648602</v>
      </c>
      <c r="AC117" s="9">
        <v>1.7406605648602</v>
      </c>
      <c r="AD117" s="9">
        <v>1.7406605648602</v>
      </c>
      <c r="AE117" s="9">
        <v>1.7406605648602</v>
      </c>
      <c r="AF117" s="9">
        <v>1.7406605648602</v>
      </c>
      <c r="AG117" s="9">
        <v>1.7406605648602</v>
      </c>
      <c r="AH117" s="9">
        <v>1.7406605648602</v>
      </c>
      <c r="AI117" s="9">
        <v>1.7406605648602</v>
      </c>
      <c r="AJ117" s="9">
        <v>1.7406605648602</v>
      </c>
      <c r="AK117" s="9">
        <v>1.7406605648602</v>
      </c>
      <c r="AL117" s="9">
        <v>1.7406605648602</v>
      </c>
      <c r="AM117" s="9">
        <v>1.7406605648602</v>
      </c>
      <c r="AN117" s="10">
        <v>0</v>
      </c>
      <c r="AO117" s="10">
        <v>0</v>
      </c>
      <c r="AP117" s="10">
        <v>0</v>
      </c>
      <c r="AQ117" s="10">
        <v>2</v>
      </c>
      <c r="AR117" s="10">
        <v>0</v>
      </c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  <c r="AZ117" s="7">
        <f t="shared" si="12"/>
        <v>2</v>
      </c>
      <c r="BA117" s="11">
        <f t="shared" si="13"/>
        <v>0.16666666666666666</v>
      </c>
      <c r="BC117" s="12">
        <v>0</v>
      </c>
      <c r="BD117" s="12">
        <v>0</v>
      </c>
      <c r="BE117" s="12">
        <v>0</v>
      </c>
      <c r="BF117" s="12">
        <v>3.4813211297204001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f t="shared" si="14"/>
        <v>3.4813211297204001</v>
      </c>
      <c r="BP117" s="12">
        <f t="shared" si="15"/>
        <v>0.29011009414336669</v>
      </c>
      <c r="BQ117" s="7"/>
      <c r="BR117" s="7"/>
      <c r="BS117" s="7" t="s">
        <v>116</v>
      </c>
      <c r="BT117" s="7" t="s">
        <v>52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/>
    </row>
    <row r="118" spans="1:78" x14ac:dyDescent="0.35">
      <c r="A118" s="7" t="s">
        <v>42</v>
      </c>
      <c r="B118" s="7"/>
      <c r="C118" s="7" t="s">
        <v>217</v>
      </c>
      <c r="D118" s="7" t="s">
        <v>213</v>
      </c>
      <c r="E118" s="7" t="s">
        <v>218</v>
      </c>
      <c r="F118" s="7" t="s">
        <v>245</v>
      </c>
      <c r="G118" s="7" t="s">
        <v>47</v>
      </c>
      <c r="H118" s="7"/>
      <c r="I118" s="7"/>
      <c r="J118" s="7" t="s">
        <v>228</v>
      </c>
      <c r="K118" s="7" t="s">
        <v>49</v>
      </c>
      <c r="L118" s="7" t="s">
        <v>49</v>
      </c>
      <c r="M118" s="7" t="s">
        <v>49</v>
      </c>
      <c r="N118" s="7" t="s">
        <v>115</v>
      </c>
      <c r="O118" s="7" t="s">
        <v>4</v>
      </c>
      <c r="P118" s="7">
        <v>27500</v>
      </c>
      <c r="Q118" s="7">
        <v>27500</v>
      </c>
      <c r="R118" s="7">
        <v>27500</v>
      </c>
      <c r="S118" s="7">
        <v>27500</v>
      </c>
      <c r="T118" s="7">
        <v>27500</v>
      </c>
      <c r="U118" s="7">
        <v>27500</v>
      </c>
      <c r="V118" s="7">
        <v>27500</v>
      </c>
      <c r="W118" s="7">
        <v>27500</v>
      </c>
      <c r="X118" s="7">
        <v>27500</v>
      </c>
      <c r="Y118" s="7">
        <v>27500</v>
      </c>
      <c r="Z118" s="7">
        <v>27500</v>
      </c>
      <c r="AA118" s="7">
        <v>27500</v>
      </c>
      <c r="AB118" s="9">
        <v>1.7406605648602</v>
      </c>
      <c r="AC118" s="9">
        <v>1.7406605648602</v>
      </c>
      <c r="AD118" s="9">
        <v>1.7406605648602</v>
      </c>
      <c r="AE118" s="9">
        <v>1.7406605648602</v>
      </c>
      <c r="AF118" s="9">
        <v>1.7406605648602</v>
      </c>
      <c r="AG118" s="9">
        <v>1.7406605648602</v>
      </c>
      <c r="AH118" s="9">
        <v>1.7406605648602</v>
      </c>
      <c r="AI118" s="9">
        <v>1.7406605648602</v>
      </c>
      <c r="AJ118" s="9">
        <v>1.7406605648602</v>
      </c>
      <c r="AK118" s="9">
        <v>1.7406605648602</v>
      </c>
      <c r="AL118" s="9">
        <v>1.7406605648602</v>
      </c>
      <c r="AM118" s="9">
        <v>1.7406605648602</v>
      </c>
      <c r="AN118" s="10">
        <v>4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7">
        <f t="shared" si="12"/>
        <v>4</v>
      </c>
      <c r="BA118" s="11">
        <f t="shared" si="13"/>
        <v>0.33333333333333331</v>
      </c>
      <c r="BC118" s="12">
        <v>6.9626422594406998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f t="shared" si="14"/>
        <v>6.9626422594406998</v>
      </c>
      <c r="BP118" s="12">
        <f t="shared" si="15"/>
        <v>0.58022018828672495</v>
      </c>
      <c r="BQ118" s="7"/>
      <c r="BR118" s="7"/>
      <c r="BS118" s="7" t="s">
        <v>116</v>
      </c>
      <c r="BT118" s="7" t="s">
        <v>52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/>
    </row>
    <row r="119" spans="1:78" x14ac:dyDescent="0.35">
      <c r="A119" s="7" t="s">
        <v>42</v>
      </c>
      <c r="B119" s="7"/>
      <c r="C119" s="7" t="s">
        <v>217</v>
      </c>
      <c r="D119" s="7" t="s">
        <v>213</v>
      </c>
      <c r="E119" s="7" t="s">
        <v>218</v>
      </c>
      <c r="F119" s="7" t="s">
        <v>246</v>
      </c>
      <c r="G119" s="7" t="s">
        <v>47</v>
      </c>
      <c r="H119" s="7"/>
      <c r="I119" s="7"/>
      <c r="J119" s="7" t="s">
        <v>228</v>
      </c>
      <c r="K119" s="7" t="s">
        <v>49</v>
      </c>
      <c r="L119" s="7" t="s">
        <v>49</v>
      </c>
      <c r="M119" s="7" t="s">
        <v>49</v>
      </c>
      <c r="N119" s="7" t="s">
        <v>115</v>
      </c>
      <c r="O119" s="7" t="s">
        <v>4</v>
      </c>
      <c r="P119" s="7">
        <v>27500</v>
      </c>
      <c r="Q119" s="7">
        <v>27500</v>
      </c>
      <c r="R119" s="7">
        <v>27500</v>
      </c>
      <c r="S119" s="7">
        <v>27500</v>
      </c>
      <c r="T119" s="7">
        <v>27500</v>
      </c>
      <c r="U119" s="7">
        <v>27500</v>
      </c>
      <c r="V119" s="7">
        <v>27500</v>
      </c>
      <c r="W119" s="7">
        <v>27500</v>
      </c>
      <c r="X119" s="7">
        <v>27500</v>
      </c>
      <c r="Y119" s="7">
        <v>27500</v>
      </c>
      <c r="Z119" s="7">
        <v>27500</v>
      </c>
      <c r="AA119" s="7">
        <v>27500</v>
      </c>
      <c r="AB119" s="9">
        <v>1.7406605648602</v>
      </c>
      <c r="AC119" s="9">
        <v>1.7406605648602</v>
      </c>
      <c r="AD119" s="9">
        <v>1.7406605648602</v>
      </c>
      <c r="AE119" s="9">
        <v>1.7406605648602</v>
      </c>
      <c r="AF119" s="9">
        <v>1.7406605648602</v>
      </c>
      <c r="AG119" s="9">
        <v>1.7406605648602</v>
      </c>
      <c r="AH119" s="9">
        <v>1.7406605648602</v>
      </c>
      <c r="AI119" s="9">
        <v>1.7406605648602</v>
      </c>
      <c r="AJ119" s="9">
        <v>1.7406605648602</v>
      </c>
      <c r="AK119" s="9">
        <v>1.7406605648602</v>
      </c>
      <c r="AL119" s="9">
        <v>1.7406605648602</v>
      </c>
      <c r="AM119" s="9">
        <v>1.7406605648602</v>
      </c>
      <c r="AN119" s="10">
        <v>0</v>
      </c>
      <c r="AO119" s="10">
        <v>0</v>
      </c>
      <c r="AP119" s="10">
        <v>0</v>
      </c>
      <c r="AQ119" s="10">
        <v>4</v>
      </c>
      <c r="AR119" s="10">
        <v>0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7">
        <f t="shared" si="12"/>
        <v>4</v>
      </c>
      <c r="BA119" s="11">
        <f t="shared" si="13"/>
        <v>0.33333333333333331</v>
      </c>
      <c r="BC119" s="12">
        <v>0</v>
      </c>
      <c r="BD119" s="12">
        <v>0</v>
      </c>
      <c r="BE119" s="12">
        <v>0</v>
      </c>
      <c r="BF119" s="12">
        <v>6.9626422594406998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f t="shared" si="14"/>
        <v>6.9626422594406998</v>
      </c>
      <c r="BP119" s="12">
        <f t="shared" si="15"/>
        <v>0.58022018828672495</v>
      </c>
      <c r="BQ119" s="7"/>
      <c r="BR119" s="7"/>
      <c r="BS119" s="7" t="s">
        <v>116</v>
      </c>
      <c r="BT119" s="7" t="s">
        <v>52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/>
    </row>
    <row r="120" spans="1:78" x14ac:dyDescent="0.35">
      <c r="A120" s="7" t="s">
        <v>42</v>
      </c>
      <c r="B120" s="7"/>
      <c r="C120" s="7" t="s">
        <v>217</v>
      </c>
      <c r="D120" s="7" t="s">
        <v>213</v>
      </c>
      <c r="E120" s="7" t="s">
        <v>218</v>
      </c>
      <c r="F120" s="7" t="s">
        <v>252</v>
      </c>
      <c r="G120" s="7" t="s">
        <v>47</v>
      </c>
      <c r="H120" s="7"/>
      <c r="I120" s="7"/>
      <c r="J120" s="7" t="s">
        <v>228</v>
      </c>
      <c r="K120" s="7" t="s">
        <v>49</v>
      </c>
      <c r="L120" s="7" t="s">
        <v>49</v>
      </c>
      <c r="M120" s="7" t="s">
        <v>49</v>
      </c>
      <c r="N120" s="7" t="s">
        <v>115</v>
      </c>
      <c r="O120" s="7" t="s">
        <v>4</v>
      </c>
      <c r="P120" s="7">
        <v>27500</v>
      </c>
      <c r="Q120" s="7">
        <v>27500</v>
      </c>
      <c r="R120" s="7">
        <v>27500</v>
      </c>
      <c r="S120" s="7">
        <v>27500</v>
      </c>
      <c r="T120" s="7">
        <v>27500</v>
      </c>
      <c r="U120" s="7">
        <v>27500</v>
      </c>
      <c r="V120" s="7">
        <v>27500</v>
      </c>
      <c r="W120" s="7">
        <v>27500</v>
      </c>
      <c r="X120" s="7">
        <v>27500</v>
      </c>
      <c r="Y120" s="7">
        <v>27500</v>
      </c>
      <c r="Z120" s="7">
        <v>27500</v>
      </c>
      <c r="AA120" s="7">
        <v>27500</v>
      </c>
      <c r="AB120" s="9">
        <v>1.7406605648602</v>
      </c>
      <c r="AC120" s="9">
        <v>1.7406605648602</v>
      </c>
      <c r="AD120" s="9">
        <v>1.7406605648602</v>
      </c>
      <c r="AE120" s="9">
        <v>1.7406605648602</v>
      </c>
      <c r="AF120" s="9">
        <v>1.7406605648602</v>
      </c>
      <c r="AG120" s="9">
        <v>1.7406605648602</v>
      </c>
      <c r="AH120" s="9">
        <v>1.7406605648602</v>
      </c>
      <c r="AI120" s="9">
        <v>1.7406605648602</v>
      </c>
      <c r="AJ120" s="9">
        <v>1.7406605648602</v>
      </c>
      <c r="AK120" s="9">
        <v>1.7406605648602</v>
      </c>
      <c r="AL120" s="9">
        <v>1.7406605648602</v>
      </c>
      <c r="AM120" s="9">
        <v>1.7406605648602</v>
      </c>
      <c r="AN120" s="10">
        <v>0</v>
      </c>
      <c r="AO120" s="10">
        <v>0</v>
      </c>
      <c r="AP120" s="10">
        <v>0</v>
      </c>
      <c r="AQ120" s="10">
        <v>2</v>
      </c>
      <c r="AR120" s="10">
        <v>0</v>
      </c>
      <c r="AS120" s="10">
        <v>0</v>
      </c>
      <c r="AT120" s="10">
        <v>0</v>
      </c>
      <c r="AU120" s="10">
        <v>0</v>
      </c>
      <c r="AV120" s="10">
        <v>0</v>
      </c>
      <c r="AW120" s="10">
        <v>0</v>
      </c>
      <c r="AX120" s="10">
        <v>0</v>
      </c>
      <c r="AY120" s="10">
        <v>0</v>
      </c>
      <c r="AZ120" s="7">
        <f t="shared" si="12"/>
        <v>2</v>
      </c>
      <c r="BA120" s="11">
        <f t="shared" si="13"/>
        <v>0.16666666666666666</v>
      </c>
      <c r="BC120" s="12">
        <v>0</v>
      </c>
      <c r="BD120" s="12">
        <v>0</v>
      </c>
      <c r="BE120" s="12">
        <v>0</v>
      </c>
      <c r="BF120" s="12">
        <v>3.4813211297204001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2">
        <v>0</v>
      </c>
      <c r="BN120" s="12">
        <v>0</v>
      </c>
      <c r="BO120" s="12">
        <f t="shared" si="14"/>
        <v>3.4813211297204001</v>
      </c>
      <c r="BP120" s="12">
        <f t="shared" si="15"/>
        <v>0.29011009414336669</v>
      </c>
      <c r="BQ120" s="7"/>
      <c r="BR120" s="7"/>
      <c r="BS120" s="7" t="s">
        <v>116</v>
      </c>
      <c r="BT120" s="7" t="s">
        <v>52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/>
    </row>
  </sheetData>
  <sheetProtection formatCells="0" formatColumns="0" formatRows="0" insertColumns="0" insertRows="0" insertHyperlinks="0" deleteColumns="0" deleteRows="0" sort="0" autoFilter="0" pivotTables="0"/>
  <mergeCells count="25">
    <mergeCell ref="BP10:BP11"/>
    <mergeCell ref="BR10:BR11"/>
    <mergeCell ref="BS10:BS11"/>
    <mergeCell ref="BT10:BT11"/>
    <mergeCell ref="BU10:BZ10"/>
    <mergeCell ref="P10:AA10"/>
    <mergeCell ref="AB10:AM10"/>
    <mergeCell ref="AZ10:AZ11"/>
    <mergeCell ref="BA10:BA11"/>
    <mergeCell ref="BO10:BO11"/>
    <mergeCell ref="K10:K11"/>
    <mergeCell ref="L10:L11"/>
    <mergeCell ref="M10:M11"/>
    <mergeCell ref="N10:N11"/>
    <mergeCell ref="O10:O11"/>
    <mergeCell ref="F10:F11"/>
    <mergeCell ref="G10:G11"/>
    <mergeCell ref="H10:H11"/>
    <mergeCell ref="I10:I11"/>
    <mergeCell ref="J10:J11"/>
    <mergeCell ref="A10:A11"/>
    <mergeCell ref="B10:B11"/>
    <mergeCell ref="C10:C11"/>
    <mergeCell ref="D10:D11"/>
    <mergeCell ref="E10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AJ54"/>
  <sheetViews>
    <sheetView topLeftCell="Y6" zoomScale="69" workbookViewId="0">
      <selection activeCell="AJ15" sqref="AJ15"/>
    </sheetView>
  </sheetViews>
  <sheetFormatPr defaultRowHeight="14.5" x14ac:dyDescent="0.35"/>
  <cols>
    <col min="1" max="1" width="14.453125" customWidth="1"/>
    <col min="2" max="2" width="10.453125" hidden="1" customWidth="1"/>
    <col min="3" max="3" width="30.26953125" hidden="1" customWidth="1"/>
    <col min="4" max="4" width="40" customWidth="1"/>
    <col min="5" max="33" width="12" customWidth="1"/>
    <col min="34" max="35" width="17" customWidth="1"/>
    <col min="36" max="36" width="88" customWidth="1"/>
  </cols>
  <sheetData>
    <row r="7" spans="1:36" x14ac:dyDescent="0.35">
      <c r="A7" s="1"/>
      <c r="B7" s="1"/>
      <c r="C7" s="1"/>
      <c r="D7" s="1"/>
      <c r="E7" s="14" t="s">
        <v>259</v>
      </c>
      <c r="F7" s="14" t="s">
        <v>259</v>
      </c>
      <c r="G7" s="14" t="s">
        <v>259</v>
      </c>
      <c r="H7" s="14" t="s">
        <v>259</v>
      </c>
      <c r="I7" s="14" t="s">
        <v>259</v>
      </c>
      <c r="J7" s="14" t="s">
        <v>259</v>
      </c>
      <c r="K7" s="14" t="s">
        <v>259</v>
      </c>
      <c r="L7" s="14" t="s">
        <v>259</v>
      </c>
      <c r="M7" s="14" t="s">
        <v>259</v>
      </c>
      <c r="N7" s="14" t="s">
        <v>259</v>
      </c>
      <c r="O7" s="14" t="s">
        <v>259</v>
      </c>
      <c r="P7" s="14" t="s">
        <v>259</v>
      </c>
      <c r="Q7" s="15" t="s">
        <v>260</v>
      </c>
      <c r="R7" s="15" t="s">
        <v>260</v>
      </c>
      <c r="S7" s="15" t="s">
        <v>260</v>
      </c>
      <c r="T7" s="15" t="s">
        <v>260</v>
      </c>
      <c r="U7" s="15" t="s">
        <v>260</v>
      </c>
      <c r="V7" s="15" t="s">
        <v>260</v>
      </c>
      <c r="W7" s="15" t="s">
        <v>260</v>
      </c>
      <c r="X7" s="15" t="s">
        <v>260</v>
      </c>
      <c r="Y7" s="15" t="s">
        <v>260</v>
      </c>
      <c r="Z7" s="15" t="s">
        <v>260</v>
      </c>
      <c r="AA7" s="15" t="s">
        <v>260</v>
      </c>
      <c r="AB7" s="15" t="s">
        <v>260</v>
      </c>
      <c r="AC7" s="54" t="s">
        <v>261</v>
      </c>
      <c r="AD7" s="54"/>
      <c r="AE7" s="1"/>
      <c r="AF7" s="54" t="s">
        <v>262</v>
      </c>
      <c r="AG7" s="54"/>
      <c r="AH7" s="54"/>
      <c r="AI7" s="54"/>
      <c r="AJ7" s="54"/>
    </row>
    <row r="8" spans="1:36" x14ac:dyDescent="0.35">
      <c r="A8" s="17" t="s">
        <v>21</v>
      </c>
      <c r="B8" s="17" t="s">
        <v>263</v>
      </c>
      <c r="C8" s="17" t="s">
        <v>264</v>
      </c>
      <c r="D8" s="17" t="s">
        <v>265</v>
      </c>
      <c r="E8" s="18" t="s">
        <v>266</v>
      </c>
      <c r="F8" s="18" t="s">
        <v>267</v>
      </c>
      <c r="G8" s="18" t="s">
        <v>268</v>
      </c>
      <c r="H8" s="18" t="s">
        <v>269</v>
      </c>
      <c r="I8" s="18" t="s">
        <v>270</v>
      </c>
      <c r="J8" s="18" t="s">
        <v>271</v>
      </c>
      <c r="K8" s="18" t="s">
        <v>272</v>
      </c>
      <c r="L8" s="18" t="s">
        <v>273</v>
      </c>
      <c r="M8" s="18" t="s">
        <v>274</v>
      </c>
      <c r="N8" s="18" t="s">
        <v>275</v>
      </c>
      <c r="O8" s="18" t="s">
        <v>276</v>
      </c>
      <c r="P8" s="18" t="s">
        <v>277</v>
      </c>
      <c r="Q8" s="19" t="s">
        <v>266</v>
      </c>
      <c r="R8" s="19" t="s">
        <v>267</v>
      </c>
      <c r="S8" s="19" t="s">
        <v>268</v>
      </c>
      <c r="T8" s="19" t="s">
        <v>269</v>
      </c>
      <c r="U8" s="19" t="s">
        <v>270</v>
      </c>
      <c r="V8" s="19" t="s">
        <v>271</v>
      </c>
      <c r="W8" s="19" t="s">
        <v>272</v>
      </c>
      <c r="X8" s="19" t="s">
        <v>273</v>
      </c>
      <c r="Y8" s="19" t="s">
        <v>274</v>
      </c>
      <c r="Z8" s="19" t="s">
        <v>275</v>
      </c>
      <c r="AA8" s="19" t="s">
        <v>276</v>
      </c>
      <c r="AB8" s="19" t="s">
        <v>277</v>
      </c>
      <c r="AC8" s="17" t="s">
        <v>278</v>
      </c>
      <c r="AD8" s="17" t="s">
        <v>279</v>
      </c>
      <c r="AE8" s="4"/>
      <c r="AF8" s="17" t="s">
        <v>278</v>
      </c>
      <c r="AG8" s="17" t="s">
        <v>279</v>
      </c>
      <c r="AH8" s="17" t="s">
        <v>280</v>
      </c>
      <c r="AI8" s="17" t="s">
        <v>281</v>
      </c>
      <c r="AJ8" s="17" t="s">
        <v>282</v>
      </c>
    </row>
    <row r="9" spans="1:36" x14ac:dyDescent="0.35">
      <c r="A9" s="7" t="s">
        <v>48</v>
      </c>
      <c r="B9" s="7"/>
      <c r="C9" s="7"/>
      <c r="D9" s="7" t="s">
        <v>140</v>
      </c>
      <c r="E9" s="10">
        <f>SUMIFS('PLAN BUDGET SAMI-TF'!AN13:AN100000,'PLAN BUDGET SAMI-TF'!D13:D100000,SUMMARY!D9,'PLAN BUDGET SAMI-TF'!J13:J100000,SUMMARY!A9&amp;"*")</f>
        <v>3</v>
      </c>
      <c r="F9" s="10">
        <f>SUMIFS('PLAN BUDGET SAMI-TF'!AO13:AO100000,'PLAN BUDGET SAMI-TF'!D13:D100000,SUMMARY!D9,'PLAN BUDGET SAMI-TF'!J13:J100000,SUMMARY!A9&amp;"*")</f>
        <v>0</v>
      </c>
      <c r="G9" s="10">
        <f>SUMIFS('PLAN BUDGET SAMI-TF'!AP13:AP100000,'PLAN BUDGET SAMI-TF'!D13:D100000,SUMMARY!D9,'PLAN BUDGET SAMI-TF'!J13:J100000,SUMMARY!A9&amp;"*")</f>
        <v>0</v>
      </c>
      <c r="H9" s="10">
        <f>SUMIFS('PLAN BUDGET SAMI-TF'!AQ13:AQ100000,'PLAN BUDGET SAMI-TF'!D13:D100000,SUMMARY!D9,'PLAN BUDGET SAMI-TF'!J13:J100000,SUMMARY!A9&amp;"*")</f>
        <v>3</v>
      </c>
      <c r="I9" s="10">
        <f>SUMIFS('PLAN BUDGET SAMI-TF'!AR13:AR100000,'PLAN BUDGET SAMI-TF'!D13:D100000,SUMMARY!D9,'PLAN BUDGET SAMI-TF'!J13:J100000,SUMMARY!A9&amp;"*")</f>
        <v>0</v>
      </c>
      <c r="J9" s="10">
        <f>SUMIFS('PLAN BUDGET SAMI-TF'!AS13:AS100000,'PLAN BUDGET SAMI-TF'!D13:D100000,SUMMARY!D9,'PLAN BUDGET SAMI-TF'!J13:J100000,SUMMARY!A9&amp;"*")</f>
        <v>0</v>
      </c>
      <c r="K9" s="10">
        <f>SUMIFS('PLAN BUDGET SAMI-TF'!AT13:AT100000,'PLAN BUDGET SAMI-TF'!D13:D100000,SUMMARY!D9,'PLAN BUDGET SAMI-TF'!J13:J100000,SUMMARY!A9&amp;"*")</f>
        <v>3</v>
      </c>
      <c r="L9" s="10">
        <f>SUMIFS('PLAN BUDGET SAMI-TF'!AU13:AU100000,'PLAN BUDGET SAMI-TF'!D13:D100000,SUMMARY!D9,'PLAN BUDGET SAMI-TF'!J13:J100000,SUMMARY!A9&amp;"*")</f>
        <v>0</v>
      </c>
      <c r="M9" s="10">
        <f>SUMIFS('PLAN BUDGET SAMI-TF'!AV13:AV100000,'PLAN BUDGET SAMI-TF'!D13:D100000,SUMMARY!D9,'PLAN BUDGET SAMI-TF'!J13:J100000,SUMMARY!A9&amp;"*")</f>
        <v>0</v>
      </c>
      <c r="N9" s="10">
        <f>SUMIFS('PLAN BUDGET SAMI-TF'!AW13:AW100000,'PLAN BUDGET SAMI-TF'!D13:D100000,SUMMARY!D9,'PLAN BUDGET SAMI-TF'!J13:J100000,SUMMARY!A9&amp;"*")</f>
        <v>3</v>
      </c>
      <c r="O9" s="10">
        <f>SUMIFS('PLAN BUDGET SAMI-TF'!AX13:AX100000,'PLAN BUDGET SAMI-TF'!D13:D100000,SUMMARY!D9,'PLAN BUDGET SAMI-TF'!J13:J100000,SUMMARY!A9&amp;"*")</f>
        <v>0</v>
      </c>
      <c r="P9" s="10">
        <f>SUMIFS('PLAN BUDGET SAMI-TF'!AY13:AY100000,'PLAN BUDGET SAMI-TF'!D13:D100000,SUMMARY!D9,'PLAN BUDGET SAMI-TF'!J13:J100000,SUMMARY!A9&amp;"*")</f>
        <v>0</v>
      </c>
      <c r="Q9" s="10">
        <f>SUMIFS('PLAN BUDGET SAMI-TF'!BC13:BC100000,'PLAN BUDGET SAMI-TF'!D13:D100000,SUMMARY!D9,'PLAN BUDGET SAMI-TF'!J13:J100000,SUMMARY!A9&amp;"*")</f>
        <v>99.337748344370993</v>
      </c>
      <c r="R9" s="10">
        <f>SUMIFS('PLAN BUDGET SAMI-TF'!BD13:BD100000,'PLAN BUDGET SAMI-TF'!D13:D100000,SUMMARY!D9,'PLAN BUDGET SAMI-TF'!J13:J100000,SUMMARY!A9&amp;"*")</f>
        <v>0</v>
      </c>
      <c r="S9" s="10">
        <f>SUMIFS('PLAN BUDGET SAMI-TF'!BE13:BE100000,'PLAN BUDGET SAMI-TF'!D13:D100000,SUMMARY!D9,'PLAN BUDGET SAMI-TF'!J13:J100000,SUMMARY!A9&amp;"*")</f>
        <v>0</v>
      </c>
      <c r="T9" s="10">
        <f>SUMIFS('PLAN BUDGET SAMI-TF'!BF13:BF100000,'PLAN BUDGET SAMI-TF'!D13:D100000,SUMMARY!D9,'PLAN BUDGET SAMI-TF'!J13:J100000,SUMMARY!A9&amp;"*")</f>
        <v>99.337748344370993</v>
      </c>
      <c r="U9" s="10">
        <f>SUMIFS('PLAN BUDGET SAMI-TF'!BG13:BG100000,'PLAN BUDGET SAMI-TF'!D13:D100000,SUMMARY!D9,'PLAN BUDGET SAMI-TF'!J13:J100000,SUMMARY!A9&amp;"*")</f>
        <v>0</v>
      </c>
      <c r="V9" s="10">
        <f>SUMIFS('PLAN BUDGET SAMI-TF'!BH13:BH100000,'PLAN BUDGET SAMI-TF'!D13:D100000,SUMMARY!D9,'PLAN BUDGET SAMI-TF'!J13:J100000,SUMMARY!A9&amp;"*")</f>
        <v>0</v>
      </c>
      <c r="W9" s="10">
        <f>SUMIFS('PLAN BUDGET SAMI-TF'!BI13:BI100000,'PLAN BUDGET SAMI-TF'!D13:D100000,SUMMARY!D9,'PLAN BUDGET SAMI-TF'!J13:J100000,SUMMARY!A9&amp;"*")</f>
        <v>99.337748344370993</v>
      </c>
      <c r="X9" s="10">
        <f>SUMIFS('PLAN BUDGET SAMI-TF'!BJ13:BJ100000,'PLAN BUDGET SAMI-TF'!D13:D100000,SUMMARY!D9,'PLAN BUDGET SAMI-TF'!J13:J100000,SUMMARY!A9&amp;"*")</f>
        <v>0</v>
      </c>
      <c r="Y9" s="10">
        <f>SUMIFS('PLAN BUDGET SAMI-TF'!BK13:BK100000,'PLAN BUDGET SAMI-TF'!D13:D100000,SUMMARY!D9,'PLAN BUDGET SAMI-TF'!J13:J100000,SUMMARY!A9&amp;"*")</f>
        <v>0</v>
      </c>
      <c r="Z9" s="10">
        <f>SUMIFS('PLAN BUDGET SAMI-TF'!BL13:BL100000,'PLAN BUDGET SAMI-TF'!D13:D100000,SUMMARY!D9,'PLAN BUDGET SAMI-TF'!J13:J100000,SUMMARY!A9&amp;"*")</f>
        <v>99.337748344370993</v>
      </c>
      <c r="AA9" s="10">
        <f>SUMIFS('PLAN BUDGET SAMI-TF'!BM13:BM100000,'PLAN BUDGET SAMI-TF'!D13:D100000,SUMMARY!D9,'PLAN BUDGET SAMI-TF'!J13:J100000,SUMMARY!A9&amp;"*")</f>
        <v>0</v>
      </c>
      <c r="AB9" s="10">
        <f>SUMIFS('PLAN BUDGET SAMI-TF'!BN13:BN100000,'PLAN BUDGET SAMI-TF'!D13:D100000,SUMMARY!D9,'PLAN BUDGET SAMI-TF'!J13:J100000,SUMMARY!A9&amp;"*")</f>
        <v>0</v>
      </c>
      <c r="AC9" s="10">
        <f t="shared" ref="AC9:AC54" si="0">SUM(E9:P9)</f>
        <v>12</v>
      </c>
      <c r="AD9" s="10">
        <f t="shared" ref="AD9:AD54" si="1">SUM(Q9:AB9)</f>
        <v>397.35099337748397</v>
      </c>
      <c r="AE9" s="16"/>
      <c r="AF9" s="10">
        <v>12</v>
      </c>
      <c r="AG9" s="10">
        <v>397.35099337747999</v>
      </c>
      <c r="AH9" s="20">
        <f t="shared" ref="AH9:AH54" si="2">IFERROR((AC9-AF9)/AF9,1)</f>
        <v>0</v>
      </c>
      <c r="AI9" s="20">
        <f t="shared" ref="AI9:AI54" si="3">IFERROR((AD9-AG9)/AG9,1)</f>
        <v>1.0013915622645765E-14</v>
      </c>
      <c r="AJ9" s="67"/>
    </row>
    <row r="10" spans="1:36" x14ac:dyDescent="0.35">
      <c r="A10" s="7" t="s">
        <v>48</v>
      </c>
      <c r="B10" s="7"/>
      <c r="C10" s="7"/>
      <c r="D10" s="7" t="s">
        <v>153</v>
      </c>
      <c r="E10" s="10">
        <f>SUMIFS('PLAN BUDGET SAMI-TF'!AN13:AN100000,'PLAN BUDGET SAMI-TF'!D13:D100000,SUMMARY!D10,'PLAN BUDGET SAMI-TF'!J13:J100000,SUMMARY!A10&amp;"*")</f>
        <v>150</v>
      </c>
      <c r="F10" s="10">
        <f>SUMIFS('PLAN BUDGET SAMI-TF'!AO13:AO100000,'PLAN BUDGET SAMI-TF'!D13:D100000,SUMMARY!D10,'PLAN BUDGET SAMI-TF'!J13:J100000,SUMMARY!A10&amp;"*")</f>
        <v>0</v>
      </c>
      <c r="G10" s="10">
        <f>SUMIFS('PLAN BUDGET SAMI-TF'!AP13:AP100000,'PLAN BUDGET SAMI-TF'!D13:D100000,SUMMARY!D10,'PLAN BUDGET SAMI-TF'!J13:J100000,SUMMARY!A10&amp;"*")</f>
        <v>0</v>
      </c>
      <c r="H10" s="10">
        <f>SUMIFS('PLAN BUDGET SAMI-TF'!AQ13:AQ100000,'PLAN BUDGET SAMI-TF'!D13:D100000,SUMMARY!D10,'PLAN BUDGET SAMI-TF'!J13:J100000,SUMMARY!A10&amp;"*")</f>
        <v>0</v>
      </c>
      <c r="I10" s="10">
        <f>SUMIFS('PLAN BUDGET SAMI-TF'!AR13:AR100000,'PLAN BUDGET SAMI-TF'!D13:D100000,SUMMARY!D10,'PLAN BUDGET SAMI-TF'!J13:J100000,SUMMARY!A10&amp;"*")</f>
        <v>0</v>
      </c>
      <c r="J10" s="10">
        <f>SUMIFS('PLAN BUDGET SAMI-TF'!AS13:AS100000,'PLAN BUDGET SAMI-TF'!D13:D100000,SUMMARY!D10,'PLAN BUDGET SAMI-TF'!J13:J100000,SUMMARY!A10&amp;"*")</f>
        <v>0</v>
      </c>
      <c r="K10" s="10">
        <f>SUMIFS('PLAN BUDGET SAMI-TF'!AT13:AT100000,'PLAN BUDGET SAMI-TF'!D13:D100000,SUMMARY!D10,'PLAN BUDGET SAMI-TF'!J13:J100000,SUMMARY!A10&amp;"*")</f>
        <v>0</v>
      </c>
      <c r="L10" s="10">
        <f>SUMIFS('PLAN BUDGET SAMI-TF'!AU13:AU100000,'PLAN BUDGET SAMI-TF'!D13:D100000,SUMMARY!D10,'PLAN BUDGET SAMI-TF'!J13:J100000,SUMMARY!A10&amp;"*")</f>
        <v>0</v>
      </c>
      <c r="M10" s="10">
        <f>SUMIFS('PLAN BUDGET SAMI-TF'!AV13:AV100000,'PLAN BUDGET SAMI-TF'!D13:D100000,SUMMARY!D10,'PLAN BUDGET SAMI-TF'!J13:J100000,SUMMARY!A10&amp;"*")</f>
        <v>0</v>
      </c>
      <c r="N10" s="10">
        <f>SUMIFS('PLAN BUDGET SAMI-TF'!AW13:AW100000,'PLAN BUDGET SAMI-TF'!D13:D100000,SUMMARY!D10,'PLAN BUDGET SAMI-TF'!J13:J100000,SUMMARY!A10&amp;"*")</f>
        <v>0</v>
      </c>
      <c r="O10" s="10">
        <f>SUMIFS('PLAN BUDGET SAMI-TF'!AX13:AX100000,'PLAN BUDGET SAMI-TF'!D13:D100000,SUMMARY!D10,'PLAN BUDGET SAMI-TF'!J13:J100000,SUMMARY!A10&amp;"*")</f>
        <v>0</v>
      </c>
      <c r="P10" s="10">
        <f>SUMIFS('PLAN BUDGET SAMI-TF'!AY13:AY100000,'PLAN BUDGET SAMI-TF'!D13:D100000,SUMMARY!D10,'PLAN BUDGET SAMI-TF'!J13:J100000,SUMMARY!A10&amp;"*")</f>
        <v>0</v>
      </c>
      <c r="Q10" s="10">
        <f>SUMIFS('PLAN BUDGET SAMI-TF'!BC13:BC100000,'PLAN BUDGET SAMI-TF'!D13:D100000,SUMMARY!D10,'PLAN BUDGET SAMI-TF'!J13:J100000,SUMMARY!A10&amp;"*")</f>
        <v>10.443963389161</v>
      </c>
      <c r="R10" s="10">
        <f>SUMIFS('PLAN BUDGET SAMI-TF'!BD13:BD100000,'PLAN BUDGET SAMI-TF'!D13:D100000,SUMMARY!D10,'PLAN BUDGET SAMI-TF'!J13:J100000,SUMMARY!A10&amp;"*")</f>
        <v>0</v>
      </c>
      <c r="S10" s="10">
        <f>SUMIFS('PLAN BUDGET SAMI-TF'!BE13:BE100000,'PLAN BUDGET SAMI-TF'!D13:D100000,SUMMARY!D10,'PLAN BUDGET SAMI-TF'!J13:J100000,SUMMARY!A10&amp;"*")</f>
        <v>0</v>
      </c>
      <c r="T10" s="10">
        <f>SUMIFS('PLAN BUDGET SAMI-TF'!BF13:BF100000,'PLAN BUDGET SAMI-TF'!D13:D100000,SUMMARY!D10,'PLAN BUDGET SAMI-TF'!J13:J100000,SUMMARY!A10&amp;"*")</f>
        <v>0</v>
      </c>
      <c r="U10" s="10">
        <f>SUMIFS('PLAN BUDGET SAMI-TF'!BG13:BG100000,'PLAN BUDGET SAMI-TF'!D13:D100000,SUMMARY!D10,'PLAN BUDGET SAMI-TF'!J13:J100000,SUMMARY!A10&amp;"*")</f>
        <v>0</v>
      </c>
      <c r="V10" s="10">
        <f>SUMIFS('PLAN BUDGET SAMI-TF'!BH13:BH100000,'PLAN BUDGET SAMI-TF'!D13:D100000,SUMMARY!D10,'PLAN BUDGET SAMI-TF'!J13:J100000,SUMMARY!A10&amp;"*")</f>
        <v>0</v>
      </c>
      <c r="W10" s="10">
        <f>SUMIFS('PLAN BUDGET SAMI-TF'!BI13:BI100000,'PLAN BUDGET SAMI-TF'!D13:D100000,SUMMARY!D10,'PLAN BUDGET SAMI-TF'!J13:J100000,SUMMARY!A10&amp;"*")</f>
        <v>0</v>
      </c>
      <c r="X10" s="10">
        <f>SUMIFS('PLAN BUDGET SAMI-TF'!BJ13:BJ100000,'PLAN BUDGET SAMI-TF'!D13:D100000,SUMMARY!D10,'PLAN BUDGET SAMI-TF'!J13:J100000,SUMMARY!A10&amp;"*")</f>
        <v>0</v>
      </c>
      <c r="Y10" s="10">
        <f>SUMIFS('PLAN BUDGET SAMI-TF'!BK13:BK100000,'PLAN BUDGET SAMI-TF'!D13:D100000,SUMMARY!D10,'PLAN BUDGET SAMI-TF'!J13:J100000,SUMMARY!A10&amp;"*")</f>
        <v>0</v>
      </c>
      <c r="Z10" s="10">
        <f>SUMIFS('PLAN BUDGET SAMI-TF'!BL13:BL100000,'PLAN BUDGET SAMI-TF'!D13:D100000,SUMMARY!D10,'PLAN BUDGET SAMI-TF'!J13:J100000,SUMMARY!A10&amp;"*")</f>
        <v>0</v>
      </c>
      <c r="AA10" s="10">
        <f>SUMIFS('PLAN BUDGET SAMI-TF'!BM13:BM100000,'PLAN BUDGET SAMI-TF'!D13:D100000,SUMMARY!D10,'PLAN BUDGET SAMI-TF'!J13:J100000,SUMMARY!A10&amp;"*")</f>
        <v>0</v>
      </c>
      <c r="AB10" s="10">
        <f>SUMIFS('PLAN BUDGET SAMI-TF'!BN13:BN100000,'PLAN BUDGET SAMI-TF'!D13:D100000,SUMMARY!D10,'PLAN BUDGET SAMI-TF'!J13:J100000,SUMMARY!A10&amp;"*")</f>
        <v>0</v>
      </c>
      <c r="AC10" s="10">
        <f t="shared" si="0"/>
        <v>150</v>
      </c>
      <c r="AD10" s="10">
        <f t="shared" si="1"/>
        <v>10.443963389161</v>
      </c>
      <c r="AE10" s="16"/>
      <c r="AF10" s="10">
        <v>250</v>
      </c>
      <c r="AG10" s="10">
        <v>17.406605648602</v>
      </c>
      <c r="AH10" s="20">
        <f t="shared" si="2"/>
        <v>-0.4</v>
      </c>
      <c r="AI10" s="20">
        <f t="shared" si="3"/>
        <v>-0.40000000000001146</v>
      </c>
      <c r="AJ10" s="67" t="s">
        <v>347</v>
      </c>
    </row>
    <row r="11" spans="1:36" x14ac:dyDescent="0.35">
      <c r="A11" s="7" t="s">
        <v>48</v>
      </c>
      <c r="B11" s="7"/>
      <c r="C11" s="7"/>
      <c r="D11" s="7" t="s">
        <v>54</v>
      </c>
      <c r="E11" s="10">
        <f>SUMIFS('PLAN BUDGET SAMI-TF'!AN13:AN100000,'PLAN BUDGET SAMI-TF'!D13:D100000,SUMMARY!D11,'PLAN BUDGET SAMI-TF'!J13:J100000,SUMMARY!A11&amp;"*")</f>
        <v>0</v>
      </c>
      <c r="F11" s="10">
        <f>SUMIFS('PLAN BUDGET SAMI-TF'!AO13:AO100000,'PLAN BUDGET SAMI-TF'!D13:D100000,SUMMARY!D11,'PLAN BUDGET SAMI-TF'!J13:J100000,SUMMARY!A11&amp;"*")</f>
        <v>0</v>
      </c>
      <c r="G11" s="10">
        <f>SUMIFS('PLAN BUDGET SAMI-TF'!AP13:AP100000,'PLAN BUDGET SAMI-TF'!D13:D100000,SUMMARY!D11,'PLAN BUDGET SAMI-TF'!J13:J100000,SUMMARY!A11&amp;"*")</f>
        <v>0</v>
      </c>
      <c r="H11" s="10">
        <f>SUMIFS('PLAN BUDGET SAMI-TF'!AQ13:AQ100000,'PLAN BUDGET SAMI-TF'!D13:D100000,SUMMARY!D11,'PLAN BUDGET SAMI-TF'!J13:J100000,SUMMARY!A11&amp;"*")</f>
        <v>12</v>
      </c>
      <c r="I11" s="10">
        <f>SUMIFS('PLAN BUDGET SAMI-TF'!AR13:AR100000,'PLAN BUDGET SAMI-TF'!D13:D100000,SUMMARY!D11,'PLAN BUDGET SAMI-TF'!J13:J100000,SUMMARY!A11&amp;"*")</f>
        <v>0</v>
      </c>
      <c r="J11" s="10">
        <f>SUMIFS('PLAN BUDGET SAMI-TF'!AS13:AS100000,'PLAN BUDGET SAMI-TF'!D13:D100000,SUMMARY!D11,'PLAN BUDGET SAMI-TF'!J13:J100000,SUMMARY!A11&amp;"*")</f>
        <v>0</v>
      </c>
      <c r="K11" s="10">
        <f>SUMIFS('PLAN BUDGET SAMI-TF'!AT13:AT100000,'PLAN BUDGET SAMI-TF'!D13:D100000,SUMMARY!D11,'PLAN BUDGET SAMI-TF'!J13:J100000,SUMMARY!A11&amp;"*")</f>
        <v>0</v>
      </c>
      <c r="L11" s="10">
        <f>SUMIFS('PLAN BUDGET SAMI-TF'!AU13:AU100000,'PLAN BUDGET SAMI-TF'!D13:D100000,SUMMARY!D11,'PLAN BUDGET SAMI-TF'!J13:J100000,SUMMARY!A11&amp;"*")</f>
        <v>12</v>
      </c>
      <c r="M11" s="10">
        <f>SUMIFS('PLAN BUDGET SAMI-TF'!AV13:AV100000,'PLAN BUDGET SAMI-TF'!D13:D100000,SUMMARY!D11,'PLAN BUDGET SAMI-TF'!J13:J100000,SUMMARY!A11&amp;"*")</f>
        <v>0</v>
      </c>
      <c r="N11" s="10">
        <f>SUMIFS('PLAN BUDGET SAMI-TF'!AW13:AW100000,'PLAN BUDGET SAMI-TF'!D13:D100000,SUMMARY!D11,'PLAN BUDGET SAMI-TF'!J13:J100000,SUMMARY!A11&amp;"*")</f>
        <v>0</v>
      </c>
      <c r="O11" s="10">
        <f>SUMIFS('PLAN BUDGET SAMI-TF'!AX13:AX100000,'PLAN BUDGET SAMI-TF'!D13:D100000,SUMMARY!D11,'PLAN BUDGET SAMI-TF'!J13:J100000,SUMMARY!A11&amp;"*")</f>
        <v>0</v>
      </c>
      <c r="P11" s="10">
        <f>SUMIFS('PLAN BUDGET SAMI-TF'!AY13:AY100000,'PLAN BUDGET SAMI-TF'!D13:D100000,SUMMARY!D11,'PLAN BUDGET SAMI-TF'!J13:J100000,SUMMARY!A11&amp;"*")</f>
        <v>0</v>
      </c>
      <c r="Q11" s="10">
        <f>SUMIFS('PLAN BUDGET SAMI-TF'!BC13:BC100000,'PLAN BUDGET SAMI-TF'!D13:D100000,SUMMARY!D11,'PLAN BUDGET SAMI-TF'!J13:J100000,SUMMARY!A11&amp;"*")</f>
        <v>0</v>
      </c>
      <c r="R11" s="10">
        <f>SUMIFS('PLAN BUDGET SAMI-TF'!BD13:BD100000,'PLAN BUDGET SAMI-TF'!D13:D100000,SUMMARY!D11,'PLAN BUDGET SAMI-TF'!J13:J100000,SUMMARY!A11&amp;"*")</f>
        <v>0</v>
      </c>
      <c r="S11" s="10">
        <f>SUMIFS('PLAN BUDGET SAMI-TF'!BE13:BE100000,'PLAN BUDGET SAMI-TF'!D13:D100000,SUMMARY!D11,'PLAN BUDGET SAMI-TF'!J13:J100000,SUMMARY!A11&amp;"*")</f>
        <v>0</v>
      </c>
      <c r="T11" s="10">
        <f>SUMIFS('PLAN BUDGET SAMI-TF'!BF13:BF100000,'PLAN BUDGET SAMI-TF'!D13:D100000,SUMMARY!D11,'PLAN BUDGET SAMI-TF'!J13:J100000,SUMMARY!A11&amp;"*")</f>
        <v>1.1287076070032001</v>
      </c>
      <c r="U11" s="10">
        <f>SUMIFS('PLAN BUDGET SAMI-TF'!BG13:BG100000,'PLAN BUDGET SAMI-TF'!D13:D100000,SUMMARY!D11,'PLAN BUDGET SAMI-TF'!J13:J100000,SUMMARY!A11&amp;"*")</f>
        <v>0</v>
      </c>
      <c r="V11" s="10">
        <f>SUMIFS('PLAN BUDGET SAMI-TF'!BH13:BH100000,'PLAN BUDGET SAMI-TF'!D13:D100000,SUMMARY!D11,'PLAN BUDGET SAMI-TF'!J13:J100000,SUMMARY!A11&amp;"*")</f>
        <v>0</v>
      </c>
      <c r="W11" s="10">
        <f>SUMIFS('PLAN BUDGET SAMI-TF'!BI13:BI100000,'PLAN BUDGET SAMI-TF'!D13:D100000,SUMMARY!D11,'PLAN BUDGET SAMI-TF'!J13:J100000,SUMMARY!A11&amp;"*")</f>
        <v>0</v>
      </c>
      <c r="X11" s="10">
        <f>SUMIFS('PLAN BUDGET SAMI-TF'!BJ13:BJ100000,'PLAN BUDGET SAMI-TF'!D13:D100000,SUMMARY!D11,'PLAN BUDGET SAMI-TF'!J13:J100000,SUMMARY!A11&amp;"*")</f>
        <v>1.1287076070032001</v>
      </c>
      <c r="Y11" s="10">
        <f>SUMIFS('PLAN BUDGET SAMI-TF'!BK13:BK100000,'PLAN BUDGET SAMI-TF'!D13:D100000,SUMMARY!D11,'PLAN BUDGET SAMI-TF'!J13:J100000,SUMMARY!A11&amp;"*")</f>
        <v>0</v>
      </c>
      <c r="Z11" s="10">
        <f>SUMIFS('PLAN BUDGET SAMI-TF'!BL13:BL100000,'PLAN BUDGET SAMI-TF'!D13:D100000,SUMMARY!D11,'PLAN BUDGET SAMI-TF'!J13:J100000,SUMMARY!A11&amp;"*")</f>
        <v>0</v>
      </c>
      <c r="AA11" s="10">
        <f>SUMIFS('PLAN BUDGET SAMI-TF'!BM13:BM100000,'PLAN BUDGET SAMI-TF'!D13:D100000,SUMMARY!D11,'PLAN BUDGET SAMI-TF'!J13:J100000,SUMMARY!A11&amp;"*")</f>
        <v>0</v>
      </c>
      <c r="AB11" s="10">
        <f>SUMIFS('PLAN BUDGET SAMI-TF'!BN13:BN100000,'PLAN BUDGET SAMI-TF'!D13:D100000,SUMMARY!D11,'PLAN BUDGET SAMI-TF'!J13:J100000,SUMMARY!A11&amp;"*")</f>
        <v>0</v>
      </c>
      <c r="AC11" s="10">
        <f t="shared" si="0"/>
        <v>24</v>
      </c>
      <c r="AD11" s="10">
        <f t="shared" si="1"/>
        <v>2.2574152140064001</v>
      </c>
      <c r="AE11" s="16"/>
      <c r="AF11" s="10">
        <v>24</v>
      </c>
      <c r="AG11" s="10">
        <v>2.1222133606775002</v>
      </c>
      <c r="AH11" s="20">
        <f t="shared" si="2"/>
        <v>0</v>
      </c>
      <c r="AI11" s="20">
        <f t="shared" si="3"/>
        <v>6.3707945597768614E-2</v>
      </c>
      <c r="AJ11" s="67" t="s">
        <v>348</v>
      </c>
    </row>
    <row r="12" spans="1:36" x14ac:dyDescent="0.35">
      <c r="A12" s="7" t="s">
        <v>48</v>
      </c>
      <c r="B12" s="7"/>
      <c r="C12" s="7"/>
      <c r="D12" s="7" t="s">
        <v>91</v>
      </c>
      <c r="E12" s="10">
        <f>SUMIFS('PLAN BUDGET SAMI-TF'!AN13:AN100000,'PLAN BUDGET SAMI-TF'!D13:D100000,SUMMARY!D12,'PLAN BUDGET SAMI-TF'!J13:J100000,SUMMARY!A12&amp;"*")</f>
        <v>0</v>
      </c>
      <c r="F12" s="10">
        <f>SUMIFS('PLAN BUDGET SAMI-TF'!AO13:AO100000,'PLAN BUDGET SAMI-TF'!D13:D100000,SUMMARY!D12,'PLAN BUDGET SAMI-TF'!J13:J100000,SUMMARY!A12&amp;"*")</f>
        <v>0</v>
      </c>
      <c r="G12" s="10">
        <f>SUMIFS('PLAN BUDGET SAMI-TF'!AP13:AP100000,'PLAN BUDGET SAMI-TF'!D13:D100000,SUMMARY!D12,'PLAN BUDGET SAMI-TF'!J13:J100000,SUMMARY!A12&amp;"*")</f>
        <v>0</v>
      </c>
      <c r="H12" s="10">
        <f>SUMIFS('PLAN BUDGET SAMI-TF'!AQ13:AQ100000,'PLAN BUDGET SAMI-TF'!D13:D100000,SUMMARY!D12,'PLAN BUDGET SAMI-TF'!J13:J100000,SUMMARY!A12&amp;"*")</f>
        <v>0</v>
      </c>
      <c r="I12" s="10">
        <f>SUMIFS('PLAN BUDGET SAMI-TF'!AR13:AR100000,'PLAN BUDGET SAMI-TF'!D13:D100000,SUMMARY!D12,'PLAN BUDGET SAMI-TF'!J13:J100000,SUMMARY!A12&amp;"*")</f>
        <v>0</v>
      </c>
      <c r="J12" s="10">
        <f>SUMIFS('PLAN BUDGET SAMI-TF'!AS13:AS100000,'PLAN BUDGET SAMI-TF'!D13:D100000,SUMMARY!D12,'PLAN BUDGET SAMI-TF'!J13:J100000,SUMMARY!A12&amp;"*")</f>
        <v>1</v>
      </c>
      <c r="K12" s="10">
        <f>SUMIFS('PLAN BUDGET SAMI-TF'!AT13:AT100000,'PLAN BUDGET SAMI-TF'!D13:D100000,SUMMARY!D12,'PLAN BUDGET SAMI-TF'!J13:J100000,SUMMARY!A12&amp;"*")</f>
        <v>0</v>
      </c>
      <c r="L12" s="10">
        <f>SUMIFS('PLAN BUDGET SAMI-TF'!AU13:AU100000,'PLAN BUDGET SAMI-TF'!D13:D100000,SUMMARY!D12,'PLAN BUDGET SAMI-TF'!J13:J100000,SUMMARY!A12&amp;"*")</f>
        <v>0</v>
      </c>
      <c r="M12" s="10">
        <f>SUMIFS('PLAN BUDGET SAMI-TF'!AV13:AV100000,'PLAN BUDGET SAMI-TF'!D13:D100000,SUMMARY!D12,'PLAN BUDGET SAMI-TF'!J13:J100000,SUMMARY!A12&amp;"*")</f>
        <v>0</v>
      </c>
      <c r="N12" s="10">
        <f>SUMIFS('PLAN BUDGET SAMI-TF'!AW13:AW100000,'PLAN BUDGET SAMI-TF'!D13:D100000,SUMMARY!D12,'PLAN BUDGET SAMI-TF'!J13:J100000,SUMMARY!A12&amp;"*")</f>
        <v>0</v>
      </c>
      <c r="O12" s="10">
        <f>SUMIFS('PLAN BUDGET SAMI-TF'!AX13:AX100000,'PLAN BUDGET SAMI-TF'!D13:D100000,SUMMARY!D12,'PLAN BUDGET SAMI-TF'!J13:J100000,SUMMARY!A12&amp;"*")</f>
        <v>0</v>
      </c>
      <c r="P12" s="10">
        <f>SUMIFS('PLAN BUDGET SAMI-TF'!AY13:AY100000,'PLAN BUDGET SAMI-TF'!D13:D100000,SUMMARY!D12,'PLAN BUDGET SAMI-TF'!J13:J100000,SUMMARY!A12&amp;"*")</f>
        <v>0</v>
      </c>
      <c r="Q12" s="10">
        <f>SUMIFS('PLAN BUDGET SAMI-TF'!BC13:BC100000,'PLAN BUDGET SAMI-TF'!D13:D100000,SUMMARY!D12,'PLAN BUDGET SAMI-TF'!J13:J100000,SUMMARY!A12&amp;"*")</f>
        <v>0</v>
      </c>
      <c r="R12" s="10">
        <f>SUMIFS('PLAN BUDGET SAMI-TF'!BD13:BD100000,'PLAN BUDGET SAMI-TF'!D13:D100000,SUMMARY!D12,'PLAN BUDGET SAMI-TF'!J13:J100000,SUMMARY!A12&amp;"*")</f>
        <v>0</v>
      </c>
      <c r="S12" s="10">
        <f>SUMIFS('PLAN BUDGET SAMI-TF'!BE13:BE100000,'PLAN BUDGET SAMI-TF'!D13:D100000,SUMMARY!D12,'PLAN BUDGET SAMI-TF'!J13:J100000,SUMMARY!A12&amp;"*")</f>
        <v>0</v>
      </c>
      <c r="T12" s="10">
        <f>SUMIFS('PLAN BUDGET SAMI-TF'!BF13:BF100000,'PLAN BUDGET SAMI-TF'!D13:D100000,SUMMARY!D12,'PLAN BUDGET SAMI-TF'!J13:J100000,SUMMARY!A12&amp;"*")</f>
        <v>0</v>
      </c>
      <c r="U12" s="10">
        <f>SUMIFS('PLAN BUDGET SAMI-TF'!BG13:BG100000,'PLAN BUDGET SAMI-TF'!D13:D100000,SUMMARY!D12,'PLAN BUDGET SAMI-TF'!J13:J100000,SUMMARY!A12&amp;"*")</f>
        <v>0</v>
      </c>
      <c r="V12" s="10">
        <f>SUMIFS('PLAN BUDGET SAMI-TF'!BH13:BH100000,'PLAN BUDGET SAMI-TF'!D13:D100000,SUMMARY!D12,'PLAN BUDGET SAMI-TF'!J13:J100000,SUMMARY!A12&amp;"*")</f>
        <v>0.37629916574886002</v>
      </c>
      <c r="W12" s="10">
        <f>SUMIFS('PLAN BUDGET SAMI-TF'!BI13:BI100000,'PLAN BUDGET SAMI-TF'!D13:D100000,SUMMARY!D12,'PLAN BUDGET SAMI-TF'!J13:J100000,SUMMARY!A12&amp;"*")</f>
        <v>0</v>
      </c>
      <c r="X12" s="10">
        <f>SUMIFS('PLAN BUDGET SAMI-TF'!BJ13:BJ100000,'PLAN BUDGET SAMI-TF'!D13:D100000,SUMMARY!D12,'PLAN BUDGET SAMI-TF'!J13:J100000,SUMMARY!A12&amp;"*")</f>
        <v>0</v>
      </c>
      <c r="Y12" s="10">
        <f>SUMIFS('PLAN BUDGET SAMI-TF'!BK13:BK100000,'PLAN BUDGET SAMI-TF'!D13:D100000,SUMMARY!D12,'PLAN BUDGET SAMI-TF'!J13:J100000,SUMMARY!A12&amp;"*")</f>
        <v>0</v>
      </c>
      <c r="Z12" s="10">
        <f>SUMIFS('PLAN BUDGET SAMI-TF'!BL13:BL100000,'PLAN BUDGET SAMI-TF'!D13:D100000,SUMMARY!D12,'PLAN BUDGET SAMI-TF'!J13:J100000,SUMMARY!A12&amp;"*")</f>
        <v>0</v>
      </c>
      <c r="AA12" s="10">
        <f>SUMIFS('PLAN BUDGET SAMI-TF'!BM13:BM100000,'PLAN BUDGET SAMI-TF'!D13:D100000,SUMMARY!D12,'PLAN BUDGET SAMI-TF'!J13:J100000,SUMMARY!A12&amp;"*")</f>
        <v>0</v>
      </c>
      <c r="AB12" s="10">
        <f>SUMIFS('PLAN BUDGET SAMI-TF'!BN13:BN100000,'PLAN BUDGET SAMI-TF'!D13:D100000,SUMMARY!D12,'PLAN BUDGET SAMI-TF'!J13:J100000,SUMMARY!A12&amp;"*")</f>
        <v>0</v>
      </c>
      <c r="AC12" s="10">
        <f t="shared" si="0"/>
        <v>1</v>
      </c>
      <c r="AD12" s="10">
        <f t="shared" si="1"/>
        <v>0.37629916574886002</v>
      </c>
      <c r="AE12" s="16"/>
      <c r="AF12" s="10">
        <v>1</v>
      </c>
      <c r="AG12" s="10">
        <v>0.36712113731596002</v>
      </c>
      <c r="AH12" s="20">
        <f t="shared" si="2"/>
        <v>0</v>
      </c>
      <c r="AI12" s="20">
        <f t="shared" si="3"/>
        <v>2.5000000000002718E-2</v>
      </c>
      <c r="AJ12" s="67" t="s">
        <v>349</v>
      </c>
    </row>
    <row r="13" spans="1:36" x14ac:dyDescent="0.35">
      <c r="A13" s="7" t="s">
        <v>48</v>
      </c>
      <c r="B13" s="7"/>
      <c r="C13" s="7"/>
      <c r="D13" s="7" t="s">
        <v>59</v>
      </c>
      <c r="E13" s="10">
        <f>SUMIFS('PLAN BUDGET SAMI-TF'!AN13:AN100000,'PLAN BUDGET SAMI-TF'!D13:D100000,SUMMARY!D13,'PLAN BUDGET SAMI-TF'!J13:J100000,SUMMARY!A13&amp;"*")</f>
        <v>6</v>
      </c>
      <c r="F13" s="10">
        <f>SUMIFS('PLAN BUDGET SAMI-TF'!AO13:AO100000,'PLAN BUDGET SAMI-TF'!D13:D100000,SUMMARY!D13,'PLAN BUDGET SAMI-TF'!J13:J100000,SUMMARY!A13&amp;"*")</f>
        <v>0</v>
      </c>
      <c r="G13" s="10">
        <f>SUMIFS('PLAN BUDGET SAMI-TF'!AP13:AP100000,'PLAN BUDGET SAMI-TF'!D13:D100000,SUMMARY!D13,'PLAN BUDGET SAMI-TF'!J13:J100000,SUMMARY!A13&amp;"*")</f>
        <v>0</v>
      </c>
      <c r="H13" s="10">
        <f>SUMIFS('PLAN BUDGET SAMI-TF'!AQ13:AQ100000,'PLAN BUDGET SAMI-TF'!D13:D100000,SUMMARY!D13,'PLAN BUDGET SAMI-TF'!J13:J100000,SUMMARY!A13&amp;"*")</f>
        <v>0</v>
      </c>
      <c r="I13" s="10">
        <f>SUMIFS('PLAN BUDGET SAMI-TF'!AR13:AR100000,'PLAN BUDGET SAMI-TF'!D13:D100000,SUMMARY!D13,'PLAN BUDGET SAMI-TF'!J13:J100000,SUMMARY!A13&amp;"*")</f>
        <v>0</v>
      </c>
      <c r="J13" s="10">
        <f>SUMIFS('PLAN BUDGET SAMI-TF'!AS13:AS100000,'PLAN BUDGET SAMI-TF'!D13:D100000,SUMMARY!D13,'PLAN BUDGET SAMI-TF'!J13:J100000,SUMMARY!A13&amp;"*")</f>
        <v>0</v>
      </c>
      <c r="K13" s="10">
        <f>SUMIFS('PLAN BUDGET SAMI-TF'!AT13:AT100000,'PLAN BUDGET SAMI-TF'!D13:D100000,SUMMARY!D13,'PLAN BUDGET SAMI-TF'!J13:J100000,SUMMARY!A13&amp;"*")</f>
        <v>6</v>
      </c>
      <c r="L13" s="10">
        <f>SUMIFS('PLAN BUDGET SAMI-TF'!AU13:AU100000,'PLAN BUDGET SAMI-TF'!D13:D100000,SUMMARY!D13,'PLAN BUDGET SAMI-TF'!J13:J100000,SUMMARY!A13&amp;"*")</f>
        <v>0</v>
      </c>
      <c r="M13" s="10">
        <f>SUMIFS('PLAN BUDGET SAMI-TF'!AV13:AV100000,'PLAN BUDGET SAMI-TF'!D13:D100000,SUMMARY!D13,'PLAN BUDGET SAMI-TF'!J13:J100000,SUMMARY!A13&amp;"*")</f>
        <v>0</v>
      </c>
      <c r="N13" s="10">
        <f>SUMIFS('PLAN BUDGET SAMI-TF'!AW13:AW100000,'PLAN BUDGET SAMI-TF'!D13:D100000,SUMMARY!D13,'PLAN BUDGET SAMI-TF'!J13:J100000,SUMMARY!A13&amp;"*")</f>
        <v>0</v>
      </c>
      <c r="O13" s="10">
        <f>SUMIFS('PLAN BUDGET SAMI-TF'!AX13:AX100000,'PLAN BUDGET SAMI-TF'!D13:D100000,SUMMARY!D13,'PLAN BUDGET SAMI-TF'!J13:J100000,SUMMARY!A13&amp;"*")</f>
        <v>0</v>
      </c>
      <c r="P13" s="10">
        <f>SUMIFS('PLAN BUDGET SAMI-TF'!AY13:AY100000,'PLAN BUDGET SAMI-TF'!D13:D100000,SUMMARY!D13,'PLAN BUDGET SAMI-TF'!J13:J100000,SUMMARY!A13&amp;"*")</f>
        <v>0</v>
      </c>
      <c r="Q13" s="10">
        <f>SUMIFS('PLAN BUDGET SAMI-TF'!BC13:BC100000,'PLAN BUDGET SAMI-TF'!D13:D100000,SUMMARY!D13,'PLAN BUDGET SAMI-TF'!J13:J100000,SUMMARY!A13&amp;"*")</f>
        <v>0.92362614408872001</v>
      </c>
      <c r="R13" s="10">
        <f>SUMIFS('PLAN BUDGET SAMI-TF'!BD13:BD100000,'PLAN BUDGET SAMI-TF'!D13:D100000,SUMMARY!D13,'PLAN BUDGET SAMI-TF'!J13:J100000,SUMMARY!A13&amp;"*")</f>
        <v>0</v>
      </c>
      <c r="S13" s="10">
        <f>SUMIFS('PLAN BUDGET SAMI-TF'!BE13:BE100000,'PLAN BUDGET SAMI-TF'!D13:D100000,SUMMARY!D13,'PLAN BUDGET SAMI-TF'!J13:J100000,SUMMARY!A13&amp;"*")</f>
        <v>0</v>
      </c>
      <c r="T13" s="10">
        <f>SUMIFS('PLAN BUDGET SAMI-TF'!BF13:BF100000,'PLAN BUDGET SAMI-TF'!D13:D100000,SUMMARY!D13,'PLAN BUDGET SAMI-TF'!J13:J100000,SUMMARY!A13&amp;"*")</f>
        <v>0</v>
      </c>
      <c r="U13" s="10">
        <f>SUMIFS('PLAN BUDGET SAMI-TF'!BG13:BG100000,'PLAN BUDGET SAMI-TF'!D13:D100000,SUMMARY!D13,'PLAN BUDGET SAMI-TF'!J13:J100000,SUMMARY!A13&amp;"*")</f>
        <v>0</v>
      </c>
      <c r="V13" s="10">
        <f>SUMIFS('PLAN BUDGET SAMI-TF'!BH13:BH100000,'PLAN BUDGET SAMI-TF'!D13:D100000,SUMMARY!D13,'PLAN BUDGET SAMI-TF'!J13:J100000,SUMMARY!A13&amp;"*")</f>
        <v>0</v>
      </c>
      <c r="W13" s="10">
        <f>SUMIFS('PLAN BUDGET SAMI-TF'!BI13:BI100000,'PLAN BUDGET SAMI-TF'!D13:D100000,SUMMARY!D13,'PLAN BUDGET SAMI-TF'!J13:J100000,SUMMARY!A13&amp;"*")</f>
        <v>0.92362614408872001</v>
      </c>
      <c r="X13" s="10">
        <f>SUMIFS('PLAN BUDGET SAMI-TF'!BJ13:BJ100000,'PLAN BUDGET SAMI-TF'!D13:D100000,SUMMARY!D13,'PLAN BUDGET SAMI-TF'!J13:J100000,SUMMARY!A13&amp;"*")</f>
        <v>0</v>
      </c>
      <c r="Y13" s="10">
        <f>SUMIFS('PLAN BUDGET SAMI-TF'!BK13:BK100000,'PLAN BUDGET SAMI-TF'!D13:D100000,SUMMARY!D13,'PLAN BUDGET SAMI-TF'!J13:J100000,SUMMARY!A13&amp;"*")</f>
        <v>0</v>
      </c>
      <c r="Z13" s="10">
        <f>SUMIFS('PLAN BUDGET SAMI-TF'!BL13:BL100000,'PLAN BUDGET SAMI-TF'!D13:D100000,SUMMARY!D13,'PLAN BUDGET SAMI-TF'!J13:J100000,SUMMARY!A13&amp;"*")</f>
        <v>0</v>
      </c>
      <c r="AA13" s="10">
        <f>SUMIFS('PLAN BUDGET SAMI-TF'!BM13:BM100000,'PLAN BUDGET SAMI-TF'!D13:D100000,SUMMARY!D13,'PLAN BUDGET SAMI-TF'!J13:J100000,SUMMARY!A13&amp;"*")</f>
        <v>0</v>
      </c>
      <c r="AB13" s="10">
        <f>SUMIFS('PLAN BUDGET SAMI-TF'!BN13:BN100000,'PLAN BUDGET SAMI-TF'!D13:D100000,SUMMARY!D13,'PLAN BUDGET SAMI-TF'!J13:J100000,SUMMARY!A13&amp;"*")</f>
        <v>0</v>
      </c>
      <c r="AC13" s="10">
        <f t="shared" si="0"/>
        <v>12</v>
      </c>
      <c r="AD13" s="10">
        <f t="shared" si="1"/>
        <v>1.84725228817744</v>
      </c>
      <c r="AE13" s="16"/>
      <c r="AF13" s="10">
        <v>8</v>
      </c>
      <c r="AG13" s="10">
        <v>1.1525071841809</v>
      </c>
      <c r="AH13" s="20">
        <f t="shared" si="2"/>
        <v>0.5</v>
      </c>
      <c r="AI13" s="20">
        <f t="shared" si="3"/>
        <v>0.60281195079083449</v>
      </c>
      <c r="AJ13" s="67" t="s">
        <v>350</v>
      </c>
    </row>
    <row r="14" spans="1:36" x14ac:dyDescent="0.35">
      <c r="A14" s="7" t="s">
        <v>48</v>
      </c>
      <c r="B14" s="7"/>
      <c r="C14" s="7"/>
      <c r="D14" s="7" t="s">
        <v>112</v>
      </c>
      <c r="E14" s="10">
        <f>SUMIFS('PLAN BUDGET SAMI-TF'!AN13:AN100000,'PLAN BUDGET SAMI-TF'!D13:D100000,SUMMARY!D14,'PLAN BUDGET SAMI-TF'!J13:J100000,SUMMARY!A14&amp;"*")</f>
        <v>0</v>
      </c>
      <c r="F14" s="10">
        <f>SUMIFS('PLAN BUDGET SAMI-TF'!AO13:AO100000,'PLAN BUDGET SAMI-TF'!D13:D100000,SUMMARY!D14,'PLAN BUDGET SAMI-TF'!J13:J100000,SUMMARY!A14&amp;"*")</f>
        <v>0</v>
      </c>
      <c r="G14" s="10">
        <f>SUMIFS('PLAN BUDGET SAMI-TF'!AP13:AP100000,'PLAN BUDGET SAMI-TF'!D13:D100000,SUMMARY!D14,'PLAN BUDGET SAMI-TF'!J13:J100000,SUMMARY!A14&amp;"*")</f>
        <v>0</v>
      </c>
      <c r="H14" s="10">
        <f>SUMIFS('PLAN BUDGET SAMI-TF'!AQ13:AQ100000,'PLAN BUDGET SAMI-TF'!D13:D100000,SUMMARY!D14,'PLAN BUDGET SAMI-TF'!J13:J100000,SUMMARY!A14&amp;"*")</f>
        <v>133</v>
      </c>
      <c r="I14" s="10">
        <f>SUMIFS('PLAN BUDGET SAMI-TF'!AR13:AR100000,'PLAN BUDGET SAMI-TF'!D13:D100000,SUMMARY!D14,'PLAN BUDGET SAMI-TF'!J13:J100000,SUMMARY!A14&amp;"*")</f>
        <v>0</v>
      </c>
      <c r="J14" s="10">
        <f>SUMIFS('PLAN BUDGET SAMI-TF'!AS13:AS100000,'PLAN BUDGET SAMI-TF'!D13:D100000,SUMMARY!D14,'PLAN BUDGET SAMI-TF'!J13:J100000,SUMMARY!A14&amp;"*")</f>
        <v>70</v>
      </c>
      <c r="K14" s="10">
        <f>SUMIFS('PLAN BUDGET SAMI-TF'!AT13:AT100000,'PLAN BUDGET SAMI-TF'!D13:D100000,SUMMARY!D14,'PLAN BUDGET SAMI-TF'!J13:J100000,SUMMARY!A14&amp;"*")</f>
        <v>0</v>
      </c>
      <c r="L14" s="10">
        <f>SUMIFS('PLAN BUDGET SAMI-TF'!AU13:AU100000,'PLAN BUDGET SAMI-TF'!D13:D100000,SUMMARY!D14,'PLAN BUDGET SAMI-TF'!J13:J100000,SUMMARY!A14&amp;"*")</f>
        <v>0</v>
      </c>
      <c r="M14" s="10">
        <f>SUMIFS('PLAN BUDGET SAMI-TF'!AV13:AV100000,'PLAN BUDGET SAMI-TF'!D13:D100000,SUMMARY!D14,'PLAN BUDGET SAMI-TF'!J13:J100000,SUMMARY!A14&amp;"*")</f>
        <v>12</v>
      </c>
      <c r="N14" s="10">
        <f>SUMIFS('PLAN BUDGET SAMI-TF'!AW13:AW100000,'PLAN BUDGET SAMI-TF'!D13:D100000,SUMMARY!D14,'PLAN BUDGET SAMI-TF'!J13:J100000,SUMMARY!A14&amp;"*")</f>
        <v>210</v>
      </c>
      <c r="O14" s="10">
        <f>SUMIFS('PLAN BUDGET SAMI-TF'!AX13:AX100000,'PLAN BUDGET SAMI-TF'!D13:D100000,SUMMARY!D14,'PLAN BUDGET SAMI-TF'!J13:J100000,SUMMARY!A14&amp;"*")</f>
        <v>0</v>
      </c>
      <c r="P14" s="10">
        <f>SUMIFS('PLAN BUDGET SAMI-TF'!AY13:AY100000,'PLAN BUDGET SAMI-TF'!D13:D100000,SUMMARY!D14,'PLAN BUDGET SAMI-TF'!J13:J100000,SUMMARY!A14&amp;"*")</f>
        <v>0</v>
      </c>
      <c r="Q14" s="10">
        <f>SUMIFS('PLAN BUDGET SAMI-TF'!BC13:BC100000,'PLAN BUDGET SAMI-TF'!D13:D100000,SUMMARY!D14,'PLAN BUDGET SAMI-TF'!J13:J100000,SUMMARY!A14&amp;"*")</f>
        <v>0</v>
      </c>
      <c r="R14" s="10">
        <f>SUMIFS('PLAN BUDGET SAMI-TF'!BD13:BD100000,'PLAN BUDGET SAMI-TF'!D13:D100000,SUMMARY!D14,'PLAN BUDGET SAMI-TF'!J13:J100000,SUMMARY!A14&amp;"*")</f>
        <v>0</v>
      </c>
      <c r="S14" s="10">
        <f>SUMIFS('PLAN BUDGET SAMI-TF'!BE13:BE100000,'PLAN BUDGET SAMI-TF'!D13:D100000,SUMMARY!D14,'PLAN BUDGET SAMI-TF'!J13:J100000,SUMMARY!A14&amp;"*")</f>
        <v>0</v>
      </c>
      <c r="T14" s="10">
        <f>SUMIFS('PLAN BUDGET SAMI-TF'!BF13:BF100000,'PLAN BUDGET SAMI-TF'!D13:D100000,SUMMARY!D14,'PLAN BUDGET SAMI-TF'!J13:J100000,SUMMARY!A14&amp;"*")</f>
        <v>534.85751902067</v>
      </c>
      <c r="U14" s="10">
        <f>SUMIFS('PLAN BUDGET SAMI-TF'!BG13:BG100000,'PLAN BUDGET SAMI-TF'!D13:D100000,SUMMARY!D14,'PLAN BUDGET SAMI-TF'!J13:J100000,SUMMARY!A14&amp;"*")</f>
        <v>0</v>
      </c>
      <c r="V14" s="10">
        <f>SUMIFS('PLAN BUDGET SAMI-TF'!BH13:BH100000,'PLAN BUDGET SAMI-TF'!D13:D100000,SUMMARY!D14,'PLAN BUDGET SAMI-TF'!J13:J100000,SUMMARY!A14&amp;"*")</f>
        <v>284.83536515893599</v>
      </c>
      <c r="W14" s="10">
        <f>SUMIFS('PLAN BUDGET SAMI-TF'!BI13:BI100000,'PLAN BUDGET SAMI-TF'!D13:D100000,SUMMARY!D14,'PLAN BUDGET SAMI-TF'!J13:J100000,SUMMARY!A14&amp;"*")</f>
        <v>0</v>
      </c>
      <c r="X14" s="10">
        <f>SUMIFS('PLAN BUDGET SAMI-TF'!BJ13:BJ100000,'PLAN BUDGET SAMI-TF'!D13:D100000,SUMMARY!D14,'PLAN BUDGET SAMI-TF'!J13:J100000,SUMMARY!A14&amp;"*")</f>
        <v>0</v>
      </c>
      <c r="Y14" s="10">
        <f>SUMIFS('PLAN BUDGET SAMI-TF'!BK13:BK100000,'PLAN BUDGET SAMI-TF'!D13:D100000,SUMMARY!D14,'PLAN BUDGET SAMI-TF'!J13:J100000,SUMMARY!A14&amp;"*")</f>
        <v>37.978048687857999</v>
      </c>
      <c r="Z14" s="10">
        <f>SUMIFS('PLAN BUDGET SAMI-TF'!BL13:BL100000,'PLAN BUDGET SAMI-TF'!D13:D100000,SUMMARY!D14,'PLAN BUDGET SAMI-TF'!J13:J100000,SUMMARY!A14&amp;"*")</f>
        <v>917.80284328991002</v>
      </c>
      <c r="AA14" s="10">
        <f>SUMIFS('PLAN BUDGET SAMI-TF'!BM13:BM100000,'PLAN BUDGET SAMI-TF'!D13:D100000,SUMMARY!D14,'PLAN BUDGET SAMI-TF'!J13:J100000,SUMMARY!A14&amp;"*")</f>
        <v>0</v>
      </c>
      <c r="AB14" s="10">
        <f>SUMIFS('PLAN BUDGET SAMI-TF'!BN13:BN100000,'PLAN BUDGET SAMI-TF'!D13:D100000,SUMMARY!D14,'PLAN BUDGET SAMI-TF'!J13:J100000,SUMMARY!A14&amp;"*")</f>
        <v>0</v>
      </c>
      <c r="AC14" s="10">
        <f t="shared" si="0"/>
        <v>425</v>
      </c>
      <c r="AD14" s="10">
        <f t="shared" si="1"/>
        <v>1775.4737761573738</v>
      </c>
      <c r="AE14" s="16"/>
      <c r="AF14" s="10">
        <v>467</v>
      </c>
      <c r="AG14" s="10">
        <v>1971.6936943779999</v>
      </c>
      <c r="AH14" s="20">
        <f t="shared" si="2"/>
        <v>-8.9935760171306209E-2</v>
      </c>
      <c r="AI14" s="20">
        <f t="shared" si="3"/>
        <v>-9.9518459069032339E-2</v>
      </c>
      <c r="AJ14" s="67"/>
    </row>
    <row r="15" spans="1:36" x14ac:dyDescent="0.35">
      <c r="A15" s="7" t="s">
        <v>48</v>
      </c>
      <c r="B15" s="7"/>
      <c r="C15" s="7"/>
      <c r="D15" s="7" t="s">
        <v>126</v>
      </c>
      <c r="E15" s="10">
        <f>SUMIFS('PLAN BUDGET SAMI-TF'!AN13:AN100000,'PLAN BUDGET SAMI-TF'!D13:D100000,SUMMARY!D15,'PLAN BUDGET SAMI-TF'!J13:J100000,SUMMARY!A15&amp;"*")</f>
        <v>0</v>
      </c>
      <c r="F15" s="10">
        <f>SUMIFS('PLAN BUDGET SAMI-TF'!AO13:AO100000,'PLAN BUDGET SAMI-TF'!D13:D100000,SUMMARY!D15,'PLAN BUDGET SAMI-TF'!J13:J100000,SUMMARY!A15&amp;"*")</f>
        <v>0</v>
      </c>
      <c r="G15" s="10">
        <f>SUMIFS('PLAN BUDGET SAMI-TF'!AP13:AP100000,'PLAN BUDGET SAMI-TF'!D13:D100000,SUMMARY!D15,'PLAN BUDGET SAMI-TF'!J13:J100000,SUMMARY!A15&amp;"*")</f>
        <v>1</v>
      </c>
      <c r="H15" s="10">
        <f>SUMIFS('PLAN BUDGET SAMI-TF'!AQ13:AQ100000,'PLAN BUDGET SAMI-TF'!D13:D100000,SUMMARY!D15,'PLAN BUDGET SAMI-TF'!J13:J100000,SUMMARY!A15&amp;"*")</f>
        <v>0</v>
      </c>
      <c r="I15" s="10">
        <f>SUMIFS('PLAN BUDGET SAMI-TF'!AR13:AR100000,'PLAN BUDGET SAMI-TF'!D13:D100000,SUMMARY!D15,'PLAN BUDGET SAMI-TF'!J13:J100000,SUMMARY!A15&amp;"*")</f>
        <v>1</v>
      </c>
      <c r="J15" s="10">
        <f>SUMIFS('PLAN BUDGET SAMI-TF'!AS13:AS100000,'PLAN BUDGET SAMI-TF'!D13:D100000,SUMMARY!D15,'PLAN BUDGET SAMI-TF'!J13:J100000,SUMMARY!A15&amp;"*")</f>
        <v>2</v>
      </c>
      <c r="K15" s="10">
        <f>SUMIFS('PLAN BUDGET SAMI-TF'!AT13:AT100000,'PLAN BUDGET SAMI-TF'!D13:D100000,SUMMARY!D15,'PLAN BUDGET SAMI-TF'!J13:J100000,SUMMARY!A15&amp;"*")</f>
        <v>0</v>
      </c>
      <c r="L15" s="10">
        <f>SUMIFS('PLAN BUDGET SAMI-TF'!AU13:AU100000,'PLAN BUDGET SAMI-TF'!D13:D100000,SUMMARY!D15,'PLAN BUDGET SAMI-TF'!J13:J100000,SUMMARY!A15&amp;"*")</f>
        <v>0</v>
      </c>
      <c r="M15" s="10">
        <f>SUMIFS('PLAN BUDGET SAMI-TF'!AV13:AV100000,'PLAN BUDGET SAMI-TF'!D13:D100000,SUMMARY!D15,'PLAN BUDGET SAMI-TF'!J13:J100000,SUMMARY!A15&amp;"*")</f>
        <v>0</v>
      </c>
      <c r="N15" s="10">
        <f>SUMIFS('PLAN BUDGET SAMI-TF'!AW13:AW100000,'PLAN BUDGET SAMI-TF'!D13:D100000,SUMMARY!D15,'PLAN BUDGET SAMI-TF'!J13:J100000,SUMMARY!A15&amp;"*")</f>
        <v>0</v>
      </c>
      <c r="O15" s="10">
        <f>SUMIFS('PLAN BUDGET SAMI-TF'!AX13:AX100000,'PLAN BUDGET SAMI-TF'!D13:D100000,SUMMARY!D15,'PLAN BUDGET SAMI-TF'!J13:J100000,SUMMARY!A15&amp;"*")</f>
        <v>0</v>
      </c>
      <c r="P15" s="10">
        <f>SUMIFS('PLAN BUDGET SAMI-TF'!AY13:AY100000,'PLAN BUDGET SAMI-TF'!D13:D100000,SUMMARY!D15,'PLAN BUDGET SAMI-TF'!J13:J100000,SUMMARY!A15&amp;"*")</f>
        <v>1</v>
      </c>
      <c r="Q15" s="10">
        <f>SUMIFS('PLAN BUDGET SAMI-TF'!BC13:BC100000,'PLAN BUDGET SAMI-TF'!D13:D100000,SUMMARY!D15,'PLAN BUDGET SAMI-TF'!J13:J100000,SUMMARY!A15&amp;"*")</f>
        <v>0</v>
      </c>
      <c r="R15" s="10">
        <f>SUMIFS('PLAN BUDGET SAMI-TF'!BD13:BD100000,'PLAN BUDGET SAMI-TF'!D13:D100000,SUMMARY!D15,'PLAN BUDGET SAMI-TF'!J13:J100000,SUMMARY!A15&amp;"*")</f>
        <v>0</v>
      </c>
      <c r="S15" s="10">
        <f>SUMIFS('PLAN BUDGET SAMI-TF'!BE13:BE100000,'PLAN BUDGET SAMI-TF'!D13:D100000,SUMMARY!D15,'PLAN BUDGET SAMI-TF'!J13:J100000,SUMMARY!A15&amp;"*")</f>
        <v>11585.027977162999</v>
      </c>
      <c r="T15" s="10">
        <f>SUMIFS('PLAN BUDGET SAMI-TF'!BF13:BF100000,'PLAN BUDGET SAMI-TF'!D13:D100000,SUMMARY!D15,'PLAN BUDGET SAMI-TF'!J13:J100000,SUMMARY!A15&amp;"*")</f>
        <v>0</v>
      </c>
      <c r="U15" s="10">
        <f>SUMIFS('PLAN BUDGET SAMI-TF'!BG13:BG100000,'PLAN BUDGET SAMI-TF'!D13:D100000,SUMMARY!D15,'PLAN BUDGET SAMI-TF'!J13:J100000,SUMMARY!A15&amp;"*")</f>
        <v>4965.0120263821</v>
      </c>
      <c r="V15" s="10">
        <f>SUMIFS('PLAN BUDGET SAMI-TF'!BH13:BH100000,'PLAN BUDGET SAMI-TF'!D13:D100000,SUMMARY!D15,'PLAN BUDGET SAMI-TF'!J13:J100000,SUMMARY!A15&amp;"*")</f>
        <v>30257.280012153002</v>
      </c>
      <c r="W15" s="10">
        <f>SUMIFS('PLAN BUDGET SAMI-TF'!BI13:BI100000,'PLAN BUDGET SAMI-TF'!D13:D100000,SUMMARY!D15,'PLAN BUDGET SAMI-TF'!J13:J100000,SUMMARY!A15&amp;"*")</f>
        <v>0</v>
      </c>
      <c r="X15" s="10">
        <f>SUMIFS('PLAN BUDGET SAMI-TF'!BJ13:BJ100000,'PLAN BUDGET SAMI-TF'!D13:D100000,SUMMARY!D15,'PLAN BUDGET SAMI-TF'!J13:J100000,SUMMARY!A15&amp;"*")</f>
        <v>0</v>
      </c>
      <c r="Y15" s="10">
        <f>SUMIFS('PLAN BUDGET SAMI-TF'!BK13:BK100000,'PLAN BUDGET SAMI-TF'!D13:D100000,SUMMARY!D15,'PLAN BUDGET SAMI-TF'!J13:J100000,SUMMARY!A15&amp;"*")</f>
        <v>0</v>
      </c>
      <c r="Z15" s="10">
        <f>SUMIFS('PLAN BUDGET SAMI-TF'!BL13:BL100000,'PLAN BUDGET SAMI-TF'!D13:D100000,SUMMARY!D15,'PLAN BUDGET SAMI-TF'!J13:J100000,SUMMARY!A15&amp;"*")</f>
        <v>0</v>
      </c>
      <c r="AA15" s="10">
        <f>SUMIFS('PLAN BUDGET SAMI-TF'!BM13:BM100000,'PLAN BUDGET SAMI-TF'!D13:D100000,SUMMARY!D15,'PLAN BUDGET SAMI-TF'!J13:J100000,SUMMARY!A15&amp;"*")</f>
        <v>0</v>
      </c>
      <c r="AB15" s="10">
        <f>SUMIFS('PLAN BUDGET SAMI-TF'!BN13:BN100000,'PLAN BUDGET SAMI-TF'!D13:D100000,SUMMARY!D15,'PLAN BUDGET SAMI-TF'!J13:J100000,SUMMARY!A15&amp;"*")</f>
        <v>7564.3200030382004</v>
      </c>
      <c r="AC15" s="10">
        <f t="shared" si="0"/>
        <v>5</v>
      </c>
      <c r="AD15" s="10">
        <f t="shared" si="1"/>
        <v>54371.640018736303</v>
      </c>
      <c r="AE15" s="16"/>
      <c r="AF15" s="10">
        <v>5</v>
      </c>
      <c r="AG15" s="10">
        <v>57321.642803793002</v>
      </c>
      <c r="AH15" s="20">
        <f t="shared" si="2"/>
        <v>0</v>
      </c>
      <c r="AI15" s="20">
        <f t="shared" si="3"/>
        <v>-5.1464030700486052E-2</v>
      </c>
      <c r="AJ15" s="67" t="s">
        <v>351</v>
      </c>
    </row>
    <row r="16" spans="1:36" x14ac:dyDescent="0.35">
      <c r="A16" s="7" t="s">
        <v>48</v>
      </c>
      <c r="B16" s="7"/>
      <c r="C16" s="7"/>
      <c r="D16" s="7" t="s">
        <v>192</v>
      </c>
      <c r="E16" s="10">
        <f>SUMIFS('PLAN BUDGET SAMI-TF'!AN13:AN100000,'PLAN BUDGET SAMI-TF'!D13:D100000,SUMMARY!D16,'PLAN BUDGET SAMI-TF'!J13:J100000,SUMMARY!A16&amp;"*")</f>
        <v>0</v>
      </c>
      <c r="F16" s="10">
        <f>SUMIFS('PLAN BUDGET SAMI-TF'!AO13:AO100000,'PLAN BUDGET SAMI-TF'!D13:D100000,SUMMARY!D16,'PLAN BUDGET SAMI-TF'!J13:J100000,SUMMARY!A16&amp;"*")</f>
        <v>6</v>
      </c>
      <c r="G16" s="10">
        <f>SUMIFS('PLAN BUDGET SAMI-TF'!AP13:AP100000,'PLAN BUDGET SAMI-TF'!D13:D100000,SUMMARY!D16,'PLAN BUDGET SAMI-TF'!J13:J100000,SUMMARY!A16&amp;"*")</f>
        <v>0</v>
      </c>
      <c r="H16" s="10">
        <f>SUMIFS('PLAN BUDGET SAMI-TF'!AQ13:AQ100000,'PLAN BUDGET SAMI-TF'!D13:D100000,SUMMARY!D16,'PLAN BUDGET SAMI-TF'!J13:J100000,SUMMARY!A16&amp;"*")</f>
        <v>33</v>
      </c>
      <c r="I16" s="10">
        <f>SUMIFS('PLAN BUDGET SAMI-TF'!AR13:AR100000,'PLAN BUDGET SAMI-TF'!D13:D100000,SUMMARY!D16,'PLAN BUDGET SAMI-TF'!J13:J100000,SUMMARY!A16&amp;"*")</f>
        <v>0</v>
      </c>
      <c r="J16" s="10">
        <f>SUMIFS('PLAN BUDGET SAMI-TF'!AS13:AS100000,'PLAN BUDGET SAMI-TF'!D13:D100000,SUMMARY!D16,'PLAN BUDGET SAMI-TF'!J13:J100000,SUMMARY!A16&amp;"*")</f>
        <v>11</v>
      </c>
      <c r="K16" s="10">
        <f>SUMIFS('PLAN BUDGET SAMI-TF'!AT13:AT100000,'PLAN BUDGET SAMI-TF'!D13:D100000,SUMMARY!D16,'PLAN BUDGET SAMI-TF'!J13:J100000,SUMMARY!A16&amp;"*")</f>
        <v>6</v>
      </c>
      <c r="L16" s="10">
        <f>SUMIFS('PLAN BUDGET SAMI-TF'!AU13:AU100000,'PLAN BUDGET SAMI-TF'!D13:D100000,SUMMARY!D16,'PLAN BUDGET SAMI-TF'!J13:J100000,SUMMARY!A16&amp;"*")</f>
        <v>0</v>
      </c>
      <c r="M16" s="10">
        <f>SUMIFS('PLAN BUDGET SAMI-TF'!AV13:AV100000,'PLAN BUDGET SAMI-TF'!D13:D100000,SUMMARY!D16,'PLAN BUDGET SAMI-TF'!J13:J100000,SUMMARY!A16&amp;"*")</f>
        <v>0</v>
      </c>
      <c r="N16" s="10">
        <f>SUMIFS('PLAN BUDGET SAMI-TF'!AW13:AW100000,'PLAN BUDGET SAMI-TF'!D13:D100000,SUMMARY!D16,'PLAN BUDGET SAMI-TF'!J13:J100000,SUMMARY!A16&amp;"*")</f>
        <v>78</v>
      </c>
      <c r="O16" s="10">
        <f>SUMIFS('PLAN BUDGET SAMI-TF'!AX13:AX100000,'PLAN BUDGET SAMI-TF'!D13:D100000,SUMMARY!D16,'PLAN BUDGET SAMI-TF'!J13:J100000,SUMMARY!A16&amp;"*")</f>
        <v>0</v>
      </c>
      <c r="P16" s="10">
        <f>SUMIFS('PLAN BUDGET SAMI-TF'!AY13:AY100000,'PLAN BUDGET SAMI-TF'!D13:D100000,SUMMARY!D16,'PLAN BUDGET SAMI-TF'!J13:J100000,SUMMARY!A16&amp;"*")</f>
        <v>0</v>
      </c>
      <c r="Q16" s="10">
        <f>SUMIFS('PLAN BUDGET SAMI-TF'!BC13:BC100000,'PLAN BUDGET SAMI-TF'!D13:D100000,SUMMARY!D16,'PLAN BUDGET SAMI-TF'!J13:J100000,SUMMARY!A16&amp;"*")</f>
        <v>0</v>
      </c>
      <c r="R16" s="10">
        <f>SUMIFS('PLAN BUDGET SAMI-TF'!BD13:BD100000,'PLAN BUDGET SAMI-TF'!D13:D100000,SUMMARY!D16,'PLAN BUDGET SAMI-TF'!J13:J100000,SUMMARY!A16&amp;"*")</f>
        <v>455.73658425430006</v>
      </c>
      <c r="S16" s="10">
        <f>SUMIFS('PLAN BUDGET SAMI-TF'!BE13:BE100000,'PLAN BUDGET SAMI-TF'!D13:D100000,SUMMARY!D16,'PLAN BUDGET SAMI-TF'!J13:J100000,SUMMARY!A16&amp;"*")</f>
        <v>0</v>
      </c>
      <c r="T16" s="10">
        <f>SUMIFS('PLAN BUDGET SAMI-TF'!BF13:BF100000,'PLAN BUDGET SAMI-TF'!D13:D100000,SUMMARY!D16,'PLAN BUDGET SAMI-TF'!J13:J100000,SUMMARY!A16&amp;"*")</f>
        <v>1671.0341422658</v>
      </c>
      <c r="U16" s="10">
        <f>SUMIFS('PLAN BUDGET SAMI-TF'!BG13:BG100000,'PLAN BUDGET SAMI-TF'!D13:D100000,SUMMARY!D16,'PLAN BUDGET SAMI-TF'!J13:J100000,SUMMARY!A16&amp;"*")</f>
        <v>0</v>
      </c>
      <c r="V16" s="10">
        <f>SUMIFS('PLAN BUDGET SAMI-TF'!BH13:BH100000,'PLAN BUDGET SAMI-TF'!D13:D100000,SUMMARY!D16,'PLAN BUDGET SAMI-TF'!J13:J100000,SUMMARY!A16&amp;"*")</f>
        <v>557.01138075526001</v>
      </c>
      <c r="W16" s="10">
        <f>SUMIFS('PLAN BUDGET SAMI-TF'!BI13:BI100000,'PLAN BUDGET SAMI-TF'!D13:D100000,SUMMARY!D16,'PLAN BUDGET SAMI-TF'!J13:J100000,SUMMARY!A16&amp;"*")</f>
        <v>455.73658425430006</v>
      </c>
      <c r="X16" s="10">
        <f>SUMIFS('PLAN BUDGET SAMI-TF'!BJ13:BJ100000,'PLAN BUDGET SAMI-TF'!D13:D100000,SUMMARY!D16,'PLAN BUDGET SAMI-TF'!J13:J100000,SUMMARY!A16&amp;"*")</f>
        <v>0</v>
      </c>
      <c r="Y16" s="10">
        <f>SUMIFS('PLAN BUDGET SAMI-TF'!BK13:BK100000,'PLAN BUDGET SAMI-TF'!D13:D100000,SUMMARY!D16,'PLAN BUDGET SAMI-TF'!J13:J100000,SUMMARY!A16&amp;"*")</f>
        <v>0</v>
      </c>
      <c r="Z16" s="10">
        <f>SUMIFS('PLAN BUDGET SAMI-TF'!BL13:BL100000,'PLAN BUDGET SAMI-TF'!D13:D100000,SUMMARY!D16,'PLAN BUDGET SAMI-TF'!J13:J100000,SUMMARY!A16&amp;"*")</f>
        <v>4248.4422670363001</v>
      </c>
      <c r="AA16" s="10">
        <f>SUMIFS('PLAN BUDGET SAMI-TF'!BM13:BM100000,'PLAN BUDGET SAMI-TF'!D13:D100000,SUMMARY!D16,'PLAN BUDGET SAMI-TF'!J13:J100000,SUMMARY!A16&amp;"*")</f>
        <v>0</v>
      </c>
      <c r="AB16" s="10">
        <f>SUMIFS('PLAN BUDGET SAMI-TF'!BN13:BN100000,'PLAN BUDGET SAMI-TF'!D13:D100000,SUMMARY!D16,'PLAN BUDGET SAMI-TF'!J13:J100000,SUMMARY!A16&amp;"*")</f>
        <v>0</v>
      </c>
      <c r="AC16" s="10">
        <f t="shared" si="0"/>
        <v>134</v>
      </c>
      <c r="AD16" s="10">
        <f t="shared" si="1"/>
        <v>7387.96095856596</v>
      </c>
      <c r="AE16" s="16"/>
      <c r="AF16" s="10">
        <v>131</v>
      </c>
      <c r="AG16" s="10">
        <v>7022.1057562061997</v>
      </c>
      <c r="AH16" s="20">
        <f t="shared" si="2"/>
        <v>2.2900763358778626E-2</v>
      </c>
      <c r="AI16" s="20">
        <f t="shared" si="3"/>
        <v>5.2100497352437949E-2</v>
      </c>
      <c r="AJ16" s="67" t="s">
        <v>352</v>
      </c>
    </row>
    <row r="17" spans="1:36" x14ac:dyDescent="0.35">
      <c r="A17" s="7" t="s">
        <v>48</v>
      </c>
      <c r="B17" s="7"/>
      <c r="C17" s="7"/>
      <c r="D17" s="7" t="s">
        <v>64</v>
      </c>
      <c r="E17" s="10">
        <f>SUMIFS('PLAN BUDGET SAMI-TF'!AN13:AN100000,'PLAN BUDGET SAMI-TF'!D13:D100000,SUMMARY!D17,'PLAN BUDGET SAMI-TF'!J13:J100000,SUMMARY!A17&amp;"*")</f>
        <v>2</v>
      </c>
      <c r="F17" s="10">
        <f>SUMIFS('PLAN BUDGET SAMI-TF'!AO13:AO100000,'PLAN BUDGET SAMI-TF'!D13:D100000,SUMMARY!D17,'PLAN BUDGET SAMI-TF'!J13:J100000,SUMMARY!A17&amp;"*")</f>
        <v>0</v>
      </c>
      <c r="G17" s="10">
        <f>SUMIFS('PLAN BUDGET SAMI-TF'!AP13:AP100000,'PLAN BUDGET SAMI-TF'!D13:D100000,SUMMARY!D17,'PLAN BUDGET SAMI-TF'!J13:J100000,SUMMARY!A17&amp;"*")</f>
        <v>0</v>
      </c>
      <c r="H17" s="10">
        <f>SUMIFS('PLAN BUDGET SAMI-TF'!AQ13:AQ100000,'PLAN BUDGET SAMI-TF'!D13:D100000,SUMMARY!D17,'PLAN BUDGET SAMI-TF'!J13:J100000,SUMMARY!A17&amp;"*")</f>
        <v>0</v>
      </c>
      <c r="I17" s="10">
        <f>SUMIFS('PLAN BUDGET SAMI-TF'!AR13:AR100000,'PLAN BUDGET SAMI-TF'!D13:D100000,SUMMARY!D17,'PLAN BUDGET SAMI-TF'!J13:J100000,SUMMARY!A17&amp;"*")</f>
        <v>0</v>
      </c>
      <c r="J17" s="10">
        <f>SUMIFS('PLAN BUDGET SAMI-TF'!AS13:AS100000,'PLAN BUDGET SAMI-TF'!D13:D100000,SUMMARY!D17,'PLAN BUDGET SAMI-TF'!J13:J100000,SUMMARY!A17&amp;"*")</f>
        <v>0</v>
      </c>
      <c r="K17" s="10">
        <f>SUMIFS('PLAN BUDGET SAMI-TF'!AT13:AT100000,'PLAN BUDGET SAMI-TF'!D13:D100000,SUMMARY!D17,'PLAN BUDGET SAMI-TF'!J13:J100000,SUMMARY!A17&amp;"*")</f>
        <v>0</v>
      </c>
      <c r="L17" s="10">
        <f>SUMIFS('PLAN BUDGET SAMI-TF'!AU13:AU100000,'PLAN BUDGET SAMI-TF'!D13:D100000,SUMMARY!D17,'PLAN BUDGET SAMI-TF'!J13:J100000,SUMMARY!A17&amp;"*")</f>
        <v>0</v>
      </c>
      <c r="M17" s="10">
        <f>SUMIFS('PLAN BUDGET SAMI-TF'!AV13:AV100000,'PLAN BUDGET SAMI-TF'!D13:D100000,SUMMARY!D17,'PLAN BUDGET SAMI-TF'!J13:J100000,SUMMARY!A17&amp;"*")</f>
        <v>0</v>
      </c>
      <c r="N17" s="10">
        <f>SUMIFS('PLAN BUDGET SAMI-TF'!AW13:AW100000,'PLAN BUDGET SAMI-TF'!D13:D100000,SUMMARY!D17,'PLAN BUDGET SAMI-TF'!J13:J100000,SUMMARY!A17&amp;"*")</f>
        <v>0</v>
      </c>
      <c r="O17" s="10">
        <f>SUMIFS('PLAN BUDGET SAMI-TF'!AX13:AX100000,'PLAN BUDGET SAMI-TF'!D13:D100000,SUMMARY!D17,'PLAN BUDGET SAMI-TF'!J13:J100000,SUMMARY!A17&amp;"*")</f>
        <v>0</v>
      </c>
      <c r="P17" s="10">
        <f>SUMIFS('PLAN BUDGET SAMI-TF'!AY13:AY100000,'PLAN BUDGET SAMI-TF'!D13:D100000,SUMMARY!D17,'PLAN BUDGET SAMI-TF'!J13:J100000,SUMMARY!A17&amp;"*")</f>
        <v>0</v>
      </c>
      <c r="Q17" s="10">
        <f>SUMIFS('PLAN BUDGET SAMI-TF'!BC13:BC100000,'PLAN BUDGET SAMI-TF'!D13:D100000,SUMMARY!D17,'PLAN BUDGET SAMI-TF'!J13:J100000,SUMMARY!A17&amp;"*")</f>
        <v>0.15963439798463</v>
      </c>
      <c r="R17" s="10">
        <f>SUMIFS('PLAN BUDGET SAMI-TF'!BD13:BD100000,'PLAN BUDGET SAMI-TF'!D13:D100000,SUMMARY!D17,'PLAN BUDGET SAMI-TF'!J13:J100000,SUMMARY!A17&amp;"*")</f>
        <v>0</v>
      </c>
      <c r="S17" s="10">
        <f>SUMIFS('PLAN BUDGET SAMI-TF'!BE13:BE100000,'PLAN BUDGET SAMI-TF'!D13:D100000,SUMMARY!D17,'PLAN BUDGET SAMI-TF'!J13:J100000,SUMMARY!A17&amp;"*")</f>
        <v>0</v>
      </c>
      <c r="T17" s="10">
        <f>SUMIFS('PLAN BUDGET SAMI-TF'!BF13:BF100000,'PLAN BUDGET SAMI-TF'!D13:D100000,SUMMARY!D17,'PLAN BUDGET SAMI-TF'!J13:J100000,SUMMARY!A17&amp;"*")</f>
        <v>0</v>
      </c>
      <c r="U17" s="10">
        <f>SUMIFS('PLAN BUDGET SAMI-TF'!BG13:BG100000,'PLAN BUDGET SAMI-TF'!D13:D100000,SUMMARY!D17,'PLAN BUDGET SAMI-TF'!J13:J100000,SUMMARY!A17&amp;"*")</f>
        <v>0</v>
      </c>
      <c r="V17" s="10">
        <f>SUMIFS('PLAN BUDGET SAMI-TF'!BH13:BH100000,'PLAN BUDGET SAMI-TF'!D13:D100000,SUMMARY!D17,'PLAN BUDGET SAMI-TF'!J13:J100000,SUMMARY!A17&amp;"*")</f>
        <v>0</v>
      </c>
      <c r="W17" s="10">
        <f>SUMIFS('PLAN BUDGET SAMI-TF'!BI13:BI100000,'PLAN BUDGET SAMI-TF'!D13:D100000,SUMMARY!D17,'PLAN BUDGET SAMI-TF'!J13:J100000,SUMMARY!A17&amp;"*")</f>
        <v>0</v>
      </c>
      <c r="X17" s="10">
        <f>SUMIFS('PLAN BUDGET SAMI-TF'!BJ13:BJ100000,'PLAN BUDGET SAMI-TF'!D13:D100000,SUMMARY!D17,'PLAN BUDGET SAMI-TF'!J13:J100000,SUMMARY!A17&amp;"*")</f>
        <v>0</v>
      </c>
      <c r="Y17" s="10">
        <f>SUMIFS('PLAN BUDGET SAMI-TF'!BK13:BK100000,'PLAN BUDGET SAMI-TF'!D13:D100000,SUMMARY!D17,'PLAN BUDGET SAMI-TF'!J13:J100000,SUMMARY!A17&amp;"*")</f>
        <v>0</v>
      </c>
      <c r="Z17" s="10">
        <f>SUMIFS('PLAN BUDGET SAMI-TF'!BL13:BL100000,'PLAN BUDGET SAMI-TF'!D13:D100000,SUMMARY!D17,'PLAN BUDGET SAMI-TF'!J13:J100000,SUMMARY!A17&amp;"*")</f>
        <v>0</v>
      </c>
      <c r="AA17" s="10">
        <f>SUMIFS('PLAN BUDGET SAMI-TF'!BM13:BM100000,'PLAN BUDGET SAMI-TF'!D13:D100000,SUMMARY!D17,'PLAN BUDGET SAMI-TF'!J13:J100000,SUMMARY!A17&amp;"*")</f>
        <v>0</v>
      </c>
      <c r="AB17" s="10">
        <f>SUMIFS('PLAN BUDGET SAMI-TF'!BN13:BN100000,'PLAN BUDGET SAMI-TF'!D13:D100000,SUMMARY!D17,'PLAN BUDGET SAMI-TF'!J13:J100000,SUMMARY!A17&amp;"*")</f>
        <v>0</v>
      </c>
      <c r="AC17" s="10">
        <f t="shared" si="0"/>
        <v>2</v>
      </c>
      <c r="AD17" s="10">
        <f t="shared" si="1"/>
        <v>0.15963439798463</v>
      </c>
      <c r="AE17" s="16"/>
      <c r="AF17" s="10">
        <v>2</v>
      </c>
      <c r="AG17" s="10">
        <v>0.15001329231704</v>
      </c>
      <c r="AH17" s="20">
        <f t="shared" si="2"/>
        <v>0</v>
      </c>
      <c r="AI17" s="20">
        <f t="shared" si="3"/>
        <v>6.4135021097041417E-2</v>
      </c>
      <c r="AJ17" s="67" t="s">
        <v>349</v>
      </c>
    </row>
    <row r="18" spans="1:36" x14ac:dyDescent="0.35">
      <c r="A18" s="7" t="s">
        <v>48</v>
      </c>
      <c r="B18" s="7"/>
      <c r="C18" s="7"/>
      <c r="D18" s="7" t="s">
        <v>94</v>
      </c>
      <c r="E18" s="10">
        <f>SUMIFS('PLAN BUDGET SAMI-TF'!AN13:AN100000,'PLAN BUDGET SAMI-TF'!D13:D100000,SUMMARY!D18,'PLAN BUDGET SAMI-TF'!J13:J100000,SUMMARY!A18&amp;"*")</f>
        <v>15</v>
      </c>
      <c r="F18" s="10">
        <f>SUMIFS('PLAN BUDGET SAMI-TF'!AO13:AO100000,'PLAN BUDGET SAMI-TF'!D13:D100000,SUMMARY!D18,'PLAN BUDGET SAMI-TF'!J13:J100000,SUMMARY!A18&amp;"*")</f>
        <v>0</v>
      </c>
      <c r="G18" s="10">
        <f>SUMIFS('PLAN BUDGET SAMI-TF'!AP13:AP100000,'PLAN BUDGET SAMI-TF'!D13:D100000,SUMMARY!D18,'PLAN BUDGET SAMI-TF'!J13:J100000,SUMMARY!A18&amp;"*")</f>
        <v>0</v>
      </c>
      <c r="H18" s="10">
        <f>SUMIFS('PLAN BUDGET SAMI-TF'!AQ13:AQ100000,'PLAN BUDGET SAMI-TF'!D13:D100000,SUMMARY!D18,'PLAN BUDGET SAMI-TF'!J13:J100000,SUMMARY!A18&amp;"*")</f>
        <v>0</v>
      </c>
      <c r="I18" s="10">
        <f>SUMIFS('PLAN BUDGET SAMI-TF'!AR13:AR100000,'PLAN BUDGET SAMI-TF'!D13:D100000,SUMMARY!D18,'PLAN BUDGET SAMI-TF'!J13:J100000,SUMMARY!A18&amp;"*")</f>
        <v>0</v>
      </c>
      <c r="J18" s="10">
        <f>SUMIFS('PLAN BUDGET SAMI-TF'!AS13:AS100000,'PLAN BUDGET SAMI-TF'!D13:D100000,SUMMARY!D18,'PLAN BUDGET SAMI-TF'!J13:J100000,SUMMARY!A18&amp;"*")</f>
        <v>0</v>
      </c>
      <c r="K18" s="10">
        <f>SUMIFS('PLAN BUDGET SAMI-TF'!AT13:AT100000,'PLAN BUDGET SAMI-TF'!D13:D100000,SUMMARY!D18,'PLAN BUDGET SAMI-TF'!J13:J100000,SUMMARY!A18&amp;"*")</f>
        <v>48</v>
      </c>
      <c r="L18" s="10">
        <f>SUMIFS('PLAN BUDGET SAMI-TF'!AU13:AU100000,'PLAN BUDGET SAMI-TF'!D13:D100000,SUMMARY!D18,'PLAN BUDGET SAMI-TF'!J13:J100000,SUMMARY!A18&amp;"*")</f>
        <v>0</v>
      </c>
      <c r="M18" s="10">
        <f>SUMIFS('PLAN BUDGET SAMI-TF'!AV13:AV100000,'PLAN BUDGET SAMI-TF'!D13:D100000,SUMMARY!D18,'PLAN BUDGET SAMI-TF'!J13:J100000,SUMMARY!A18&amp;"*")</f>
        <v>0</v>
      </c>
      <c r="N18" s="10">
        <f>SUMIFS('PLAN BUDGET SAMI-TF'!AW13:AW100000,'PLAN BUDGET SAMI-TF'!D13:D100000,SUMMARY!D18,'PLAN BUDGET SAMI-TF'!J13:J100000,SUMMARY!A18&amp;"*")</f>
        <v>0</v>
      </c>
      <c r="O18" s="10">
        <f>SUMIFS('PLAN BUDGET SAMI-TF'!AX13:AX100000,'PLAN BUDGET SAMI-TF'!D13:D100000,SUMMARY!D18,'PLAN BUDGET SAMI-TF'!J13:J100000,SUMMARY!A18&amp;"*")</f>
        <v>0</v>
      </c>
      <c r="P18" s="10">
        <f>SUMIFS('PLAN BUDGET SAMI-TF'!AY13:AY100000,'PLAN BUDGET SAMI-TF'!D13:D100000,SUMMARY!D18,'PLAN BUDGET SAMI-TF'!J13:J100000,SUMMARY!A18&amp;"*")</f>
        <v>0</v>
      </c>
      <c r="Q18" s="10">
        <f>SUMIFS('PLAN BUDGET SAMI-TF'!BC13:BC100000,'PLAN BUDGET SAMI-TF'!D13:D100000,SUMMARY!D18,'PLAN BUDGET SAMI-TF'!J13:J100000,SUMMARY!A18&amp;"*")</f>
        <v>3.7208993201928999</v>
      </c>
      <c r="R18" s="10">
        <f>SUMIFS('PLAN BUDGET SAMI-TF'!BD13:BD100000,'PLAN BUDGET SAMI-TF'!D13:D100000,SUMMARY!D18,'PLAN BUDGET SAMI-TF'!J13:J100000,SUMMARY!A18&amp;"*")</f>
        <v>0</v>
      </c>
      <c r="S18" s="10">
        <f>SUMIFS('PLAN BUDGET SAMI-TF'!BE13:BE100000,'PLAN BUDGET SAMI-TF'!D13:D100000,SUMMARY!D18,'PLAN BUDGET SAMI-TF'!J13:J100000,SUMMARY!A18&amp;"*")</f>
        <v>0</v>
      </c>
      <c r="T18" s="10">
        <f>SUMIFS('PLAN BUDGET SAMI-TF'!BF13:BF100000,'PLAN BUDGET SAMI-TF'!D13:D100000,SUMMARY!D18,'PLAN BUDGET SAMI-TF'!J13:J100000,SUMMARY!A18&amp;"*")</f>
        <v>0</v>
      </c>
      <c r="U18" s="10">
        <f>SUMIFS('PLAN BUDGET SAMI-TF'!BG13:BG100000,'PLAN BUDGET SAMI-TF'!D13:D100000,SUMMARY!D18,'PLAN BUDGET SAMI-TF'!J13:J100000,SUMMARY!A18&amp;"*")</f>
        <v>0</v>
      </c>
      <c r="V18" s="10">
        <f>SUMIFS('PLAN BUDGET SAMI-TF'!BH13:BH100000,'PLAN BUDGET SAMI-TF'!D13:D100000,SUMMARY!D18,'PLAN BUDGET SAMI-TF'!J13:J100000,SUMMARY!A18&amp;"*")</f>
        <v>0</v>
      </c>
      <c r="W18" s="10">
        <f>SUMIFS('PLAN BUDGET SAMI-TF'!BI13:BI100000,'PLAN BUDGET SAMI-TF'!D13:D100000,SUMMARY!D18,'PLAN BUDGET SAMI-TF'!J13:J100000,SUMMARY!A18&amp;"*")</f>
        <v>14.304178851290599</v>
      </c>
      <c r="X18" s="10">
        <f>SUMIFS('PLAN BUDGET SAMI-TF'!BJ13:BJ100000,'PLAN BUDGET SAMI-TF'!D13:D100000,SUMMARY!D18,'PLAN BUDGET SAMI-TF'!J13:J100000,SUMMARY!A18&amp;"*")</f>
        <v>0</v>
      </c>
      <c r="Y18" s="10">
        <f>SUMIFS('PLAN BUDGET SAMI-TF'!BK13:BK100000,'PLAN BUDGET SAMI-TF'!D13:D100000,SUMMARY!D18,'PLAN BUDGET SAMI-TF'!J13:J100000,SUMMARY!A18&amp;"*")</f>
        <v>0</v>
      </c>
      <c r="Z18" s="10">
        <f>SUMIFS('PLAN BUDGET SAMI-TF'!BL13:BL100000,'PLAN BUDGET SAMI-TF'!D13:D100000,SUMMARY!D18,'PLAN BUDGET SAMI-TF'!J13:J100000,SUMMARY!A18&amp;"*")</f>
        <v>0</v>
      </c>
      <c r="AA18" s="10">
        <f>SUMIFS('PLAN BUDGET SAMI-TF'!BM13:BM100000,'PLAN BUDGET SAMI-TF'!D13:D100000,SUMMARY!D18,'PLAN BUDGET SAMI-TF'!J13:J100000,SUMMARY!A18&amp;"*")</f>
        <v>0</v>
      </c>
      <c r="AB18" s="10">
        <f>SUMIFS('PLAN BUDGET SAMI-TF'!BN13:BN100000,'PLAN BUDGET SAMI-TF'!D13:D100000,SUMMARY!D18,'PLAN BUDGET SAMI-TF'!J13:J100000,SUMMARY!A18&amp;"*")</f>
        <v>0</v>
      </c>
      <c r="AC18" s="10">
        <f t="shared" si="0"/>
        <v>63</v>
      </c>
      <c r="AD18" s="10">
        <f t="shared" si="1"/>
        <v>18.0250781714835</v>
      </c>
      <c r="AE18" s="16"/>
      <c r="AF18" s="10">
        <v>63</v>
      </c>
      <c r="AG18" s="10">
        <v>12.869114984872001</v>
      </c>
      <c r="AH18" s="20">
        <f t="shared" si="2"/>
        <v>0</v>
      </c>
      <c r="AI18" s="20">
        <f t="shared" si="3"/>
        <v>0.40064629095881699</v>
      </c>
      <c r="AJ18" s="67" t="s">
        <v>353</v>
      </c>
    </row>
    <row r="19" spans="1:36" x14ac:dyDescent="0.35">
      <c r="A19" s="7" t="s">
        <v>48</v>
      </c>
      <c r="B19" s="7"/>
      <c r="C19" s="7"/>
      <c r="D19" s="7" t="s">
        <v>70</v>
      </c>
      <c r="E19" s="10">
        <f>SUMIFS('PLAN BUDGET SAMI-TF'!AN13:AN100000,'PLAN BUDGET SAMI-TF'!D13:D100000,SUMMARY!D19,'PLAN BUDGET SAMI-TF'!J13:J100000,SUMMARY!A19&amp;"*")</f>
        <v>2</v>
      </c>
      <c r="F19" s="10">
        <f>SUMIFS('PLAN BUDGET SAMI-TF'!AO13:AO100000,'PLAN BUDGET SAMI-TF'!D13:D100000,SUMMARY!D19,'PLAN BUDGET SAMI-TF'!J13:J100000,SUMMARY!A19&amp;"*")</f>
        <v>0</v>
      </c>
      <c r="G19" s="10">
        <f>SUMIFS('PLAN BUDGET SAMI-TF'!AP13:AP100000,'PLAN BUDGET SAMI-TF'!D13:D100000,SUMMARY!D19,'PLAN BUDGET SAMI-TF'!J13:J100000,SUMMARY!A19&amp;"*")</f>
        <v>0</v>
      </c>
      <c r="H19" s="10">
        <f>SUMIFS('PLAN BUDGET SAMI-TF'!AQ13:AQ100000,'PLAN BUDGET SAMI-TF'!D13:D100000,SUMMARY!D19,'PLAN BUDGET SAMI-TF'!J13:J100000,SUMMARY!A19&amp;"*")</f>
        <v>0</v>
      </c>
      <c r="I19" s="10">
        <f>SUMIFS('PLAN BUDGET SAMI-TF'!AR13:AR100000,'PLAN BUDGET SAMI-TF'!D13:D100000,SUMMARY!D19,'PLAN BUDGET SAMI-TF'!J13:J100000,SUMMARY!A19&amp;"*")</f>
        <v>0</v>
      </c>
      <c r="J19" s="10">
        <f>SUMIFS('PLAN BUDGET SAMI-TF'!AS13:AS100000,'PLAN BUDGET SAMI-TF'!D13:D100000,SUMMARY!D19,'PLAN BUDGET SAMI-TF'!J13:J100000,SUMMARY!A19&amp;"*")</f>
        <v>0</v>
      </c>
      <c r="K19" s="10">
        <f>SUMIFS('PLAN BUDGET SAMI-TF'!AT13:AT100000,'PLAN BUDGET SAMI-TF'!D13:D100000,SUMMARY!D19,'PLAN BUDGET SAMI-TF'!J13:J100000,SUMMARY!A19&amp;"*")</f>
        <v>0</v>
      </c>
      <c r="L19" s="10">
        <f>SUMIFS('PLAN BUDGET SAMI-TF'!AU13:AU100000,'PLAN BUDGET SAMI-TF'!D13:D100000,SUMMARY!D19,'PLAN BUDGET SAMI-TF'!J13:J100000,SUMMARY!A19&amp;"*")</f>
        <v>0</v>
      </c>
      <c r="M19" s="10">
        <f>SUMIFS('PLAN BUDGET SAMI-TF'!AV13:AV100000,'PLAN BUDGET SAMI-TF'!D13:D100000,SUMMARY!D19,'PLAN BUDGET SAMI-TF'!J13:J100000,SUMMARY!A19&amp;"*")</f>
        <v>0</v>
      </c>
      <c r="N19" s="10">
        <f>SUMIFS('PLAN BUDGET SAMI-TF'!AW13:AW100000,'PLAN BUDGET SAMI-TF'!D13:D100000,SUMMARY!D19,'PLAN BUDGET SAMI-TF'!J13:J100000,SUMMARY!A19&amp;"*")</f>
        <v>0</v>
      </c>
      <c r="O19" s="10">
        <f>SUMIFS('PLAN BUDGET SAMI-TF'!AX13:AX100000,'PLAN BUDGET SAMI-TF'!D13:D100000,SUMMARY!D19,'PLAN BUDGET SAMI-TF'!J13:J100000,SUMMARY!A19&amp;"*")</f>
        <v>0</v>
      </c>
      <c r="P19" s="10">
        <f>SUMIFS('PLAN BUDGET SAMI-TF'!AY13:AY100000,'PLAN BUDGET SAMI-TF'!D13:D100000,SUMMARY!D19,'PLAN BUDGET SAMI-TF'!J13:J100000,SUMMARY!A19&amp;"*")</f>
        <v>0</v>
      </c>
      <c r="Q19" s="10">
        <f>SUMIFS('PLAN BUDGET SAMI-TF'!BC13:BC100000,'PLAN BUDGET SAMI-TF'!D13:D100000,SUMMARY!D19,'PLAN BUDGET SAMI-TF'!J13:J100000,SUMMARY!A19&amp;"*")</f>
        <v>0.14824098337826999</v>
      </c>
      <c r="R19" s="10">
        <f>SUMIFS('PLAN BUDGET SAMI-TF'!BD13:BD100000,'PLAN BUDGET SAMI-TF'!D13:D100000,SUMMARY!D19,'PLAN BUDGET SAMI-TF'!J13:J100000,SUMMARY!A19&amp;"*")</f>
        <v>0</v>
      </c>
      <c r="S19" s="10">
        <f>SUMIFS('PLAN BUDGET SAMI-TF'!BE13:BE100000,'PLAN BUDGET SAMI-TF'!D13:D100000,SUMMARY!D19,'PLAN BUDGET SAMI-TF'!J13:J100000,SUMMARY!A19&amp;"*")</f>
        <v>0</v>
      </c>
      <c r="T19" s="10">
        <f>SUMIFS('PLAN BUDGET SAMI-TF'!BF13:BF100000,'PLAN BUDGET SAMI-TF'!D13:D100000,SUMMARY!D19,'PLAN BUDGET SAMI-TF'!J13:J100000,SUMMARY!A19&amp;"*")</f>
        <v>0</v>
      </c>
      <c r="U19" s="10">
        <f>SUMIFS('PLAN BUDGET SAMI-TF'!BG13:BG100000,'PLAN BUDGET SAMI-TF'!D13:D100000,SUMMARY!D19,'PLAN BUDGET SAMI-TF'!J13:J100000,SUMMARY!A19&amp;"*")</f>
        <v>0</v>
      </c>
      <c r="V19" s="10">
        <f>SUMIFS('PLAN BUDGET SAMI-TF'!BH13:BH100000,'PLAN BUDGET SAMI-TF'!D13:D100000,SUMMARY!D19,'PLAN BUDGET SAMI-TF'!J13:J100000,SUMMARY!A19&amp;"*")</f>
        <v>0</v>
      </c>
      <c r="W19" s="10">
        <f>SUMIFS('PLAN BUDGET SAMI-TF'!BI13:BI100000,'PLAN BUDGET SAMI-TF'!D13:D100000,SUMMARY!D19,'PLAN BUDGET SAMI-TF'!J13:J100000,SUMMARY!A19&amp;"*")</f>
        <v>0</v>
      </c>
      <c r="X19" s="10">
        <f>SUMIFS('PLAN BUDGET SAMI-TF'!BJ13:BJ100000,'PLAN BUDGET SAMI-TF'!D13:D100000,SUMMARY!D19,'PLAN BUDGET SAMI-TF'!J13:J100000,SUMMARY!A19&amp;"*")</f>
        <v>0</v>
      </c>
      <c r="Y19" s="10">
        <f>SUMIFS('PLAN BUDGET SAMI-TF'!BK13:BK100000,'PLAN BUDGET SAMI-TF'!D13:D100000,SUMMARY!D19,'PLAN BUDGET SAMI-TF'!J13:J100000,SUMMARY!A19&amp;"*")</f>
        <v>0</v>
      </c>
      <c r="Z19" s="10">
        <f>SUMIFS('PLAN BUDGET SAMI-TF'!BL13:BL100000,'PLAN BUDGET SAMI-TF'!D13:D100000,SUMMARY!D19,'PLAN BUDGET SAMI-TF'!J13:J100000,SUMMARY!A19&amp;"*")</f>
        <v>0</v>
      </c>
      <c r="AA19" s="10">
        <f>SUMIFS('PLAN BUDGET SAMI-TF'!BM13:BM100000,'PLAN BUDGET SAMI-TF'!D13:D100000,SUMMARY!D19,'PLAN BUDGET SAMI-TF'!J13:J100000,SUMMARY!A19&amp;"*")</f>
        <v>0</v>
      </c>
      <c r="AB19" s="10">
        <f>SUMIFS('PLAN BUDGET SAMI-TF'!BN13:BN100000,'PLAN BUDGET SAMI-TF'!D13:D100000,SUMMARY!D19,'PLAN BUDGET SAMI-TF'!J13:J100000,SUMMARY!A19&amp;"*")</f>
        <v>0</v>
      </c>
      <c r="AC19" s="10">
        <f t="shared" si="0"/>
        <v>2</v>
      </c>
      <c r="AD19" s="10">
        <f t="shared" si="1"/>
        <v>0.14824098337826999</v>
      </c>
      <c r="AE19" s="16"/>
      <c r="AF19" s="10">
        <v>0</v>
      </c>
      <c r="AG19" s="10">
        <v>0</v>
      </c>
      <c r="AH19" s="20">
        <f t="shared" si="2"/>
        <v>1</v>
      </c>
      <c r="AI19" s="20">
        <f t="shared" si="3"/>
        <v>1</v>
      </c>
      <c r="AJ19" s="67" t="s">
        <v>354</v>
      </c>
    </row>
    <row r="20" spans="1:36" x14ac:dyDescent="0.35">
      <c r="A20" s="7" t="s">
        <v>48</v>
      </c>
      <c r="B20" s="7"/>
      <c r="C20" s="7"/>
      <c r="D20" s="7" t="s">
        <v>150</v>
      </c>
      <c r="E20" s="10">
        <f>SUMIFS('PLAN BUDGET SAMI-TF'!AN13:AN100000,'PLAN BUDGET SAMI-TF'!D13:D100000,SUMMARY!D20,'PLAN BUDGET SAMI-TF'!J13:J100000,SUMMARY!A20&amp;"*")</f>
        <v>0</v>
      </c>
      <c r="F20" s="10">
        <f>SUMIFS('PLAN BUDGET SAMI-TF'!AO13:AO100000,'PLAN BUDGET SAMI-TF'!D13:D100000,SUMMARY!D20,'PLAN BUDGET SAMI-TF'!J13:J100000,SUMMARY!A20&amp;"*")</f>
        <v>0</v>
      </c>
      <c r="G20" s="10">
        <f>SUMIFS('PLAN BUDGET SAMI-TF'!AP13:AP100000,'PLAN BUDGET SAMI-TF'!D13:D100000,SUMMARY!D20,'PLAN BUDGET SAMI-TF'!J13:J100000,SUMMARY!A20&amp;"*")</f>
        <v>0</v>
      </c>
      <c r="H20" s="10">
        <f>SUMIFS('PLAN BUDGET SAMI-TF'!AQ13:AQ100000,'PLAN BUDGET SAMI-TF'!D13:D100000,SUMMARY!D20,'PLAN BUDGET SAMI-TF'!J13:J100000,SUMMARY!A20&amp;"*")</f>
        <v>0</v>
      </c>
      <c r="I20" s="10">
        <f>SUMIFS('PLAN BUDGET SAMI-TF'!AR13:AR100000,'PLAN BUDGET SAMI-TF'!D13:D100000,SUMMARY!D20,'PLAN BUDGET SAMI-TF'!J13:J100000,SUMMARY!A20&amp;"*")</f>
        <v>0</v>
      </c>
      <c r="J20" s="10">
        <f>SUMIFS('PLAN BUDGET SAMI-TF'!AS13:AS100000,'PLAN BUDGET SAMI-TF'!D13:D100000,SUMMARY!D20,'PLAN BUDGET SAMI-TF'!J13:J100000,SUMMARY!A20&amp;"*")</f>
        <v>0</v>
      </c>
      <c r="K20" s="10">
        <f>SUMIFS('PLAN BUDGET SAMI-TF'!AT13:AT100000,'PLAN BUDGET SAMI-TF'!D13:D100000,SUMMARY!D20,'PLAN BUDGET SAMI-TF'!J13:J100000,SUMMARY!A20&amp;"*")</f>
        <v>1</v>
      </c>
      <c r="L20" s="10">
        <f>SUMIFS('PLAN BUDGET SAMI-TF'!AU13:AU100000,'PLAN BUDGET SAMI-TF'!D13:D100000,SUMMARY!D20,'PLAN BUDGET SAMI-TF'!J13:J100000,SUMMARY!A20&amp;"*")</f>
        <v>0</v>
      </c>
      <c r="M20" s="10">
        <f>SUMIFS('PLAN BUDGET SAMI-TF'!AV13:AV100000,'PLAN BUDGET SAMI-TF'!D13:D100000,SUMMARY!D20,'PLAN BUDGET SAMI-TF'!J13:J100000,SUMMARY!A20&amp;"*")</f>
        <v>0</v>
      </c>
      <c r="N20" s="10">
        <f>SUMIFS('PLAN BUDGET SAMI-TF'!AW13:AW100000,'PLAN BUDGET SAMI-TF'!D13:D100000,SUMMARY!D20,'PLAN BUDGET SAMI-TF'!J13:J100000,SUMMARY!A20&amp;"*")</f>
        <v>0</v>
      </c>
      <c r="O20" s="10">
        <f>SUMIFS('PLAN BUDGET SAMI-TF'!AX13:AX100000,'PLAN BUDGET SAMI-TF'!D13:D100000,SUMMARY!D20,'PLAN BUDGET SAMI-TF'!J13:J100000,SUMMARY!A20&amp;"*")</f>
        <v>0</v>
      </c>
      <c r="P20" s="10">
        <f>SUMIFS('PLAN BUDGET SAMI-TF'!AY13:AY100000,'PLAN BUDGET SAMI-TF'!D13:D100000,SUMMARY!D20,'PLAN BUDGET SAMI-TF'!J13:J100000,SUMMARY!A20&amp;"*")</f>
        <v>0</v>
      </c>
      <c r="Q20" s="10">
        <f>SUMIFS('PLAN BUDGET SAMI-TF'!BC13:BC100000,'PLAN BUDGET SAMI-TF'!D13:D100000,SUMMARY!D20,'PLAN BUDGET SAMI-TF'!J13:J100000,SUMMARY!A20&amp;"*")</f>
        <v>0</v>
      </c>
      <c r="R20" s="10">
        <f>SUMIFS('PLAN BUDGET SAMI-TF'!BD13:BD100000,'PLAN BUDGET SAMI-TF'!D13:D100000,SUMMARY!D20,'PLAN BUDGET SAMI-TF'!J13:J100000,SUMMARY!A20&amp;"*")</f>
        <v>0</v>
      </c>
      <c r="S20" s="10">
        <f>SUMIFS('PLAN BUDGET SAMI-TF'!BE13:BE100000,'PLAN BUDGET SAMI-TF'!D13:D100000,SUMMARY!D20,'PLAN BUDGET SAMI-TF'!J13:J100000,SUMMARY!A20&amp;"*")</f>
        <v>0</v>
      </c>
      <c r="T20" s="10">
        <f>SUMIFS('PLAN BUDGET SAMI-TF'!BF13:BF100000,'PLAN BUDGET SAMI-TF'!D13:D100000,SUMMARY!D20,'PLAN BUDGET SAMI-TF'!J13:J100000,SUMMARY!A20&amp;"*")</f>
        <v>0</v>
      </c>
      <c r="U20" s="10">
        <f>SUMIFS('PLAN BUDGET SAMI-TF'!BG13:BG100000,'PLAN BUDGET SAMI-TF'!D13:D100000,SUMMARY!D20,'PLAN BUDGET SAMI-TF'!J13:J100000,SUMMARY!A20&amp;"*")</f>
        <v>0</v>
      </c>
      <c r="V20" s="10">
        <f>SUMIFS('PLAN BUDGET SAMI-TF'!BH13:BH100000,'PLAN BUDGET SAMI-TF'!D13:D100000,SUMMARY!D20,'PLAN BUDGET SAMI-TF'!J13:J100000,SUMMARY!A20&amp;"*")</f>
        <v>0</v>
      </c>
      <c r="W20" s="10">
        <f>SUMIFS('PLAN BUDGET SAMI-TF'!BI13:BI100000,'PLAN BUDGET SAMI-TF'!D13:D100000,SUMMARY!D20,'PLAN BUDGET SAMI-TF'!J13:J100000,SUMMARY!A20&amp;"*")</f>
        <v>3.0422315901408998</v>
      </c>
      <c r="X20" s="10">
        <f>SUMIFS('PLAN BUDGET SAMI-TF'!BJ13:BJ100000,'PLAN BUDGET SAMI-TF'!D13:D100000,SUMMARY!D20,'PLAN BUDGET SAMI-TF'!J13:J100000,SUMMARY!A20&amp;"*")</f>
        <v>0</v>
      </c>
      <c r="Y20" s="10">
        <f>SUMIFS('PLAN BUDGET SAMI-TF'!BK13:BK100000,'PLAN BUDGET SAMI-TF'!D13:D100000,SUMMARY!D20,'PLAN BUDGET SAMI-TF'!J13:J100000,SUMMARY!A20&amp;"*")</f>
        <v>0</v>
      </c>
      <c r="Z20" s="10">
        <f>SUMIFS('PLAN BUDGET SAMI-TF'!BL13:BL100000,'PLAN BUDGET SAMI-TF'!D13:D100000,SUMMARY!D20,'PLAN BUDGET SAMI-TF'!J13:J100000,SUMMARY!A20&amp;"*")</f>
        <v>0</v>
      </c>
      <c r="AA20" s="10">
        <f>SUMIFS('PLAN BUDGET SAMI-TF'!BM13:BM100000,'PLAN BUDGET SAMI-TF'!D13:D100000,SUMMARY!D20,'PLAN BUDGET SAMI-TF'!J13:J100000,SUMMARY!A20&amp;"*")</f>
        <v>0</v>
      </c>
      <c r="AB20" s="10">
        <f>SUMIFS('PLAN BUDGET SAMI-TF'!BN13:BN100000,'PLAN BUDGET SAMI-TF'!D13:D100000,SUMMARY!D20,'PLAN BUDGET SAMI-TF'!J13:J100000,SUMMARY!A20&amp;"*")</f>
        <v>0</v>
      </c>
      <c r="AC20" s="10">
        <f t="shared" si="0"/>
        <v>1</v>
      </c>
      <c r="AD20" s="10">
        <f t="shared" si="1"/>
        <v>3.0422315901408998</v>
      </c>
      <c r="AE20" s="16"/>
      <c r="AF20" s="10">
        <v>1</v>
      </c>
      <c r="AG20" s="10">
        <v>3.3244717886394999</v>
      </c>
      <c r="AH20" s="20">
        <f t="shared" si="2"/>
        <v>0</v>
      </c>
      <c r="AI20" s="20">
        <f t="shared" si="3"/>
        <v>-8.4897757130345045E-2</v>
      </c>
      <c r="AJ20" s="67" t="s">
        <v>355</v>
      </c>
    </row>
    <row r="21" spans="1:36" x14ac:dyDescent="0.35">
      <c r="A21" s="7" t="s">
        <v>48</v>
      </c>
      <c r="B21" s="7"/>
      <c r="C21" s="7"/>
      <c r="D21" s="7" t="s">
        <v>44</v>
      </c>
      <c r="E21" s="10">
        <f>SUMIFS('PLAN BUDGET SAMI-TF'!AN13:AN100000,'PLAN BUDGET SAMI-TF'!D13:D100000,SUMMARY!D21,'PLAN BUDGET SAMI-TF'!J13:J100000,SUMMARY!A21&amp;"*")</f>
        <v>0</v>
      </c>
      <c r="F21" s="10">
        <f>SUMIFS('PLAN BUDGET SAMI-TF'!AO13:AO100000,'PLAN BUDGET SAMI-TF'!D13:D100000,SUMMARY!D21,'PLAN BUDGET SAMI-TF'!J13:J100000,SUMMARY!A21&amp;"*")</f>
        <v>0</v>
      </c>
      <c r="G21" s="10">
        <f>SUMIFS('PLAN BUDGET SAMI-TF'!AP13:AP100000,'PLAN BUDGET SAMI-TF'!D13:D100000,SUMMARY!D21,'PLAN BUDGET SAMI-TF'!J13:J100000,SUMMARY!A21&amp;"*")</f>
        <v>0</v>
      </c>
      <c r="H21" s="10">
        <f>SUMIFS('PLAN BUDGET SAMI-TF'!AQ13:AQ100000,'PLAN BUDGET SAMI-TF'!D13:D100000,SUMMARY!D21,'PLAN BUDGET SAMI-TF'!J13:J100000,SUMMARY!A21&amp;"*")</f>
        <v>2</v>
      </c>
      <c r="I21" s="10">
        <f>SUMIFS('PLAN BUDGET SAMI-TF'!AR13:AR100000,'PLAN BUDGET SAMI-TF'!D13:D100000,SUMMARY!D21,'PLAN BUDGET SAMI-TF'!J13:J100000,SUMMARY!A21&amp;"*")</f>
        <v>0</v>
      </c>
      <c r="J21" s="10">
        <f>SUMIFS('PLAN BUDGET SAMI-TF'!AS13:AS100000,'PLAN BUDGET SAMI-TF'!D13:D100000,SUMMARY!D21,'PLAN BUDGET SAMI-TF'!J13:J100000,SUMMARY!A21&amp;"*")</f>
        <v>0</v>
      </c>
      <c r="K21" s="10">
        <f>SUMIFS('PLAN BUDGET SAMI-TF'!AT13:AT100000,'PLAN BUDGET SAMI-TF'!D13:D100000,SUMMARY!D21,'PLAN BUDGET SAMI-TF'!J13:J100000,SUMMARY!A21&amp;"*")</f>
        <v>0</v>
      </c>
      <c r="L21" s="10">
        <f>SUMIFS('PLAN BUDGET SAMI-TF'!AU13:AU100000,'PLAN BUDGET SAMI-TF'!D13:D100000,SUMMARY!D21,'PLAN BUDGET SAMI-TF'!J13:J100000,SUMMARY!A21&amp;"*")</f>
        <v>0</v>
      </c>
      <c r="M21" s="10">
        <f>SUMIFS('PLAN BUDGET SAMI-TF'!AV13:AV100000,'PLAN BUDGET SAMI-TF'!D13:D100000,SUMMARY!D21,'PLAN BUDGET SAMI-TF'!J13:J100000,SUMMARY!A21&amp;"*")</f>
        <v>0</v>
      </c>
      <c r="N21" s="10">
        <f>SUMIFS('PLAN BUDGET SAMI-TF'!AW13:AW100000,'PLAN BUDGET SAMI-TF'!D13:D100000,SUMMARY!D21,'PLAN BUDGET SAMI-TF'!J13:J100000,SUMMARY!A21&amp;"*")</f>
        <v>0</v>
      </c>
      <c r="O21" s="10">
        <f>SUMIFS('PLAN BUDGET SAMI-TF'!AX13:AX100000,'PLAN BUDGET SAMI-TF'!D13:D100000,SUMMARY!D21,'PLAN BUDGET SAMI-TF'!J13:J100000,SUMMARY!A21&amp;"*")</f>
        <v>0</v>
      </c>
      <c r="P21" s="10">
        <f>SUMIFS('PLAN BUDGET SAMI-TF'!AY13:AY100000,'PLAN BUDGET SAMI-TF'!D13:D100000,SUMMARY!D21,'PLAN BUDGET SAMI-TF'!J13:J100000,SUMMARY!A21&amp;"*")</f>
        <v>0</v>
      </c>
      <c r="Q21" s="10">
        <f>SUMIFS('PLAN BUDGET SAMI-TF'!BC13:BC100000,'PLAN BUDGET SAMI-TF'!D13:D100000,SUMMARY!D21,'PLAN BUDGET SAMI-TF'!J13:J100000,SUMMARY!A21&amp;"*")</f>
        <v>0</v>
      </c>
      <c r="R21" s="10">
        <f>SUMIFS('PLAN BUDGET SAMI-TF'!BD13:BD100000,'PLAN BUDGET SAMI-TF'!D13:D100000,SUMMARY!D21,'PLAN BUDGET SAMI-TF'!J13:J100000,SUMMARY!A21&amp;"*")</f>
        <v>0</v>
      </c>
      <c r="S21" s="10">
        <f>SUMIFS('PLAN BUDGET SAMI-TF'!BE13:BE100000,'PLAN BUDGET SAMI-TF'!D13:D100000,SUMMARY!D21,'PLAN BUDGET SAMI-TF'!J13:J100000,SUMMARY!A21&amp;"*")</f>
        <v>0</v>
      </c>
      <c r="T21" s="10">
        <f>SUMIFS('PLAN BUDGET SAMI-TF'!BF13:BF100000,'PLAN BUDGET SAMI-TF'!D13:D100000,SUMMARY!D21,'PLAN BUDGET SAMI-TF'!J13:J100000,SUMMARY!A21&amp;"*")</f>
        <v>5.1322269061816002</v>
      </c>
      <c r="U21" s="10">
        <f>SUMIFS('PLAN BUDGET SAMI-TF'!BG13:BG100000,'PLAN BUDGET SAMI-TF'!D13:D100000,SUMMARY!D21,'PLAN BUDGET SAMI-TF'!J13:J100000,SUMMARY!A21&amp;"*")</f>
        <v>0</v>
      </c>
      <c r="V21" s="10">
        <f>SUMIFS('PLAN BUDGET SAMI-TF'!BH13:BH100000,'PLAN BUDGET SAMI-TF'!D13:D100000,SUMMARY!D21,'PLAN BUDGET SAMI-TF'!J13:J100000,SUMMARY!A21&amp;"*")</f>
        <v>0</v>
      </c>
      <c r="W21" s="10">
        <f>SUMIFS('PLAN BUDGET SAMI-TF'!BI13:BI100000,'PLAN BUDGET SAMI-TF'!D13:D100000,SUMMARY!D21,'PLAN BUDGET SAMI-TF'!J13:J100000,SUMMARY!A21&amp;"*")</f>
        <v>0</v>
      </c>
      <c r="X21" s="10">
        <f>SUMIFS('PLAN BUDGET SAMI-TF'!BJ13:BJ100000,'PLAN BUDGET SAMI-TF'!D13:D100000,SUMMARY!D21,'PLAN BUDGET SAMI-TF'!J13:J100000,SUMMARY!A21&amp;"*")</f>
        <v>0</v>
      </c>
      <c r="Y21" s="10">
        <f>SUMIFS('PLAN BUDGET SAMI-TF'!BK13:BK100000,'PLAN BUDGET SAMI-TF'!D13:D100000,SUMMARY!D21,'PLAN BUDGET SAMI-TF'!J13:J100000,SUMMARY!A21&amp;"*")</f>
        <v>0</v>
      </c>
      <c r="Z21" s="10">
        <f>SUMIFS('PLAN BUDGET SAMI-TF'!BL13:BL100000,'PLAN BUDGET SAMI-TF'!D13:D100000,SUMMARY!D21,'PLAN BUDGET SAMI-TF'!J13:J100000,SUMMARY!A21&amp;"*")</f>
        <v>0</v>
      </c>
      <c r="AA21" s="10">
        <f>SUMIFS('PLAN BUDGET SAMI-TF'!BM13:BM100000,'PLAN BUDGET SAMI-TF'!D13:D100000,SUMMARY!D21,'PLAN BUDGET SAMI-TF'!J13:J100000,SUMMARY!A21&amp;"*")</f>
        <v>0</v>
      </c>
      <c r="AB21" s="10">
        <f>SUMIFS('PLAN BUDGET SAMI-TF'!BN13:BN100000,'PLAN BUDGET SAMI-TF'!D13:D100000,SUMMARY!D21,'PLAN BUDGET SAMI-TF'!J13:J100000,SUMMARY!A21&amp;"*")</f>
        <v>0</v>
      </c>
      <c r="AC21" s="10">
        <f t="shared" si="0"/>
        <v>2</v>
      </c>
      <c r="AD21" s="10">
        <f t="shared" si="1"/>
        <v>5.1322269061816002</v>
      </c>
      <c r="AE21" s="16"/>
      <c r="AF21" s="10">
        <v>7</v>
      </c>
      <c r="AG21" s="10">
        <v>16.680971731671999</v>
      </c>
      <c r="AH21" s="20">
        <f t="shared" si="2"/>
        <v>-0.7142857142857143</v>
      </c>
      <c r="AI21" s="20">
        <f t="shared" si="3"/>
        <v>-0.69233045959564266</v>
      </c>
      <c r="AJ21" s="67" t="s">
        <v>356</v>
      </c>
    </row>
    <row r="22" spans="1:36" x14ac:dyDescent="0.35">
      <c r="A22" s="7" t="s">
        <v>48</v>
      </c>
      <c r="B22" s="7"/>
      <c r="C22" s="7"/>
      <c r="D22" s="7" t="s">
        <v>104</v>
      </c>
      <c r="E22" s="10">
        <f>SUMIFS('PLAN BUDGET SAMI-TF'!AN13:AN100000,'PLAN BUDGET SAMI-TF'!D13:D100000,SUMMARY!D22,'PLAN BUDGET SAMI-TF'!J13:J100000,SUMMARY!A22&amp;"*")</f>
        <v>3</v>
      </c>
      <c r="F22" s="10">
        <f>SUMIFS('PLAN BUDGET SAMI-TF'!AO13:AO100000,'PLAN BUDGET SAMI-TF'!D13:D100000,SUMMARY!D22,'PLAN BUDGET SAMI-TF'!J13:J100000,SUMMARY!A22&amp;"*")</f>
        <v>0</v>
      </c>
      <c r="G22" s="10">
        <f>SUMIFS('PLAN BUDGET SAMI-TF'!AP13:AP100000,'PLAN BUDGET SAMI-TF'!D13:D100000,SUMMARY!D22,'PLAN BUDGET SAMI-TF'!J13:J100000,SUMMARY!A22&amp;"*")</f>
        <v>0</v>
      </c>
      <c r="H22" s="10">
        <f>SUMIFS('PLAN BUDGET SAMI-TF'!AQ13:AQ100000,'PLAN BUDGET SAMI-TF'!D13:D100000,SUMMARY!D22,'PLAN BUDGET SAMI-TF'!J13:J100000,SUMMARY!A22&amp;"*")</f>
        <v>0</v>
      </c>
      <c r="I22" s="10">
        <f>SUMIFS('PLAN BUDGET SAMI-TF'!AR13:AR100000,'PLAN BUDGET SAMI-TF'!D13:D100000,SUMMARY!D22,'PLAN BUDGET SAMI-TF'!J13:J100000,SUMMARY!A22&amp;"*")</f>
        <v>0</v>
      </c>
      <c r="J22" s="10">
        <f>SUMIFS('PLAN BUDGET SAMI-TF'!AS13:AS100000,'PLAN BUDGET SAMI-TF'!D13:D100000,SUMMARY!D22,'PLAN BUDGET SAMI-TF'!J13:J100000,SUMMARY!A22&amp;"*")</f>
        <v>4</v>
      </c>
      <c r="K22" s="10">
        <f>SUMIFS('PLAN BUDGET SAMI-TF'!AT13:AT100000,'PLAN BUDGET SAMI-TF'!D13:D100000,SUMMARY!D22,'PLAN BUDGET SAMI-TF'!J13:J100000,SUMMARY!A22&amp;"*")</f>
        <v>0</v>
      </c>
      <c r="L22" s="10">
        <f>SUMIFS('PLAN BUDGET SAMI-TF'!AU13:AU100000,'PLAN BUDGET SAMI-TF'!D13:D100000,SUMMARY!D22,'PLAN BUDGET SAMI-TF'!J13:J100000,SUMMARY!A22&amp;"*")</f>
        <v>0</v>
      </c>
      <c r="M22" s="10">
        <f>SUMIFS('PLAN BUDGET SAMI-TF'!AV13:AV100000,'PLAN BUDGET SAMI-TF'!D13:D100000,SUMMARY!D22,'PLAN BUDGET SAMI-TF'!J13:J100000,SUMMARY!A22&amp;"*")</f>
        <v>0</v>
      </c>
      <c r="N22" s="10">
        <f>SUMIFS('PLAN BUDGET SAMI-TF'!AW13:AW100000,'PLAN BUDGET SAMI-TF'!D13:D100000,SUMMARY!D22,'PLAN BUDGET SAMI-TF'!J13:J100000,SUMMARY!A22&amp;"*")</f>
        <v>0</v>
      </c>
      <c r="O22" s="10">
        <f>SUMIFS('PLAN BUDGET SAMI-TF'!AX13:AX100000,'PLAN BUDGET SAMI-TF'!D13:D100000,SUMMARY!D22,'PLAN BUDGET SAMI-TF'!J13:J100000,SUMMARY!A22&amp;"*")</f>
        <v>0</v>
      </c>
      <c r="P22" s="10">
        <f>SUMIFS('PLAN BUDGET SAMI-TF'!AY13:AY100000,'PLAN BUDGET SAMI-TF'!D13:D100000,SUMMARY!D22,'PLAN BUDGET SAMI-TF'!J13:J100000,SUMMARY!A22&amp;"*")</f>
        <v>0</v>
      </c>
      <c r="Q22" s="10">
        <f>SUMIFS('PLAN BUDGET SAMI-TF'!BC13:BC100000,'PLAN BUDGET SAMI-TF'!D13:D100000,SUMMARY!D22,'PLAN BUDGET SAMI-TF'!J13:J100000,SUMMARY!A22&amp;"*")</f>
        <v>1.5465895712277999</v>
      </c>
      <c r="R22" s="10">
        <f>SUMIFS('PLAN BUDGET SAMI-TF'!BD13:BD100000,'PLAN BUDGET SAMI-TF'!D13:D100000,SUMMARY!D22,'PLAN BUDGET SAMI-TF'!J13:J100000,SUMMARY!A22&amp;"*")</f>
        <v>0</v>
      </c>
      <c r="S22" s="10">
        <f>SUMIFS('PLAN BUDGET SAMI-TF'!BE13:BE100000,'PLAN BUDGET SAMI-TF'!D13:D100000,SUMMARY!D22,'PLAN BUDGET SAMI-TF'!J13:J100000,SUMMARY!A22&amp;"*")</f>
        <v>0</v>
      </c>
      <c r="T22" s="10">
        <f>SUMIFS('PLAN BUDGET SAMI-TF'!BF13:BF100000,'PLAN BUDGET SAMI-TF'!D13:D100000,SUMMARY!D22,'PLAN BUDGET SAMI-TF'!J13:J100000,SUMMARY!A22&amp;"*")</f>
        <v>0</v>
      </c>
      <c r="U22" s="10">
        <f>SUMIFS('PLAN BUDGET SAMI-TF'!BG13:BG100000,'PLAN BUDGET SAMI-TF'!D13:D100000,SUMMARY!D22,'PLAN BUDGET SAMI-TF'!J13:J100000,SUMMARY!A22&amp;"*")</f>
        <v>0</v>
      </c>
      <c r="V22" s="10">
        <f>SUMIFS('PLAN BUDGET SAMI-TF'!BH13:BH100000,'PLAN BUDGET SAMI-TF'!D13:D100000,SUMMARY!D22,'PLAN BUDGET SAMI-TF'!J13:J100000,SUMMARY!A22&amp;"*")</f>
        <v>2.0621194283038</v>
      </c>
      <c r="W22" s="10">
        <f>SUMIFS('PLAN BUDGET SAMI-TF'!BI13:BI100000,'PLAN BUDGET SAMI-TF'!D13:D100000,SUMMARY!D22,'PLAN BUDGET SAMI-TF'!J13:J100000,SUMMARY!A22&amp;"*")</f>
        <v>0</v>
      </c>
      <c r="X22" s="10">
        <f>SUMIFS('PLAN BUDGET SAMI-TF'!BJ13:BJ100000,'PLAN BUDGET SAMI-TF'!D13:D100000,SUMMARY!D22,'PLAN BUDGET SAMI-TF'!J13:J100000,SUMMARY!A22&amp;"*")</f>
        <v>0</v>
      </c>
      <c r="Y22" s="10">
        <f>SUMIFS('PLAN BUDGET SAMI-TF'!BK13:BK100000,'PLAN BUDGET SAMI-TF'!D13:D100000,SUMMARY!D22,'PLAN BUDGET SAMI-TF'!J13:J100000,SUMMARY!A22&amp;"*")</f>
        <v>0</v>
      </c>
      <c r="Z22" s="10">
        <f>SUMIFS('PLAN BUDGET SAMI-TF'!BL13:BL100000,'PLAN BUDGET SAMI-TF'!D13:D100000,SUMMARY!D22,'PLAN BUDGET SAMI-TF'!J13:J100000,SUMMARY!A22&amp;"*")</f>
        <v>0</v>
      </c>
      <c r="AA22" s="10">
        <f>SUMIFS('PLAN BUDGET SAMI-TF'!BM13:BM100000,'PLAN BUDGET SAMI-TF'!D13:D100000,SUMMARY!D22,'PLAN BUDGET SAMI-TF'!J13:J100000,SUMMARY!A22&amp;"*")</f>
        <v>0</v>
      </c>
      <c r="AB22" s="10">
        <f>SUMIFS('PLAN BUDGET SAMI-TF'!BN13:BN100000,'PLAN BUDGET SAMI-TF'!D13:D100000,SUMMARY!D22,'PLAN BUDGET SAMI-TF'!J13:J100000,SUMMARY!A22&amp;"*")</f>
        <v>0</v>
      </c>
      <c r="AC22" s="10">
        <f t="shared" si="0"/>
        <v>7</v>
      </c>
      <c r="AD22" s="10">
        <f t="shared" si="1"/>
        <v>3.6087089995315997</v>
      </c>
      <c r="AE22" s="16"/>
      <c r="AF22" s="10">
        <v>5</v>
      </c>
      <c r="AG22" s="10">
        <v>2.3419796690846</v>
      </c>
      <c r="AH22" s="20">
        <f t="shared" si="2"/>
        <v>0.4</v>
      </c>
      <c r="AI22" s="20">
        <f t="shared" si="3"/>
        <v>0.54087972972972953</v>
      </c>
      <c r="AJ22" s="67" t="s">
        <v>357</v>
      </c>
    </row>
    <row r="23" spans="1:36" x14ac:dyDescent="0.35">
      <c r="A23" s="7" t="s">
        <v>48</v>
      </c>
      <c r="B23" s="7"/>
      <c r="C23" s="7"/>
      <c r="D23" s="7" t="s">
        <v>210</v>
      </c>
      <c r="E23" s="10">
        <f>SUMIFS('PLAN BUDGET SAMI-TF'!AN13:AN100000,'PLAN BUDGET SAMI-TF'!D13:D100000,SUMMARY!D23,'PLAN BUDGET SAMI-TF'!J13:J100000,SUMMARY!A23&amp;"*")</f>
        <v>0</v>
      </c>
      <c r="F23" s="10">
        <f>SUMIFS('PLAN BUDGET SAMI-TF'!AO13:AO100000,'PLAN BUDGET SAMI-TF'!D13:D100000,SUMMARY!D23,'PLAN BUDGET SAMI-TF'!J13:J100000,SUMMARY!A23&amp;"*")</f>
        <v>0</v>
      </c>
      <c r="G23" s="10">
        <f>SUMIFS('PLAN BUDGET SAMI-TF'!AP13:AP100000,'PLAN BUDGET SAMI-TF'!D13:D100000,SUMMARY!D23,'PLAN BUDGET SAMI-TF'!J13:J100000,SUMMARY!A23&amp;"*")</f>
        <v>0</v>
      </c>
      <c r="H23" s="10">
        <f>SUMIFS('PLAN BUDGET SAMI-TF'!AQ13:AQ100000,'PLAN BUDGET SAMI-TF'!D13:D100000,SUMMARY!D23,'PLAN BUDGET SAMI-TF'!J13:J100000,SUMMARY!A23&amp;"*")</f>
        <v>0</v>
      </c>
      <c r="I23" s="10">
        <f>SUMIFS('PLAN BUDGET SAMI-TF'!AR13:AR100000,'PLAN BUDGET SAMI-TF'!D13:D100000,SUMMARY!D23,'PLAN BUDGET SAMI-TF'!J13:J100000,SUMMARY!A23&amp;"*")</f>
        <v>0</v>
      </c>
      <c r="J23" s="10">
        <f>SUMIFS('PLAN BUDGET SAMI-TF'!AS13:AS100000,'PLAN BUDGET SAMI-TF'!D13:D100000,SUMMARY!D23,'PLAN BUDGET SAMI-TF'!J13:J100000,SUMMARY!A23&amp;"*")</f>
        <v>0</v>
      </c>
      <c r="K23" s="10">
        <f>SUMIFS('PLAN BUDGET SAMI-TF'!AT13:AT100000,'PLAN BUDGET SAMI-TF'!D13:D100000,SUMMARY!D23,'PLAN BUDGET SAMI-TF'!J13:J100000,SUMMARY!A23&amp;"*")</f>
        <v>0</v>
      </c>
      <c r="L23" s="10">
        <f>SUMIFS('PLAN BUDGET SAMI-TF'!AU13:AU100000,'PLAN BUDGET SAMI-TF'!D13:D100000,SUMMARY!D23,'PLAN BUDGET SAMI-TF'!J13:J100000,SUMMARY!A23&amp;"*")</f>
        <v>0</v>
      </c>
      <c r="M23" s="10">
        <f>SUMIFS('PLAN BUDGET SAMI-TF'!AV13:AV100000,'PLAN BUDGET SAMI-TF'!D13:D100000,SUMMARY!D23,'PLAN BUDGET SAMI-TF'!J13:J100000,SUMMARY!A23&amp;"*")</f>
        <v>0</v>
      </c>
      <c r="N23" s="10">
        <f>SUMIFS('PLAN BUDGET SAMI-TF'!AW13:AW100000,'PLAN BUDGET SAMI-TF'!D13:D100000,SUMMARY!D23,'PLAN BUDGET SAMI-TF'!J13:J100000,SUMMARY!A23&amp;"*")</f>
        <v>2</v>
      </c>
      <c r="O23" s="10">
        <f>SUMIFS('PLAN BUDGET SAMI-TF'!AX13:AX100000,'PLAN BUDGET SAMI-TF'!D13:D100000,SUMMARY!D23,'PLAN BUDGET SAMI-TF'!J13:J100000,SUMMARY!A23&amp;"*")</f>
        <v>0</v>
      </c>
      <c r="P23" s="10">
        <f>SUMIFS('PLAN BUDGET SAMI-TF'!AY13:AY100000,'PLAN BUDGET SAMI-TF'!D13:D100000,SUMMARY!D23,'PLAN BUDGET SAMI-TF'!J13:J100000,SUMMARY!A23&amp;"*")</f>
        <v>0</v>
      </c>
      <c r="Q23" s="10">
        <f>SUMIFS('PLAN BUDGET SAMI-TF'!BC13:BC100000,'PLAN BUDGET SAMI-TF'!D13:D100000,SUMMARY!D23,'PLAN BUDGET SAMI-TF'!J13:J100000,SUMMARY!A23&amp;"*")</f>
        <v>0</v>
      </c>
      <c r="R23" s="10">
        <f>SUMIFS('PLAN BUDGET SAMI-TF'!BD13:BD100000,'PLAN BUDGET SAMI-TF'!D13:D100000,SUMMARY!D23,'PLAN BUDGET SAMI-TF'!J13:J100000,SUMMARY!A23&amp;"*")</f>
        <v>0</v>
      </c>
      <c r="S23" s="10">
        <f>SUMIFS('PLAN BUDGET SAMI-TF'!BE13:BE100000,'PLAN BUDGET SAMI-TF'!D13:D100000,SUMMARY!D23,'PLAN BUDGET SAMI-TF'!J13:J100000,SUMMARY!A23&amp;"*")</f>
        <v>0</v>
      </c>
      <c r="T23" s="10">
        <f>SUMIFS('PLAN BUDGET SAMI-TF'!BF13:BF100000,'PLAN BUDGET SAMI-TF'!D13:D100000,SUMMARY!D23,'PLAN BUDGET SAMI-TF'!J13:J100000,SUMMARY!A23&amp;"*")</f>
        <v>0</v>
      </c>
      <c r="U23" s="10">
        <f>SUMIFS('PLAN BUDGET SAMI-TF'!BG13:BG100000,'PLAN BUDGET SAMI-TF'!D13:D100000,SUMMARY!D23,'PLAN BUDGET SAMI-TF'!J13:J100000,SUMMARY!A23&amp;"*")</f>
        <v>0</v>
      </c>
      <c r="V23" s="10">
        <f>SUMIFS('PLAN BUDGET SAMI-TF'!BH13:BH100000,'PLAN BUDGET SAMI-TF'!D13:D100000,SUMMARY!D23,'PLAN BUDGET SAMI-TF'!J13:J100000,SUMMARY!A23&amp;"*")</f>
        <v>0</v>
      </c>
      <c r="W23" s="10">
        <f>SUMIFS('PLAN BUDGET SAMI-TF'!BI13:BI100000,'PLAN BUDGET SAMI-TF'!D13:D100000,SUMMARY!D23,'PLAN BUDGET SAMI-TF'!J13:J100000,SUMMARY!A23&amp;"*")</f>
        <v>0</v>
      </c>
      <c r="X23" s="10">
        <f>SUMIFS('PLAN BUDGET SAMI-TF'!BJ13:BJ100000,'PLAN BUDGET SAMI-TF'!D13:D100000,SUMMARY!D23,'PLAN BUDGET SAMI-TF'!J13:J100000,SUMMARY!A23&amp;"*")</f>
        <v>0</v>
      </c>
      <c r="Y23" s="10">
        <f>SUMIFS('PLAN BUDGET SAMI-TF'!BK13:BK100000,'PLAN BUDGET SAMI-TF'!D13:D100000,SUMMARY!D23,'PLAN BUDGET SAMI-TF'!J13:J100000,SUMMARY!A23&amp;"*")</f>
        <v>0</v>
      </c>
      <c r="Z23" s="10">
        <f>SUMIFS('PLAN BUDGET SAMI-TF'!BL13:BL100000,'PLAN BUDGET SAMI-TF'!D13:D100000,SUMMARY!D23,'PLAN BUDGET SAMI-TF'!J13:J100000,SUMMARY!A23&amp;"*")</f>
        <v>96</v>
      </c>
      <c r="AA23" s="10">
        <f>SUMIFS('PLAN BUDGET SAMI-TF'!BM13:BM100000,'PLAN BUDGET SAMI-TF'!D13:D100000,SUMMARY!D23,'PLAN BUDGET SAMI-TF'!J13:J100000,SUMMARY!A23&amp;"*")</f>
        <v>0</v>
      </c>
      <c r="AB23" s="10">
        <f>SUMIFS('PLAN BUDGET SAMI-TF'!BN13:BN100000,'PLAN BUDGET SAMI-TF'!D13:D100000,SUMMARY!D23,'PLAN BUDGET SAMI-TF'!J13:J100000,SUMMARY!A23&amp;"*")</f>
        <v>0</v>
      </c>
      <c r="AC23" s="10">
        <f t="shared" si="0"/>
        <v>2</v>
      </c>
      <c r="AD23" s="10">
        <f t="shared" si="1"/>
        <v>96</v>
      </c>
      <c r="AE23" s="16"/>
      <c r="AF23" s="10">
        <v>0</v>
      </c>
      <c r="AG23" s="10">
        <v>0</v>
      </c>
      <c r="AH23" s="20">
        <f t="shared" si="2"/>
        <v>1</v>
      </c>
      <c r="AI23" s="20">
        <f t="shared" si="3"/>
        <v>1</v>
      </c>
      <c r="AJ23" s="67" t="s">
        <v>358</v>
      </c>
    </row>
    <row r="24" spans="1:36" x14ac:dyDescent="0.35">
      <c r="A24" s="7" t="s">
        <v>48</v>
      </c>
      <c r="B24" s="7"/>
      <c r="C24" s="7"/>
      <c r="D24" s="7" t="s">
        <v>207</v>
      </c>
      <c r="E24" s="10">
        <f>SUMIFS('PLAN BUDGET SAMI-TF'!AN13:AN100000,'PLAN BUDGET SAMI-TF'!D13:D100000,SUMMARY!D24,'PLAN BUDGET SAMI-TF'!J13:J100000,SUMMARY!A24&amp;"*")</f>
        <v>0</v>
      </c>
      <c r="F24" s="10">
        <f>SUMIFS('PLAN BUDGET SAMI-TF'!AO13:AO100000,'PLAN BUDGET SAMI-TF'!D13:D100000,SUMMARY!D24,'PLAN BUDGET SAMI-TF'!J13:J100000,SUMMARY!A24&amp;"*")</f>
        <v>0</v>
      </c>
      <c r="G24" s="10">
        <f>SUMIFS('PLAN BUDGET SAMI-TF'!AP13:AP100000,'PLAN BUDGET SAMI-TF'!D13:D100000,SUMMARY!D24,'PLAN BUDGET SAMI-TF'!J13:J100000,SUMMARY!A24&amp;"*")</f>
        <v>0</v>
      </c>
      <c r="H24" s="10">
        <f>SUMIFS('PLAN BUDGET SAMI-TF'!AQ13:AQ100000,'PLAN BUDGET SAMI-TF'!D13:D100000,SUMMARY!D24,'PLAN BUDGET SAMI-TF'!J13:J100000,SUMMARY!A24&amp;"*")</f>
        <v>0</v>
      </c>
      <c r="I24" s="10">
        <f>SUMIFS('PLAN BUDGET SAMI-TF'!AR13:AR100000,'PLAN BUDGET SAMI-TF'!D13:D100000,SUMMARY!D24,'PLAN BUDGET SAMI-TF'!J13:J100000,SUMMARY!A24&amp;"*")</f>
        <v>0</v>
      </c>
      <c r="J24" s="10">
        <f>SUMIFS('PLAN BUDGET SAMI-TF'!AS13:AS100000,'PLAN BUDGET SAMI-TF'!D13:D100000,SUMMARY!D24,'PLAN BUDGET SAMI-TF'!J13:J100000,SUMMARY!A24&amp;"*")</f>
        <v>0</v>
      </c>
      <c r="K24" s="10">
        <f>SUMIFS('PLAN BUDGET SAMI-TF'!AT13:AT100000,'PLAN BUDGET SAMI-TF'!D13:D100000,SUMMARY!D24,'PLAN BUDGET SAMI-TF'!J13:J100000,SUMMARY!A24&amp;"*")</f>
        <v>3</v>
      </c>
      <c r="L24" s="10">
        <f>SUMIFS('PLAN BUDGET SAMI-TF'!AU13:AU100000,'PLAN BUDGET SAMI-TF'!D13:D100000,SUMMARY!D24,'PLAN BUDGET SAMI-TF'!J13:J100000,SUMMARY!A24&amp;"*")</f>
        <v>0</v>
      </c>
      <c r="M24" s="10">
        <f>SUMIFS('PLAN BUDGET SAMI-TF'!AV13:AV100000,'PLAN BUDGET SAMI-TF'!D13:D100000,SUMMARY!D24,'PLAN BUDGET SAMI-TF'!J13:J100000,SUMMARY!A24&amp;"*")</f>
        <v>0</v>
      </c>
      <c r="N24" s="10">
        <f>SUMIFS('PLAN BUDGET SAMI-TF'!AW13:AW100000,'PLAN BUDGET SAMI-TF'!D13:D100000,SUMMARY!D24,'PLAN BUDGET SAMI-TF'!J13:J100000,SUMMARY!A24&amp;"*")</f>
        <v>0</v>
      </c>
      <c r="O24" s="10">
        <f>SUMIFS('PLAN BUDGET SAMI-TF'!AX13:AX100000,'PLAN BUDGET SAMI-TF'!D13:D100000,SUMMARY!D24,'PLAN BUDGET SAMI-TF'!J13:J100000,SUMMARY!A24&amp;"*")</f>
        <v>0</v>
      </c>
      <c r="P24" s="10">
        <f>SUMIFS('PLAN BUDGET SAMI-TF'!AY13:AY100000,'PLAN BUDGET SAMI-TF'!D13:D100000,SUMMARY!D24,'PLAN BUDGET SAMI-TF'!J13:J100000,SUMMARY!A24&amp;"*")</f>
        <v>0</v>
      </c>
      <c r="Q24" s="10">
        <f>SUMIFS('PLAN BUDGET SAMI-TF'!BC13:BC100000,'PLAN BUDGET SAMI-TF'!D13:D100000,SUMMARY!D24,'PLAN BUDGET SAMI-TF'!J13:J100000,SUMMARY!A24&amp;"*")</f>
        <v>0</v>
      </c>
      <c r="R24" s="10">
        <f>SUMIFS('PLAN BUDGET SAMI-TF'!BD13:BD100000,'PLAN BUDGET SAMI-TF'!D13:D100000,SUMMARY!D24,'PLAN BUDGET SAMI-TF'!J13:J100000,SUMMARY!A24&amp;"*")</f>
        <v>0</v>
      </c>
      <c r="S24" s="10">
        <f>SUMIFS('PLAN BUDGET SAMI-TF'!BE13:BE100000,'PLAN BUDGET SAMI-TF'!D13:D100000,SUMMARY!D24,'PLAN BUDGET SAMI-TF'!J13:J100000,SUMMARY!A24&amp;"*")</f>
        <v>0</v>
      </c>
      <c r="T24" s="10">
        <f>SUMIFS('PLAN BUDGET SAMI-TF'!BF13:BF100000,'PLAN BUDGET SAMI-TF'!D13:D100000,SUMMARY!D24,'PLAN BUDGET SAMI-TF'!J13:J100000,SUMMARY!A24&amp;"*")</f>
        <v>0</v>
      </c>
      <c r="U24" s="10">
        <f>SUMIFS('PLAN BUDGET SAMI-TF'!BG13:BG100000,'PLAN BUDGET SAMI-TF'!D13:D100000,SUMMARY!D24,'PLAN BUDGET SAMI-TF'!J13:J100000,SUMMARY!A24&amp;"*")</f>
        <v>0</v>
      </c>
      <c r="V24" s="10">
        <f>SUMIFS('PLAN BUDGET SAMI-TF'!BH13:BH100000,'PLAN BUDGET SAMI-TF'!D13:D100000,SUMMARY!D24,'PLAN BUDGET SAMI-TF'!J13:J100000,SUMMARY!A24&amp;"*")</f>
        <v>0</v>
      </c>
      <c r="W24" s="10">
        <f>SUMIFS('PLAN BUDGET SAMI-TF'!BI13:BI100000,'PLAN BUDGET SAMI-TF'!D13:D100000,SUMMARY!D24,'PLAN BUDGET SAMI-TF'!J13:J100000,SUMMARY!A24&amp;"*")</f>
        <v>56.967073031787997</v>
      </c>
      <c r="X24" s="10">
        <f>SUMIFS('PLAN BUDGET SAMI-TF'!BJ13:BJ100000,'PLAN BUDGET SAMI-TF'!D13:D100000,SUMMARY!D24,'PLAN BUDGET SAMI-TF'!J13:J100000,SUMMARY!A24&amp;"*")</f>
        <v>0</v>
      </c>
      <c r="Y24" s="10">
        <f>SUMIFS('PLAN BUDGET SAMI-TF'!BK13:BK100000,'PLAN BUDGET SAMI-TF'!D13:D100000,SUMMARY!D24,'PLAN BUDGET SAMI-TF'!J13:J100000,SUMMARY!A24&amp;"*")</f>
        <v>0</v>
      </c>
      <c r="Z24" s="10">
        <f>SUMIFS('PLAN BUDGET SAMI-TF'!BL13:BL100000,'PLAN BUDGET SAMI-TF'!D13:D100000,SUMMARY!D24,'PLAN BUDGET SAMI-TF'!J13:J100000,SUMMARY!A24&amp;"*")</f>
        <v>0</v>
      </c>
      <c r="AA24" s="10">
        <f>SUMIFS('PLAN BUDGET SAMI-TF'!BM13:BM100000,'PLAN BUDGET SAMI-TF'!D13:D100000,SUMMARY!D24,'PLAN BUDGET SAMI-TF'!J13:J100000,SUMMARY!A24&amp;"*")</f>
        <v>0</v>
      </c>
      <c r="AB24" s="10">
        <f>SUMIFS('PLAN BUDGET SAMI-TF'!BN13:BN100000,'PLAN BUDGET SAMI-TF'!D13:D100000,SUMMARY!D24,'PLAN BUDGET SAMI-TF'!J13:J100000,SUMMARY!A24&amp;"*")</f>
        <v>0</v>
      </c>
      <c r="AC24" s="10">
        <f t="shared" si="0"/>
        <v>3</v>
      </c>
      <c r="AD24" s="10">
        <f t="shared" si="1"/>
        <v>56.967073031787997</v>
      </c>
      <c r="AE24" s="16"/>
      <c r="AF24" s="10">
        <v>2</v>
      </c>
      <c r="AG24" s="10">
        <v>72</v>
      </c>
      <c r="AH24" s="20">
        <f t="shared" si="2"/>
        <v>0.5</v>
      </c>
      <c r="AI24" s="20">
        <f t="shared" si="3"/>
        <v>-0.2087906523362778</v>
      </c>
      <c r="AJ24" s="67"/>
    </row>
    <row r="25" spans="1:36" x14ac:dyDescent="0.35">
      <c r="A25" s="7" t="s">
        <v>48</v>
      </c>
      <c r="B25" s="7"/>
      <c r="C25" s="7"/>
      <c r="D25" s="7" t="s">
        <v>204</v>
      </c>
      <c r="E25" s="10">
        <f>SUMIFS('PLAN BUDGET SAMI-TF'!AN13:AN100000,'PLAN BUDGET SAMI-TF'!D13:D100000,SUMMARY!D25,'PLAN BUDGET SAMI-TF'!J13:J100000,SUMMARY!A25&amp;"*")</f>
        <v>2</v>
      </c>
      <c r="F25" s="10">
        <f>SUMIFS('PLAN BUDGET SAMI-TF'!AO13:AO100000,'PLAN BUDGET SAMI-TF'!D13:D100000,SUMMARY!D25,'PLAN BUDGET SAMI-TF'!J13:J100000,SUMMARY!A25&amp;"*")</f>
        <v>0</v>
      </c>
      <c r="G25" s="10">
        <f>SUMIFS('PLAN BUDGET SAMI-TF'!AP13:AP100000,'PLAN BUDGET SAMI-TF'!D13:D100000,SUMMARY!D25,'PLAN BUDGET SAMI-TF'!J13:J100000,SUMMARY!A25&amp;"*")</f>
        <v>0</v>
      </c>
      <c r="H25" s="10">
        <f>SUMIFS('PLAN BUDGET SAMI-TF'!AQ13:AQ100000,'PLAN BUDGET SAMI-TF'!D13:D100000,SUMMARY!D25,'PLAN BUDGET SAMI-TF'!J13:J100000,SUMMARY!A25&amp;"*")</f>
        <v>2</v>
      </c>
      <c r="I25" s="10">
        <f>SUMIFS('PLAN BUDGET SAMI-TF'!AR13:AR100000,'PLAN BUDGET SAMI-TF'!D13:D100000,SUMMARY!D25,'PLAN BUDGET SAMI-TF'!J13:J100000,SUMMARY!A25&amp;"*")</f>
        <v>0</v>
      </c>
      <c r="J25" s="10">
        <f>SUMIFS('PLAN BUDGET SAMI-TF'!AS13:AS100000,'PLAN BUDGET SAMI-TF'!D13:D100000,SUMMARY!D25,'PLAN BUDGET SAMI-TF'!J13:J100000,SUMMARY!A25&amp;"*")</f>
        <v>0</v>
      </c>
      <c r="K25" s="10">
        <f>SUMIFS('PLAN BUDGET SAMI-TF'!AT13:AT100000,'PLAN BUDGET SAMI-TF'!D13:D100000,SUMMARY!D25,'PLAN BUDGET SAMI-TF'!J13:J100000,SUMMARY!A25&amp;"*")</f>
        <v>0</v>
      </c>
      <c r="L25" s="10">
        <f>SUMIFS('PLAN BUDGET SAMI-TF'!AU13:AU100000,'PLAN BUDGET SAMI-TF'!D13:D100000,SUMMARY!D25,'PLAN BUDGET SAMI-TF'!J13:J100000,SUMMARY!A25&amp;"*")</f>
        <v>0</v>
      </c>
      <c r="M25" s="10">
        <f>SUMIFS('PLAN BUDGET SAMI-TF'!AV13:AV100000,'PLAN BUDGET SAMI-TF'!D13:D100000,SUMMARY!D25,'PLAN BUDGET SAMI-TF'!J13:J100000,SUMMARY!A25&amp;"*")</f>
        <v>0</v>
      </c>
      <c r="N25" s="10">
        <f>SUMIFS('PLAN BUDGET SAMI-TF'!AW13:AW100000,'PLAN BUDGET SAMI-TF'!D13:D100000,SUMMARY!D25,'PLAN BUDGET SAMI-TF'!J13:J100000,SUMMARY!A25&amp;"*")</f>
        <v>0</v>
      </c>
      <c r="O25" s="10">
        <f>SUMIFS('PLAN BUDGET SAMI-TF'!AX13:AX100000,'PLAN BUDGET SAMI-TF'!D13:D100000,SUMMARY!D25,'PLAN BUDGET SAMI-TF'!J13:J100000,SUMMARY!A25&amp;"*")</f>
        <v>0</v>
      </c>
      <c r="P25" s="10">
        <f>SUMIFS('PLAN BUDGET SAMI-TF'!AY13:AY100000,'PLAN BUDGET SAMI-TF'!D13:D100000,SUMMARY!D25,'PLAN BUDGET SAMI-TF'!J13:J100000,SUMMARY!A25&amp;"*")</f>
        <v>0</v>
      </c>
      <c r="Q25" s="10">
        <f>SUMIFS('PLAN BUDGET SAMI-TF'!BC13:BC100000,'PLAN BUDGET SAMI-TF'!D13:D100000,SUMMARY!D25,'PLAN BUDGET SAMI-TF'!J13:J100000,SUMMARY!A25&amp;"*")</f>
        <v>9.9375894066563006</v>
      </c>
      <c r="R25" s="10">
        <f>SUMIFS('PLAN BUDGET SAMI-TF'!BD13:BD100000,'PLAN BUDGET SAMI-TF'!D13:D100000,SUMMARY!D25,'PLAN BUDGET SAMI-TF'!J13:J100000,SUMMARY!A25&amp;"*")</f>
        <v>0</v>
      </c>
      <c r="S25" s="10">
        <f>SUMIFS('PLAN BUDGET SAMI-TF'!BE13:BE100000,'PLAN BUDGET SAMI-TF'!D13:D100000,SUMMARY!D25,'PLAN BUDGET SAMI-TF'!J13:J100000,SUMMARY!A25&amp;"*")</f>
        <v>0</v>
      </c>
      <c r="T25" s="10">
        <f>SUMIFS('PLAN BUDGET SAMI-TF'!BF13:BF100000,'PLAN BUDGET SAMI-TF'!D13:D100000,SUMMARY!D25,'PLAN BUDGET SAMI-TF'!J13:J100000,SUMMARY!A25&amp;"*")</f>
        <v>9.9375894066563006</v>
      </c>
      <c r="U25" s="10">
        <f>SUMIFS('PLAN BUDGET SAMI-TF'!BG13:BG100000,'PLAN BUDGET SAMI-TF'!D13:D100000,SUMMARY!D25,'PLAN BUDGET SAMI-TF'!J13:J100000,SUMMARY!A25&amp;"*")</f>
        <v>0</v>
      </c>
      <c r="V25" s="10">
        <f>SUMIFS('PLAN BUDGET SAMI-TF'!BH13:BH100000,'PLAN BUDGET SAMI-TF'!D13:D100000,SUMMARY!D25,'PLAN BUDGET SAMI-TF'!J13:J100000,SUMMARY!A25&amp;"*")</f>
        <v>0</v>
      </c>
      <c r="W25" s="10">
        <f>SUMIFS('PLAN BUDGET SAMI-TF'!BI13:BI100000,'PLAN BUDGET SAMI-TF'!D13:D100000,SUMMARY!D25,'PLAN BUDGET SAMI-TF'!J13:J100000,SUMMARY!A25&amp;"*")</f>
        <v>0</v>
      </c>
      <c r="X25" s="10">
        <f>SUMIFS('PLAN BUDGET SAMI-TF'!BJ13:BJ100000,'PLAN BUDGET SAMI-TF'!D13:D100000,SUMMARY!D25,'PLAN BUDGET SAMI-TF'!J13:J100000,SUMMARY!A25&amp;"*")</f>
        <v>0</v>
      </c>
      <c r="Y25" s="10">
        <f>SUMIFS('PLAN BUDGET SAMI-TF'!BK13:BK100000,'PLAN BUDGET SAMI-TF'!D13:D100000,SUMMARY!D25,'PLAN BUDGET SAMI-TF'!J13:J100000,SUMMARY!A25&amp;"*")</f>
        <v>0</v>
      </c>
      <c r="Z25" s="10">
        <f>SUMIFS('PLAN BUDGET SAMI-TF'!BL13:BL100000,'PLAN BUDGET SAMI-TF'!D13:D100000,SUMMARY!D25,'PLAN BUDGET SAMI-TF'!J13:J100000,SUMMARY!A25&amp;"*")</f>
        <v>0</v>
      </c>
      <c r="AA25" s="10">
        <f>SUMIFS('PLAN BUDGET SAMI-TF'!BM13:BM100000,'PLAN BUDGET SAMI-TF'!D13:D100000,SUMMARY!D25,'PLAN BUDGET SAMI-TF'!J13:J100000,SUMMARY!A25&amp;"*")</f>
        <v>0</v>
      </c>
      <c r="AB25" s="10">
        <f>SUMIFS('PLAN BUDGET SAMI-TF'!BN13:BN100000,'PLAN BUDGET SAMI-TF'!D13:D100000,SUMMARY!D25,'PLAN BUDGET SAMI-TF'!J13:J100000,SUMMARY!A25&amp;"*")</f>
        <v>0</v>
      </c>
      <c r="AC25" s="10">
        <f t="shared" si="0"/>
        <v>4</v>
      </c>
      <c r="AD25" s="10">
        <f t="shared" si="1"/>
        <v>19.875178813312601</v>
      </c>
      <c r="AE25" s="16"/>
      <c r="AF25" s="10">
        <v>2</v>
      </c>
      <c r="AG25" s="10">
        <v>9.6211056675908004</v>
      </c>
      <c r="AH25" s="20">
        <f t="shared" si="2"/>
        <v>1</v>
      </c>
      <c r="AI25" s="20">
        <f t="shared" si="3"/>
        <v>1.0657894736842133</v>
      </c>
      <c r="AJ25" s="67" t="s">
        <v>357</v>
      </c>
    </row>
    <row r="26" spans="1:36" x14ac:dyDescent="0.35">
      <c r="A26" s="7" t="s">
        <v>48</v>
      </c>
      <c r="B26" s="7"/>
      <c r="C26" s="7"/>
      <c r="D26" s="7" t="s">
        <v>101</v>
      </c>
      <c r="E26" s="10">
        <f>SUMIFS('PLAN BUDGET SAMI-TF'!AN13:AN100000,'PLAN BUDGET SAMI-TF'!D13:D100000,SUMMARY!D26,'PLAN BUDGET SAMI-TF'!J13:J100000,SUMMARY!A26&amp;"*")</f>
        <v>130</v>
      </c>
      <c r="F26" s="10">
        <f>SUMIFS('PLAN BUDGET SAMI-TF'!AO13:AO100000,'PLAN BUDGET SAMI-TF'!D13:D100000,SUMMARY!D26,'PLAN BUDGET SAMI-TF'!J13:J100000,SUMMARY!A26&amp;"*")</f>
        <v>0</v>
      </c>
      <c r="G26" s="10">
        <f>SUMIFS('PLAN BUDGET SAMI-TF'!AP13:AP100000,'PLAN BUDGET SAMI-TF'!D13:D100000,SUMMARY!D26,'PLAN BUDGET SAMI-TF'!J13:J100000,SUMMARY!A26&amp;"*")</f>
        <v>0</v>
      </c>
      <c r="H26" s="10">
        <f>SUMIFS('PLAN BUDGET SAMI-TF'!AQ13:AQ100000,'PLAN BUDGET SAMI-TF'!D13:D100000,SUMMARY!D26,'PLAN BUDGET SAMI-TF'!J13:J100000,SUMMARY!A26&amp;"*")</f>
        <v>0</v>
      </c>
      <c r="I26" s="10">
        <f>SUMIFS('PLAN BUDGET SAMI-TF'!AR13:AR100000,'PLAN BUDGET SAMI-TF'!D13:D100000,SUMMARY!D26,'PLAN BUDGET SAMI-TF'!J13:J100000,SUMMARY!A26&amp;"*")</f>
        <v>0</v>
      </c>
      <c r="J26" s="10">
        <f>SUMIFS('PLAN BUDGET SAMI-TF'!AS13:AS100000,'PLAN BUDGET SAMI-TF'!D13:D100000,SUMMARY!D26,'PLAN BUDGET SAMI-TF'!J13:J100000,SUMMARY!A26&amp;"*")</f>
        <v>0</v>
      </c>
      <c r="K26" s="10">
        <f>SUMIFS('PLAN BUDGET SAMI-TF'!AT13:AT100000,'PLAN BUDGET SAMI-TF'!D13:D100000,SUMMARY!D26,'PLAN BUDGET SAMI-TF'!J13:J100000,SUMMARY!A26&amp;"*")</f>
        <v>100</v>
      </c>
      <c r="L26" s="10">
        <f>SUMIFS('PLAN BUDGET SAMI-TF'!AU13:AU100000,'PLAN BUDGET SAMI-TF'!D13:D100000,SUMMARY!D26,'PLAN BUDGET SAMI-TF'!J13:J100000,SUMMARY!A26&amp;"*")</f>
        <v>0</v>
      </c>
      <c r="M26" s="10">
        <f>SUMIFS('PLAN BUDGET SAMI-TF'!AV13:AV100000,'PLAN BUDGET SAMI-TF'!D13:D100000,SUMMARY!D26,'PLAN BUDGET SAMI-TF'!J13:J100000,SUMMARY!A26&amp;"*")</f>
        <v>0</v>
      </c>
      <c r="N26" s="10">
        <f>SUMIFS('PLAN BUDGET SAMI-TF'!AW13:AW100000,'PLAN BUDGET SAMI-TF'!D13:D100000,SUMMARY!D26,'PLAN BUDGET SAMI-TF'!J13:J100000,SUMMARY!A26&amp;"*")</f>
        <v>0</v>
      </c>
      <c r="O26" s="10">
        <f>SUMIFS('PLAN BUDGET SAMI-TF'!AX13:AX100000,'PLAN BUDGET SAMI-TF'!D13:D100000,SUMMARY!D26,'PLAN BUDGET SAMI-TF'!J13:J100000,SUMMARY!A26&amp;"*")</f>
        <v>0</v>
      </c>
      <c r="P26" s="10">
        <f>SUMIFS('PLAN BUDGET SAMI-TF'!AY13:AY100000,'PLAN BUDGET SAMI-TF'!D13:D100000,SUMMARY!D26,'PLAN BUDGET SAMI-TF'!J13:J100000,SUMMARY!A26&amp;"*")</f>
        <v>0</v>
      </c>
      <c r="Q26" s="10">
        <f>SUMIFS('PLAN BUDGET SAMI-TF'!BC13:BC100000,'PLAN BUDGET SAMI-TF'!D13:D100000,SUMMARY!D26,'PLAN BUDGET SAMI-TF'!J13:J100000,SUMMARY!A26&amp;"*")</f>
        <v>88.959148278960996</v>
      </c>
      <c r="R26" s="10">
        <f>SUMIFS('PLAN BUDGET SAMI-TF'!BD13:BD100000,'PLAN BUDGET SAMI-TF'!D13:D100000,SUMMARY!D26,'PLAN BUDGET SAMI-TF'!J13:J100000,SUMMARY!A26&amp;"*")</f>
        <v>0</v>
      </c>
      <c r="S26" s="10">
        <f>SUMIFS('PLAN BUDGET SAMI-TF'!BE13:BE100000,'PLAN BUDGET SAMI-TF'!D13:D100000,SUMMARY!D26,'PLAN BUDGET SAMI-TF'!J13:J100000,SUMMARY!A26&amp;"*")</f>
        <v>0</v>
      </c>
      <c r="T26" s="10">
        <f>SUMIFS('PLAN BUDGET SAMI-TF'!BF13:BF100000,'PLAN BUDGET SAMI-TF'!D13:D100000,SUMMARY!D26,'PLAN BUDGET SAMI-TF'!J13:J100000,SUMMARY!A26&amp;"*")</f>
        <v>0</v>
      </c>
      <c r="U26" s="10">
        <f>SUMIFS('PLAN BUDGET SAMI-TF'!BG13:BG100000,'PLAN BUDGET SAMI-TF'!D13:D100000,SUMMARY!D26,'PLAN BUDGET SAMI-TF'!J13:J100000,SUMMARY!A26&amp;"*")</f>
        <v>0</v>
      </c>
      <c r="V26" s="10">
        <f>SUMIFS('PLAN BUDGET SAMI-TF'!BH13:BH100000,'PLAN BUDGET SAMI-TF'!D13:D100000,SUMMARY!D26,'PLAN BUDGET SAMI-TF'!J13:J100000,SUMMARY!A26&amp;"*")</f>
        <v>0</v>
      </c>
      <c r="W26" s="10">
        <f>SUMIFS('PLAN BUDGET SAMI-TF'!BI13:BI100000,'PLAN BUDGET SAMI-TF'!D13:D100000,SUMMARY!D26,'PLAN BUDGET SAMI-TF'!J13:J100000,SUMMARY!A26&amp;"*")</f>
        <v>68.430114060739996</v>
      </c>
      <c r="X26" s="10">
        <f>SUMIFS('PLAN BUDGET SAMI-TF'!BJ13:BJ100000,'PLAN BUDGET SAMI-TF'!D13:D100000,SUMMARY!D26,'PLAN BUDGET SAMI-TF'!J13:J100000,SUMMARY!A26&amp;"*")</f>
        <v>0</v>
      </c>
      <c r="Y26" s="10">
        <f>SUMIFS('PLAN BUDGET SAMI-TF'!BK13:BK100000,'PLAN BUDGET SAMI-TF'!D13:D100000,SUMMARY!D26,'PLAN BUDGET SAMI-TF'!J13:J100000,SUMMARY!A26&amp;"*")</f>
        <v>0</v>
      </c>
      <c r="Z26" s="10">
        <f>SUMIFS('PLAN BUDGET SAMI-TF'!BL13:BL100000,'PLAN BUDGET SAMI-TF'!D13:D100000,SUMMARY!D26,'PLAN BUDGET SAMI-TF'!J13:J100000,SUMMARY!A26&amp;"*")</f>
        <v>0</v>
      </c>
      <c r="AA26" s="10">
        <f>SUMIFS('PLAN BUDGET SAMI-TF'!BM13:BM100000,'PLAN BUDGET SAMI-TF'!D13:D100000,SUMMARY!D26,'PLAN BUDGET SAMI-TF'!J13:J100000,SUMMARY!A26&amp;"*")</f>
        <v>0</v>
      </c>
      <c r="AB26" s="10">
        <f>SUMIFS('PLAN BUDGET SAMI-TF'!BN13:BN100000,'PLAN BUDGET SAMI-TF'!D13:D100000,SUMMARY!D26,'PLAN BUDGET SAMI-TF'!J13:J100000,SUMMARY!A26&amp;"*")</f>
        <v>0</v>
      </c>
      <c r="AC26" s="10">
        <f t="shared" si="0"/>
        <v>230</v>
      </c>
      <c r="AD26" s="10">
        <f t="shared" si="1"/>
        <v>157.38926233970099</v>
      </c>
      <c r="AE26" s="16"/>
      <c r="AF26" s="10">
        <v>175</v>
      </c>
      <c r="AG26" s="10">
        <v>113.44992594281</v>
      </c>
      <c r="AH26" s="20">
        <f t="shared" si="2"/>
        <v>0.31428571428571428</v>
      </c>
      <c r="AI26" s="20">
        <f t="shared" si="3"/>
        <v>0.38730158730152697</v>
      </c>
      <c r="AJ26" s="67"/>
    </row>
    <row r="27" spans="1:36" x14ac:dyDescent="0.35">
      <c r="A27" s="7" t="s">
        <v>48</v>
      </c>
      <c r="B27" s="7"/>
      <c r="C27" s="7"/>
      <c r="D27" s="7" t="s">
        <v>120</v>
      </c>
      <c r="E27" s="10">
        <f>SUMIFS('PLAN BUDGET SAMI-TF'!AN13:AN100000,'PLAN BUDGET SAMI-TF'!D13:D100000,SUMMARY!D27,'PLAN BUDGET SAMI-TF'!J13:J100000,SUMMARY!A27&amp;"*")</f>
        <v>0</v>
      </c>
      <c r="F27" s="10">
        <f>SUMIFS('PLAN BUDGET SAMI-TF'!AO13:AO100000,'PLAN BUDGET SAMI-TF'!D13:D100000,SUMMARY!D27,'PLAN BUDGET SAMI-TF'!J13:J100000,SUMMARY!A27&amp;"*")</f>
        <v>0</v>
      </c>
      <c r="G27" s="10">
        <f>SUMIFS('PLAN BUDGET SAMI-TF'!AP13:AP100000,'PLAN BUDGET SAMI-TF'!D13:D100000,SUMMARY!D27,'PLAN BUDGET SAMI-TF'!J13:J100000,SUMMARY!A27&amp;"*")</f>
        <v>0</v>
      </c>
      <c r="H27" s="10">
        <f>SUMIFS('PLAN BUDGET SAMI-TF'!AQ13:AQ100000,'PLAN BUDGET SAMI-TF'!D13:D100000,SUMMARY!D27,'PLAN BUDGET SAMI-TF'!J13:J100000,SUMMARY!A27&amp;"*")</f>
        <v>0</v>
      </c>
      <c r="I27" s="10">
        <f>SUMIFS('PLAN BUDGET SAMI-TF'!AR13:AR100000,'PLAN BUDGET SAMI-TF'!D13:D100000,SUMMARY!D27,'PLAN BUDGET SAMI-TF'!J13:J100000,SUMMARY!A27&amp;"*")</f>
        <v>1</v>
      </c>
      <c r="J27" s="10">
        <f>SUMIFS('PLAN BUDGET SAMI-TF'!AS13:AS100000,'PLAN BUDGET SAMI-TF'!D13:D100000,SUMMARY!D27,'PLAN BUDGET SAMI-TF'!J13:J100000,SUMMARY!A27&amp;"*")</f>
        <v>0</v>
      </c>
      <c r="K27" s="10">
        <f>SUMIFS('PLAN BUDGET SAMI-TF'!AT13:AT100000,'PLAN BUDGET SAMI-TF'!D13:D100000,SUMMARY!D27,'PLAN BUDGET SAMI-TF'!J13:J100000,SUMMARY!A27&amp;"*")</f>
        <v>0</v>
      </c>
      <c r="L27" s="10">
        <f>SUMIFS('PLAN BUDGET SAMI-TF'!AU13:AU100000,'PLAN BUDGET SAMI-TF'!D13:D100000,SUMMARY!D27,'PLAN BUDGET SAMI-TF'!J13:J100000,SUMMARY!A27&amp;"*")</f>
        <v>0</v>
      </c>
      <c r="M27" s="10">
        <f>SUMIFS('PLAN BUDGET SAMI-TF'!AV13:AV100000,'PLAN BUDGET SAMI-TF'!D13:D100000,SUMMARY!D27,'PLAN BUDGET SAMI-TF'!J13:J100000,SUMMARY!A27&amp;"*")</f>
        <v>0</v>
      </c>
      <c r="N27" s="10">
        <f>SUMIFS('PLAN BUDGET SAMI-TF'!AW13:AW100000,'PLAN BUDGET SAMI-TF'!D13:D100000,SUMMARY!D27,'PLAN BUDGET SAMI-TF'!J13:J100000,SUMMARY!A27&amp;"*")</f>
        <v>0</v>
      </c>
      <c r="O27" s="10">
        <f>SUMIFS('PLAN BUDGET SAMI-TF'!AX13:AX100000,'PLAN BUDGET SAMI-TF'!D13:D100000,SUMMARY!D27,'PLAN BUDGET SAMI-TF'!J13:J100000,SUMMARY!A27&amp;"*")</f>
        <v>0</v>
      </c>
      <c r="P27" s="10">
        <f>SUMIFS('PLAN BUDGET SAMI-TF'!AY13:AY100000,'PLAN BUDGET SAMI-TF'!D13:D100000,SUMMARY!D27,'PLAN BUDGET SAMI-TF'!J13:J100000,SUMMARY!A27&amp;"*")</f>
        <v>1</v>
      </c>
      <c r="Q27" s="10">
        <f>SUMIFS('PLAN BUDGET SAMI-TF'!BC13:BC100000,'PLAN BUDGET SAMI-TF'!D13:D100000,SUMMARY!D27,'PLAN BUDGET SAMI-TF'!J13:J100000,SUMMARY!A27&amp;"*")</f>
        <v>0</v>
      </c>
      <c r="R27" s="10">
        <f>SUMIFS('PLAN BUDGET SAMI-TF'!BD13:BD100000,'PLAN BUDGET SAMI-TF'!D13:D100000,SUMMARY!D27,'PLAN BUDGET SAMI-TF'!J13:J100000,SUMMARY!A27&amp;"*")</f>
        <v>0</v>
      </c>
      <c r="S27" s="10">
        <f>SUMIFS('PLAN BUDGET SAMI-TF'!BE13:BE100000,'PLAN BUDGET SAMI-TF'!D13:D100000,SUMMARY!D27,'PLAN BUDGET SAMI-TF'!J13:J100000,SUMMARY!A27&amp;"*")</f>
        <v>0</v>
      </c>
      <c r="T27" s="10">
        <f>SUMIFS('PLAN BUDGET SAMI-TF'!BF13:BF100000,'PLAN BUDGET SAMI-TF'!D13:D100000,SUMMARY!D27,'PLAN BUDGET SAMI-TF'!J13:J100000,SUMMARY!A27&amp;"*")</f>
        <v>0</v>
      </c>
      <c r="U27" s="10">
        <f>SUMIFS('PLAN BUDGET SAMI-TF'!BG13:BG100000,'PLAN BUDGET SAMI-TF'!D13:D100000,SUMMARY!D27,'PLAN BUDGET SAMI-TF'!J13:J100000,SUMMARY!A27&amp;"*")</f>
        <v>772.56908840024005</v>
      </c>
      <c r="V27" s="10">
        <f>SUMIFS('PLAN BUDGET SAMI-TF'!BH13:BH100000,'PLAN BUDGET SAMI-TF'!D13:D100000,SUMMARY!D27,'PLAN BUDGET SAMI-TF'!J13:J100000,SUMMARY!A27&amp;"*")</f>
        <v>0</v>
      </c>
      <c r="W27" s="10">
        <f>SUMIFS('PLAN BUDGET SAMI-TF'!BI13:BI100000,'PLAN BUDGET SAMI-TF'!D13:D100000,SUMMARY!D27,'PLAN BUDGET SAMI-TF'!J13:J100000,SUMMARY!A27&amp;"*")</f>
        <v>0</v>
      </c>
      <c r="X27" s="10">
        <f>SUMIFS('PLAN BUDGET SAMI-TF'!BJ13:BJ100000,'PLAN BUDGET SAMI-TF'!D13:D100000,SUMMARY!D27,'PLAN BUDGET SAMI-TF'!J13:J100000,SUMMARY!A27&amp;"*")</f>
        <v>0</v>
      </c>
      <c r="Y27" s="10">
        <f>SUMIFS('PLAN BUDGET SAMI-TF'!BK13:BK100000,'PLAN BUDGET SAMI-TF'!D13:D100000,SUMMARY!D27,'PLAN BUDGET SAMI-TF'!J13:J100000,SUMMARY!A27&amp;"*")</f>
        <v>0</v>
      </c>
      <c r="Z27" s="10">
        <f>SUMIFS('PLAN BUDGET SAMI-TF'!BL13:BL100000,'PLAN BUDGET SAMI-TF'!D13:D100000,SUMMARY!D27,'PLAN BUDGET SAMI-TF'!J13:J100000,SUMMARY!A27&amp;"*")</f>
        <v>0</v>
      </c>
      <c r="AA27" s="10">
        <f>SUMIFS('PLAN BUDGET SAMI-TF'!BM13:BM100000,'PLAN BUDGET SAMI-TF'!D13:D100000,SUMMARY!D27,'PLAN BUDGET SAMI-TF'!J13:J100000,SUMMARY!A27&amp;"*")</f>
        <v>0</v>
      </c>
      <c r="AB27" s="10">
        <f>SUMIFS('PLAN BUDGET SAMI-TF'!BN13:BN100000,'PLAN BUDGET SAMI-TF'!D13:D100000,SUMMARY!D27,'PLAN BUDGET SAMI-TF'!J13:J100000,SUMMARY!A27&amp;"*")</f>
        <v>1493.2389578822999</v>
      </c>
      <c r="AC27" s="10">
        <f t="shared" si="0"/>
        <v>2</v>
      </c>
      <c r="AD27" s="10">
        <f t="shared" si="1"/>
        <v>2265.8080462825401</v>
      </c>
      <c r="AE27" s="16"/>
      <c r="AF27" s="10">
        <v>2</v>
      </c>
      <c r="AG27" s="10">
        <v>2265.8080462826001</v>
      </c>
      <c r="AH27" s="20">
        <f t="shared" si="2"/>
        <v>0</v>
      </c>
      <c r="AI27" s="20">
        <f t="shared" si="3"/>
        <v>-2.6492381124471705E-14</v>
      </c>
      <c r="AJ27" s="67"/>
    </row>
    <row r="28" spans="1:36" x14ac:dyDescent="0.35">
      <c r="A28" s="7" t="s">
        <v>48</v>
      </c>
      <c r="B28" s="7"/>
      <c r="C28" s="7"/>
      <c r="D28" s="7" t="s">
        <v>74</v>
      </c>
      <c r="E28" s="10">
        <f>SUMIFS('PLAN BUDGET SAMI-TF'!AN13:AN100000,'PLAN BUDGET SAMI-TF'!D13:D100000,SUMMARY!D28,'PLAN BUDGET SAMI-TF'!J13:J100000,SUMMARY!A28&amp;"*")</f>
        <v>2</v>
      </c>
      <c r="F28" s="10">
        <f>SUMIFS('PLAN BUDGET SAMI-TF'!AO13:AO100000,'PLAN BUDGET SAMI-TF'!D13:D100000,SUMMARY!D28,'PLAN BUDGET SAMI-TF'!J13:J100000,SUMMARY!A28&amp;"*")</f>
        <v>0</v>
      </c>
      <c r="G28" s="10">
        <f>SUMIFS('PLAN BUDGET SAMI-TF'!AP13:AP100000,'PLAN BUDGET SAMI-TF'!D13:D100000,SUMMARY!D28,'PLAN BUDGET SAMI-TF'!J13:J100000,SUMMARY!A28&amp;"*")</f>
        <v>0</v>
      </c>
      <c r="H28" s="10">
        <f>SUMIFS('PLAN BUDGET SAMI-TF'!AQ13:AQ100000,'PLAN BUDGET SAMI-TF'!D13:D100000,SUMMARY!D28,'PLAN BUDGET SAMI-TF'!J13:J100000,SUMMARY!A28&amp;"*")</f>
        <v>0</v>
      </c>
      <c r="I28" s="10">
        <f>SUMIFS('PLAN BUDGET SAMI-TF'!AR13:AR100000,'PLAN BUDGET SAMI-TF'!D13:D100000,SUMMARY!D28,'PLAN BUDGET SAMI-TF'!J13:J100000,SUMMARY!A28&amp;"*")</f>
        <v>0</v>
      </c>
      <c r="J28" s="10">
        <f>SUMIFS('PLAN BUDGET SAMI-TF'!AS13:AS100000,'PLAN BUDGET SAMI-TF'!D13:D100000,SUMMARY!D28,'PLAN BUDGET SAMI-TF'!J13:J100000,SUMMARY!A28&amp;"*")</f>
        <v>0</v>
      </c>
      <c r="K28" s="10">
        <f>SUMIFS('PLAN BUDGET SAMI-TF'!AT13:AT100000,'PLAN BUDGET SAMI-TF'!D13:D100000,SUMMARY!D28,'PLAN BUDGET SAMI-TF'!J13:J100000,SUMMARY!A28&amp;"*")</f>
        <v>0</v>
      </c>
      <c r="L28" s="10">
        <f>SUMIFS('PLAN BUDGET SAMI-TF'!AU13:AU100000,'PLAN BUDGET SAMI-TF'!D13:D100000,SUMMARY!D28,'PLAN BUDGET SAMI-TF'!J13:J100000,SUMMARY!A28&amp;"*")</f>
        <v>0</v>
      </c>
      <c r="M28" s="10">
        <f>SUMIFS('PLAN BUDGET SAMI-TF'!AV13:AV100000,'PLAN BUDGET SAMI-TF'!D13:D100000,SUMMARY!D28,'PLAN BUDGET SAMI-TF'!J13:J100000,SUMMARY!A28&amp;"*")</f>
        <v>0</v>
      </c>
      <c r="N28" s="10">
        <f>SUMIFS('PLAN BUDGET SAMI-TF'!AW13:AW100000,'PLAN BUDGET SAMI-TF'!D13:D100000,SUMMARY!D28,'PLAN BUDGET SAMI-TF'!J13:J100000,SUMMARY!A28&amp;"*")</f>
        <v>0</v>
      </c>
      <c r="O28" s="10">
        <f>SUMIFS('PLAN BUDGET SAMI-TF'!AX13:AX100000,'PLAN BUDGET SAMI-TF'!D13:D100000,SUMMARY!D28,'PLAN BUDGET SAMI-TF'!J13:J100000,SUMMARY!A28&amp;"*")</f>
        <v>0</v>
      </c>
      <c r="P28" s="10">
        <f>SUMIFS('PLAN BUDGET SAMI-TF'!AY13:AY100000,'PLAN BUDGET SAMI-TF'!D13:D100000,SUMMARY!D28,'PLAN BUDGET SAMI-TF'!J13:J100000,SUMMARY!A28&amp;"*")</f>
        <v>0</v>
      </c>
      <c r="Q28" s="10">
        <f>SUMIFS('PLAN BUDGET SAMI-TF'!BC13:BC100000,'PLAN BUDGET SAMI-TF'!D13:D100000,SUMMARY!D28,'PLAN BUDGET SAMI-TF'!J13:J100000,SUMMARY!A28&amp;"*")</f>
        <v>0.31357208866608</v>
      </c>
      <c r="R28" s="10">
        <f>SUMIFS('PLAN BUDGET SAMI-TF'!BD13:BD100000,'PLAN BUDGET SAMI-TF'!D13:D100000,SUMMARY!D28,'PLAN BUDGET SAMI-TF'!J13:J100000,SUMMARY!A28&amp;"*")</f>
        <v>0</v>
      </c>
      <c r="S28" s="10">
        <f>SUMIFS('PLAN BUDGET SAMI-TF'!BE13:BE100000,'PLAN BUDGET SAMI-TF'!D13:D100000,SUMMARY!D28,'PLAN BUDGET SAMI-TF'!J13:J100000,SUMMARY!A28&amp;"*")</f>
        <v>0</v>
      </c>
      <c r="T28" s="10">
        <f>SUMIFS('PLAN BUDGET SAMI-TF'!BF13:BF100000,'PLAN BUDGET SAMI-TF'!D13:D100000,SUMMARY!D28,'PLAN BUDGET SAMI-TF'!J13:J100000,SUMMARY!A28&amp;"*")</f>
        <v>0</v>
      </c>
      <c r="U28" s="10">
        <f>SUMIFS('PLAN BUDGET SAMI-TF'!BG13:BG100000,'PLAN BUDGET SAMI-TF'!D13:D100000,SUMMARY!D28,'PLAN BUDGET SAMI-TF'!J13:J100000,SUMMARY!A28&amp;"*")</f>
        <v>0</v>
      </c>
      <c r="V28" s="10">
        <f>SUMIFS('PLAN BUDGET SAMI-TF'!BH13:BH100000,'PLAN BUDGET SAMI-TF'!D13:D100000,SUMMARY!D28,'PLAN BUDGET SAMI-TF'!J13:J100000,SUMMARY!A28&amp;"*")</f>
        <v>0</v>
      </c>
      <c r="W28" s="10">
        <f>SUMIFS('PLAN BUDGET SAMI-TF'!BI13:BI100000,'PLAN BUDGET SAMI-TF'!D13:D100000,SUMMARY!D28,'PLAN BUDGET SAMI-TF'!J13:J100000,SUMMARY!A28&amp;"*")</f>
        <v>0</v>
      </c>
      <c r="X28" s="10">
        <f>SUMIFS('PLAN BUDGET SAMI-TF'!BJ13:BJ100000,'PLAN BUDGET SAMI-TF'!D13:D100000,SUMMARY!D28,'PLAN BUDGET SAMI-TF'!J13:J100000,SUMMARY!A28&amp;"*")</f>
        <v>0</v>
      </c>
      <c r="Y28" s="10">
        <f>SUMIFS('PLAN BUDGET SAMI-TF'!BK13:BK100000,'PLAN BUDGET SAMI-TF'!D13:D100000,SUMMARY!D28,'PLAN BUDGET SAMI-TF'!J13:J100000,SUMMARY!A28&amp;"*")</f>
        <v>0</v>
      </c>
      <c r="Z28" s="10">
        <f>SUMIFS('PLAN BUDGET SAMI-TF'!BL13:BL100000,'PLAN BUDGET SAMI-TF'!D13:D100000,SUMMARY!D28,'PLAN BUDGET SAMI-TF'!J13:J100000,SUMMARY!A28&amp;"*")</f>
        <v>0</v>
      </c>
      <c r="AA28" s="10">
        <f>SUMIFS('PLAN BUDGET SAMI-TF'!BM13:BM100000,'PLAN BUDGET SAMI-TF'!D13:D100000,SUMMARY!D28,'PLAN BUDGET SAMI-TF'!J13:J100000,SUMMARY!A28&amp;"*")</f>
        <v>0</v>
      </c>
      <c r="AB28" s="10">
        <f>SUMIFS('PLAN BUDGET SAMI-TF'!BN13:BN100000,'PLAN BUDGET SAMI-TF'!D13:D100000,SUMMARY!D28,'PLAN BUDGET SAMI-TF'!J13:J100000,SUMMARY!A28&amp;"*")</f>
        <v>0</v>
      </c>
      <c r="AC28" s="10">
        <f t="shared" si="0"/>
        <v>2</v>
      </c>
      <c r="AD28" s="10">
        <f t="shared" si="1"/>
        <v>0.31357208866608</v>
      </c>
      <c r="AE28" s="16"/>
      <c r="AF28" s="10">
        <v>2</v>
      </c>
      <c r="AG28" s="10">
        <v>0.23407137341282999</v>
      </c>
      <c r="AH28" s="20">
        <f t="shared" si="2"/>
        <v>0</v>
      </c>
      <c r="AI28" s="20">
        <f t="shared" si="3"/>
        <v>0.33964305029746278</v>
      </c>
      <c r="AJ28" s="67" t="s">
        <v>359</v>
      </c>
    </row>
    <row r="29" spans="1:36" x14ac:dyDescent="0.35">
      <c r="A29" s="7" t="s">
        <v>48</v>
      </c>
      <c r="B29" s="7"/>
      <c r="C29" s="7"/>
      <c r="D29" s="7" t="s">
        <v>77</v>
      </c>
      <c r="E29" s="10">
        <f>SUMIFS('PLAN BUDGET SAMI-TF'!AN13:AN100000,'PLAN BUDGET SAMI-TF'!D13:D100000,SUMMARY!D29,'PLAN BUDGET SAMI-TF'!J13:J100000,SUMMARY!A29&amp;"*")</f>
        <v>4</v>
      </c>
      <c r="F29" s="10">
        <f>SUMIFS('PLAN BUDGET SAMI-TF'!AO13:AO100000,'PLAN BUDGET SAMI-TF'!D13:D100000,SUMMARY!D29,'PLAN BUDGET SAMI-TF'!J13:J100000,SUMMARY!A29&amp;"*")</f>
        <v>0</v>
      </c>
      <c r="G29" s="10">
        <f>SUMIFS('PLAN BUDGET SAMI-TF'!AP13:AP100000,'PLAN BUDGET SAMI-TF'!D13:D100000,SUMMARY!D29,'PLAN BUDGET SAMI-TF'!J13:J100000,SUMMARY!A29&amp;"*")</f>
        <v>0</v>
      </c>
      <c r="H29" s="10">
        <f>SUMIFS('PLAN BUDGET SAMI-TF'!AQ13:AQ100000,'PLAN BUDGET SAMI-TF'!D13:D100000,SUMMARY!D29,'PLAN BUDGET SAMI-TF'!J13:J100000,SUMMARY!A29&amp;"*")</f>
        <v>0</v>
      </c>
      <c r="I29" s="10">
        <f>SUMIFS('PLAN BUDGET SAMI-TF'!AR13:AR100000,'PLAN BUDGET SAMI-TF'!D13:D100000,SUMMARY!D29,'PLAN BUDGET SAMI-TF'!J13:J100000,SUMMARY!A29&amp;"*")</f>
        <v>0</v>
      </c>
      <c r="J29" s="10">
        <f>SUMIFS('PLAN BUDGET SAMI-TF'!AS13:AS100000,'PLAN BUDGET SAMI-TF'!D13:D100000,SUMMARY!D29,'PLAN BUDGET SAMI-TF'!J13:J100000,SUMMARY!A29&amp;"*")</f>
        <v>0</v>
      </c>
      <c r="K29" s="10">
        <f>SUMIFS('PLAN BUDGET SAMI-TF'!AT13:AT100000,'PLAN BUDGET SAMI-TF'!D13:D100000,SUMMARY!D29,'PLAN BUDGET SAMI-TF'!J13:J100000,SUMMARY!A29&amp;"*")</f>
        <v>0</v>
      </c>
      <c r="L29" s="10">
        <f>SUMIFS('PLAN BUDGET SAMI-TF'!AU13:AU100000,'PLAN BUDGET SAMI-TF'!D13:D100000,SUMMARY!D29,'PLAN BUDGET SAMI-TF'!J13:J100000,SUMMARY!A29&amp;"*")</f>
        <v>0</v>
      </c>
      <c r="M29" s="10">
        <f>SUMIFS('PLAN BUDGET SAMI-TF'!AV13:AV100000,'PLAN BUDGET SAMI-TF'!D13:D100000,SUMMARY!D29,'PLAN BUDGET SAMI-TF'!J13:J100000,SUMMARY!A29&amp;"*")</f>
        <v>0</v>
      </c>
      <c r="N29" s="10">
        <f>SUMIFS('PLAN BUDGET SAMI-TF'!AW13:AW100000,'PLAN BUDGET SAMI-TF'!D13:D100000,SUMMARY!D29,'PLAN BUDGET SAMI-TF'!J13:J100000,SUMMARY!A29&amp;"*")</f>
        <v>0</v>
      </c>
      <c r="O29" s="10">
        <f>SUMIFS('PLAN BUDGET SAMI-TF'!AX13:AX100000,'PLAN BUDGET SAMI-TF'!D13:D100000,SUMMARY!D29,'PLAN BUDGET SAMI-TF'!J13:J100000,SUMMARY!A29&amp;"*")</f>
        <v>0</v>
      </c>
      <c r="P29" s="10">
        <f>SUMIFS('PLAN BUDGET SAMI-TF'!AY13:AY100000,'PLAN BUDGET SAMI-TF'!D13:D100000,SUMMARY!D29,'PLAN BUDGET SAMI-TF'!J13:J100000,SUMMARY!A29&amp;"*")</f>
        <v>0</v>
      </c>
      <c r="Q29" s="10">
        <f>SUMIFS('PLAN BUDGET SAMI-TF'!BC13:BC100000,'PLAN BUDGET SAMI-TF'!D13:D100000,SUMMARY!D29,'PLAN BUDGET SAMI-TF'!J13:J100000,SUMMARY!A29&amp;"*")</f>
        <v>0.66157760814249</v>
      </c>
      <c r="R29" s="10">
        <f>SUMIFS('PLAN BUDGET SAMI-TF'!BD13:BD100000,'PLAN BUDGET SAMI-TF'!D13:D100000,SUMMARY!D29,'PLAN BUDGET SAMI-TF'!J13:J100000,SUMMARY!A29&amp;"*")</f>
        <v>0</v>
      </c>
      <c r="S29" s="10">
        <f>SUMIFS('PLAN BUDGET SAMI-TF'!BE13:BE100000,'PLAN BUDGET SAMI-TF'!D13:D100000,SUMMARY!D29,'PLAN BUDGET SAMI-TF'!J13:J100000,SUMMARY!A29&amp;"*")</f>
        <v>0</v>
      </c>
      <c r="T29" s="10">
        <f>SUMIFS('PLAN BUDGET SAMI-TF'!BF13:BF100000,'PLAN BUDGET SAMI-TF'!D13:D100000,SUMMARY!D29,'PLAN BUDGET SAMI-TF'!J13:J100000,SUMMARY!A29&amp;"*")</f>
        <v>0</v>
      </c>
      <c r="U29" s="10">
        <f>SUMIFS('PLAN BUDGET SAMI-TF'!BG13:BG100000,'PLAN BUDGET SAMI-TF'!D13:D100000,SUMMARY!D29,'PLAN BUDGET SAMI-TF'!J13:J100000,SUMMARY!A29&amp;"*")</f>
        <v>0</v>
      </c>
      <c r="V29" s="10">
        <f>SUMIFS('PLAN BUDGET SAMI-TF'!BH13:BH100000,'PLAN BUDGET SAMI-TF'!D13:D100000,SUMMARY!D29,'PLAN BUDGET SAMI-TF'!J13:J100000,SUMMARY!A29&amp;"*")</f>
        <v>0</v>
      </c>
      <c r="W29" s="10">
        <f>SUMIFS('PLAN BUDGET SAMI-TF'!BI13:BI100000,'PLAN BUDGET SAMI-TF'!D13:D100000,SUMMARY!D29,'PLAN BUDGET SAMI-TF'!J13:J100000,SUMMARY!A29&amp;"*")</f>
        <v>0</v>
      </c>
      <c r="X29" s="10">
        <f>SUMIFS('PLAN BUDGET SAMI-TF'!BJ13:BJ100000,'PLAN BUDGET SAMI-TF'!D13:D100000,SUMMARY!D29,'PLAN BUDGET SAMI-TF'!J13:J100000,SUMMARY!A29&amp;"*")</f>
        <v>0</v>
      </c>
      <c r="Y29" s="10">
        <f>SUMIFS('PLAN BUDGET SAMI-TF'!BK13:BK100000,'PLAN BUDGET SAMI-TF'!D13:D100000,SUMMARY!D29,'PLAN BUDGET SAMI-TF'!J13:J100000,SUMMARY!A29&amp;"*")</f>
        <v>0</v>
      </c>
      <c r="Z29" s="10">
        <f>SUMIFS('PLAN BUDGET SAMI-TF'!BL13:BL100000,'PLAN BUDGET SAMI-TF'!D13:D100000,SUMMARY!D29,'PLAN BUDGET SAMI-TF'!J13:J100000,SUMMARY!A29&amp;"*")</f>
        <v>0</v>
      </c>
      <c r="AA29" s="10">
        <f>SUMIFS('PLAN BUDGET SAMI-TF'!BM13:BM100000,'PLAN BUDGET SAMI-TF'!D13:D100000,SUMMARY!D29,'PLAN BUDGET SAMI-TF'!J13:J100000,SUMMARY!A29&amp;"*")</f>
        <v>0</v>
      </c>
      <c r="AB29" s="10">
        <f>SUMIFS('PLAN BUDGET SAMI-TF'!BN13:BN100000,'PLAN BUDGET SAMI-TF'!D13:D100000,SUMMARY!D29,'PLAN BUDGET SAMI-TF'!J13:J100000,SUMMARY!A29&amp;"*")</f>
        <v>0</v>
      </c>
      <c r="AC29" s="10">
        <f t="shared" si="0"/>
        <v>4</v>
      </c>
      <c r="AD29" s="10">
        <f t="shared" si="1"/>
        <v>0.66157760814249</v>
      </c>
      <c r="AE29" s="16"/>
      <c r="AF29" s="10">
        <v>2</v>
      </c>
      <c r="AG29" s="10">
        <v>0.31217956021420001</v>
      </c>
      <c r="AH29" s="20">
        <f t="shared" si="2"/>
        <v>1</v>
      </c>
      <c r="AI29" s="20">
        <f t="shared" si="3"/>
        <v>1.1192214111921766</v>
      </c>
      <c r="AJ29" s="67" t="s">
        <v>360</v>
      </c>
    </row>
    <row r="30" spans="1:36" x14ac:dyDescent="0.35">
      <c r="A30" s="7" t="s">
        <v>48</v>
      </c>
      <c r="B30" s="7"/>
      <c r="C30" s="7"/>
      <c r="D30" s="7" t="s">
        <v>174</v>
      </c>
      <c r="E30" s="10">
        <f>SUMIFS('PLAN BUDGET SAMI-TF'!AN13:AN100000,'PLAN BUDGET SAMI-TF'!D13:D100000,SUMMARY!D30,'PLAN BUDGET SAMI-TF'!J13:J100000,SUMMARY!A30&amp;"*")</f>
        <v>0</v>
      </c>
      <c r="F30" s="10">
        <f>SUMIFS('PLAN BUDGET SAMI-TF'!AO13:AO100000,'PLAN BUDGET SAMI-TF'!D13:D100000,SUMMARY!D30,'PLAN BUDGET SAMI-TF'!J13:J100000,SUMMARY!A30&amp;"*")</f>
        <v>6</v>
      </c>
      <c r="G30" s="10">
        <f>SUMIFS('PLAN BUDGET SAMI-TF'!AP13:AP100000,'PLAN BUDGET SAMI-TF'!D13:D100000,SUMMARY!D30,'PLAN BUDGET SAMI-TF'!J13:J100000,SUMMARY!A30&amp;"*")</f>
        <v>0</v>
      </c>
      <c r="H30" s="10">
        <f>SUMIFS('PLAN BUDGET SAMI-TF'!AQ13:AQ100000,'PLAN BUDGET SAMI-TF'!D13:D100000,SUMMARY!D30,'PLAN BUDGET SAMI-TF'!J13:J100000,SUMMARY!A30&amp;"*")</f>
        <v>0</v>
      </c>
      <c r="I30" s="10">
        <f>SUMIFS('PLAN BUDGET SAMI-TF'!AR13:AR100000,'PLAN BUDGET SAMI-TF'!D13:D100000,SUMMARY!D30,'PLAN BUDGET SAMI-TF'!J13:J100000,SUMMARY!A30&amp;"*")</f>
        <v>0</v>
      </c>
      <c r="J30" s="10">
        <f>SUMIFS('PLAN BUDGET SAMI-TF'!AS13:AS100000,'PLAN BUDGET SAMI-TF'!D13:D100000,SUMMARY!D30,'PLAN BUDGET SAMI-TF'!J13:J100000,SUMMARY!A30&amp;"*")</f>
        <v>0</v>
      </c>
      <c r="K30" s="10">
        <f>SUMIFS('PLAN BUDGET SAMI-TF'!AT13:AT100000,'PLAN BUDGET SAMI-TF'!D13:D100000,SUMMARY!D30,'PLAN BUDGET SAMI-TF'!J13:J100000,SUMMARY!A30&amp;"*")</f>
        <v>12</v>
      </c>
      <c r="L30" s="10">
        <f>SUMIFS('PLAN BUDGET SAMI-TF'!AU13:AU100000,'PLAN BUDGET SAMI-TF'!D13:D100000,SUMMARY!D30,'PLAN BUDGET SAMI-TF'!J13:J100000,SUMMARY!A30&amp;"*")</f>
        <v>0</v>
      </c>
      <c r="M30" s="10">
        <f>SUMIFS('PLAN BUDGET SAMI-TF'!AV13:AV100000,'PLAN BUDGET SAMI-TF'!D13:D100000,SUMMARY!D30,'PLAN BUDGET SAMI-TF'!J13:J100000,SUMMARY!A30&amp;"*")</f>
        <v>0</v>
      </c>
      <c r="N30" s="10">
        <f>SUMIFS('PLAN BUDGET SAMI-TF'!AW13:AW100000,'PLAN BUDGET SAMI-TF'!D13:D100000,SUMMARY!D30,'PLAN BUDGET SAMI-TF'!J13:J100000,SUMMARY!A30&amp;"*")</f>
        <v>1</v>
      </c>
      <c r="O30" s="10">
        <f>SUMIFS('PLAN BUDGET SAMI-TF'!AX13:AX100000,'PLAN BUDGET SAMI-TF'!D13:D100000,SUMMARY!D30,'PLAN BUDGET SAMI-TF'!J13:J100000,SUMMARY!A30&amp;"*")</f>
        <v>0</v>
      </c>
      <c r="P30" s="10">
        <f>SUMIFS('PLAN BUDGET SAMI-TF'!AY13:AY100000,'PLAN BUDGET SAMI-TF'!D13:D100000,SUMMARY!D30,'PLAN BUDGET SAMI-TF'!J13:J100000,SUMMARY!A30&amp;"*")</f>
        <v>0</v>
      </c>
      <c r="Q30" s="10">
        <f>SUMIFS('PLAN BUDGET SAMI-TF'!BC13:BC100000,'PLAN BUDGET SAMI-TF'!D13:D100000,SUMMARY!D30,'PLAN BUDGET SAMI-TF'!J13:J100000,SUMMARY!A30&amp;"*")</f>
        <v>0</v>
      </c>
      <c r="R30" s="10">
        <f>SUMIFS('PLAN BUDGET SAMI-TF'!BD13:BD100000,'PLAN BUDGET SAMI-TF'!D13:D100000,SUMMARY!D30,'PLAN BUDGET SAMI-TF'!J13:J100000,SUMMARY!A30&amp;"*")</f>
        <v>446.24207208233599</v>
      </c>
      <c r="S30" s="10">
        <f>SUMIFS('PLAN BUDGET SAMI-TF'!BE13:BE100000,'PLAN BUDGET SAMI-TF'!D13:D100000,SUMMARY!D30,'PLAN BUDGET SAMI-TF'!J13:J100000,SUMMARY!A30&amp;"*")</f>
        <v>0</v>
      </c>
      <c r="T30" s="10">
        <f>SUMIFS('PLAN BUDGET SAMI-TF'!BF13:BF100000,'PLAN BUDGET SAMI-TF'!D13:D100000,SUMMARY!D30,'PLAN BUDGET SAMI-TF'!J13:J100000,SUMMARY!A30&amp;"*")</f>
        <v>0</v>
      </c>
      <c r="U30" s="10">
        <f>SUMIFS('PLAN BUDGET SAMI-TF'!BG13:BG100000,'PLAN BUDGET SAMI-TF'!D13:D100000,SUMMARY!D30,'PLAN BUDGET SAMI-TF'!J13:J100000,SUMMARY!A30&amp;"*")</f>
        <v>0</v>
      </c>
      <c r="V30" s="10">
        <f>SUMIFS('PLAN BUDGET SAMI-TF'!BH13:BH100000,'PLAN BUDGET SAMI-TF'!D13:D100000,SUMMARY!D30,'PLAN BUDGET SAMI-TF'!J13:J100000,SUMMARY!A30&amp;"*")</f>
        <v>0</v>
      </c>
      <c r="W30" s="10">
        <f>SUMIFS('PLAN BUDGET SAMI-TF'!BI13:BI100000,'PLAN BUDGET SAMI-TF'!D13:D100000,SUMMARY!D30,'PLAN BUDGET SAMI-TF'!J13:J100000,SUMMARY!A30&amp;"*")</f>
        <v>531.692681630018</v>
      </c>
      <c r="X30" s="10">
        <f>SUMIFS('PLAN BUDGET SAMI-TF'!BJ13:BJ100000,'PLAN BUDGET SAMI-TF'!D13:D100000,SUMMARY!D30,'PLAN BUDGET SAMI-TF'!J13:J100000,SUMMARY!A30&amp;"*")</f>
        <v>0</v>
      </c>
      <c r="Y30" s="10">
        <f>SUMIFS('PLAN BUDGET SAMI-TF'!BK13:BK100000,'PLAN BUDGET SAMI-TF'!D13:D100000,SUMMARY!D30,'PLAN BUDGET SAMI-TF'!J13:J100000,SUMMARY!A30&amp;"*")</f>
        <v>0</v>
      </c>
      <c r="Z30" s="10">
        <f>SUMIFS('PLAN BUDGET SAMI-TF'!BL13:BL100000,'PLAN BUDGET SAMI-TF'!D13:D100000,SUMMARY!D30,'PLAN BUDGET SAMI-TF'!J13:J100000,SUMMARY!A30&amp;"*")</f>
        <v>1012.7479650096</v>
      </c>
      <c r="AA30" s="10">
        <f>SUMIFS('PLAN BUDGET SAMI-TF'!BM13:BM100000,'PLAN BUDGET SAMI-TF'!D13:D100000,SUMMARY!D30,'PLAN BUDGET SAMI-TF'!J13:J100000,SUMMARY!A30&amp;"*")</f>
        <v>0</v>
      </c>
      <c r="AB30" s="10">
        <f>SUMIFS('PLAN BUDGET SAMI-TF'!BN13:BN100000,'PLAN BUDGET SAMI-TF'!D13:D100000,SUMMARY!D30,'PLAN BUDGET SAMI-TF'!J13:J100000,SUMMARY!A30&amp;"*")</f>
        <v>0</v>
      </c>
      <c r="AC30" s="10">
        <f t="shared" si="0"/>
        <v>19</v>
      </c>
      <c r="AD30" s="10">
        <f t="shared" si="1"/>
        <v>1990.682718721954</v>
      </c>
      <c r="AE30" s="16"/>
      <c r="AF30" s="10">
        <v>3</v>
      </c>
      <c r="AG30" s="10">
        <v>474.72560859823</v>
      </c>
      <c r="AH30" s="20">
        <f t="shared" si="2"/>
        <v>5.333333333333333</v>
      </c>
      <c r="AI30" s="20">
        <f t="shared" si="3"/>
        <v>3.1933333333334235</v>
      </c>
      <c r="AJ30" s="67" t="s">
        <v>361</v>
      </c>
    </row>
    <row r="31" spans="1:36" x14ac:dyDescent="0.35">
      <c r="A31" s="7" t="s">
        <v>48</v>
      </c>
      <c r="B31" s="7"/>
      <c r="C31" s="7"/>
      <c r="D31" s="7" t="s">
        <v>80</v>
      </c>
      <c r="E31" s="10">
        <f>SUMIFS('PLAN BUDGET SAMI-TF'!AN13:AN100000,'PLAN BUDGET SAMI-TF'!D13:D100000,SUMMARY!D31,'PLAN BUDGET SAMI-TF'!J13:J100000,SUMMARY!A31&amp;"*")</f>
        <v>2</v>
      </c>
      <c r="F31" s="10">
        <f>SUMIFS('PLAN BUDGET SAMI-TF'!AO13:AO100000,'PLAN BUDGET SAMI-TF'!D13:D100000,SUMMARY!D31,'PLAN BUDGET SAMI-TF'!J13:J100000,SUMMARY!A31&amp;"*")</f>
        <v>0</v>
      </c>
      <c r="G31" s="10">
        <f>SUMIFS('PLAN BUDGET SAMI-TF'!AP13:AP100000,'PLAN BUDGET SAMI-TF'!D13:D100000,SUMMARY!D31,'PLAN BUDGET SAMI-TF'!J13:J100000,SUMMARY!A31&amp;"*")</f>
        <v>0</v>
      </c>
      <c r="H31" s="10">
        <f>SUMIFS('PLAN BUDGET SAMI-TF'!AQ13:AQ100000,'PLAN BUDGET SAMI-TF'!D13:D100000,SUMMARY!D31,'PLAN BUDGET SAMI-TF'!J13:J100000,SUMMARY!A31&amp;"*")</f>
        <v>0</v>
      </c>
      <c r="I31" s="10">
        <f>SUMIFS('PLAN BUDGET SAMI-TF'!AR13:AR100000,'PLAN BUDGET SAMI-TF'!D13:D100000,SUMMARY!D31,'PLAN BUDGET SAMI-TF'!J13:J100000,SUMMARY!A31&amp;"*")</f>
        <v>0</v>
      </c>
      <c r="J31" s="10">
        <f>SUMIFS('PLAN BUDGET SAMI-TF'!AS13:AS100000,'PLAN BUDGET SAMI-TF'!D13:D100000,SUMMARY!D31,'PLAN BUDGET SAMI-TF'!J13:J100000,SUMMARY!A31&amp;"*")</f>
        <v>0</v>
      </c>
      <c r="K31" s="10">
        <f>SUMIFS('PLAN BUDGET SAMI-TF'!AT13:AT100000,'PLAN BUDGET SAMI-TF'!D13:D100000,SUMMARY!D31,'PLAN BUDGET SAMI-TF'!J13:J100000,SUMMARY!A31&amp;"*")</f>
        <v>5</v>
      </c>
      <c r="L31" s="10">
        <f>SUMIFS('PLAN BUDGET SAMI-TF'!AU13:AU100000,'PLAN BUDGET SAMI-TF'!D13:D100000,SUMMARY!D31,'PLAN BUDGET SAMI-TF'!J13:J100000,SUMMARY!A31&amp;"*")</f>
        <v>0</v>
      </c>
      <c r="M31" s="10">
        <f>SUMIFS('PLAN BUDGET SAMI-TF'!AV13:AV100000,'PLAN BUDGET SAMI-TF'!D13:D100000,SUMMARY!D31,'PLAN BUDGET SAMI-TF'!J13:J100000,SUMMARY!A31&amp;"*")</f>
        <v>0</v>
      </c>
      <c r="N31" s="10">
        <f>SUMIFS('PLAN BUDGET SAMI-TF'!AW13:AW100000,'PLAN BUDGET SAMI-TF'!D13:D100000,SUMMARY!D31,'PLAN BUDGET SAMI-TF'!J13:J100000,SUMMARY!A31&amp;"*")</f>
        <v>0</v>
      </c>
      <c r="O31" s="10">
        <f>SUMIFS('PLAN BUDGET SAMI-TF'!AX13:AX100000,'PLAN BUDGET SAMI-TF'!D13:D100000,SUMMARY!D31,'PLAN BUDGET SAMI-TF'!J13:J100000,SUMMARY!A31&amp;"*")</f>
        <v>0</v>
      </c>
      <c r="P31" s="10">
        <f>SUMIFS('PLAN BUDGET SAMI-TF'!AY13:AY100000,'PLAN BUDGET SAMI-TF'!D13:D100000,SUMMARY!D31,'PLAN BUDGET SAMI-TF'!J13:J100000,SUMMARY!A31&amp;"*")</f>
        <v>0</v>
      </c>
      <c r="Q31" s="10">
        <f>SUMIFS('PLAN BUDGET SAMI-TF'!BC13:BC100000,'PLAN BUDGET SAMI-TF'!D13:D100000,SUMMARY!D31,'PLAN BUDGET SAMI-TF'!J13:J100000,SUMMARY!A31&amp;"*")</f>
        <v>0.61587735622144002</v>
      </c>
      <c r="R31" s="10">
        <f>SUMIFS('PLAN BUDGET SAMI-TF'!BD13:BD100000,'PLAN BUDGET SAMI-TF'!D13:D100000,SUMMARY!D31,'PLAN BUDGET SAMI-TF'!J13:J100000,SUMMARY!A31&amp;"*")</f>
        <v>0</v>
      </c>
      <c r="S31" s="10">
        <f>SUMIFS('PLAN BUDGET SAMI-TF'!BE13:BE100000,'PLAN BUDGET SAMI-TF'!D13:D100000,SUMMARY!D31,'PLAN BUDGET SAMI-TF'!J13:J100000,SUMMARY!A31&amp;"*")</f>
        <v>0</v>
      </c>
      <c r="T31" s="10">
        <f>SUMIFS('PLAN BUDGET SAMI-TF'!BF13:BF100000,'PLAN BUDGET SAMI-TF'!D13:D100000,SUMMARY!D31,'PLAN BUDGET SAMI-TF'!J13:J100000,SUMMARY!A31&amp;"*")</f>
        <v>0</v>
      </c>
      <c r="U31" s="10">
        <f>SUMIFS('PLAN BUDGET SAMI-TF'!BG13:BG100000,'PLAN BUDGET SAMI-TF'!D13:D100000,SUMMARY!D31,'PLAN BUDGET SAMI-TF'!J13:J100000,SUMMARY!A31&amp;"*")</f>
        <v>0</v>
      </c>
      <c r="V31" s="10">
        <f>SUMIFS('PLAN BUDGET SAMI-TF'!BH13:BH100000,'PLAN BUDGET SAMI-TF'!D13:D100000,SUMMARY!D31,'PLAN BUDGET SAMI-TF'!J13:J100000,SUMMARY!A31&amp;"*")</f>
        <v>0</v>
      </c>
      <c r="W31" s="10">
        <f>SUMIFS('PLAN BUDGET SAMI-TF'!BI13:BI100000,'PLAN BUDGET SAMI-TF'!D13:D100000,SUMMARY!D31,'PLAN BUDGET SAMI-TF'!J13:J100000,SUMMARY!A31&amp;"*")</f>
        <v>1.5396933905536001</v>
      </c>
      <c r="X31" s="10">
        <f>SUMIFS('PLAN BUDGET SAMI-TF'!BJ13:BJ100000,'PLAN BUDGET SAMI-TF'!D13:D100000,SUMMARY!D31,'PLAN BUDGET SAMI-TF'!J13:J100000,SUMMARY!A31&amp;"*")</f>
        <v>0</v>
      </c>
      <c r="Y31" s="10">
        <f>SUMIFS('PLAN BUDGET SAMI-TF'!BK13:BK100000,'PLAN BUDGET SAMI-TF'!D13:D100000,SUMMARY!D31,'PLAN BUDGET SAMI-TF'!J13:J100000,SUMMARY!A31&amp;"*")</f>
        <v>0</v>
      </c>
      <c r="Z31" s="10">
        <f>SUMIFS('PLAN BUDGET SAMI-TF'!BL13:BL100000,'PLAN BUDGET SAMI-TF'!D13:D100000,SUMMARY!D31,'PLAN BUDGET SAMI-TF'!J13:J100000,SUMMARY!A31&amp;"*")</f>
        <v>0</v>
      </c>
      <c r="AA31" s="10">
        <f>SUMIFS('PLAN BUDGET SAMI-TF'!BM13:BM100000,'PLAN BUDGET SAMI-TF'!D13:D100000,SUMMARY!D31,'PLAN BUDGET SAMI-TF'!J13:J100000,SUMMARY!A31&amp;"*")</f>
        <v>0</v>
      </c>
      <c r="AB31" s="10">
        <f>SUMIFS('PLAN BUDGET SAMI-TF'!BN13:BN100000,'PLAN BUDGET SAMI-TF'!D13:D100000,SUMMARY!D31,'PLAN BUDGET SAMI-TF'!J13:J100000,SUMMARY!A31&amp;"*")</f>
        <v>0</v>
      </c>
      <c r="AC31" s="10">
        <f t="shared" si="0"/>
        <v>7</v>
      </c>
      <c r="AD31" s="10">
        <f t="shared" si="1"/>
        <v>2.15557074677504</v>
      </c>
      <c r="AE31" s="16"/>
      <c r="AF31" s="10">
        <v>5</v>
      </c>
      <c r="AG31" s="10">
        <v>1.4555087159622</v>
      </c>
      <c r="AH31" s="20">
        <f t="shared" si="2"/>
        <v>0.4</v>
      </c>
      <c r="AI31" s="20">
        <f t="shared" si="3"/>
        <v>0.48097412480972107</v>
      </c>
      <c r="AJ31" s="67" t="s">
        <v>362</v>
      </c>
    </row>
    <row r="32" spans="1:36" x14ac:dyDescent="0.35">
      <c r="A32" s="7" t="s">
        <v>48</v>
      </c>
      <c r="B32" s="7"/>
      <c r="C32" s="7"/>
      <c r="D32" s="7" t="s">
        <v>83</v>
      </c>
      <c r="E32" s="10">
        <f>SUMIFS('PLAN BUDGET SAMI-TF'!AN13:AN100000,'PLAN BUDGET SAMI-TF'!D13:D100000,SUMMARY!D32,'PLAN BUDGET SAMI-TF'!J13:J100000,SUMMARY!A32&amp;"*")</f>
        <v>1</v>
      </c>
      <c r="F32" s="10">
        <f>SUMIFS('PLAN BUDGET SAMI-TF'!AO13:AO100000,'PLAN BUDGET SAMI-TF'!D13:D100000,SUMMARY!D32,'PLAN BUDGET SAMI-TF'!J13:J100000,SUMMARY!A32&amp;"*")</f>
        <v>0</v>
      </c>
      <c r="G32" s="10">
        <f>SUMIFS('PLAN BUDGET SAMI-TF'!AP13:AP100000,'PLAN BUDGET SAMI-TF'!D13:D100000,SUMMARY!D32,'PLAN BUDGET SAMI-TF'!J13:J100000,SUMMARY!A32&amp;"*")</f>
        <v>0</v>
      </c>
      <c r="H32" s="10">
        <f>SUMIFS('PLAN BUDGET SAMI-TF'!AQ13:AQ100000,'PLAN BUDGET SAMI-TF'!D13:D100000,SUMMARY!D32,'PLAN BUDGET SAMI-TF'!J13:J100000,SUMMARY!A32&amp;"*")</f>
        <v>0</v>
      </c>
      <c r="I32" s="10">
        <f>SUMIFS('PLAN BUDGET SAMI-TF'!AR13:AR100000,'PLAN BUDGET SAMI-TF'!D13:D100000,SUMMARY!D32,'PLAN BUDGET SAMI-TF'!J13:J100000,SUMMARY!A32&amp;"*")</f>
        <v>0</v>
      </c>
      <c r="J32" s="10">
        <f>SUMIFS('PLAN BUDGET SAMI-TF'!AS13:AS100000,'PLAN BUDGET SAMI-TF'!D13:D100000,SUMMARY!D32,'PLAN BUDGET SAMI-TF'!J13:J100000,SUMMARY!A32&amp;"*")</f>
        <v>0</v>
      </c>
      <c r="K32" s="10">
        <f>SUMIFS('PLAN BUDGET SAMI-TF'!AT13:AT100000,'PLAN BUDGET SAMI-TF'!D13:D100000,SUMMARY!D32,'PLAN BUDGET SAMI-TF'!J13:J100000,SUMMARY!A32&amp;"*")</f>
        <v>0</v>
      </c>
      <c r="L32" s="10">
        <f>SUMIFS('PLAN BUDGET SAMI-TF'!AU13:AU100000,'PLAN BUDGET SAMI-TF'!D13:D100000,SUMMARY!D32,'PLAN BUDGET SAMI-TF'!J13:J100000,SUMMARY!A32&amp;"*")</f>
        <v>0</v>
      </c>
      <c r="M32" s="10">
        <f>SUMIFS('PLAN BUDGET SAMI-TF'!AV13:AV100000,'PLAN BUDGET SAMI-TF'!D13:D100000,SUMMARY!D32,'PLAN BUDGET SAMI-TF'!J13:J100000,SUMMARY!A32&amp;"*")</f>
        <v>0</v>
      </c>
      <c r="N32" s="10">
        <f>SUMIFS('PLAN BUDGET SAMI-TF'!AW13:AW100000,'PLAN BUDGET SAMI-TF'!D13:D100000,SUMMARY!D32,'PLAN BUDGET SAMI-TF'!J13:J100000,SUMMARY!A32&amp;"*")</f>
        <v>0</v>
      </c>
      <c r="O32" s="10">
        <f>SUMIFS('PLAN BUDGET SAMI-TF'!AX13:AX100000,'PLAN BUDGET SAMI-TF'!D13:D100000,SUMMARY!D32,'PLAN BUDGET SAMI-TF'!J13:J100000,SUMMARY!A32&amp;"*")</f>
        <v>0</v>
      </c>
      <c r="P32" s="10">
        <f>SUMIFS('PLAN BUDGET SAMI-TF'!AY13:AY100000,'PLAN BUDGET SAMI-TF'!D13:D100000,SUMMARY!D32,'PLAN BUDGET SAMI-TF'!J13:J100000,SUMMARY!A32&amp;"*")</f>
        <v>0</v>
      </c>
      <c r="Q32" s="10">
        <f>SUMIFS('PLAN BUDGET SAMI-TF'!BC13:BC100000,'PLAN BUDGET SAMI-TF'!D13:D100000,SUMMARY!D32,'PLAN BUDGET SAMI-TF'!J13:J100000,SUMMARY!A32&amp;"*")</f>
        <v>0.60448394161508001</v>
      </c>
      <c r="R32" s="10">
        <f>SUMIFS('PLAN BUDGET SAMI-TF'!BD13:BD100000,'PLAN BUDGET SAMI-TF'!D13:D100000,SUMMARY!D32,'PLAN BUDGET SAMI-TF'!J13:J100000,SUMMARY!A32&amp;"*")</f>
        <v>0</v>
      </c>
      <c r="S32" s="10">
        <f>SUMIFS('PLAN BUDGET SAMI-TF'!BE13:BE100000,'PLAN BUDGET SAMI-TF'!D13:D100000,SUMMARY!D32,'PLAN BUDGET SAMI-TF'!J13:J100000,SUMMARY!A32&amp;"*")</f>
        <v>0</v>
      </c>
      <c r="T32" s="10">
        <f>SUMIFS('PLAN BUDGET SAMI-TF'!BF13:BF100000,'PLAN BUDGET SAMI-TF'!D13:D100000,SUMMARY!D32,'PLAN BUDGET SAMI-TF'!J13:J100000,SUMMARY!A32&amp;"*")</f>
        <v>0</v>
      </c>
      <c r="U32" s="10">
        <f>SUMIFS('PLAN BUDGET SAMI-TF'!BG13:BG100000,'PLAN BUDGET SAMI-TF'!D13:D100000,SUMMARY!D32,'PLAN BUDGET SAMI-TF'!J13:J100000,SUMMARY!A32&amp;"*")</f>
        <v>0</v>
      </c>
      <c r="V32" s="10">
        <f>SUMIFS('PLAN BUDGET SAMI-TF'!BH13:BH100000,'PLAN BUDGET SAMI-TF'!D13:D100000,SUMMARY!D32,'PLAN BUDGET SAMI-TF'!J13:J100000,SUMMARY!A32&amp;"*")</f>
        <v>0</v>
      </c>
      <c r="W32" s="10">
        <f>SUMIFS('PLAN BUDGET SAMI-TF'!BI13:BI100000,'PLAN BUDGET SAMI-TF'!D13:D100000,SUMMARY!D32,'PLAN BUDGET SAMI-TF'!J13:J100000,SUMMARY!A32&amp;"*")</f>
        <v>0</v>
      </c>
      <c r="X32" s="10">
        <f>SUMIFS('PLAN BUDGET SAMI-TF'!BJ13:BJ100000,'PLAN BUDGET SAMI-TF'!D13:D100000,SUMMARY!D32,'PLAN BUDGET SAMI-TF'!J13:J100000,SUMMARY!A32&amp;"*")</f>
        <v>0</v>
      </c>
      <c r="Y32" s="10">
        <f>SUMIFS('PLAN BUDGET SAMI-TF'!BK13:BK100000,'PLAN BUDGET SAMI-TF'!D13:D100000,SUMMARY!D32,'PLAN BUDGET SAMI-TF'!J13:J100000,SUMMARY!A32&amp;"*")</f>
        <v>0</v>
      </c>
      <c r="Z32" s="10">
        <f>SUMIFS('PLAN BUDGET SAMI-TF'!BL13:BL100000,'PLAN BUDGET SAMI-TF'!D13:D100000,SUMMARY!D32,'PLAN BUDGET SAMI-TF'!J13:J100000,SUMMARY!A32&amp;"*")</f>
        <v>0</v>
      </c>
      <c r="AA32" s="10">
        <f>SUMIFS('PLAN BUDGET SAMI-TF'!BM13:BM100000,'PLAN BUDGET SAMI-TF'!D13:D100000,SUMMARY!D32,'PLAN BUDGET SAMI-TF'!J13:J100000,SUMMARY!A32&amp;"*")</f>
        <v>0</v>
      </c>
      <c r="AB32" s="10">
        <f>SUMIFS('PLAN BUDGET SAMI-TF'!BN13:BN100000,'PLAN BUDGET SAMI-TF'!D13:D100000,SUMMARY!D32,'PLAN BUDGET SAMI-TF'!J13:J100000,SUMMARY!A32&amp;"*")</f>
        <v>0</v>
      </c>
      <c r="AC32" s="10">
        <f t="shared" si="0"/>
        <v>1</v>
      </c>
      <c r="AD32" s="10">
        <f t="shared" si="1"/>
        <v>0.60448394161508001</v>
      </c>
      <c r="AE32" s="16"/>
      <c r="AF32" s="10">
        <v>1</v>
      </c>
      <c r="AG32" s="10">
        <v>0.55226412466927</v>
      </c>
      <c r="AH32" s="20">
        <f t="shared" si="2"/>
        <v>0</v>
      </c>
      <c r="AI32" s="20">
        <f t="shared" si="3"/>
        <v>9.4555873925510694E-2</v>
      </c>
      <c r="AJ32" s="67" t="s">
        <v>349</v>
      </c>
    </row>
    <row r="33" spans="1:36" x14ac:dyDescent="0.35">
      <c r="A33" s="7" t="s">
        <v>48</v>
      </c>
      <c r="B33" s="7"/>
      <c r="C33" s="7"/>
      <c r="D33" s="7" t="s">
        <v>166</v>
      </c>
      <c r="E33" s="10">
        <f>SUMIFS('PLAN BUDGET SAMI-TF'!AN13:AN100000,'PLAN BUDGET SAMI-TF'!D13:D100000,SUMMARY!D33,'PLAN BUDGET SAMI-TF'!J13:J100000,SUMMARY!A33&amp;"*")</f>
        <v>6</v>
      </c>
      <c r="F33" s="10">
        <f>SUMIFS('PLAN BUDGET SAMI-TF'!AO13:AO100000,'PLAN BUDGET SAMI-TF'!D13:D100000,SUMMARY!D33,'PLAN BUDGET SAMI-TF'!J13:J100000,SUMMARY!A33&amp;"*")</f>
        <v>0</v>
      </c>
      <c r="G33" s="10">
        <f>SUMIFS('PLAN BUDGET SAMI-TF'!AP13:AP100000,'PLAN BUDGET SAMI-TF'!D13:D100000,SUMMARY!D33,'PLAN BUDGET SAMI-TF'!J13:J100000,SUMMARY!A33&amp;"*")</f>
        <v>0</v>
      </c>
      <c r="H33" s="10">
        <f>SUMIFS('PLAN BUDGET SAMI-TF'!AQ13:AQ100000,'PLAN BUDGET SAMI-TF'!D13:D100000,SUMMARY!D33,'PLAN BUDGET SAMI-TF'!J13:J100000,SUMMARY!A33&amp;"*")</f>
        <v>0</v>
      </c>
      <c r="I33" s="10">
        <f>SUMIFS('PLAN BUDGET SAMI-TF'!AR13:AR100000,'PLAN BUDGET SAMI-TF'!D13:D100000,SUMMARY!D33,'PLAN BUDGET SAMI-TF'!J13:J100000,SUMMARY!A33&amp;"*")</f>
        <v>0</v>
      </c>
      <c r="J33" s="10">
        <f>SUMIFS('PLAN BUDGET SAMI-TF'!AS13:AS100000,'PLAN BUDGET SAMI-TF'!D13:D100000,SUMMARY!D33,'PLAN BUDGET SAMI-TF'!J13:J100000,SUMMARY!A33&amp;"*")</f>
        <v>0</v>
      </c>
      <c r="K33" s="10">
        <f>SUMIFS('PLAN BUDGET SAMI-TF'!AT13:AT100000,'PLAN BUDGET SAMI-TF'!D13:D100000,SUMMARY!D33,'PLAN BUDGET SAMI-TF'!J13:J100000,SUMMARY!A33&amp;"*")</f>
        <v>0</v>
      </c>
      <c r="L33" s="10">
        <f>SUMIFS('PLAN BUDGET SAMI-TF'!AU13:AU100000,'PLAN BUDGET SAMI-TF'!D13:D100000,SUMMARY!D33,'PLAN BUDGET SAMI-TF'!J13:J100000,SUMMARY!A33&amp;"*")</f>
        <v>0</v>
      </c>
      <c r="M33" s="10">
        <f>SUMIFS('PLAN BUDGET SAMI-TF'!AV13:AV100000,'PLAN BUDGET SAMI-TF'!D13:D100000,SUMMARY!D33,'PLAN BUDGET SAMI-TF'!J13:J100000,SUMMARY!A33&amp;"*")</f>
        <v>0</v>
      </c>
      <c r="N33" s="10">
        <f>SUMIFS('PLAN BUDGET SAMI-TF'!AW13:AW100000,'PLAN BUDGET SAMI-TF'!D13:D100000,SUMMARY!D33,'PLAN BUDGET SAMI-TF'!J13:J100000,SUMMARY!A33&amp;"*")</f>
        <v>0</v>
      </c>
      <c r="O33" s="10">
        <f>SUMIFS('PLAN BUDGET SAMI-TF'!AX13:AX100000,'PLAN BUDGET SAMI-TF'!D13:D100000,SUMMARY!D33,'PLAN BUDGET SAMI-TF'!J13:J100000,SUMMARY!A33&amp;"*")</f>
        <v>0</v>
      </c>
      <c r="P33" s="10">
        <f>SUMIFS('PLAN BUDGET SAMI-TF'!AY13:AY100000,'PLAN BUDGET SAMI-TF'!D13:D100000,SUMMARY!D33,'PLAN BUDGET SAMI-TF'!J13:J100000,SUMMARY!A33&amp;"*")</f>
        <v>0</v>
      </c>
      <c r="Q33" s="10">
        <f>SUMIFS('PLAN BUDGET SAMI-TF'!BC13:BC100000,'PLAN BUDGET SAMI-TF'!D13:D100000,SUMMARY!D33,'PLAN BUDGET SAMI-TF'!J13:J100000,SUMMARY!A33&amp;"*")</f>
        <v>94.945121719644987</v>
      </c>
      <c r="R33" s="10">
        <f>SUMIFS('PLAN BUDGET SAMI-TF'!BD13:BD100000,'PLAN BUDGET SAMI-TF'!D13:D100000,SUMMARY!D33,'PLAN BUDGET SAMI-TF'!J13:J100000,SUMMARY!A33&amp;"*")</f>
        <v>0</v>
      </c>
      <c r="S33" s="10">
        <f>SUMIFS('PLAN BUDGET SAMI-TF'!BE13:BE100000,'PLAN BUDGET SAMI-TF'!D13:D100000,SUMMARY!D33,'PLAN BUDGET SAMI-TF'!J13:J100000,SUMMARY!A33&amp;"*")</f>
        <v>0</v>
      </c>
      <c r="T33" s="10">
        <f>SUMIFS('PLAN BUDGET SAMI-TF'!BF13:BF100000,'PLAN BUDGET SAMI-TF'!D13:D100000,SUMMARY!D33,'PLAN BUDGET SAMI-TF'!J13:J100000,SUMMARY!A33&amp;"*")</f>
        <v>0</v>
      </c>
      <c r="U33" s="10">
        <f>SUMIFS('PLAN BUDGET SAMI-TF'!BG13:BG100000,'PLAN BUDGET SAMI-TF'!D13:D100000,SUMMARY!D33,'PLAN BUDGET SAMI-TF'!J13:J100000,SUMMARY!A33&amp;"*")</f>
        <v>0</v>
      </c>
      <c r="V33" s="10">
        <f>SUMIFS('PLAN BUDGET SAMI-TF'!BH13:BH100000,'PLAN BUDGET SAMI-TF'!D13:D100000,SUMMARY!D33,'PLAN BUDGET SAMI-TF'!J13:J100000,SUMMARY!A33&amp;"*")</f>
        <v>0</v>
      </c>
      <c r="W33" s="10">
        <f>SUMIFS('PLAN BUDGET SAMI-TF'!BI13:BI100000,'PLAN BUDGET SAMI-TF'!D13:D100000,SUMMARY!D33,'PLAN BUDGET SAMI-TF'!J13:J100000,SUMMARY!A33&amp;"*")</f>
        <v>0</v>
      </c>
      <c r="X33" s="10">
        <f>SUMIFS('PLAN BUDGET SAMI-TF'!BJ13:BJ100000,'PLAN BUDGET SAMI-TF'!D13:D100000,SUMMARY!D33,'PLAN BUDGET SAMI-TF'!J13:J100000,SUMMARY!A33&amp;"*")</f>
        <v>0</v>
      </c>
      <c r="Y33" s="10">
        <f>SUMIFS('PLAN BUDGET SAMI-TF'!BK13:BK100000,'PLAN BUDGET SAMI-TF'!D13:D100000,SUMMARY!D33,'PLAN BUDGET SAMI-TF'!J13:J100000,SUMMARY!A33&amp;"*")</f>
        <v>0</v>
      </c>
      <c r="Z33" s="10">
        <f>SUMIFS('PLAN BUDGET SAMI-TF'!BL13:BL100000,'PLAN BUDGET SAMI-TF'!D13:D100000,SUMMARY!D33,'PLAN BUDGET SAMI-TF'!J13:J100000,SUMMARY!A33&amp;"*")</f>
        <v>0</v>
      </c>
      <c r="AA33" s="10">
        <f>SUMIFS('PLAN BUDGET SAMI-TF'!BM13:BM100000,'PLAN BUDGET SAMI-TF'!D13:D100000,SUMMARY!D33,'PLAN BUDGET SAMI-TF'!J13:J100000,SUMMARY!A33&amp;"*")</f>
        <v>0</v>
      </c>
      <c r="AB33" s="10">
        <f>SUMIFS('PLAN BUDGET SAMI-TF'!BN13:BN100000,'PLAN BUDGET SAMI-TF'!D13:D100000,SUMMARY!D33,'PLAN BUDGET SAMI-TF'!J13:J100000,SUMMARY!A33&amp;"*")</f>
        <v>0</v>
      </c>
      <c r="AC33" s="10">
        <f t="shared" si="0"/>
        <v>6</v>
      </c>
      <c r="AD33" s="10">
        <f t="shared" si="1"/>
        <v>94.945121719644987</v>
      </c>
      <c r="AE33" s="16"/>
      <c r="AF33" s="10">
        <v>7</v>
      </c>
      <c r="AG33" s="10">
        <v>110.76930867292</v>
      </c>
      <c r="AH33" s="20">
        <f t="shared" si="2"/>
        <v>-0.14285714285714285</v>
      </c>
      <c r="AI33" s="20">
        <f t="shared" si="3"/>
        <v>-0.14285714285714946</v>
      </c>
      <c r="AJ33" s="67" t="s">
        <v>363</v>
      </c>
    </row>
    <row r="34" spans="1:36" x14ac:dyDescent="0.35">
      <c r="A34" s="7" t="s">
        <v>48</v>
      </c>
      <c r="B34" s="7"/>
      <c r="C34" s="7"/>
      <c r="D34" s="7" t="s">
        <v>86</v>
      </c>
      <c r="E34" s="10">
        <f>SUMIFS('PLAN BUDGET SAMI-TF'!AN13:AN100000,'PLAN BUDGET SAMI-TF'!D13:D100000,SUMMARY!D34,'PLAN BUDGET SAMI-TF'!J13:J100000,SUMMARY!A34&amp;"*")</f>
        <v>4</v>
      </c>
      <c r="F34" s="10">
        <f>SUMIFS('PLAN BUDGET SAMI-TF'!AO13:AO100000,'PLAN BUDGET SAMI-TF'!D13:D100000,SUMMARY!D34,'PLAN BUDGET SAMI-TF'!J13:J100000,SUMMARY!A34&amp;"*")</f>
        <v>0</v>
      </c>
      <c r="G34" s="10">
        <f>SUMIFS('PLAN BUDGET SAMI-TF'!AP13:AP100000,'PLAN BUDGET SAMI-TF'!D13:D100000,SUMMARY!D34,'PLAN BUDGET SAMI-TF'!J13:J100000,SUMMARY!A34&amp;"*")</f>
        <v>0</v>
      </c>
      <c r="H34" s="10">
        <f>SUMIFS('PLAN BUDGET SAMI-TF'!AQ13:AQ100000,'PLAN BUDGET SAMI-TF'!D13:D100000,SUMMARY!D34,'PLAN BUDGET SAMI-TF'!J13:J100000,SUMMARY!A34&amp;"*")</f>
        <v>0</v>
      </c>
      <c r="I34" s="10">
        <f>SUMIFS('PLAN BUDGET SAMI-TF'!AR13:AR100000,'PLAN BUDGET SAMI-TF'!D13:D100000,SUMMARY!D34,'PLAN BUDGET SAMI-TF'!J13:J100000,SUMMARY!A34&amp;"*")</f>
        <v>0</v>
      </c>
      <c r="J34" s="10">
        <f>SUMIFS('PLAN BUDGET SAMI-TF'!AS13:AS100000,'PLAN BUDGET SAMI-TF'!D13:D100000,SUMMARY!D34,'PLAN BUDGET SAMI-TF'!J13:J100000,SUMMARY!A34&amp;"*")</f>
        <v>0</v>
      </c>
      <c r="K34" s="10">
        <f>SUMIFS('PLAN BUDGET SAMI-TF'!AT13:AT100000,'PLAN BUDGET SAMI-TF'!D13:D100000,SUMMARY!D34,'PLAN BUDGET SAMI-TF'!J13:J100000,SUMMARY!A34&amp;"*")</f>
        <v>6</v>
      </c>
      <c r="L34" s="10">
        <f>SUMIFS('PLAN BUDGET SAMI-TF'!AU13:AU100000,'PLAN BUDGET SAMI-TF'!D13:D100000,SUMMARY!D34,'PLAN BUDGET SAMI-TF'!J13:J100000,SUMMARY!A34&amp;"*")</f>
        <v>0</v>
      </c>
      <c r="M34" s="10">
        <f>SUMIFS('PLAN BUDGET SAMI-TF'!AV13:AV100000,'PLAN BUDGET SAMI-TF'!D13:D100000,SUMMARY!D34,'PLAN BUDGET SAMI-TF'!J13:J100000,SUMMARY!A34&amp;"*")</f>
        <v>0</v>
      </c>
      <c r="N34" s="10">
        <f>SUMIFS('PLAN BUDGET SAMI-TF'!AW13:AW100000,'PLAN BUDGET SAMI-TF'!D13:D100000,SUMMARY!D34,'PLAN BUDGET SAMI-TF'!J13:J100000,SUMMARY!A34&amp;"*")</f>
        <v>0</v>
      </c>
      <c r="O34" s="10">
        <f>SUMIFS('PLAN BUDGET SAMI-TF'!AX13:AX100000,'PLAN BUDGET SAMI-TF'!D13:D100000,SUMMARY!D34,'PLAN BUDGET SAMI-TF'!J13:J100000,SUMMARY!A34&amp;"*")</f>
        <v>0</v>
      </c>
      <c r="P34" s="10">
        <f>SUMIFS('PLAN BUDGET SAMI-TF'!AY13:AY100000,'PLAN BUDGET SAMI-TF'!D13:D100000,SUMMARY!D34,'PLAN BUDGET SAMI-TF'!J13:J100000,SUMMARY!A34&amp;"*")</f>
        <v>0</v>
      </c>
      <c r="Q34" s="10">
        <f>SUMIFS('PLAN BUDGET SAMI-TF'!BC13:BC100000,'PLAN BUDGET SAMI-TF'!D13:D100000,SUMMARY!D34,'PLAN BUDGET SAMI-TF'!J13:J100000,SUMMARY!A34&amp;"*")</f>
        <v>3.2732014229109301</v>
      </c>
      <c r="R34" s="10">
        <f>SUMIFS('PLAN BUDGET SAMI-TF'!BD13:BD100000,'PLAN BUDGET SAMI-TF'!D13:D100000,SUMMARY!D34,'PLAN BUDGET SAMI-TF'!J13:J100000,SUMMARY!A34&amp;"*")</f>
        <v>0</v>
      </c>
      <c r="S34" s="10">
        <f>SUMIFS('PLAN BUDGET SAMI-TF'!BE13:BE100000,'PLAN BUDGET SAMI-TF'!D13:D100000,SUMMARY!D34,'PLAN BUDGET SAMI-TF'!J13:J100000,SUMMARY!A34&amp;"*")</f>
        <v>0</v>
      </c>
      <c r="T34" s="10">
        <f>SUMIFS('PLAN BUDGET SAMI-TF'!BF13:BF100000,'PLAN BUDGET SAMI-TF'!D13:D100000,SUMMARY!D34,'PLAN BUDGET SAMI-TF'!J13:J100000,SUMMARY!A34&amp;"*")</f>
        <v>0</v>
      </c>
      <c r="U34" s="10">
        <f>SUMIFS('PLAN BUDGET SAMI-TF'!BG13:BG100000,'PLAN BUDGET SAMI-TF'!D13:D100000,SUMMARY!D34,'PLAN BUDGET SAMI-TF'!J13:J100000,SUMMARY!A34&amp;"*")</f>
        <v>0</v>
      </c>
      <c r="V34" s="10">
        <f>SUMIFS('PLAN BUDGET SAMI-TF'!BH13:BH100000,'PLAN BUDGET SAMI-TF'!D13:D100000,SUMMARY!D34,'PLAN BUDGET SAMI-TF'!J13:J100000,SUMMARY!A34&amp;"*")</f>
        <v>0</v>
      </c>
      <c r="W34" s="10">
        <f>SUMIFS('PLAN BUDGET SAMI-TF'!BI13:BI100000,'PLAN BUDGET SAMI-TF'!D13:D100000,SUMMARY!D34,'PLAN BUDGET SAMI-TF'!J13:J100000,SUMMARY!A34&amp;"*")</f>
        <v>4.9098021343663003</v>
      </c>
      <c r="X34" s="10">
        <f>SUMIFS('PLAN BUDGET SAMI-TF'!BJ13:BJ100000,'PLAN BUDGET SAMI-TF'!D13:D100000,SUMMARY!D34,'PLAN BUDGET SAMI-TF'!J13:J100000,SUMMARY!A34&amp;"*")</f>
        <v>0</v>
      </c>
      <c r="Y34" s="10">
        <f>SUMIFS('PLAN BUDGET SAMI-TF'!BK13:BK100000,'PLAN BUDGET SAMI-TF'!D13:D100000,SUMMARY!D34,'PLAN BUDGET SAMI-TF'!J13:J100000,SUMMARY!A34&amp;"*")</f>
        <v>0</v>
      </c>
      <c r="Z34" s="10">
        <f>SUMIFS('PLAN BUDGET SAMI-TF'!BL13:BL100000,'PLAN BUDGET SAMI-TF'!D13:D100000,SUMMARY!D34,'PLAN BUDGET SAMI-TF'!J13:J100000,SUMMARY!A34&amp;"*")</f>
        <v>0</v>
      </c>
      <c r="AA34" s="10">
        <f>SUMIFS('PLAN BUDGET SAMI-TF'!BM13:BM100000,'PLAN BUDGET SAMI-TF'!D13:D100000,SUMMARY!D34,'PLAN BUDGET SAMI-TF'!J13:J100000,SUMMARY!A34&amp;"*")</f>
        <v>0</v>
      </c>
      <c r="AB34" s="10">
        <f>SUMIFS('PLAN BUDGET SAMI-TF'!BN13:BN100000,'PLAN BUDGET SAMI-TF'!D13:D100000,SUMMARY!D34,'PLAN BUDGET SAMI-TF'!J13:J100000,SUMMARY!A34&amp;"*")</f>
        <v>0</v>
      </c>
      <c r="AC34" s="10">
        <f t="shared" si="0"/>
        <v>10</v>
      </c>
      <c r="AD34" s="10">
        <f t="shared" si="1"/>
        <v>8.1830035572772299</v>
      </c>
      <c r="AE34" s="16"/>
      <c r="AF34" s="10">
        <v>10</v>
      </c>
      <c r="AG34" s="10">
        <v>7.4731305305533002</v>
      </c>
      <c r="AH34" s="20">
        <f t="shared" si="2"/>
        <v>0</v>
      </c>
      <c r="AI34" s="20">
        <f t="shared" si="3"/>
        <v>9.4990047855001369E-2</v>
      </c>
      <c r="AJ34" s="67" t="s">
        <v>349</v>
      </c>
    </row>
    <row r="35" spans="1:36" x14ac:dyDescent="0.35">
      <c r="A35" s="7" t="s">
        <v>48</v>
      </c>
      <c r="B35" s="7"/>
      <c r="C35" s="7"/>
      <c r="D35" s="7" t="s">
        <v>156</v>
      </c>
      <c r="E35" s="10">
        <f>SUMIFS('PLAN BUDGET SAMI-TF'!AN13:AN100000,'PLAN BUDGET SAMI-TF'!D13:D100000,SUMMARY!D35,'PLAN BUDGET SAMI-TF'!J13:J100000,SUMMARY!A35&amp;"*")</f>
        <v>6950</v>
      </c>
      <c r="F35" s="10">
        <f>SUMIFS('PLAN BUDGET SAMI-TF'!AO13:AO100000,'PLAN BUDGET SAMI-TF'!D13:D100000,SUMMARY!D35,'PLAN BUDGET SAMI-TF'!J13:J100000,SUMMARY!A35&amp;"*")</f>
        <v>0</v>
      </c>
      <c r="G35" s="10">
        <f>SUMIFS('PLAN BUDGET SAMI-TF'!AP13:AP100000,'PLAN BUDGET SAMI-TF'!D13:D100000,SUMMARY!D35,'PLAN BUDGET SAMI-TF'!J13:J100000,SUMMARY!A35&amp;"*")</f>
        <v>0</v>
      </c>
      <c r="H35" s="10">
        <f>SUMIFS('PLAN BUDGET SAMI-TF'!AQ13:AQ100000,'PLAN BUDGET SAMI-TF'!D13:D100000,SUMMARY!D35,'PLAN BUDGET SAMI-TF'!J13:J100000,SUMMARY!A35&amp;"*")</f>
        <v>0</v>
      </c>
      <c r="I35" s="10">
        <f>SUMIFS('PLAN BUDGET SAMI-TF'!AR13:AR100000,'PLAN BUDGET SAMI-TF'!D13:D100000,SUMMARY!D35,'PLAN BUDGET SAMI-TF'!J13:J100000,SUMMARY!A35&amp;"*")</f>
        <v>0</v>
      </c>
      <c r="J35" s="10">
        <f>SUMIFS('PLAN BUDGET SAMI-TF'!AS13:AS100000,'PLAN BUDGET SAMI-TF'!D13:D100000,SUMMARY!D35,'PLAN BUDGET SAMI-TF'!J13:J100000,SUMMARY!A35&amp;"*")</f>
        <v>0</v>
      </c>
      <c r="K35" s="10">
        <f>SUMIFS('PLAN BUDGET SAMI-TF'!AT13:AT100000,'PLAN BUDGET SAMI-TF'!D13:D100000,SUMMARY!D35,'PLAN BUDGET SAMI-TF'!J13:J100000,SUMMARY!A35&amp;"*")</f>
        <v>6950</v>
      </c>
      <c r="L35" s="10">
        <f>SUMIFS('PLAN BUDGET SAMI-TF'!AU13:AU100000,'PLAN BUDGET SAMI-TF'!D13:D100000,SUMMARY!D35,'PLAN BUDGET SAMI-TF'!J13:J100000,SUMMARY!A35&amp;"*")</f>
        <v>0</v>
      </c>
      <c r="M35" s="10">
        <f>SUMIFS('PLAN BUDGET SAMI-TF'!AV13:AV100000,'PLAN BUDGET SAMI-TF'!D13:D100000,SUMMARY!D35,'PLAN BUDGET SAMI-TF'!J13:J100000,SUMMARY!A35&amp;"*")</f>
        <v>0</v>
      </c>
      <c r="N35" s="10">
        <f>SUMIFS('PLAN BUDGET SAMI-TF'!AW13:AW100000,'PLAN BUDGET SAMI-TF'!D13:D100000,SUMMARY!D35,'PLAN BUDGET SAMI-TF'!J13:J100000,SUMMARY!A35&amp;"*")</f>
        <v>0</v>
      </c>
      <c r="O35" s="10">
        <f>SUMIFS('PLAN BUDGET SAMI-TF'!AX13:AX100000,'PLAN BUDGET SAMI-TF'!D13:D100000,SUMMARY!D35,'PLAN BUDGET SAMI-TF'!J13:J100000,SUMMARY!A35&amp;"*")</f>
        <v>0</v>
      </c>
      <c r="P35" s="10">
        <f>SUMIFS('PLAN BUDGET SAMI-TF'!AY13:AY100000,'PLAN BUDGET SAMI-TF'!D13:D100000,SUMMARY!D35,'PLAN BUDGET SAMI-TF'!J13:J100000,SUMMARY!A35&amp;"*")</f>
        <v>0</v>
      </c>
      <c r="Q35" s="10">
        <f>SUMIFS('PLAN BUDGET SAMI-TF'!BC13:BC100000,'PLAN BUDGET SAMI-TF'!D13:D100000,SUMMARY!D35,'PLAN BUDGET SAMI-TF'!J13:J100000,SUMMARY!A35&amp;"*")</f>
        <v>54.989049662627998</v>
      </c>
      <c r="R35" s="10">
        <f>SUMIFS('PLAN BUDGET SAMI-TF'!BD13:BD100000,'PLAN BUDGET SAMI-TF'!D13:D100000,SUMMARY!D35,'PLAN BUDGET SAMI-TF'!J13:J100000,SUMMARY!A35&amp;"*")</f>
        <v>0</v>
      </c>
      <c r="S35" s="10">
        <f>SUMIFS('PLAN BUDGET SAMI-TF'!BE13:BE100000,'PLAN BUDGET SAMI-TF'!D13:D100000,SUMMARY!D35,'PLAN BUDGET SAMI-TF'!J13:J100000,SUMMARY!A35&amp;"*")</f>
        <v>0</v>
      </c>
      <c r="T35" s="10">
        <f>SUMIFS('PLAN BUDGET SAMI-TF'!BF13:BF100000,'PLAN BUDGET SAMI-TF'!D13:D100000,SUMMARY!D35,'PLAN BUDGET SAMI-TF'!J13:J100000,SUMMARY!A35&amp;"*")</f>
        <v>0</v>
      </c>
      <c r="U35" s="10">
        <f>SUMIFS('PLAN BUDGET SAMI-TF'!BG13:BG100000,'PLAN BUDGET SAMI-TF'!D13:D100000,SUMMARY!D35,'PLAN BUDGET SAMI-TF'!J13:J100000,SUMMARY!A35&amp;"*")</f>
        <v>0</v>
      </c>
      <c r="V35" s="10">
        <f>SUMIFS('PLAN BUDGET SAMI-TF'!BH13:BH100000,'PLAN BUDGET SAMI-TF'!D13:D100000,SUMMARY!D35,'PLAN BUDGET SAMI-TF'!J13:J100000,SUMMARY!A35&amp;"*")</f>
        <v>0</v>
      </c>
      <c r="W35" s="10">
        <f>SUMIFS('PLAN BUDGET SAMI-TF'!BI13:BI100000,'PLAN BUDGET SAMI-TF'!D13:D100000,SUMMARY!D35,'PLAN BUDGET SAMI-TF'!J13:J100000,SUMMARY!A35&amp;"*")</f>
        <v>54.989049662627998</v>
      </c>
      <c r="X35" s="10">
        <f>SUMIFS('PLAN BUDGET SAMI-TF'!BJ13:BJ100000,'PLAN BUDGET SAMI-TF'!D13:D100000,SUMMARY!D35,'PLAN BUDGET SAMI-TF'!J13:J100000,SUMMARY!A35&amp;"*")</f>
        <v>0</v>
      </c>
      <c r="Y35" s="10">
        <f>SUMIFS('PLAN BUDGET SAMI-TF'!BK13:BK100000,'PLAN BUDGET SAMI-TF'!D13:D100000,SUMMARY!D35,'PLAN BUDGET SAMI-TF'!J13:J100000,SUMMARY!A35&amp;"*")</f>
        <v>0</v>
      </c>
      <c r="Z35" s="10">
        <f>SUMIFS('PLAN BUDGET SAMI-TF'!BL13:BL100000,'PLAN BUDGET SAMI-TF'!D13:D100000,SUMMARY!D35,'PLAN BUDGET SAMI-TF'!J13:J100000,SUMMARY!A35&amp;"*")</f>
        <v>0</v>
      </c>
      <c r="AA35" s="10">
        <f>SUMIFS('PLAN BUDGET SAMI-TF'!BM13:BM100000,'PLAN BUDGET SAMI-TF'!D13:D100000,SUMMARY!D35,'PLAN BUDGET SAMI-TF'!J13:J100000,SUMMARY!A35&amp;"*")</f>
        <v>0</v>
      </c>
      <c r="AB35" s="10">
        <f>SUMIFS('PLAN BUDGET SAMI-TF'!BN13:BN100000,'PLAN BUDGET SAMI-TF'!D13:D100000,SUMMARY!D35,'PLAN BUDGET SAMI-TF'!J13:J100000,SUMMARY!A35&amp;"*")</f>
        <v>0</v>
      </c>
      <c r="AC35" s="10">
        <f t="shared" si="0"/>
        <v>13900</v>
      </c>
      <c r="AD35" s="10">
        <f t="shared" si="1"/>
        <v>109.978099325256</v>
      </c>
      <c r="AE35" s="16"/>
      <c r="AF35" s="10">
        <v>13900</v>
      </c>
      <c r="AG35" s="10">
        <v>109.97809932526</v>
      </c>
      <c r="AH35" s="20">
        <f t="shared" si="2"/>
        <v>0</v>
      </c>
      <c r="AI35" s="20">
        <f t="shared" si="3"/>
        <v>-3.6438718747401763E-14</v>
      </c>
      <c r="AJ35" s="67"/>
    </row>
    <row r="36" spans="1:36" x14ac:dyDescent="0.35">
      <c r="A36" s="7" t="s">
        <v>48</v>
      </c>
      <c r="B36" s="7"/>
      <c r="C36" s="7"/>
      <c r="D36" s="7" t="s">
        <v>130</v>
      </c>
      <c r="E36" s="10">
        <f>SUMIFS('PLAN BUDGET SAMI-TF'!AN13:AN100000,'PLAN BUDGET SAMI-TF'!D13:D100000,SUMMARY!D36,'PLAN BUDGET SAMI-TF'!J13:J100000,SUMMARY!A36&amp;"*")</f>
        <v>2</v>
      </c>
      <c r="F36" s="10">
        <f>SUMIFS('PLAN BUDGET SAMI-TF'!AO13:AO100000,'PLAN BUDGET SAMI-TF'!D13:D100000,SUMMARY!D36,'PLAN BUDGET SAMI-TF'!J13:J100000,SUMMARY!A36&amp;"*")</f>
        <v>0</v>
      </c>
      <c r="G36" s="10">
        <f>SUMIFS('PLAN BUDGET SAMI-TF'!AP13:AP100000,'PLAN BUDGET SAMI-TF'!D13:D100000,SUMMARY!D36,'PLAN BUDGET SAMI-TF'!J13:J100000,SUMMARY!A36&amp;"*")</f>
        <v>2</v>
      </c>
      <c r="H36" s="10">
        <f>SUMIFS('PLAN BUDGET SAMI-TF'!AQ13:AQ100000,'PLAN BUDGET SAMI-TF'!D13:D100000,SUMMARY!D36,'PLAN BUDGET SAMI-TF'!J13:J100000,SUMMARY!A36&amp;"*")</f>
        <v>0</v>
      </c>
      <c r="I36" s="10">
        <f>SUMIFS('PLAN BUDGET SAMI-TF'!AR13:AR100000,'PLAN BUDGET SAMI-TF'!D13:D100000,SUMMARY!D36,'PLAN BUDGET SAMI-TF'!J13:J100000,SUMMARY!A36&amp;"*")</f>
        <v>0</v>
      </c>
      <c r="J36" s="10">
        <f>SUMIFS('PLAN BUDGET SAMI-TF'!AS13:AS100000,'PLAN BUDGET SAMI-TF'!D13:D100000,SUMMARY!D36,'PLAN BUDGET SAMI-TF'!J13:J100000,SUMMARY!A36&amp;"*")</f>
        <v>2</v>
      </c>
      <c r="K36" s="10">
        <f>SUMIFS('PLAN BUDGET SAMI-TF'!AT13:AT100000,'PLAN BUDGET SAMI-TF'!D13:D100000,SUMMARY!D36,'PLAN BUDGET SAMI-TF'!J13:J100000,SUMMARY!A36&amp;"*")</f>
        <v>0</v>
      </c>
      <c r="L36" s="10">
        <f>SUMIFS('PLAN BUDGET SAMI-TF'!AU13:AU100000,'PLAN BUDGET SAMI-TF'!D13:D100000,SUMMARY!D36,'PLAN BUDGET SAMI-TF'!J13:J100000,SUMMARY!A36&amp;"*")</f>
        <v>0</v>
      </c>
      <c r="M36" s="10">
        <f>SUMIFS('PLAN BUDGET SAMI-TF'!AV13:AV100000,'PLAN BUDGET SAMI-TF'!D13:D100000,SUMMARY!D36,'PLAN BUDGET SAMI-TF'!J13:J100000,SUMMARY!A36&amp;"*")</f>
        <v>3</v>
      </c>
      <c r="N36" s="10">
        <f>SUMIFS('PLAN BUDGET SAMI-TF'!AW13:AW100000,'PLAN BUDGET SAMI-TF'!D13:D100000,SUMMARY!D36,'PLAN BUDGET SAMI-TF'!J13:J100000,SUMMARY!A36&amp;"*")</f>
        <v>0</v>
      </c>
      <c r="O36" s="10">
        <f>SUMIFS('PLAN BUDGET SAMI-TF'!AX13:AX100000,'PLAN BUDGET SAMI-TF'!D13:D100000,SUMMARY!D36,'PLAN BUDGET SAMI-TF'!J13:J100000,SUMMARY!A36&amp;"*")</f>
        <v>0</v>
      </c>
      <c r="P36" s="10">
        <f>SUMIFS('PLAN BUDGET SAMI-TF'!AY13:AY100000,'PLAN BUDGET SAMI-TF'!D13:D100000,SUMMARY!D36,'PLAN BUDGET SAMI-TF'!J13:J100000,SUMMARY!A36&amp;"*")</f>
        <v>3</v>
      </c>
      <c r="Q36" s="10">
        <f>SUMIFS('PLAN BUDGET SAMI-TF'!BC13:BC100000,'PLAN BUDGET SAMI-TF'!D13:D100000,SUMMARY!D36,'PLAN BUDGET SAMI-TF'!J13:J100000,SUMMARY!A36&amp;"*")</f>
        <v>5063.7398250478</v>
      </c>
      <c r="R36" s="10">
        <f>SUMIFS('PLAN BUDGET SAMI-TF'!BD13:BD100000,'PLAN BUDGET SAMI-TF'!D13:D100000,SUMMARY!D36,'PLAN BUDGET SAMI-TF'!J13:J100000,SUMMARY!A36&amp;"*")</f>
        <v>0</v>
      </c>
      <c r="S36" s="10">
        <f>SUMIFS('PLAN BUDGET SAMI-TF'!BE13:BE100000,'PLAN BUDGET SAMI-TF'!D13:D100000,SUMMARY!D36,'PLAN BUDGET SAMI-TF'!J13:J100000,SUMMARY!A36&amp;"*")</f>
        <v>49608.764637373002</v>
      </c>
      <c r="T36" s="10">
        <f>SUMIFS('PLAN BUDGET SAMI-TF'!BF13:BF100000,'PLAN BUDGET SAMI-TF'!D13:D100000,SUMMARY!D36,'PLAN BUDGET SAMI-TF'!J13:J100000,SUMMARY!A36&amp;"*")</f>
        <v>0</v>
      </c>
      <c r="U36" s="10">
        <f>SUMIFS('PLAN BUDGET SAMI-TF'!BG13:BG100000,'PLAN BUDGET SAMI-TF'!D13:D100000,SUMMARY!D36,'PLAN BUDGET SAMI-TF'!J13:J100000,SUMMARY!A36&amp;"*")</f>
        <v>0</v>
      </c>
      <c r="V36" s="10">
        <f>SUMIFS('PLAN BUDGET SAMI-TF'!BH13:BH100000,'PLAN BUDGET SAMI-TF'!D13:D100000,SUMMARY!D36,'PLAN BUDGET SAMI-TF'!J13:J100000,SUMMARY!A36&amp;"*")</f>
        <v>50551.142316407997</v>
      </c>
      <c r="W36" s="10">
        <f>SUMIFS('PLAN BUDGET SAMI-TF'!BI13:BI100000,'PLAN BUDGET SAMI-TF'!D13:D100000,SUMMARY!D36,'PLAN BUDGET SAMI-TF'!J13:J100000,SUMMARY!A36&amp;"*")</f>
        <v>0</v>
      </c>
      <c r="X36" s="10">
        <f>SUMIFS('PLAN BUDGET SAMI-TF'!BJ13:BJ100000,'PLAN BUDGET SAMI-TF'!D13:D100000,SUMMARY!D36,'PLAN BUDGET SAMI-TF'!J13:J100000,SUMMARY!A36&amp;"*")</f>
        <v>0</v>
      </c>
      <c r="Y36" s="10">
        <f>SUMIFS('PLAN BUDGET SAMI-TF'!BK13:BK100000,'PLAN BUDGET SAMI-TF'!D13:D100000,SUMMARY!D36,'PLAN BUDGET SAMI-TF'!J13:J100000,SUMMARY!A36&amp;"*")</f>
        <v>22658.978960160999</v>
      </c>
      <c r="Z36" s="10">
        <f>SUMIFS('PLAN BUDGET SAMI-TF'!BL13:BL100000,'PLAN BUDGET SAMI-TF'!D13:D100000,SUMMARY!D36,'PLAN BUDGET SAMI-TF'!J13:J100000,SUMMARY!A36&amp;"*")</f>
        <v>0</v>
      </c>
      <c r="AA36" s="10">
        <f>SUMIFS('PLAN BUDGET SAMI-TF'!BM13:BM100000,'PLAN BUDGET SAMI-TF'!D13:D100000,SUMMARY!D36,'PLAN BUDGET SAMI-TF'!J13:J100000,SUMMARY!A36&amp;"*")</f>
        <v>0</v>
      </c>
      <c r="AB36" s="10">
        <f>SUMIFS('PLAN BUDGET SAMI-TF'!BN13:BN100000,'PLAN BUDGET SAMI-TF'!D13:D100000,SUMMARY!D36,'PLAN BUDGET SAMI-TF'!J13:J100000,SUMMARY!A36&amp;"*")</f>
        <v>29232.524843973901</v>
      </c>
      <c r="AC36" s="10">
        <f t="shared" si="0"/>
        <v>12</v>
      </c>
      <c r="AD36" s="10">
        <f t="shared" si="1"/>
        <v>157115.15058296369</v>
      </c>
      <c r="AE36" s="16"/>
      <c r="AF36" s="10">
        <v>12</v>
      </c>
      <c r="AG36" s="10">
        <v>163700.24372413001</v>
      </c>
      <c r="AH36" s="20">
        <f t="shared" si="2"/>
        <v>0</v>
      </c>
      <c r="AI36" s="20">
        <f t="shared" si="3"/>
        <v>-4.0226532296821819E-2</v>
      </c>
      <c r="AJ36" s="67" t="s">
        <v>364</v>
      </c>
    </row>
    <row r="37" spans="1:36" x14ac:dyDescent="0.35">
      <c r="A37" s="7" t="s">
        <v>48</v>
      </c>
      <c r="B37" s="7"/>
      <c r="C37" s="7"/>
      <c r="D37" s="7" t="s">
        <v>160</v>
      </c>
      <c r="E37" s="10">
        <f>SUMIFS('PLAN BUDGET SAMI-TF'!AN13:AN100000,'PLAN BUDGET SAMI-TF'!D13:D100000,SUMMARY!D37,'PLAN BUDGET SAMI-TF'!J13:J100000,SUMMARY!A37&amp;"*")</f>
        <v>0</v>
      </c>
      <c r="F37" s="10">
        <f>SUMIFS('PLAN BUDGET SAMI-TF'!AO13:AO100000,'PLAN BUDGET SAMI-TF'!D13:D100000,SUMMARY!D37,'PLAN BUDGET SAMI-TF'!J13:J100000,SUMMARY!A37&amp;"*")</f>
        <v>4</v>
      </c>
      <c r="G37" s="10">
        <f>SUMIFS('PLAN BUDGET SAMI-TF'!AP13:AP100000,'PLAN BUDGET SAMI-TF'!D13:D100000,SUMMARY!D37,'PLAN BUDGET SAMI-TF'!J13:J100000,SUMMARY!A37&amp;"*")</f>
        <v>0</v>
      </c>
      <c r="H37" s="10">
        <f>SUMIFS('PLAN BUDGET SAMI-TF'!AQ13:AQ100000,'PLAN BUDGET SAMI-TF'!D13:D100000,SUMMARY!D37,'PLAN BUDGET SAMI-TF'!J13:J100000,SUMMARY!A37&amp;"*")</f>
        <v>0</v>
      </c>
      <c r="I37" s="10">
        <f>SUMIFS('PLAN BUDGET SAMI-TF'!AR13:AR100000,'PLAN BUDGET SAMI-TF'!D13:D100000,SUMMARY!D37,'PLAN BUDGET SAMI-TF'!J13:J100000,SUMMARY!A37&amp;"*")</f>
        <v>0</v>
      </c>
      <c r="J37" s="10">
        <f>SUMIFS('PLAN BUDGET SAMI-TF'!AS13:AS100000,'PLAN BUDGET SAMI-TF'!D13:D100000,SUMMARY!D37,'PLAN BUDGET SAMI-TF'!J13:J100000,SUMMARY!A37&amp;"*")</f>
        <v>0</v>
      </c>
      <c r="K37" s="10">
        <f>SUMIFS('PLAN BUDGET SAMI-TF'!AT13:AT100000,'PLAN BUDGET SAMI-TF'!D13:D100000,SUMMARY!D37,'PLAN BUDGET SAMI-TF'!J13:J100000,SUMMARY!A37&amp;"*")</f>
        <v>0</v>
      </c>
      <c r="L37" s="10">
        <f>SUMIFS('PLAN BUDGET SAMI-TF'!AU13:AU100000,'PLAN BUDGET SAMI-TF'!D13:D100000,SUMMARY!D37,'PLAN BUDGET SAMI-TF'!J13:J100000,SUMMARY!A37&amp;"*")</f>
        <v>0</v>
      </c>
      <c r="M37" s="10">
        <f>SUMIFS('PLAN BUDGET SAMI-TF'!AV13:AV100000,'PLAN BUDGET SAMI-TF'!D13:D100000,SUMMARY!D37,'PLAN BUDGET SAMI-TF'!J13:J100000,SUMMARY!A37&amp;"*")</f>
        <v>0</v>
      </c>
      <c r="N37" s="10">
        <f>SUMIFS('PLAN BUDGET SAMI-TF'!AW13:AW100000,'PLAN BUDGET SAMI-TF'!D13:D100000,SUMMARY!D37,'PLAN BUDGET SAMI-TF'!J13:J100000,SUMMARY!A37&amp;"*")</f>
        <v>0</v>
      </c>
      <c r="O37" s="10">
        <f>SUMIFS('PLAN BUDGET SAMI-TF'!AX13:AX100000,'PLAN BUDGET SAMI-TF'!D13:D100000,SUMMARY!D37,'PLAN BUDGET SAMI-TF'!J13:J100000,SUMMARY!A37&amp;"*")</f>
        <v>0</v>
      </c>
      <c r="P37" s="10">
        <f>SUMIFS('PLAN BUDGET SAMI-TF'!AY13:AY100000,'PLAN BUDGET SAMI-TF'!D13:D100000,SUMMARY!D37,'PLAN BUDGET SAMI-TF'!J13:J100000,SUMMARY!A37&amp;"*")</f>
        <v>0</v>
      </c>
      <c r="Q37" s="10">
        <f>SUMIFS('PLAN BUDGET SAMI-TF'!BC13:BC100000,'PLAN BUDGET SAMI-TF'!D13:D100000,SUMMARY!D37,'PLAN BUDGET SAMI-TF'!J13:J100000,SUMMARY!A37&amp;"*")</f>
        <v>0</v>
      </c>
      <c r="R37" s="10">
        <f>SUMIFS('PLAN BUDGET SAMI-TF'!BD13:BD100000,'PLAN BUDGET SAMI-TF'!D13:D100000,SUMMARY!D37,'PLAN BUDGET SAMI-TF'!J13:J100000,SUMMARY!A37&amp;"*")</f>
        <v>5.0637398250477998</v>
      </c>
      <c r="S37" s="10">
        <f>SUMIFS('PLAN BUDGET SAMI-TF'!BE13:BE100000,'PLAN BUDGET SAMI-TF'!D13:D100000,SUMMARY!D37,'PLAN BUDGET SAMI-TF'!J13:J100000,SUMMARY!A37&amp;"*")</f>
        <v>0</v>
      </c>
      <c r="T37" s="10">
        <f>SUMIFS('PLAN BUDGET SAMI-TF'!BF13:BF100000,'PLAN BUDGET SAMI-TF'!D13:D100000,SUMMARY!D37,'PLAN BUDGET SAMI-TF'!J13:J100000,SUMMARY!A37&amp;"*")</f>
        <v>0</v>
      </c>
      <c r="U37" s="10">
        <f>SUMIFS('PLAN BUDGET SAMI-TF'!BG13:BG100000,'PLAN BUDGET SAMI-TF'!D13:D100000,SUMMARY!D37,'PLAN BUDGET SAMI-TF'!J13:J100000,SUMMARY!A37&amp;"*")</f>
        <v>0</v>
      </c>
      <c r="V37" s="10">
        <f>SUMIFS('PLAN BUDGET SAMI-TF'!BH13:BH100000,'PLAN BUDGET SAMI-TF'!D13:D100000,SUMMARY!D37,'PLAN BUDGET SAMI-TF'!J13:J100000,SUMMARY!A37&amp;"*")</f>
        <v>0</v>
      </c>
      <c r="W37" s="10">
        <f>SUMIFS('PLAN BUDGET SAMI-TF'!BI13:BI100000,'PLAN BUDGET SAMI-TF'!D13:D100000,SUMMARY!D37,'PLAN BUDGET SAMI-TF'!J13:J100000,SUMMARY!A37&amp;"*")</f>
        <v>0</v>
      </c>
      <c r="X37" s="10">
        <f>SUMIFS('PLAN BUDGET SAMI-TF'!BJ13:BJ100000,'PLAN BUDGET SAMI-TF'!D13:D100000,SUMMARY!D37,'PLAN BUDGET SAMI-TF'!J13:J100000,SUMMARY!A37&amp;"*")</f>
        <v>0</v>
      </c>
      <c r="Y37" s="10">
        <f>SUMIFS('PLAN BUDGET SAMI-TF'!BK13:BK100000,'PLAN BUDGET SAMI-TF'!D13:D100000,SUMMARY!D37,'PLAN BUDGET SAMI-TF'!J13:J100000,SUMMARY!A37&amp;"*")</f>
        <v>0</v>
      </c>
      <c r="Z37" s="10">
        <f>SUMIFS('PLAN BUDGET SAMI-TF'!BL13:BL100000,'PLAN BUDGET SAMI-TF'!D13:D100000,SUMMARY!D37,'PLAN BUDGET SAMI-TF'!J13:J100000,SUMMARY!A37&amp;"*")</f>
        <v>0</v>
      </c>
      <c r="AA37" s="10">
        <f>SUMIFS('PLAN BUDGET SAMI-TF'!BM13:BM100000,'PLAN BUDGET SAMI-TF'!D13:D100000,SUMMARY!D37,'PLAN BUDGET SAMI-TF'!J13:J100000,SUMMARY!A37&amp;"*")</f>
        <v>0</v>
      </c>
      <c r="AB37" s="10">
        <f>SUMIFS('PLAN BUDGET SAMI-TF'!BN13:BN100000,'PLAN BUDGET SAMI-TF'!D13:D100000,SUMMARY!D37,'PLAN BUDGET SAMI-TF'!J13:J100000,SUMMARY!A37&amp;"*")</f>
        <v>0</v>
      </c>
      <c r="AC37" s="10">
        <f t="shared" si="0"/>
        <v>4</v>
      </c>
      <c r="AD37" s="10">
        <f t="shared" si="1"/>
        <v>5.0637398250477998</v>
      </c>
      <c r="AE37" s="16"/>
      <c r="AF37" s="10">
        <v>4</v>
      </c>
      <c r="AG37" s="10">
        <v>5.0637398250477998</v>
      </c>
      <c r="AH37" s="20">
        <f t="shared" si="2"/>
        <v>0</v>
      </c>
      <c r="AI37" s="20">
        <f t="shared" si="3"/>
        <v>0</v>
      </c>
      <c r="AJ37" s="67"/>
    </row>
    <row r="38" spans="1:36" x14ac:dyDescent="0.35">
      <c r="A38" s="7" t="s">
        <v>48</v>
      </c>
      <c r="B38" s="7"/>
      <c r="C38" s="7"/>
      <c r="D38" s="7" t="s">
        <v>108</v>
      </c>
      <c r="E38" s="10">
        <f>SUMIFS('PLAN BUDGET SAMI-TF'!AN13:AN100000,'PLAN BUDGET SAMI-TF'!D13:D100000,SUMMARY!D38,'PLAN BUDGET SAMI-TF'!J13:J100000,SUMMARY!A38&amp;"*")</f>
        <v>2</v>
      </c>
      <c r="F38" s="10">
        <f>SUMIFS('PLAN BUDGET SAMI-TF'!AO13:AO100000,'PLAN BUDGET SAMI-TF'!D13:D100000,SUMMARY!D38,'PLAN BUDGET SAMI-TF'!J13:J100000,SUMMARY!A38&amp;"*")</f>
        <v>0</v>
      </c>
      <c r="G38" s="10">
        <f>SUMIFS('PLAN BUDGET SAMI-TF'!AP13:AP100000,'PLAN BUDGET SAMI-TF'!D13:D100000,SUMMARY!D38,'PLAN BUDGET SAMI-TF'!J13:J100000,SUMMARY!A38&amp;"*")</f>
        <v>0</v>
      </c>
      <c r="H38" s="10">
        <f>SUMIFS('PLAN BUDGET SAMI-TF'!AQ13:AQ100000,'PLAN BUDGET SAMI-TF'!D13:D100000,SUMMARY!D38,'PLAN BUDGET SAMI-TF'!J13:J100000,SUMMARY!A38&amp;"*")</f>
        <v>0</v>
      </c>
      <c r="I38" s="10">
        <f>SUMIFS('PLAN BUDGET SAMI-TF'!AR13:AR100000,'PLAN BUDGET SAMI-TF'!D13:D100000,SUMMARY!D38,'PLAN BUDGET SAMI-TF'!J13:J100000,SUMMARY!A38&amp;"*")</f>
        <v>0</v>
      </c>
      <c r="J38" s="10">
        <f>SUMIFS('PLAN BUDGET SAMI-TF'!AS13:AS100000,'PLAN BUDGET SAMI-TF'!D13:D100000,SUMMARY!D38,'PLAN BUDGET SAMI-TF'!J13:J100000,SUMMARY!A38&amp;"*")</f>
        <v>0</v>
      </c>
      <c r="K38" s="10">
        <f>SUMIFS('PLAN BUDGET SAMI-TF'!AT13:AT100000,'PLAN BUDGET SAMI-TF'!D13:D100000,SUMMARY!D38,'PLAN BUDGET SAMI-TF'!J13:J100000,SUMMARY!A38&amp;"*")</f>
        <v>2</v>
      </c>
      <c r="L38" s="10">
        <f>SUMIFS('PLAN BUDGET SAMI-TF'!AU13:AU100000,'PLAN BUDGET SAMI-TF'!D13:D100000,SUMMARY!D38,'PLAN BUDGET SAMI-TF'!J13:J100000,SUMMARY!A38&amp;"*")</f>
        <v>0</v>
      </c>
      <c r="M38" s="10">
        <f>SUMIFS('PLAN BUDGET SAMI-TF'!AV13:AV100000,'PLAN BUDGET SAMI-TF'!D13:D100000,SUMMARY!D38,'PLAN BUDGET SAMI-TF'!J13:J100000,SUMMARY!A38&amp;"*")</f>
        <v>0</v>
      </c>
      <c r="N38" s="10">
        <f>SUMIFS('PLAN BUDGET SAMI-TF'!AW13:AW100000,'PLAN BUDGET SAMI-TF'!D13:D100000,SUMMARY!D38,'PLAN BUDGET SAMI-TF'!J13:J100000,SUMMARY!A38&amp;"*")</f>
        <v>0</v>
      </c>
      <c r="O38" s="10">
        <f>SUMIFS('PLAN BUDGET SAMI-TF'!AX13:AX100000,'PLAN BUDGET SAMI-TF'!D13:D100000,SUMMARY!D38,'PLAN BUDGET SAMI-TF'!J13:J100000,SUMMARY!A38&amp;"*")</f>
        <v>0</v>
      </c>
      <c r="P38" s="10">
        <f>SUMIFS('PLAN BUDGET SAMI-TF'!AY13:AY100000,'PLAN BUDGET SAMI-TF'!D13:D100000,SUMMARY!D38,'PLAN BUDGET SAMI-TF'!J13:J100000,SUMMARY!A38&amp;"*")</f>
        <v>0</v>
      </c>
      <c r="Q38" s="10">
        <f>SUMIFS('PLAN BUDGET SAMI-TF'!BC13:BC100000,'PLAN BUDGET SAMI-TF'!D13:D100000,SUMMARY!D38,'PLAN BUDGET SAMI-TF'!J13:J100000,SUMMARY!A38&amp;"*")</f>
        <v>36.079146253464998</v>
      </c>
      <c r="R38" s="10">
        <f>SUMIFS('PLAN BUDGET SAMI-TF'!BD13:BD100000,'PLAN BUDGET SAMI-TF'!D13:D100000,SUMMARY!D38,'PLAN BUDGET SAMI-TF'!J13:J100000,SUMMARY!A38&amp;"*")</f>
        <v>0</v>
      </c>
      <c r="S38" s="10">
        <f>SUMIFS('PLAN BUDGET SAMI-TF'!BE13:BE100000,'PLAN BUDGET SAMI-TF'!D13:D100000,SUMMARY!D38,'PLAN BUDGET SAMI-TF'!J13:J100000,SUMMARY!A38&amp;"*")</f>
        <v>0</v>
      </c>
      <c r="T38" s="10">
        <f>SUMIFS('PLAN BUDGET SAMI-TF'!BF13:BF100000,'PLAN BUDGET SAMI-TF'!D13:D100000,SUMMARY!D38,'PLAN BUDGET SAMI-TF'!J13:J100000,SUMMARY!A38&amp;"*")</f>
        <v>0</v>
      </c>
      <c r="U38" s="10">
        <f>SUMIFS('PLAN BUDGET SAMI-TF'!BG13:BG100000,'PLAN BUDGET SAMI-TF'!D13:D100000,SUMMARY!D38,'PLAN BUDGET SAMI-TF'!J13:J100000,SUMMARY!A38&amp;"*")</f>
        <v>0</v>
      </c>
      <c r="V38" s="10">
        <f>SUMIFS('PLAN BUDGET SAMI-TF'!BH13:BH100000,'PLAN BUDGET SAMI-TF'!D13:D100000,SUMMARY!D38,'PLAN BUDGET SAMI-TF'!J13:J100000,SUMMARY!A38&amp;"*")</f>
        <v>0</v>
      </c>
      <c r="W38" s="10">
        <f>SUMIFS('PLAN BUDGET SAMI-TF'!BI13:BI100000,'PLAN BUDGET SAMI-TF'!D13:D100000,SUMMARY!D38,'PLAN BUDGET SAMI-TF'!J13:J100000,SUMMARY!A38&amp;"*")</f>
        <v>36.079146253464998</v>
      </c>
      <c r="X38" s="10">
        <f>SUMIFS('PLAN BUDGET SAMI-TF'!BJ13:BJ100000,'PLAN BUDGET SAMI-TF'!D13:D100000,SUMMARY!D38,'PLAN BUDGET SAMI-TF'!J13:J100000,SUMMARY!A38&amp;"*")</f>
        <v>0</v>
      </c>
      <c r="Y38" s="10">
        <f>SUMIFS('PLAN BUDGET SAMI-TF'!BK13:BK100000,'PLAN BUDGET SAMI-TF'!D13:D100000,SUMMARY!D38,'PLAN BUDGET SAMI-TF'!J13:J100000,SUMMARY!A38&amp;"*")</f>
        <v>0</v>
      </c>
      <c r="Z38" s="10">
        <f>SUMIFS('PLAN BUDGET SAMI-TF'!BL13:BL100000,'PLAN BUDGET SAMI-TF'!D13:D100000,SUMMARY!D38,'PLAN BUDGET SAMI-TF'!J13:J100000,SUMMARY!A38&amp;"*")</f>
        <v>0</v>
      </c>
      <c r="AA38" s="10">
        <f>SUMIFS('PLAN BUDGET SAMI-TF'!BM13:BM100000,'PLAN BUDGET SAMI-TF'!D13:D100000,SUMMARY!D38,'PLAN BUDGET SAMI-TF'!J13:J100000,SUMMARY!A38&amp;"*")</f>
        <v>0</v>
      </c>
      <c r="AB38" s="10">
        <f>SUMIFS('PLAN BUDGET SAMI-TF'!BN13:BN100000,'PLAN BUDGET SAMI-TF'!D13:D100000,SUMMARY!D38,'PLAN BUDGET SAMI-TF'!J13:J100000,SUMMARY!A38&amp;"*")</f>
        <v>0</v>
      </c>
      <c r="AC38" s="10">
        <f t="shared" si="0"/>
        <v>4</v>
      </c>
      <c r="AD38" s="10">
        <f t="shared" si="1"/>
        <v>72.158292506929996</v>
      </c>
      <c r="AE38" s="16"/>
      <c r="AF38" s="10">
        <v>4</v>
      </c>
      <c r="AG38" s="10">
        <v>69.626422594407003</v>
      </c>
      <c r="AH38" s="20">
        <f t="shared" si="2"/>
        <v>0</v>
      </c>
      <c r="AI38" s="20">
        <f t="shared" si="3"/>
        <v>3.6363636363623462E-2</v>
      </c>
      <c r="AJ38" s="67" t="s">
        <v>349</v>
      </c>
    </row>
    <row r="39" spans="1:36" x14ac:dyDescent="0.35">
      <c r="A39" s="7" t="s">
        <v>48</v>
      </c>
      <c r="B39" s="7"/>
      <c r="C39" s="7"/>
      <c r="D39" s="7" t="s">
        <v>213</v>
      </c>
      <c r="E39" s="10">
        <f>SUMIFS('PLAN BUDGET SAMI-TF'!AN13:AN100000,'PLAN BUDGET SAMI-TF'!D13:D100000,SUMMARY!D39,'PLAN BUDGET SAMI-TF'!J13:J100000,SUMMARY!A39&amp;"*")</f>
        <v>0</v>
      </c>
      <c r="F39" s="10">
        <f>SUMIFS('PLAN BUDGET SAMI-TF'!AO13:AO100000,'PLAN BUDGET SAMI-TF'!D13:D100000,SUMMARY!D39,'PLAN BUDGET SAMI-TF'!J13:J100000,SUMMARY!A39&amp;"*")</f>
        <v>29</v>
      </c>
      <c r="G39" s="10">
        <f>SUMIFS('PLAN BUDGET SAMI-TF'!AP13:AP100000,'PLAN BUDGET SAMI-TF'!D13:D100000,SUMMARY!D39,'PLAN BUDGET SAMI-TF'!J13:J100000,SUMMARY!A39&amp;"*")</f>
        <v>0</v>
      </c>
      <c r="H39" s="10">
        <f>SUMIFS('PLAN BUDGET SAMI-TF'!AQ13:AQ100000,'PLAN BUDGET SAMI-TF'!D13:D100000,SUMMARY!D39,'PLAN BUDGET SAMI-TF'!J13:J100000,SUMMARY!A39&amp;"*")</f>
        <v>0</v>
      </c>
      <c r="I39" s="10">
        <f>SUMIFS('PLAN BUDGET SAMI-TF'!AR13:AR100000,'PLAN BUDGET SAMI-TF'!D13:D100000,SUMMARY!D39,'PLAN BUDGET SAMI-TF'!J13:J100000,SUMMARY!A39&amp;"*")</f>
        <v>0</v>
      </c>
      <c r="J39" s="10">
        <f>SUMIFS('PLAN BUDGET SAMI-TF'!AS13:AS100000,'PLAN BUDGET SAMI-TF'!D13:D100000,SUMMARY!D39,'PLAN BUDGET SAMI-TF'!J13:J100000,SUMMARY!A39&amp;"*")</f>
        <v>0</v>
      </c>
      <c r="K39" s="10">
        <f>SUMIFS('PLAN BUDGET SAMI-TF'!AT13:AT100000,'PLAN BUDGET SAMI-TF'!D13:D100000,SUMMARY!D39,'PLAN BUDGET SAMI-TF'!J13:J100000,SUMMARY!A39&amp;"*")</f>
        <v>27</v>
      </c>
      <c r="L39" s="10">
        <f>SUMIFS('PLAN BUDGET SAMI-TF'!AU13:AU100000,'PLAN BUDGET SAMI-TF'!D13:D100000,SUMMARY!D39,'PLAN BUDGET SAMI-TF'!J13:J100000,SUMMARY!A39&amp;"*")</f>
        <v>0</v>
      </c>
      <c r="M39" s="10">
        <f>SUMIFS('PLAN BUDGET SAMI-TF'!AV13:AV100000,'PLAN BUDGET SAMI-TF'!D13:D100000,SUMMARY!D39,'PLAN BUDGET SAMI-TF'!J13:J100000,SUMMARY!A39&amp;"*")</f>
        <v>0</v>
      </c>
      <c r="N39" s="10">
        <f>SUMIFS('PLAN BUDGET SAMI-TF'!AW13:AW100000,'PLAN BUDGET SAMI-TF'!D13:D100000,SUMMARY!D39,'PLAN BUDGET SAMI-TF'!J13:J100000,SUMMARY!A39&amp;"*")</f>
        <v>3</v>
      </c>
      <c r="O39" s="10">
        <f>SUMIFS('PLAN BUDGET SAMI-TF'!AX13:AX100000,'PLAN BUDGET SAMI-TF'!D13:D100000,SUMMARY!D39,'PLAN BUDGET SAMI-TF'!J13:J100000,SUMMARY!A39&amp;"*")</f>
        <v>0</v>
      </c>
      <c r="P39" s="10">
        <f>SUMIFS('PLAN BUDGET SAMI-TF'!AY13:AY100000,'PLAN BUDGET SAMI-TF'!D13:D100000,SUMMARY!D39,'PLAN BUDGET SAMI-TF'!J13:J100000,SUMMARY!A39&amp;"*")</f>
        <v>0</v>
      </c>
      <c r="Q39" s="10">
        <f>SUMIFS('PLAN BUDGET SAMI-TF'!BC13:BC100000,'PLAN BUDGET SAMI-TF'!D13:D100000,SUMMARY!D39,'PLAN BUDGET SAMI-TF'!J13:J100000,SUMMARY!A39&amp;"*")</f>
        <v>0</v>
      </c>
      <c r="R39" s="10">
        <f>SUMIFS('PLAN BUDGET SAMI-TF'!BD13:BD100000,'PLAN BUDGET SAMI-TF'!D13:D100000,SUMMARY!D39,'PLAN BUDGET SAMI-TF'!J13:J100000,SUMMARY!A39&amp;"*")</f>
        <v>61.081361639638999</v>
      </c>
      <c r="S39" s="10">
        <f>SUMIFS('PLAN BUDGET SAMI-TF'!BE13:BE100000,'PLAN BUDGET SAMI-TF'!D13:D100000,SUMMARY!D39,'PLAN BUDGET SAMI-TF'!J13:J100000,SUMMARY!A39&amp;"*")</f>
        <v>0</v>
      </c>
      <c r="T39" s="10">
        <f>SUMIFS('PLAN BUDGET SAMI-TF'!BF13:BF100000,'PLAN BUDGET SAMI-TF'!D13:D100000,SUMMARY!D39,'PLAN BUDGET SAMI-TF'!J13:J100000,SUMMARY!A39&amp;"*")</f>
        <v>0</v>
      </c>
      <c r="U39" s="10">
        <f>SUMIFS('PLAN BUDGET SAMI-TF'!BG13:BG100000,'PLAN BUDGET SAMI-TF'!D13:D100000,SUMMARY!D39,'PLAN BUDGET SAMI-TF'!J13:J100000,SUMMARY!A39&amp;"*")</f>
        <v>0</v>
      </c>
      <c r="V39" s="10">
        <f>SUMIFS('PLAN BUDGET SAMI-TF'!BH13:BH100000,'PLAN BUDGET SAMI-TF'!D13:D100000,SUMMARY!D39,'PLAN BUDGET SAMI-TF'!J13:J100000,SUMMARY!A39&amp;"*")</f>
        <v>0</v>
      </c>
      <c r="W39" s="10">
        <f>SUMIFS('PLAN BUDGET SAMI-TF'!BI13:BI100000,'PLAN BUDGET SAMI-TF'!D13:D100000,SUMMARY!D39,'PLAN BUDGET SAMI-TF'!J13:J100000,SUMMARY!A39&amp;"*")</f>
        <v>57.600040509918699</v>
      </c>
      <c r="X39" s="10">
        <f>SUMIFS('PLAN BUDGET SAMI-TF'!BJ13:BJ100000,'PLAN BUDGET SAMI-TF'!D13:D100000,SUMMARY!D39,'PLAN BUDGET SAMI-TF'!J13:J100000,SUMMARY!A39&amp;"*")</f>
        <v>0</v>
      </c>
      <c r="Y39" s="10">
        <f>SUMIFS('PLAN BUDGET SAMI-TF'!BK13:BK100000,'PLAN BUDGET SAMI-TF'!D13:D100000,SUMMARY!D39,'PLAN BUDGET SAMI-TF'!J13:J100000,SUMMARY!A39&amp;"*")</f>
        <v>0</v>
      </c>
      <c r="Z39" s="10">
        <f>SUMIFS('PLAN BUDGET SAMI-TF'!BL13:BL100000,'PLAN BUDGET SAMI-TF'!D13:D100000,SUMMARY!D39,'PLAN BUDGET SAMI-TF'!J13:J100000,SUMMARY!A39&amp;"*")</f>
        <v>195</v>
      </c>
      <c r="AA39" s="10">
        <f>SUMIFS('PLAN BUDGET SAMI-TF'!BM13:BM100000,'PLAN BUDGET SAMI-TF'!D13:D100000,SUMMARY!D39,'PLAN BUDGET SAMI-TF'!J13:J100000,SUMMARY!A39&amp;"*")</f>
        <v>0</v>
      </c>
      <c r="AB39" s="10">
        <f>SUMIFS('PLAN BUDGET SAMI-TF'!BN13:BN100000,'PLAN BUDGET SAMI-TF'!D13:D100000,SUMMARY!D39,'PLAN BUDGET SAMI-TF'!J13:J100000,SUMMARY!A39&amp;"*")</f>
        <v>0</v>
      </c>
      <c r="AC39" s="10">
        <f t="shared" si="0"/>
        <v>59</v>
      </c>
      <c r="AD39" s="10">
        <f t="shared" si="1"/>
        <v>313.6814021495577</v>
      </c>
      <c r="AE39" s="16"/>
      <c r="AF39" s="10">
        <v>29</v>
      </c>
      <c r="AG39" s="10">
        <v>344.53856670843999</v>
      </c>
      <c r="AH39" s="20">
        <f t="shared" si="2"/>
        <v>1.0344827586206897</v>
      </c>
      <c r="AI39" s="20">
        <f t="shared" si="3"/>
        <v>-8.9560843227732612E-2</v>
      </c>
      <c r="AJ39" s="67" t="s">
        <v>352</v>
      </c>
    </row>
    <row r="40" spans="1:36" x14ac:dyDescent="0.35">
      <c r="A40" s="7" t="s">
        <v>228</v>
      </c>
      <c r="B40" s="7"/>
      <c r="C40" s="7"/>
      <c r="D40" s="7" t="s">
        <v>233</v>
      </c>
      <c r="E40" s="10">
        <f>SUMIFS('PLAN BUDGET SAMI-TF'!AN13:AN100000,'PLAN BUDGET SAMI-TF'!D13:D100000,SUMMARY!D40,'PLAN BUDGET SAMI-TF'!J13:J100000,SUMMARY!A40&amp;"*")</f>
        <v>0</v>
      </c>
      <c r="F40" s="10">
        <f>SUMIFS('PLAN BUDGET SAMI-TF'!AO13:AO100000,'PLAN BUDGET SAMI-TF'!D13:D100000,SUMMARY!D40,'PLAN BUDGET SAMI-TF'!J13:J100000,SUMMARY!A40&amp;"*")</f>
        <v>2</v>
      </c>
      <c r="G40" s="10">
        <f>SUMIFS('PLAN BUDGET SAMI-TF'!AP13:AP100000,'PLAN BUDGET SAMI-TF'!D13:D100000,SUMMARY!D40,'PLAN BUDGET SAMI-TF'!J13:J100000,SUMMARY!A40&amp;"*")</f>
        <v>0</v>
      </c>
      <c r="H40" s="10">
        <f>SUMIFS('PLAN BUDGET SAMI-TF'!AQ13:AQ100000,'PLAN BUDGET SAMI-TF'!D13:D100000,SUMMARY!D40,'PLAN BUDGET SAMI-TF'!J13:J100000,SUMMARY!A40&amp;"*")</f>
        <v>0</v>
      </c>
      <c r="I40" s="10">
        <f>SUMIFS('PLAN BUDGET SAMI-TF'!AR13:AR100000,'PLAN BUDGET SAMI-TF'!D13:D100000,SUMMARY!D40,'PLAN BUDGET SAMI-TF'!J13:J100000,SUMMARY!A40&amp;"*")</f>
        <v>3</v>
      </c>
      <c r="J40" s="10">
        <f>SUMIFS('PLAN BUDGET SAMI-TF'!AS13:AS100000,'PLAN BUDGET SAMI-TF'!D13:D100000,SUMMARY!D40,'PLAN BUDGET SAMI-TF'!J13:J100000,SUMMARY!A40&amp;"*")</f>
        <v>0</v>
      </c>
      <c r="K40" s="10">
        <f>SUMIFS('PLAN BUDGET SAMI-TF'!AT13:AT100000,'PLAN BUDGET SAMI-TF'!D13:D100000,SUMMARY!D40,'PLAN BUDGET SAMI-TF'!J13:J100000,SUMMARY!A40&amp;"*")</f>
        <v>0</v>
      </c>
      <c r="L40" s="10">
        <f>SUMIFS('PLAN BUDGET SAMI-TF'!AU13:AU100000,'PLAN BUDGET SAMI-TF'!D13:D100000,SUMMARY!D40,'PLAN BUDGET SAMI-TF'!J13:J100000,SUMMARY!A40&amp;"*")</f>
        <v>0</v>
      </c>
      <c r="M40" s="10">
        <f>SUMIFS('PLAN BUDGET SAMI-TF'!AV13:AV100000,'PLAN BUDGET SAMI-TF'!D13:D100000,SUMMARY!D40,'PLAN BUDGET SAMI-TF'!J13:J100000,SUMMARY!A40&amp;"*")</f>
        <v>0</v>
      </c>
      <c r="N40" s="10">
        <f>SUMIFS('PLAN BUDGET SAMI-TF'!AW13:AW100000,'PLAN BUDGET SAMI-TF'!D13:D100000,SUMMARY!D40,'PLAN BUDGET SAMI-TF'!J13:J100000,SUMMARY!A40&amp;"*")</f>
        <v>0</v>
      </c>
      <c r="O40" s="10">
        <f>SUMIFS('PLAN BUDGET SAMI-TF'!AX13:AX100000,'PLAN BUDGET SAMI-TF'!D13:D100000,SUMMARY!D40,'PLAN BUDGET SAMI-TF'!J13:J100000,SUMMARY!A40&amp;"*")</f>
        <v>0</v>
      </c>
      <c r="P40" s="10">
        <f>SUMIFS('PLAN BUDGET SAMI-TF'!AY13:AY100000,'PLAN BUDGET SAMI-TF'!D13:D100000,SUMMARY!D40,'PLAN BUDGET SAMI-TF'!J13:J100000,SUMMARY!A40&amp;"*")</f>
        <v>0</v>
      </c>
      <c r="Q40" s="10">
        <f>SUMIFS('PLAN BUDGET SAMI-TF'!BC13:BC100000,'PLAN BUDGET SAMI-TF'!D13:D100000,SUMMARY!D40,'PLAN BUDGET SAMI-TF'!J13:J100000,SUMMARY!A40&amp;"*")</f>
        <v>0</v>
      </c>
      <c r="R40" s="10">
        <f>SUMIFS('PLAN BUDGET SAMI-TF'!BD13:BD100000,'PLAN BUDGET SAMI-TF'!D13:D100000,SUMMARY!D40,'PLAN BUDGET SAMI-TF'!J13:J100000,SUMMARY!A40&amp;"*")</f>
        <v>696.26422594406995</v>
      </c>
      <c r="S40" s="10">
        <f>SUMIFS('PLAN BUDGET SAMI-TF'!BE13:BE100000,'PLAN BUDGET SAMI-TF'!D13:D100000,SUMMARY!D40,'PLAN BUDGET SAMI-TF'!J13:J100000,SUMMARY!A40&amp;"*")</f>
        <v>0</v>
      </c>
      <c r="T40" s="10">
        <f>SUMIFS('PLAN BUDGET SAMI-TF'!BF13:BF100000,'PLAN BUDGET SAMI-TF'!D13:D100000,SUMMARY!D40,'PLAN BUDGET SAMI-TF'!J13:J100000,SUMMARY!A40&amp;"*")</f>
        <v>0</v>
      </c>
      <c r="U40" s="10">
        <f>SUMIFS('PLAN BUDGET SAMI-TF'!BG13:BG100000,'PLAN BUDGET SAMI-TF'!D13:D100000,SUMMARY!D40,'PLAN BUDGET SAMI-TF'!J13:J100000,SUMMARY!A40&amp;"*")</f>
        <v>854.50609547681006</v>
      </c>
      <c r="V40" s="10">
        <f>SUMIFS('PLAN BUDGET SAMI-TF'!BH13:BH100000,'PLAN BUDGET SAMI-TF'!D13:D100000,SUMMARY!D40,'PLAN BUDGET SAMI-TF'!J13:J100000,SUMMARY!A40&amp;"*")</f>
        <v>0</v>
      </c>
      <c r="W40" s="10">
        <f>SUMIFS('PLAN BUDGET SAMI-TF'!BI13:BI100000,'PLAN BUDGET SAMI-TF'!D13:D100000,SUMMARY!D40,'PLAN BUDGET SAMI-TF'!J13:J100000,SUMMARY!A40&amp;"*")</f>
        <v>0</v>
      </c>
      <c r="X40" s="10">
        <f>SUMIFS('PLAN BUDGET SAMI-TF'!BJ13:BJ100000,'PLAN BUDGET SAMI-TF'!D13:D100000,SUMMARY!D40,'PLAN BUDGET SAMI-TF'!J13:J100000,SUMMARY!A40&amp;"*")</f>
        <v>0</v>
      </c>
      <c r="Y40" s="10">
        <f>SUMIFS('PLAN BUDGET SAMI-TF'!BK13:BK100000,'PLAN BUDGET SAMI-TF'!D13:D100000,SUMMARY!D40,'PLAN BUDGET SAMI-TF'!J13:J100000,SUMMARY!A40&amp;"*")</f>
        <v>0</v>
      </c>
      <c r="Z40" s="10">
        <f>SUMIFS('PLAN BUDGET SAMI-TF'!BL13:BL100000,'PLAN BUDGET SAMI-TF'!D13:D100000,SUMMARY!D40,'PLAN BUDGET SAMI-TF'!J13:J100000,SUMMARY!A40&amp;"*")</f>
        <v>0</v>
      </c>
      <c r="AA40" s="10">
        <f>SUMIFS('PLAN BUDGET SAMI-TF'!BM13:BM100000,'PLAN BUDGET SAMI-TF'!D13:D100000,SUMMARY!D40,'PLAN BUDGET SAMI-TF'!J13:J100000,SUMMARY!A40&amp;"*")</f>
        <v>0</v>
      </c>
      <c r="AB40" s="10">
        <f>SUMIFS('PLAN BUDGET SAMI-TF'!BN13:BN100000,'PLAN BUDGET SAMI-TF'!D13:D100000,SUMMARY!D40,'PLAN BUDGET SAMI-TF'!J13:J100000,SUMMARY!A40&amp;"*")</f>
        <v>0</v>
      </c>
      <c r="AC40" s="10">
        <f t="shared" si="0"/>
        <v>5</v>
      </c>
      <c r="AD40" s="10">
        <f t="shared" si="1"/>
        <v>1550.77032142088</v>
      </c>
      <c r="AE40" s="16"/>
      <c r="AF40" s="10">
        <v>0</v>
      </c>
      <c r="AG40" s="10">
        <v>0</v>
      </c>
      <c r="AH40" s="20">
        <f t="shared" si="2"/>
        <v>1</v>
      </c>
      <c r="AI40" s="20">
        <f t="shared" si="3"/>
        <v>1</v>
      </c>
      <c r="AJ40" s="67" t="s">
        <v>365</v>
      </c>
    </row>
    <row r="41" spans="1:36" x14ac:dyDescent="0.35">
      <c r="A41" s="7" t="s">
        <v>228</v>
      </c>
      <c r="B41" s="7"/>
      <c r="C41" s="7"/>
      <c r="D41" s="7" t="s">
        <v>112</v>
      </c>
      <c r="E41" s="10">
        <f>SUMIFS('PLAN BUDGET SAMI-TF'!AN13:AN100000,'PLAN BUDGET SAMI-TF'!D13:D100000,SUMMARY!D41,'PLAN BUDGET SAMI-TF'!J13:J100000,SUMMARY!A41&amp;"*")</f>
        <v>0</v>
      </c>
      <c r="F41" s="10">
        <f>SUMIFS('PLAN BUDGET SAMI-TF'!AO13:AO100000,'PLAN BUDGET SAMI-TF'!D13:D100000,SUMMARY!D41,'PLAN BUDGET SAMI-TF'!J13:J100000,SUMMARY!A41&amp;"*")</f>
        <v>0</v>
      </c>
      <c r="G41" s="10">
        <f>SUMIFS('PLAN BUDGET SAMI-TF'!AP13:AP100000,'PLAN BUDGET SAMI-TF'!D13:D100000,SUMMARY!D41,'PLAN BUDGET SAMI-TF'!J13:J100000,SUMMARY!A41&amp;"*")</f>
        <v>21</v>
      </c>
      <c r="H41" s="10">
        <f>SUMIFS('PLAN BUDGET SAMI-TF'!AQ13:AQ100000,'PLAN BUDGET SAMI-TF'!D13:D100000,SUMMARY!D41,'PLAN BUDGET SAMI-TF'!J13:J100000,SUMMARY!A41&amp;"*")</f>
        <v>0</v>
      </c>
      <c r="I41" s="10">
        <f>SUMIFS('PLAN BUDGET SAMI-TF'!AR13:AR100000,'PLAN BUDGET SAMI-TF'!D13:D100000,SUMMARY!D41,'PLAN BUDGET SAMI-TF'!J13:J100000,SUMMARY!A41&amp;"*")</f>
        <v>48</v>
      </c>
      <c r="J41" s="10">
        <f>SUMIFS('PLAN BUDGET SAMI-TF'!AS13:AS100000,'PLAN BUDGET SAMI-TF'!D13:D100000,SUMMARY!D41,'PLAN BUDGET SAMI-TF'!J13:J100000,SUMMARY!A41&amp;"*")</f>
        <v>0</v>
      </c>
      <c r="K41" s="10">
        <f>SUMIFS('PLAN BUDGET SAMI-TF'!AT13:AT100000,'PLAN BUDGET SAMI-TF'!D13:D100000,SUMMARY!D41,'PLAN BUDGET SAMI-TF'!J13:J100000,SUMMARY!A41&amp;"*")</f>
        <v>80</v>
      </c>
      <c r="L41" s="10">
        <f>SUMIFS('PLAN BUDGET SAMI-TF'!AU13:AU100000,'PLAN BUDGET SAMI-TF'!D13:D100000,SUMMARY!D41,'PLAN BUDGET SAMI-TF'!J13:J100000,SUMMARY!A41&amp;"*")</f>
        <v>0</v>
      </c>
      <c r="M41" s="10">
        <f>SUMIFS('PLAN BUDGET SAMI-TF'!AV13:AV100000,'PLAN BUDGET SAMI-TF'!D13:D100000,SUMMARY!D41,'PLAN BUDGET SAMI-TF'!J13:J100000,SUMMARY!A41&amp;"*")</f>
        <v>0</v>
      </c>
      <c r="N41" s="10">
        <f>SUMIFS('PLAN BUDGET SAMI-TF'!AW13:AW100000,'PLAN BUDGET SAMI-TF'!D13:D100000,SUMMARY!D41,'PLAN BUDGET SAMI-TF'!J13:J100000,SUMMARY!A41&amp;"*")</f>
        <v>0</v>
      </c>
      <c r="O41" s="10">
        <f>SUMIFS('PLAN BUDGET SAMI-TF'!AX13:AX100000,'PLAN BUDGET SAMI-TF'!D13:D100000,SUMMARY!D41,'PLAN BUDGET SAMI-TF'!J13:J100000,SUMMARY!A41&amp;"*")</f>
        <v>0</v>
      </c>
      <c r="P41" s="10">
        <f>SUMIFS('PLAN BUDGET SAMI-TF'!AY13:AY100000,'PLAN BUDGET SAMI-TF'!D13:D100000,SUMMARY!D41,'PLAN BUDGET SAMI-TF'!J13:J100000,SUMMARY!A41&amp;"*")</f>
        <v>36</v>
      </c>
      <c r="Q41" s="10">
        <f>SUMIFS('PLAN BUDGET SAMI-TF'!BC13:BC100000,'PLAN BUDGET SAMI-TF'!D13:D100000,SUMMARY!D41,'PLAN BUDGET SAMI-TF'!J13:J100000,SUMMARY!A41&amp;"*")</f>
        <v>0</v>
      </c>
      <c r="R41" s="10">
        <f>SUMIFS('PLAN BUDGET SAMI-TF'!BD13:BD100000,'PLAN BUDGET SAMI-TF'!D13:D100000,SUMMARY!D41,'PLAN BUDGET SAMI-TF'!J13:J100000,SUMMARY!A41&amp;"*")</f>
        <v>0</v>
      </c>
      <c r="S41" s="10">
        <f>SUMIFS('PLAN BUDGET SAMI-TF'!BE13:BE100000,'PLAN BUDGET SAMI-TF'!D13:D100000,SUMMARY!D41,'PLAN BUDGET SAMI-TF'!J13:J100000,SUMMARY!A41&amp;"*")</f>
        <v>110.76930867292</v>
      </c>
      <c r="T41" s="10">
        <f>SUMIFS('PLAN BUDGET SAMI-TF'!BF13:BF100000,'PLAN BUDGET SAMI-TF'!D13:D100000,SUMMARY!D41,'PLAN BUDGET SAMI-TF'!J13:J100000,SUMMARY!A41&amp;"*")</f>
        <v>0</v>
      </c>
      <c r="U41" s="10">
        <f>SUMIFS('PLAN BUDGET SAMI-TF'!BG13:BG100000,'PLAN BUDGET SAMI-TF'!D13:D100000,SUMMARY!D41,'PLAN BUDGET SAMI-TF'!J13:J100000,SUMMARY!A41&amp;"*")</f>
        <v>253.18699125238999</v>
      </c>
      <c r="V41" s="10">
        <f>SUMIFS('PLAN BUDGET SAMI-TF'!BH13:BH100000,'PLAN BUDGET SAMI-TF'!D13:D100000,SUMMARY!D41,'PLAN BUDGET SAMI-TF'!J13:J100000,SUMMARY!A41&amp;"*")</f>
        <v>0</v>
      </c>
      <c r="W41" s="10">
        <f>SUMIFS('PLAN BUDGET SAMI-TF'!BI13:BI100000,'PLAN BUDGET SAMI-TF'!D13:D100000,SUMMARY!D41,'PLAN BUDGET SAMI-TF'!J13:J100000,SUMMARY!A41&amp;"*")</f>
        <v>379.78048687858001</v>
      </c>
      <c r="X41" s="10">
        <f>SUMIFS('PLAN BUDGET SAMI-TF'!BJ13:BJ100000,'PLAN BUDGET SAMI-TF'!D13:D100000,SUMMARY!D41,'PLAN BUDGET SAMI-TF'!J13:J100000,SUMMARY!A41&amp;"*")</f>
        <v>0</v>
      </c>
      <c r="Y41" s="10">
        <f>SUMIFS('PLAN BUDGET SAMI-TF'!BK13:BK100000,'PLAN BUDGET SAMI-TF'!D13:D100000,SUMMARY!D41,'PLAN BUDGET SAMI-TF'!J13:J100000,SUMMARY!A41&amp;"*")</f>
        <v>0</v>
      </c>
      <c r="Z41" s="10">
        <f>SUMIFS('PLAN BUDGET SAMI-TF'!BL13:BL100000,'PLAN BUDGET SAMI-TF'!D13:D100000,SUMMARY!D41,'PLAN BUDGET SAMI-TF'!J13:J100000,SUMMARY!A41&amp;"*")</f>
        <v>0</v>
      </c>
      <c r="AA41" s="10">
        <f>SUMIFS('PLAN BUDGET SAMI-TF'!BM13:BM100000,'PLAN BUDGET SAMI-TF'!D13:D100000,SUMMARY!D41,'PLAN BUDGET SAMI-TF'!J13:J100000,SUMMARY!A41&amp;"*")</f>
        <v>0</v>
      </c>
      <c r="AB41" s="10">
        <f>SUMIFS('PLAN BUDGET SAMI-TF'!BN13:BN100000,'PLAN BUDGET SAMI-TF'!D13:D100000,SUMMARY!D41,'PLAN BUDGET SAMI-TF'!J13:J100000,SUMMARY!A41&amp;"*")</f>
        <v>227.86829212714801</v>
      </c>
      <c r="AC41" s="10">
        <f t="shared" si="0"/>
        <v>185</v>
      </c>
      <c r="AD41" s="10">
        <f t="shared" si="1"/>
        <v>971.60507893103807</v>
      </c>
      <c r="AE41" s="16"/>
      <c r="AF41" s="10">
        <v>0</v>
      </c>
      <c r="AG41" s="10">
        <v>0</v>
      </c>
      <c r="AH41" s="20">
        <f t="shared" si="2"/>
        <v>1</v>
      </c>
      <c r="AI41" s="20">
        <f t="shared" si="3"/>
        <v>1</v>
      </c>
      <c r="AJ41" s="67"/>
    </row>
    <row r="42" spans="1:36" x14ac:dyDescent="0.35">
      <c r="A42" s="7" t="s">
        <v>228</v>
      </c>
      <c r="B42" s="7"/>
      <c r="C42" s="7"/>
      <c r="D42" s="7" t="s">
        <v>192</v>
      </c>
      <c r="E42" s="10">
        <f>SUMIFS('PLAN BUDGET SAMI-TF'!AN13:AN100000,'PLAN BUDGET SAMI-TF'!D13:D100000,SUMMARY!D42,'PLAN BUDGET SAMI-TF'!J13:J100000,SUMMARY!A42&amp;"*")</f>
        <v>8</v>
      </c>
      <c r="F42" s="10">
        <f>SUMIFS('PLAN BUDGET SAMI-TF'!AO13:AO100000,'PLAN BUDGET SAMI-TF'!D13:D100000,SUMMARY!D42,'PLAN BUDGET SAMI-TF'!J13:J100000,SUMMARY!A42&amp;"*")</f>
        <v>0</v>
      </c>
      <c r="G42" s="10">
        <f>SUMIFS('PLAN BUDGET SAMI-TF'!AP13:AP100000,'PLAN BUDGET SAMI-TF'!D13:D100000,SUMMARY!D42,'PLAN BUDGET SAMI-TF'!J13:J100000,SUMMARY!A42&amp;"*")</f>
        <v>0</v>
      </c>
      <c r="H42" s="10">
        <f>SUMIFS('PLAN BUDGET SAMI-TF'!AQ13:AQ100000,'PLAN BUDGET SAMI-TF'!D13:D100000,SUMMARY!D42,'PLAN BUDGET SAMI-TF'!J13:J100000,SUMMARY!A42&amp;"*")</f>
        <v>8</v>
      </c>
      <c r="I42" s="10">
        <f>SUMIFS('PLAN BUDGET SAMI-TF'!AR13:AR100000,'PLAN BUDGET SAMI-TF'!D13:D100000,SUMMARY!D42,'PLAN BUDGET SAMI-TF'!J13:J100000,SUMMARY!A42&amp;"*")</f>
        <v>0</v>
      </c>
      <c r="J42" s="10">
        <f>SUMIFS('PLAN BUDGET SAMI-TF'!AS13:AS100000,'PLAN BUDGET SAMI-TF'!D13:D100000,SUMMARY!D42,'PLAN BUDGET SAMI-TF'!J13:J100000,SUMMARY!A42&amp;"*")</f>
        <v>0</v>
      </c>
      <c r="K42" s="10">
        <f>SUMIFS('PLAN BUDGET SAMI-TF'!AT13:AT100000,'PLAN BUDGET SAMI-TF'!D13:D100000,SUMMARY!D42,'PLAN BUDGET SAMI-TF'!J13:J100000,SUMMARY!A42&amp;"*")</f>
        <v>0</v>
      </c>
      <c r="L42" s="10">
        <f>SUMIFS('PLAN BUDGET SAMI-TF'!AU13:AU100000,'PLAN BUDGET SAMI-TF'!D13:D100000,SUMMARY!D42,'PLAN BUDGET SAMI-TF'!J13:J100000,SUMMARY!A42&amp;"*")</f>
        <v>0</v>
      </c>
      <c r="M42" s="10">
        <f>SUMIFS('PLAN BUDGET SAMI-TF'!AV13:AV100000,'PLAN BUDGET SAMI-TF'!D13:D100000,SUMMARY!D42,'PLAN BUDGET SAMI-TF'!J13:J100000,SUMMARY!A42&amp;"*")</f>
        <v>0</v>
      </c>
      <c r="N42" s="10">
        <f>SUMIFS('PLAN BUDGET SAMI-TF'!AW13:AW100000,'PLAN BUDGET SAMI-TF'!D13:D100000,SUMMARY!D42,'PLAN BUDGET SAMI-TF'!J13:J100000,SUMMARY!A42&amp;"*")</f>
        <v>0</v>
      </c>
      <c r="O42" s="10">
        <f>SUMIFS('PLAN BUDGET SAMI-TF'!AX13:AX100000,'PLAN BUDGET SAMI-TF'!D13:D100000,SUMMARY!D42,'PLAN BUDGET SAMI-TF'!J13:J100000,SUMMARY!A42&amp;"*")</f>
        <v>0</v>
      </c>
      <c r="P42" s="10">
        <f>SUMIFS('PLAN BUDGET SAMI-TF'!AY13:AY100000,'PLAN BUDGET SAMI-TF'!D13:D100000,SUMMARY!D42,'PLAN BUDGET SAMI-TF'!J13:J100000,SUMMARY!A42&amp;"*")</f>
        <v>0</v>
      </c>
      <c r="Q42" s="10">
        <f>SUMIFS('PLAN BUDGET SAMI-TF'!BC13:BC100000,'PLAN BUDGET SAMI-TF'!D13:D100000,SUMMARY!D42,'PLAN BUDGET SAMI-TF'!J13:J100000,SUMMARY!A42&amp;"*")</f>
        <v>506.37398250478003</v>
      </c>
      <c r="R42" s="10">
        <f>SUMIFS('PLAN BUDGET SAMI-TF'!BD13:BD100000,'PLAN BUDGET SAMI-TF'!D13:D100000,SUMMARY!D42,'PLAN BUDGET SAMI-TF'!J13:J100000,SUMMARY!A42&amp;"*")</f>
        <v>0</v>
      </c>
      <c r="S42" s="10">
        <f>SUMIFS('PLAN BUDGET SAMI-TF'!BE13:BE100000,'PLAN BUDGET SAMI-TF'!D13:D100000,SUMMARY!D42,'PLAN BUDGET SAMI-TF'!J13:J100000,SUMMARY!A42&amp;"*")</f>
        <v>0</v>
      </c>
      <c r="T42" s="10">
        <f>SUMIFS('PLAN BUDGET SAMI-TF'!BF13:BF100000,'PLAN BUDGET SAMI-TF'!D13:D100000,SUMMARY!D42,'PLAN BUDGET SAMI-TF'!J13:J100000,SUMMARY!A42&amp;"*")</f>
        <v>557.01138075526001</v>
      </c>
      <c r="U42" s="10">
        <f>SUMIFS('PLAN BUDGET SAMI-TF'!BG13:BG100000,'PLAN BUDGET SAMI-TF'!D13:D100000,SUMMARY!D42,'PLAN BUDGET SAMI-TF'!J13:J100000,SUMMARY!A42&amp;"*")</f>
        <v>0</v>
      </c>
      <c r="V42" s="10">
        <f>SUMIFS('PLAN BUDGET SAMI-TF'!BH13:BH100000,'PLAN BUDGET SAMI-TF'!D13:D100000,SUMMARY!D42,'PLAN BUDGET SAMI-TF'!J13:J100000,SUMMARY!A42&amp;"*")</f>
        <v>0</v>
      </c>
      <c r="W42" s="10">
        <f>SUMIFS('PLAN BUDGET SAMI-TF'!BI13:BI100000,'PLAN BUDGET SAMI-TF'!D13:D100000,SUMMARY!D42,'PLAN BUDGET SAMI-TF'!J13:J100000,SUMMARY!A42&amp;"*")</f>
        <v>0</v>
      </c>
      <c r="X42" s="10">
        <f>SUMIFS('PLAN BUDGET SAMI-TF'!BJ13:BJ100000,'PLAN BUDGET SAMI-TF'!D13:D100000,SUMMARY!D42,'PLAN BUDGET SAMI-TF'!J13:J100000,SUMMARY!A42&amp;"*")</f>
        <v>0</v>
      </c>
      <c r="Y42" s="10">
        <f>SUMIFS('PLAN BUDGET SAMI-TF'!BK13:BK100000,'PLAN BUDGET SAMI-TF'!D13:D100000,SUMMARY!D42,'PLAN BUDGET SAMI-TF'!J13:J100000,SUMMARY!A42&amp;"*")</f>
        <v>0</v>
      </c>
      <c r="Z42" s="10">
        <f>SUMIFS('PLAN BUDGET SAMI-TF'!BL13:BL100000,'PLAN BUDGET SAMI-TF'!D13:D100000,SUMMARY!D42,'PLAN BUDGET SAMI-TF'!J13:J100000,SUMMARY!A42&amp;"*")</f>
        <v>0</v>
      </c>
      <c r="AA42" s="10">
        <f>SUMIFS('PLAN BUDGET SAMI-TF'!BM13:BM100000,'PLAN BUDGET SAMI-TF'!D13:D100000,SUMMARY!D42,'PLAN BUDGET SAMI-TF'!J13:J100000,SUMMARY!A42&amp;"*")</f>
        <v>0</v>
      </c>
      <c r="AB42" s="10">
        <f>SUMIFS('PLAN BUDGET SAMI-TF'!BN13:BN100000,'PLAN BUDGET SAMI-TF'!D13:D100000,SUMMARY!D42,'PLAN BUDGET SAMI-TF'!J13:J100000,SUMMARY!A42&amp;"*")</f>
        <v>0</v>
      </c>
      <c r="AC42" s="10">
        <f t="shared" si="0"/>
        <v>16</v>
      </c>
      <c r="AD42" s="10">
        <f t="shared" si="1"/>
        <v>1063.3853632600401</v>
      </c>
      <c r="AE42" s="16"/>
      <c r="AF42" s="10">
        <v>0</v>
      </c>
      <c r="AG42" s="10">
        <v>0</v>
      </c>
      <c r="AH42" s="20">
        <f t="shared" si="2"/>
        <v>1</v>
      </c>
      <c r="AI42" s="20">
        <f t="shared" si="3"/>
        <v>1</v>
      </c>
      <c r="AJ42" s="67" t="s">
        <v>352</v>
      </c>
    </row>
    <row r="43" spans="1:36" x14ac:dyDescent="0.35">
      <c r="A43" s="7" t="s">
        <v>228</v>
      </c>
      <c r="B43" s="7"/>
      <c r="C43" s="7"/>
      <c r="D43" s="7" t="s">
        <v>207</v>
      </c>
      <c r="E43" s="10">
        <f>SUMIFS('PLAN BUDGET SAMI-TF'!AN13:AN100000,'PLAN BUDGET SAMI-TF'!D13:D100000,SUMMARY!D43,'PLAN BUDGET SAMI-TF'!J13:J100000,SUMMARY!A43&amp;"*")</f>
        <v>0</v>
      </c>
      <c r="F43" s="10">
        <f>SUMIFS('PLAN BUDGET SAMI-TF'!AO13:AO100000,'PLAN BUDGET SAMI-TF'!D13:D100000,SUMMARY!D43,'PLAN BUDGET SAMI-TF'!J13:J100000,SUMMARY!A43&amp;"*")</f>
        <v>0</v>
      </c>
      <c r="G43" s="10">
        <f>SUMIFS('PLAN BUDGET SAMI-TF'!AP13:AP100000,'PLAN BUDGET SAMI-TF'!D13:D100000,SUMMARY!D43,'PLAN BUDGET SAMI-TF'!J13:J100000,SUMMARY!A43&amp;"*")</f>
        <v>0</v>
      </c>
      <c r="H43" s="10">
        <f>SUMIFS('PLAN BUDGET SAMI-TF'!AQ13:AQ100000,'PLAN BUDGET SAMI-TF'!D13:D100000,SUMMARY!D43,'PLAN BUDGET SAMI-TF'!J13:J100000,SUMMARY!A43&amp;"*")</f>
        <v>1</v>
      </c>
      <c r="I43" s="10">
        <f>SUMIFS('PLAN BUDGET SAMI-TF'!AR13:AR100000,'PLAN BUDGET SAMI-TF'!D13:D100000,SUMMARY!D43,'PLAN BUDGET SAMI-TF'!J13:J100000,SUMMARY!A43&amp;"*")</f>
        <v>0</v>
      </c>
      <c r="J43" s="10">
        <f>SUMIFS('PLAN BUDGET SAMI-TF'!AS13:AS100000,'PLAN BUDGET SAMI-TF'!D13:D100000,SUMMARY!D43,'PLAN BUDGET SAMI-TF'!J13:J100000,SUMMARY!A43&amp;"*")</f>
        <v>0</v>
      </c>
      <c r="K43" s="10">
        <f>SUMIFS('PLAN BUDGET SAMI-TF'!AT13:AT100000,'PLAN BUDGET SAMI-TF'!D13:D100000,SUMMARY!D43,'PLAN BUDGET SAMI-TF'!J13:J100000,SUMMARY!A43&amp;"*")</f>
        <v>0</v>
      </c>
      <c r="L43" s="10">
        <f>SUMIFS('PLAN BUDGET SAMI-TF'!AU13:AU100000,'PLAN BUDGET SAMI-TF'!D13:D100000,SUMMARY!D43,'PLAN BUDGET SAMI-TF'!J13:J100000,SUMMARY!A43&amp;"*")</f>
        <v>0</v>
      </c>
      <c r="M43" s="10">
        <f>SUMIFS('PLAN BUDGET SAMI-TF'!AV13:AV100000,'PLAN BUDGET SAMI-TF'!D13:D100000,SUMMARY!D43,'PLAN BUDGET SAMI-TF'!J13:J100000,SUMMARY!A43&amp;"*")</f>
        <v>0</v>
      </c>
      <c r="N43" s="10">
        <f>SUMIFS('PLAN BUDGET SAMI-TF'!AW13:AW100000,'PLAN BUDGET SAMI-TF'!D13:D100000,SUMMARY!D43,'PLAN BUDGET SAMI-TF'!J13:J100000,SUMMARY!A43&amp;"*")</f>
        <v>0</v>
      </c>
      <c r="O43" s="10">
        <f>SUMIFS('PLAN BUDGET SAMI-TF'!AX13:AX100000,'PLAN BUDGET SAMI-TF'!D13:D100000,SUMMARY!D43,'PLAN BUDGET SAMI-TF'!J13:J100000,SUMMARY!A43&amp;"*")</f>
        <v>0</v>
      </c>
      <c r="P43" s="10">
        <f>SUMIFS('PLAN BUDGET SAMI-TF'!AY13:AY100000,'PLAN BUDGET SAMI-TF'!D13:D100000,SUMMARY!D43,'PLAN BUDGET SAMI-TF'!J13:J100000,SUMMARY!A43&amp;"*")</f>
        <v>0</v>
      </c>
      <c r="Q43" s="10">
        <f>SUMIFS('PLAN BUDGET SAMI-TF'!BC13:BC100000,'PLAN BUDGET SAMI-TF'!D13:D100000,SUMMARY!D43,'PLAN BUDGET SAMI-TF'!J13:J100000,SUMMARY!A43&amp;"*")</f>
        <v>0</v>
      </c>
      <c r="R43" s="10">
        <f>SUMIFS('PLAN BUDGET SAMI-TF'!BD13:BD100000,'PLAN BUDGET SAMI-TF'!D13:D100000,SUMMARY!D43,'PLAN BUDGET SAMI-TF'!J13:J100000,SUMMARY!A43&amp;"*")</f>
        <v>0</v>
      </c>
      <c r="S43" s="10">
        <f>SUMIFS('PLAN BUDGET SAMI-TF'!BE13:BE100000,'PLAN BUDGET SAMI-TF'!D13:D100000,SUMMARY!D43,'PLAN BUDGET SAMI-TF'!J13:J100000,SUMMARY!A43&amp;"*")</f>
        <v>0</v>
      </c>
      <c r="T43" s="10">
        <f>SUMIFS('PLAN BUDGET SAMI-TF'!BF13:BF100000,'PLAN BUDGET SAMI-TF'!D13:D100000,SUMMARY!D43,'PLAN BUDGET SAMI-TF'!J13:J100000,SUMMARY!A43&amp;"*")</f>
        <v>18.989024343929</v>
      </c>
      <c r="U43" s="10">
        <f>SUMIFS('PLAN BUDGET SAMI-TF'!BG13:BG100000,'PLAN BUDGET SAMI-TF'!D13:D100000,SUMMARY!D43,'PLAN BUDGET SAMI-TF'!J13:J100000,SUMMARY!A43&amp;"*")</f>
        <v>0</v>
      </c>
      <c r="V43" s="10">
        <f>SUMIFS('PLAN BUDGET SAMI-TF'!BH13:BH100000,'PLAN BUDGET SAMI-TF'!D13:D100000,SUMMARY!D43,'PLAN BUDGET SAMI-TF'!J13:J100000,SUMMARY!A43&amp;"*")</f>
        <v>0</v>
      </c>
      <c r="W43" s="10">
        <f>SUMIFS('PLAN BUDGET SAMI-TF'!BI13:BI100000,'PLAN BUDGET SAMI-TF'!D13:D100000,SUMMARY!D43,'PLAN BUDGET SAMI-TF'!J13:J100000,SUMMARY!A43&amp;"*")</f>
        <v>0</v>
      </c>
      <c r="X43" s="10">
        <f>SUMIFS('PLAN BUDGET SAMI-TF'!BJ13:BJ100000,'PLAN BUDGET SAMI-TF'!D13:D100000,SUMMARY!D43,'PLAN BUDGET SAMI-TF'!J13:J100000,SUMMARY!A43&amp;"*")</f>
        <v>0</v>
      </c>
      <c r="Y43" s="10">
        <f>SUMIFS('PLAN BUDGET SAMI-TF'!BK13:BK100000,'PLAN BUDGET SAMI-TF'!D13:D100000,SUMMARY!D43,'PLAN BUDGET SAMI-TF'!J13:J100000,SUMMARY!A43&amp;"*")</f>
        <v>0</v>
      </c>
      <c r="Z43" s="10">
        <f>SUMIFS('PLAN BUDGET SAMI-TF'!BL13:BL100000,'PLAN BUDGET SAMI-TF'!D13:D100000,SUMMARY!D43,'PLAN BUDGET SAMI-TF'!J13:J100000,SUMMARY!A43&amp;"*")</f>
        <v>0</v>
      </c>
      <c r="AA43" s="10">
        <f>SUMIFS('PLAN BUDGET SAMI-TF'!BM13:BM100000,'PLAN BUDGET SAMI-TF'!D13:D100000,SUMMARY!D43,'PLAN BUDGET SAMI-TF'!J13:J100000,SUMMARY!A43&amp;"*")</f>
        <v>0</v>
      </c>
      <c r="AB43" s="10">
        <f>SUMIFS('PLAN BUDGET SAMI-TF'!BN13:BN100000,'PLAN BUDGET SAMI-TF'!D13:D100000,SUMMARY!D43,'PLAN BUDGET SAMI-TF'!J13:J100000,SUMMARY!A43&amp;"*")</f>
        <v>0</v>
      </c>
      <c r="AC43" s="10">
        <f t="shared" si="0"/>
        <v>1</v>
      </c>
      <c r="AD43" s="10">
        <f t="shared" si="1"/>
        <v>18.989024343929</v>
      </c>
      <c r="AE43" s="16"/>
      <c r="AF43" s="10">
        <v>0</v>
      </c>
      <c r="AG43" s="10">
        <v>0</v>
      </c>
      <c r="AH43" s="20">
        <f t="shared" si="2"/>
        <v>1</v>
      </c>
      <c r="AI43" s="20">
        <f t="shared" si="3"/>
        <v>1</v>
      </c>
      <c r="AJ43" s="67"/>
    </row>
    <row r="44" spans="1:36" x14ac:dyDescent="0.35">
      <c r="A44" s="7" t="s">
        <v>228</v>
      </c>
      <c r="B44" s="7"/>
      <c r="C44" s="7"/>
      <c r="D44" s="7" t="s">
        <v>174</v>
      </c>
      <c r="E44" s="10">
        <f>SUMIFS('PLAN BUDGET SAMI-TF'!AN13:AN100000,'PLAN BUDGET SAMI-TF'!D13:D100000,SUMMARY!D44,'PLAN BUDGET SAMI-TF'!J13:J100000,SUMMARY!A44&amp;"*")</f>
        <v>0</v>
      </c>
      <c r="F44" s="10">
        <f>SUMIFS('PLAN BUDGET SAMI-TF'!AO13:AO100000,'PLAN BUDGET SAMI-TF'!D13:D100000,SUMMARY!D44,'PLAN BUDGET SAMI-TF'!J13:J100000,SUMMARY!A44&amp;"*")</f>
        <v>12</v>
      </c>
      <c r="G44" s="10">
        <f>SUMIFS('PLAN BUDGET SAMI-TF'!AP13:AP100000,'PLAN BUDGET SAMI-TF'!D13:D100000,SUMMARY!D44,'PLAN BUDGET SAMI-TF'!J13:J100000,SUMMARY!A44&amp;"*")</f>
        <v>0</v>
      </c>
      <c r="H44" s="10">
        <f>SUMIFS('PLAN BUDGET SAMI-TF'!AQ13:AQ100000,'PLAN BUDGET SAMI-TF'!D13:D100000,SUMMARY!D44,'PLAN BUDGET SAMI-TF'!J13:J100000,SUMMARY!A44&amp;"*")</f>
        <v>1</v>
      </c>
      <c r="I44" s="10">
        <f>SUMIFS('PLAN BUDGET SAMI-TF'!AR13:AR100000,'PLAN BUDGET SAMI-TF'!D13:D100000,SUMMARY!D44,'PLAN BUDGET SAMI-TF'!J13:J100000,SUMMARY!A44&amp;"*")</f>
        <v>0</v>
      </c>
      <c r="J44" s="10">
        <f>SUMIFS('PLAN BUDGET SAMI-TF'!AS13:AS100000,'PLAN BUDGET SAMI-TF'!D13:D100000,SUMMARY!D44,'PLAN BUDGET SAMI-TF'!J13:J100000,SUMMARY!A44&amp;"*")</f>
        <v>0</v>
      </c>
      <c r="K44" s="10">
        <f>SUMIFS('PLAN BUDGET SAMI-TF'!AT13:AT100000,'PLAN BUDGET SAMI-TF'!D13:D100000,SUMMARY!D44,'PLAN BUDGET SAMI-TF'!J13:J100000,SUMMARY!A44&amp;"*")</f>
        <v>0</v>
      </c>
      <c r="L44" s="10">
        <f>SUMIFS('PLAN BUDGET SAMI-TF'!AU13:AU100000,'PLAN BUDGET SAMI-TF'!D13:D100000,SUMMARY!D44,'PLAN BUDGET SAMI-TF'!J13:J100000,SUMMARY!A44&amp;"*")</f>
        <v>0</v>
      </c>
      <c r="M44" s="10">
        <f>SUMIFS('PLAN BUDGET SAMI-TF'!AV13:AV100000,'PLAN BUDGET SAMI-TF'!D13:D100000,SUMMARY!D44,'PLAN BUDGET SAMI-TF'!J13:J100000,SUMMARY!A44&amp;"*")</f>
        <v>0</v>
      </c>
      <c r="N44" s="10">
        <f>SUMIFS('PLAN BUDGET SAMI-TF'!AW13:AW100000,'PLAN BUDGET SAMI-TF'!D13:D100000,SUMMARY!D44,'PLAN BUDGET SAMI-TF'!J13:J100000,SUMMARY!A44&amp;"*")</f>
        <v>0</v>
      </c>
      <c r="O44" s="10">
        <f>SUMIFS('PLAN BUDGET SAMI-TF'!AX13:AX100000,'PLAN BUDGET SAMI-TF'!D13:D100000,SUMMARY!D44,'PLAN BUDGET SAMI-TF'!J13:J100000,SUMMARY!A44&amp;"*")</f>
        <v>0</v>
      </c>
      <c r="P44" s="10">
        <f>SUMIFS('PLAN BUDGET SAMI-TF'!AY13:AY100000,'PLAN BUDGET SAMI-TF'!D13:D100000,SUMMARY!D44,'PLAN BUDGET SAMI-TF'!J13:J100000,SUMMARY!A44&amp;"*")</f>
        <v>0</v>
      </c>
      <c r="Q44" s="10">
        <f>SUMIFS('PLAN BUDGET SAMI-TF'!BC13:BC100000,'PLAN BUDGET SAMI-TF'!D13:D100000,SUMMARY!D44,'PLAN BUDGET SAMI-TF'!J13:J100000,SUMMARY!A44&amp;"*")</f>
        <v>0</v>
      </c>
      <c r="R44" s="10">
        <f>SUMIFS('PLAN BUDGET SAMI-TF'!BD13:BD100000,'PLAN BUDGET SAMI-TF'!D13:D100000,SUMMARY!D44,'PLAN BUDGET SAMI-TF'!J13:J100000,SUMMARY!A44&amp;"*")</f>
        <v>920.96768068056213</v>
      </c>
      <c r="S44" s="10">
        <f>SUMIFS('PLAN BUDGET SAMI-TF'!BE13:BE100000,'PLAN BUDGET SAMI-TF'!D13:D100000,SUMMARY!D44,'PLAN BUDGET SAMI-TF'!J13:J100000,SUMMARY!A44&amp;"*")</f>
        <v>0</v>
      </c>
      <c r="T44" s="10">
        <f>SUMIFS('PLAN BUDGET SAMI-TF'!BF13:BF100000,'PLAN BUDGET SAMI-TF'!D13:D100000,SUMMARY!D44,'PLAN BUDGET SAMI-TF'!J13:J100000,SUMMARY!A44&amp;"*")</f>
        <v>158.24186953274</v>
      </c>
      <c r="U44" s="10">
        <f>SUMIFS('PLAN BUDGET SAMI-TF'!BG13:BG100000,'PLAN BUDGET SAMI-TF'!D13:D100000,SUMMARY!D44,'PLAN BUDGET SAMI-TF'!J13:J100000,SUMMARY!A44&amp;"*")</f>
        <v>0</v>
      </c>
      <c r="V44" s="10">
        <f>SUMIFS('PLAN BUDGET SAMI-TF'!BH13:BH100000,'PLAN BUDGET SAMI-TF'!D13:D100000,SUMMARY!D44,'PLAN BUDGET SAMI-TF'!J13:J100000,SUMMARY!A44&amp;"*")</f>
        <v>0</v>
      </c>
      <c r="W44" s="10">
        <f>SUMIFS('PLAN BUDGET SAMI-TF'!BI13:BI100000,'PLAN BUDGET SAMI-TF'!D13:D100000,SUMMARY!D44,'PLAN BUDGET SAMI-TF'!J13:J100000,SUMMARY!A44&amp;"*")</f>
        <v>0</v>
      </c>
      <c r="X44" s="10">
        <f>SUMIFS('PLAN BUDGET SAMI-TF'!BJ13:BJ100000,'PLAN BUDGET SAMI-TF'!D13:D100000,SUMMARY!D44,'PLAN BUDGET SAMI-TF'!J13:J100000,SUMMARY!A44&amp;"*")</f>
        <v>0</v>
      </c>
      <c r="Y44" s="10">
        <f>SUMIFS('PLAN BUDGET SAMI-TF'!BK13:BK100000,'PLAN BUDGET SAMI-TF'!D13:D100000,SUMMARY!D44,'PLAN BUDGET SAMI-TF'!J13:J100000,SUMMARY!A44&amp;"*")</f>
        <v>0</v>
      </c>
      <c r="Z44" s="10">
        <f>SUMIFS('PLAN BUDGET SAMI-TF'!BL13:BL100000,'PLAN BUDGET SAMI-TF'!D13:D100000,SUMMARY!D44,'PLAN BUDGET SAMI-TF'!J13:J100000,SUMMARY!A44&amp;"*")</f>
        <v>0</v>
      </c>
      <c r="AA44" s="10">
        <f>SUMIFS('PLAN BUDGET SAMI-TF'!BM13:BM100000,'PLAN BUDGET SAMI-TF'!D13:D100000,SUMMARY!D44,'PLAN BUDGET SAMI-TF'!J13:J100000,SUMMARY!A44&amp;"*")</f>
        <v>0</v>
      </c>
      <c r="AB44" s="10">
        <f>SUMIFS('PLAN BUDGET SAMI-TF'!BN13:BN100000,'PLAN BUDGET SAMI-TF'!D13:D100000,SUMMARY!D44,'PLAN BUDGET SAMI-TF'!J13:J100000,SUMMARY!A44&amp;"*")</f>
        <v>0</v>
      </c>
      <c r="AC44" s="10">
        <f t="shared" si="0"/>
        <v>13</v>
      </c>
      <c r="AD44" s="10">
        <f t="shared" si="1"/>
        <v>1079.209550213302</v>
      </c>
      <c r="AE44" s="16"/>
      <c r="AF44" s="10">
        <v>0</v>
      </c>
      <c r="AG44" s="10">
        <v>0</v>
      </c>
      <c r="AH44" s="20">
        <f t="shared" si="2"/>
        <v>1</v>
      </c>
      <c r="AI44" s="20">
        <f t="shared" si="3"/>
        <v>1</v>
      </c>
      <c r="AJ44" s="67" t="s">
        <v>361</v>
      </c>
    </row>
    <row r="45" spans="1:36" x14ac:dyDescent="0.35">
      <c r="A45" s="7" t="s">
        <v>228</v>
      </c>
      <c r="B45" s="7"/>
      <c r="C45" s="7"/>
      <c r="D45" s="7" t="s">
        <v>248</v>
      </c>
      <c r="E45" s="10">
        <f>SUMIFS('PLAN BUDGET SAMI-TF'!AN13:AN100000,'PLAN BUDGET SAMI-TF'!D13:D100000,SUMMARY!D45,'PLAN BUDGET SAMI-TF'!J13:J100000,SUMMARY!A45&amp;"*")</f>
        <v>0</v>
      </c>
      <c r="F45" s="10">
        <f>SUMIFS('PLAN BUDGET SAMI-TF'!AO13:AO100000,'PLAN BUDGET SAMI-TF'!D13:D100000,SUMMARY!D45,'PLAN BUDGET SAMI-TF'!J13:J100000,SUMMARY!A45&amp;"*")</f>
        <v>0</v>
      </c>
      <c r="G45" s="10">
        <f>SUMIFS('PLAN BUDGET SAMI-TF'!AP13:AP100000,'PLAN BUDGET SAMI-TF'!D13:D100000,SUMMARY!D45,'PLAN BUDGET SAMI-TF'!J13:J100000,SUMMARY!A45&amp;"*")</f>
        <v>0</v>
      </c>
      <c r="H45" s="10">
        <f>SUMIFS('PLAN BUDGET SAMI-TF'!AQ13:AQ100000,'PLAN BUDGET SAMI-TF'!D13:D100000,SUMMARY!D45,'PLAN BUDGET SAMI-TF'!J13:J100000,SUMMARY!A45&amp;"*")</f>
        <v>0</v>
      </c>
      <c r="I45" s="10">
        <f>SUMIFS('PLAN BUDGET SAMI-TF'!AR13:AR100000,'PLAN BUDGET SAMI-TF'!D13:D100000,SUMMARY!D45,'PLAN BUDGET SAMI-TF'!J13:J100000,SUMMARY!A45&amp;"*")</f>
        <v>0</v>
      </c>
      <c r="J45" s="10">
        <f>SUMIFS('PLAN BUDGET SAMI-TF'!AS13:AS100000,'PLAN BUDGET SAMI-TF'!D13:D100000,SUMMARY!D45,'PLAN BUDGET SAMI-TF'!J13:J100000,SUMMARY!A45&amp;"*")</f>
        <v>1</v>
      </c>
      <c r="K45" s="10">
        <f>SUMIFS('PLAN BUDGET SAMI-TF'!AT13:AT100000,'PLAN BUDGET SAMI-TF'!D13:D100000,SUMMARY!D45,'PLAN BUDGET SAMI-TF'!J13:J100000,SUMMARY!A45&amp;"*")</f>
        <v>0</v>
      </c>
      <c r="L45" s="10">
        <f>SUMIFS('PLAN BUDGET SAMI-TF'!AU13:AU100000,'PLAN BUDGET SAMI-TF'!D13:D100000,SUMMARY!D45,'PLAN BUDGET SAMI-TF'!J13:J100000,SUMMARY!A45&amp;"*")</f>
        <v>0</v>
      </c>
      <c r="M45" s="10">
        <f>SUMIFS('PLAN BUDGET SAMI-TF'!AV13:AV100000,'PLAN BUDGET SAMI-TF'!D13:D100000,SUMMARY!D45,'PLAN BUDGET SAMI-TF'!J13:J100000,SUMMARY!A45&amp;"*")</f>
        <v>0</v>
      </c>
      <c r="N45" s="10">
        <f>SUMIFS('PLAN BUDGET SAMI-TF'!AW13:AW100000,'PLAN BUDGET SAMI-TF'!D13:D100000,SUMMARY!D45,'PLAN BUDGET SAMI-TF'!J13:J100000,SUMMARY!A45&amp;"*")</f>
        <v>0</v>
      </c>
      <c r="O45" s="10">
        <f>SUMIFS('PLAN BUDGET SAMI-TF'!AX13:AX100000,'PLAN BUDGET SAMI-TF'!D13:D100000,SUMMARY!D45,'PLAN BUDGET SAMI-TF'!J13:J100000,SUMMARY!A45&amp;"*")</f>
        <v>0</v>
      </c>
      <c r="P45" s="10">
        <f>SUMIFS('PLAN BUDGET SAMI-TF'!AY13:AY100000,'PLAN BUDGET SAMI-TF'!D13:D100000,SUMMARY!D45,'PLAN BUDGET SAMI-TF'!J13:J100000,SUMMARY!A45&amp;"*")</f>
        <v>0</v>
      </c>
      <c r="Q45" s="10">
        <f>SUMIFS('PLAN BUDGET SAMI-TF'!BC13:BC100000,'PLAN BUDGET SAMI-TF'!D13:D100000,SUMMARY!D45,'PLAN BUDGET SAMI-TF'!J13:J100000,SUMMARY!A45&amp;"*")</f>
        <v>0</v>
      </c>
      <c r="R45" s="10">
        <f>SUMIFS('PLAN BUDGET SAMI-TF'!BD13:BD100000,'PLAN BUDGET SAMI-TF'!D13:D100000,SUMMARY!D45,'PLAN BUDGET SAMI-TF'!J13:J100000,SUMMARY!A45&amp;"*")</f>
        <v>0</v>
      </c>
      <c r="S45" s="10">
        <f>SUMIFS('PLAN BUDGET SAMI-TF'!BE13:BE100000,'PLAN BUDGET SAMI-TF'!D13:D100000,SUMMARY!D45,'PLAN BUDGET SAMI-TF'!J13:J100000,SUMMARY!A45&amp;"*")</f>
        <v>0</v>
      </c>
      <c r="T45" s="10">
        <f>SUMIFS('PLAN BUDGET SAMI-TF'!BF13:BF100000,'PLAN BUDGET SAMI-TF'!D13:D100000,SUMMARY!D45,'PLAN BUDGET SAMI-TF'!J13:J100000,SUMMARY!A45&amp;"*")</f>
        <v>0</v>
      </c>
      <c r="U45" s="10">
        <f>SUMIFS('PLAN BUDGET SAMI-TF'!BG13:BG100000,'PLAN BUDGET SAMI-TF'!D13:D100000,SUMMARY!D45,'PLAN BUDGET SAMI-TF'!J13:J100000,SUMMARY!A45&amp;"*")</f>
        <v>0</v>
      </c>
      <c r="V45" s="10">
        <f>SUMIFS('PLAN BUDGET SAMI-TF'!BH13:BH100000,'PLAN BUDGET SAMI-TF'!D13:D100000,SUMMARY!D45,'PLAN BUDGET SAMI-TF'!J13:J100000,SUMMARY!A45&amp;"*")</f>
        <v>170.90121909536001</v>
      </c>
      <c r="W45" s="10">
        <f>SUMIFS('PLAN BUDGET SAMI-TF'!BI13:BI100000,'PLAN BUDGET SAMI-TF'!D13:D100000,SUMMARY!D45,'PLAN BUDGET SAMI-TF'!J13:J100000,SUMMARY!A45&amp;"*")</f>
        <v>0</v>
      </c>
      <c r="X45" s="10">
        <f>SUMIFS('PLAN BUDGET SAMI-TF'!BJ13:BJ100000,'PLAN BUDGET SAMI-TF'!D13:D100000,SUMMARY!D45,'PLAN BUDGET SAMI-TF'!J13:J100000,SUMMARY!A45&amp;"*")</f>
        <v>0</v>
      </c>
      <c r="Y45" s="10">
        <f>SUMIFS('PLAN BUDGET SAMI-TF'!BK13:BK100000,'PLAN BUDGET SAMI-TF'!D13:D100000,SUMMARY!D45,'PLAN BUDGET SAMI-TF'!J13:J100000,SUMMARY!A45&amp;"*")</f>
        <v>0</v>
      </c>
      <c r="Z45" s="10">
        <f>SUMIFS('PLAN BUDGET SAMI-TF'!BL13:BL100000,'PLAN BUDGET SAMI-TF'!D13:D100000,SUMMARY!D45,'PLAN BUDGET SAMI-TF'!J13:J100000,SUMMARY!A45&amp;"*")</f>
        <v>0</v>
      </c>
      <c r="AA45" s="10">
        <f>SUMIFS('PLAN BUDGET SAMI-TF'!BM13:BM100000,'PLAN BUDGET SAMI-TF'!D13:D100000,SUMMARY!D45,'PLAN BUDGET SAMI-TF'!J13:J100000,SUMMARY!A45&amp;"*")</f>
        <v>0</v>
      </c>
      <c r="AB45" s="10">
        <f>SUMIFS('PLAN BUDGET SAMI-TF'!BN13:BN100000,'PLAN BUDGET SAMI-TF'!D13:D100000,SUMMARY!D45,'PLAN BUDGET SAMI-TF'!J13:J100000,SUMMARY!A45&amp;"*")</f>
        <v>0</v>
      </c>
      <c r="AC45" s="10">
        <f t="shared" si="0"/>
        <v>1</v>
      </c>
      <c r="AD45" s="10">
        <f t="shared" si="1"/>
        <v>170.90121909536001</v>
      </c>
      <c r="AE45" s="16"/>
      <c r="AF45" s="10">
        <v>3</v>
      </c>
      <c r="AG45" s="10">
        <v>294.32987733089999</v>
      </c>
      <c r="AH45" s="20">
        <f t="shared" si="2"/>
        <v>-0.66666666666666663</v>
      </c>
      <c r="AI45" s="20">
        <f t="shared" si="3"/>
        <v>-0.41935483870968177</v>
      </c>
      <c r="AJ45" s="67" t="s">
        <v>366</v>
      </c>
    </row>
    <row r="46" spans="1:36" x14ac:dyDescent="0.35">
      <c r="A46" s="7" t="s">
        <v>228</v>
      </c>
      <c r="B46" s="7"/>
      <c r="C46" s="7"/>
      <c r="D46" s="7" t="s">
        <v>243</v>
      </c>
      <c r="E46" s="10">
        <f>SUMIFS('PLAN BUDGET SAMI-TF'!AN13:AN100000,'PLAN BUDGET SAMI-TF'!D13:D100000,SUMMARY!D46,'PLAN BUDGET SAMI-TF'!J13:J100000,SUMMARY!A46&amp;"*")</f>
        <v>2</v>
      </c>
      <c r="F46" s="10">
        <f>SUMIFS('PLAN BUDGET SAMI-TF'!AO13:AO100000,'PLAN BUDGET SAMI-TF'!D13:D100000,SUMMARY!D46,'PLAN BUDGET SAMI-TF'!J13:J100000,SUMMARY!A46&amp;"*")</f>
        <v>0</v>
      </c>
      <c r="G46" s="10">
        <f>SUMIFS('PLAN BUDGET SAMI-TF'!AP13:AP100000,'PLAN BUDGET SAMI-TF'!D13:D100000,SUMMARY!D46,'PLAN BUDGET SAMI-TF'!J13:J100000,SUMMARY!A46&amp;"*")</f>
        <v>0</v>
      </c>
      <c r="H46" s="10">
        <f>SUMIFS('PLAN BUDGET SAMI-TF'!AQ13:AQ100000,'PLAN BUDGET SAMI-TF'!D13:D100000,SUMMARY!D46,'PLAN BUDGET SAMI-TF'!J13:J100000,SUMMARY!A46&amp;"*")</f>
        <v>1</v>
      </c>
      <c r="I46" s="10">
        <f>SUMIFS('PLAN BUDGET SAMI-TF'!AR13:AR100000,'PLAN BUDGET SAMI-TF'!D13:D100000,SUMMARY!D46,'PLAN BUDGET SAMI-TF'!J13:J100000,SUMMARY!A46&amp;"*")</f>
        <v>0</v>
      </c>
      <c r="J46" s="10">
        <f>SUMIFS('PLAN BUDGET SAMI-TF'!AS13:AS100000,'PLAN BUDGET SAMI-TF'!D13:D100000,SUMMARY!D46,'PLAN BUDGET SAMI-TF'!J13:J100000,SUMMARY!A46&amp;"*")</f>
        <v>0</v>
      </c>
      <c r="K46" s="10">
        <f>SUMIFS('PLAN BUDGET SAMI-TF'!AT13:AT100000,'PLAN BUDGET SAMI-TF'!D13:D100000,SUMMARY!D46,'PLAN BUDGET SAMI-TF'!J13:J100000,SUMMARY!A46&amp;"*")</f>
        <v>0</v>
      </c>
      <c r="L46" s="10">
        <f>SUMIFS('PLAN BUDGET SAMI-TF'!AU13:AU100000,'PLAN BUDGET SAMI-TF'!D13:D100000,SUMMARY!D46,'PLAN BUDGET SAMI-TF'!J13:J100000,SUMMARY!A46&amp;"*")</f>
        <v>0</v>
      </c>
      <c r="M46" s="10">
        <f>SUMIFS('PLAN BUDGET SAMI-TF'!AV13:AV100000,'PLAN BUDGET SAMI-TF'!D13:D100000,SUMMARY!D46,'PLAN BUDGET SAMI-TF'!J13:J100000,SUMMARY!A46&amp;"*")</f>
        <v>0</v>
      </c>
      <c r="N46" s="10">
        <f>SUMIFS('PLAN BUDGET SAMI-TF'!AW13:AW100000,'PLAN BUDGET SAMI-TF'!D13:D100000,SUMMARY!D46,'PLAN BUDGET SAMI-TF'!J13:J100000,SUMMARY!A46&amp;"*")</f>
        <v>0</v>
      </c>
      <c r="O46" s="10">
        <f>SUMIFS('PLAN BUDGET SAMI-TF'!AX13:AX100000,'PLAN BUDGET SAMI-TF'!D13:D100000,SUMMARY!D46,'PLAN BUDGET SAMI-TF'!J13:J100000,SUMMARY!A46&amp;"*")</f>
        <v>0</v>
      </c>
      <c r="P46" s="10">
        <f>SUMIFS('PLAN BUDGET SAMI-TF'!AY13:AY100000,'PLAN BUDGET SAMI-TF'!D13:D100000,SUMMARY!D46,'PLAN BUDGET SAMI-TF'!J13:J100000,SUMMARY!A46&amp;"*")</f>
        <v>0</v>
      </c>
      <c r="Q46" s="10">
        <f>SUMIFS('PLAN BUDGET SAMI-TF'!BC13:BC100000,'PLAN BUDGET SAMI-TF'!D13:D100000,SUMMARY!D46,'PLAN BUDGET SAMI-TF'!J13:J100000,SUMMARY!A46&amp;"*")</f>
        <v>126.59349562619001</v>
      </c>
      <c r="R46" s="10">
        <f>SUMIFS('PLAN BUDGET SAMI-TF'!BD13:BD100000,'PLAN BUDGET SAMI-TF'!D13:D100000,SUMMARY!D46,'PLAN BUDGET SAMI-TF'!J13:J100000,SUMMARY!A46&amp;"*")</f>
        <v>0</v>
      </c>
      <c r="S46" s="10">
        <f>SUMIFS('PLAN BUDGET SAMI-TF'!BE13:BE100000,'PLAN BUDGET SAMI-TF'!D13:D100000,SUMMARY!D46,'PLAN BUDGET SAMI-TF'!J13:J100000,SUMMARY!A46&amp;"*")</f>
        <v>0</v>
      </c>
      <c r="T46" s="10">
        <f>SUMIFS('PLAN BUDGET SAMI-TF'!BF13:BF100000,'PLAN BUDGET SAMI-TF'!D13:D100000,SUMMARY!D46,'PLAN BUDGET SAMI-TF'!J13:J100000,SUMMARY!A46&amp;"*")</f>
        <v>63.296747813096999</v>
      </c>
      <c r="U46" s="10">
        <f>SUMIFS('PLAN BUDGET SAMI-TF'!BG13:BG100000,'PLAN BUDGET SAMI-TF'!D13:D100000,SUMMARY!D46,'PLAN BUDGET SAMI-TF'!J13:J100000,SUMMARY!A46&amp;"*")</f>
        <v>0</v>
      </c>
      <c r="V46" s="10">
        <f>SUMIFS('PLAN BUDGET SAMI-TF'!BH13:BH100000,'PLAN BUDGET SAMI-TF'!D13:D100000,SUMMARY!D46,'PLAN BUDGET SAMI-TF'!J13:J100000,SUMMARY!A46&amp;"*")</f>
        <v>0</v>
      </c>
      <c r="W46" s="10">
        <f>SUMIFS('PLAN BUDGET SAMI-TF'!BI13:BI100000,'PLAN BUDGET SAMI-TF'!D13:D100000,SUMMARY!D46,'PLAN BUDGET SAMI-TF'!J13:J100000,SUMMARY!A46&amp;"*")</f>
        <v>0</v>
      </c>
      <c r="X46" s="10">
        <f>SUMIFS('PLAN BUDGET SAMI-TF'!BJ13:BJ100000,'PLAN BUDGET SAMI-TF'!D13:D100000,SUMMARY!D46,'PLAN BUDGET SAMI-TF'!J13:J100000,SUMMARY!A46&amp;"*")</f>
        <v>0</v>
      </c>
      <c r="Y46" s="10">
        <f>SUMIFS('PLAN BUDGET SAMI-TF'!BK13:BK100000,'PLAN BUDGET SAMI-TF'!D13:D100000,SUMMARY!D46,'PLAN BUDGET SAMI-TF'!J13:J100000,SUMMARY!A46&amp;"*")</f>
        <v>0</v>
      </c>
      <c r="Z46" s="10">
        <f>SUMIFS('PLAN BUDGET SAMI-TF'!BL13:BL100000,'PLAN BUDGET SAMI-TF'!D13:D100000,SUMMARY!D46,'PLAN BUDGET SAMI-TF'!J13:J100000,SUMMARY!A46&amp;"*")</f>
        <v>0</v>
      </c>
      <c r="AA46" s="10">
        <f>SUMIFS('PLAN BUDGET SAMI-TF'!BM13:BM100000,'PLAN BUDGET SAMI-TF'!D13:D100000,SUMMARY!D46,'PLAN BUDGET SAMI-TF'!J13:J100000,SUMMARY!A46&amp;"*")</f>
        <v>0</v>
      </c>
      <c r="AB46" s="10">
        <f>SUMIFS('PLAN BUDGET SAMI-TF'!BN13:BN100000,'PLAN BUDGET SAMI-TF'!D13:D100000,SUMMARY!D46,'PLAN BUDGET SAMI-TF'!J13:J100000,SUMMARY!A46&amp;"*")</f>
        <v>0</v>
      </c>
      <c r="AC46" s="10">
        <f t="shared" si="0"/>
        <v>3</v>
      </c>
      <c r="AD46" s="10">
        <f t="shared" si="1"/>
        <v>189.89024343928702</v>
      </c>
      <c r="AE46" s="16"/>
      <c r="AF46" s="10">
        <v>0</v>
      </c>
      <c r="AG46" s="10">
        <v>0</v>
      </c>
      <c r="AH46" s="20">
        <f t="shared" si="2"/>
        <v>1</v>
      </c>
      <c r="AI46" s="20">
        <f t="shared" si="3"/>
        <v>1</v>
      </c>
      <c r="AJ46" s="67" t="s">
        <v>367</v>
      </c>
    </row>
    <row r="47" spans="1:36" x14ac:dyDescent="0.35">
      <c r="A47" s="7" t="s">
        <v>228</v>
      </c>
      <c r="B47" s="7"/>
      <c r="C47" s="7"/>
      <c r="D47" s="7" t="s">
        <v>213</v>
      </c>
      <c r="E47" s="10">
        <f>SUMIFS('PLAN BUDGET SAMI-TF'!AN13:AN100000,'PLAN BUDGET SAMI-TF'!D13:D100000,SUMMARY!D47,'PLAN BUDGET SAMI-TF'!J13:J100000,SUMMARY!A47&amp;"*")</f>
        <v>24</v>
      </c>
      <c r="F47" s="10">
        <f>SUMIFS('PLAN BUDGET SAMI-TF'!AO13:AO100000,'PLAN BUDGET SAMI-TF'!D13:D100000,SUMMARY!D47,'PLAN BUDGET SAMI-TF'!J13:J100000,SUMMARY!A47&amp;"*")</f>
        <v>0</v>
      </c>
      <c r="G47" s="10">
        <f>SUMIFS('PLAN BUDGET SAMI-TF'!AP13:AP100000,'PLAN BUDGET SAMI-TF'!D13:D100000,SUMMARY!D47,'PLAN BUDGET SAMI-TF'!J13:J100000,SUMMARY!A47&amp;"*")</f>
        <v>0</v>
      </c>
      <c r="H47" s="10">
        <f>SUMIFS('PLAN BUDGET SAMI-TF'!AQ13:AQ100000,'PLAN BUDGET SAMI-TF'!D13:D100000,SUMMARY!D47,'PLAN BUDGET SAMI-TF'!J13:J100000,SUMMARY!A47&amp;"*")</f>
        <v>28</v>
      </c>
      <c r="I47" s="10">
        <f>SUMIFS('PLAN BUDGET SAMI-TF'!AR13:AR100000,'PLAN BUDGET SAMI-TF'!D13:D100000,SUMMARY!D47,'PLAN BUDGET SAMI-TF'!J13:J100000,SUMMARY!A47&amp;"*")</f>
        <v>0</v>
      </c>
      <c r="J47" s="10">
        <f>SUMIFS('PLAN BUDGET SAMI-TF'!AS13:AS100000,'PLAN BUDGET SAMI-TF'!D13:D100000,SUMMARY!D47,'PLAN BUDGET SAMI-TF'!J13:J100000,SUMMARY!A47&amp;"*")</f>
        <v>0</v>
      </c>
      <c r="K47" s="10">
        <f>SUMIFS('PLAN BUDGET SAMI-TF'!AT13:AT100000,'PLAN BUDGET SAMI-TF'!D13:D100000,SUMMARY!D47,'PLAN BUDGET SAMI-TF'!J13:J100000,SUMMARY!A47&amp;"*")</f>
        <v>0</v>
      </c>
      <c r="L47" s="10">
        <f>SUMIFS('PLAN BUDGET SAMI-TF'!AU13:AU100000,'PLAN BUDGET SAMI-TF'!D13:D100000,SUMMARY!D47,'PLAN BUDGET SAMI-TF'!J13:J100000,SUMMARY!A47&amp;"*")</f>
        <v>0</v>
      </c>
      <c r="M47" s="10">
        <f>SUMIFS('PLAN BUDGET SAMI-TF'!AV13:AV100000,'PLAN BUDGET SAMI-TF'!D13:D100000,SUMMARY!D47,'PLAN BUDGET SAMI-TF'!J13:J100000,SUMMARY!A47&amp;"*")</f>
        <v>0</v>
      </c>
      <c r="N47" s="10">
        <f>SUMIFS('PLAN BUDGET SAMI-TF'!AW13:AW100000,'PLAN BUDGET SAMI-TF'!D13:D100000,SUMMARY!D47,'PLAN BUDGET SAMI-TF'!J13:J100000,SUMMARY!A47&amp;"*")</f>
        <v>0</v>
      </c>
      <c r="O47" s="10">
        <f>SUMIFS('PLAN BUDGET SAMI-TF'!AX13:AX100000,'PLAN BUDGET SAMI-TF'!D13:D100000,SUMMARY!D47,'PLAN BUDGET SAMI-TF'!J13:J100000,SUMMARY!A47&amp;"*")</f>
        <v>0</v>
      </c>
      <c r="P47" s="10">
        <f>SUMIFS('PLAN BUDGET SAMI-TF'!AY13:AY100000,'PLAN BUDGET SAMI-TF'!D13:D100000,SUMMARY!D47,'PLAN BUDGET SAMI-TF'!J13:J100000,SUMMARY!A47&amp;"*")</f>
        <v>0</v>
      </c>
      <c r="Q47" s="10">
        <f>SUMIFS('PLAN BUDGET SAMI-TF'!BC13:BC100000,'PLAN BUDGET SAMI-TF'!D13:D100000,SUMMARY!D47,'PLAN BUDGET SAMI-TF'!J13:J100000,SUMMARY!A47&amp;"*")</f>
        <v>46.523109642625798</v>
      </c>
      <c r="R47" s="10">
        <f>SUMIFS('PLAN BUDGET SAMI-TF'!BD13:BD100000,'PLAN BUDGET SAMI-TF'!D13:D100000,SUMMARY!D47,'PLAN BUDGET SAMI-TF'!J13:J100000,SUMMARY!A47&amp;"*")</f>
        <v>0</v>
      </c>
      <c r="S47" s="10">
        <f>SUMIFS('PLAN BUDGET SAMI-TF'!BE13:BE100000,'PLAN BUDGET SAMI-TF'!D13:D100000,SUMMARY!D47,'PLAN BUDGET SAMI-TF'!J13:J100000,SUMMARY!A47&amp;"*")</f>
        <v>0</v>
      </c>
      <c r="T47" s="10">
        <f>SUMIFS('PLAN BUDGET SAMI-TF'!BF13:BF100000,'PLAN BUDGET SAMI-TF'!D13:D100000,SUMMARY!D47,'PLAN BUDGET SAMI-TF'!J13:J100000,SUMMARY!A47&amp;"*")</f>
        <v>55.384654336459896</v>
      </c>
      <c r="U47" s="10">
        <f>SUMIFS('PLAN BUDGET SAMI-TF'!BG13:BG100000,'PLAN BUDGET SAMI-TF'!D13:D100000,SUMMARY!D47,'PLAN BUDGET SAMI-TF'!J13:J100000,SUMMARY!A47&amp;"*")</f>
        <v>0</v>
      </c>
      <c r="V47" s="10">
        <f>SUMIFS('PLAN BUDGET SAMI-TF'!BH13:BH100000,'PLAN BUDGET SAMI-TF'!D13:D100000,SUMMARY!D47,'PLAN BUDGET SAMI-TF'!J13:J100000,SUMMARY!A47&amp;"*")</f>
        <v>0</v>
      </c>
      <c r="W47" s="10">
        <f>SUMIFS('PLAN BUDGET SAMI-TF'!BI13:BI100000,'PLAN BUDGET SAMI-TF'!D13:D100000,SUMMARY!D47,'PLAN BUDGET SAMI-TF'!J13:J100000,SUMMARY!A47&amp;"*")</f>
        <v>0</v>
      </c>
      <c r="X47" s="10">
        <f>SUMIFS('PLAN BUDGET SAMI-TF'!BJ13:BJ100000,'PLAN BUDGET SAMI-TF'!D13:D100000,SUMMARY!D47,'PLAN BUDGET SAMI-TF'!J13:J100000,SUMMARY!A47&amp;"*")</f>
        <v>0</v>
      </c>
      <c r="Y47" s="10">
        <f>SUMIFS('PLAN BUDGET SAMI-TF'!BK13:BK100000,'PLAN BUDGET SAMI-TF'!D13:D100000,SUMMARY!D47,'PLAN BUDGET SAMI-TF'!J13:J100000,SUMMARY!A47&amp;"*")</f>
        <v>0</v>
      </c>
      <c r="Z47" s="10">
        <f>SUMIFS('PLAN BUDGET SAMI-TF'!BL13:BL100000,'PLAN BUDGET SAMI-TF'!D13:D100000,SUMMARY!D47,'PLAN BUDGET SAMI-TF'!J13:J100000,SUMMARY!A47&amp;"*")</f>
        <v>0</v>
      </c>
      <c r="AA47" s="10">
        <f>SUMIFS('PLAN BUDGET SAMI-TF'!BM13:BM100000,'PLAN BUDGET SAMI-TF'!D13:D100000,SUMMARY!D47,'PLAN BUDGET SAMI-TF'!J13:J100000,SUMMARY!A47&amp;"*")</f>
        <v>0</v>
      </c>
      <c r="AB47" s="10">
        <f>SUMIFS('PLAN BUDGET SAMI-TF'!BN13:BN100000,'PLAN BUDGET SAMI-TF'!D13:D100000,SUMMARY!D47,'PLAN BUDGET SAMI-TF'!J13:J100000,SUMMARY!A47&amp;"*")</f>
        <v>0</v>
      </c>
      <c r="AC47" s="10">
        <f t="shared" si="0"/>
        <v>52</v>
      </c>
      <c r="AD47" s="10">
        <f t="shared" si="1"/>
        <v>101.9077639790857</v>
      </c>
      <c r="AE47" s="16"/>
      <c r="AF47" s="10">
        <v>0</v>
      </c>
      <c r="AG47" s="10">
        <v>0</v>
      </c>
      <c r="AH47" s="20">
        <f t="shared" si="2"/>
        <v>1</v>
      </c>
      <c r="AI47" s="20">
        <f t="shared" si="3"/>
        <v>1</v>
      </c>
      <c r="AJ47" s="67" t="s">
        <v>352</v>
      </c>
    </row>
    <row r="48" spans="1:36" x14ac:dyDescent="0.35">
      <c r="A48" s="7" t="s">
        <v>228</v>
      </c>
      <c r="B48" s="7"/>
      <c r="C48" s="7"/>
      <c r="D48" s="7" t="s">
        <v>283</v>
      </c>
      <c r="E48" s="10">
        <f>SUMIFS('PLAN BUDGET SAMI-TF'!AN13:AN100000,'PLAN BUDGET SAMI-TF'!D13:D100000,SUMMARY!D48,'PLAN BUDGET SAMI-TF'!J13:J100000,SUMMARY!A48&amp;"*")</f>
        <v>0</v>
      </c>
      <c r="F48" s="10">
        <f>SUMIFS('PLAN BUDGET SAMI-TF'!AO13:AO100000,'PLAN BUDGET SAMI-TF'!D13:D100000,SUMMARY!D48,'PLAN BUDGET SAMI-TF'!J13:J100000,SUMMARY!A48&amp;"*")</f>
        <v>0</v>
      </c>
      <c r="G48" s="10">
        <f>SUMIFS('PLAN BUDGET SAMI-TF'!AP13:AP100000,'PLAN BUDGET SAMI-TF'!D13:D100000,SUMMARY!D48,'PLAN BUDGET SAMI-TF'!J13:J100000,SUMMARY!A48&amp;"*")</f>
        <v>0</v>
      </c>
      <c r="H48" s="10">
        <f>SUMIFS('PLAN BUDGET SAMI-TF'!AQ13:AQ100000,'PLAN BUDGET SAMI-TF'!D13:D100000,SUMMARY!D48,'PLAN BUDGET SAMI-TF'!J13:J100000,SUMMARY!A48&amp;"*")</f>
        <v>0</v>
      </c>
      <c r="I48" s="10">
        <f>SUMIFS('PLAN BUDGET SAMI-TF'!AR13:AR100000,'PLAN BUDGET SAMI-TF'!D13:D100000,SUMMARY!D48,'PLAN BUDGET SAMI-TF'!J13:J100000,SUMMARY!A48&amp;"*")</f>
        <v>0</v>
      </c>
      <c r="J48" s="10">
        <f>SUMIFS('PLAN BUDGET SAMI-TF'!AS13:AS100000,'PLAN BUDGET SAMI-TF'!D13:D100000,SUMMARY!D48,'PLAN BUDGET SAMI-TF'!J13:J100000,SUMMARY!A48&amp;"*")</f>
        <v>0</v>
      </c>
      <c r="K48" s="10">
        <f>SUMIFS('PLAN BUDGET SAMI-TF'!AT13:AT100000,'PLAN BUDGET SAMI-TF'!D13:D100000,SUMMARY!D48,'PLAN BUDGET SAMI-TF'!J13:J100000,SUMMARY!A48&amp;"*")</f>
        <v>0</v>
      </c>
      <c r="L48" s="10">
        <f>SUMIFS('PLAN BUDGET SAMI-TF'!AU13:AU100000,'PLAN BUDGET SAMI-TF'!D13:D100000,SUMMARY!D48,'PLAN BUDGET SAMI-TF'!J13:J100000,SUMMARY!A48&amp;"*")</f>
        <v>0</v>
      </c>
      <c r="M48" s="10">
        <f>SUMIFS('PLAN BUDGET SAMI-TF'!AV13:AV100000,'PLAN BUDGET SAMI-TF'!D13:D100000,SUMMARY!D48,'PLAN BUDGET SAMI-TF'!J13:J100000,SUMMARY!A48&amp;"*")</f>
        <v>0</v>
      </c>
      <c r="N48" s="10">
        <f>SUMIFS('PLAN BUDGET SAMI-TF'!AW13:AW100000,'PLAN BUDGET SAMI-TF'!D13:D100000,SUMMARY!D48,'PLAN BUDGET SAMI-TF'!J13:J100000,SUMMARY!A48&amp;"*")</f>
        <v>0</v>
      </c>
      <c r="O48" s="10">
        <f>SUMIFS('PLAN BUDGET SAMI-TF'!AX13:AX100000,'PLAN BUDGET SAMI-TF'!D13:D100000,SUMMARY!D48,'PLAN BUDGET SAMI-TF'!J13:J100000,SUMMARY!A48&amp;"*")</f>
        <v>0</v>
      </c>
      <c r="P48" s="10">
        <f>SUMIFS('PLAN BUDGET SAMI-TF'!AY13:AY100000,'PLAN BUDGET SAMI-TF'!D13:D100000,SUMMARY!D48,'PLAN BUDGET SAMI-TF'!J13:J100000,SUMMARY!A48&amp;"*")</f>
        <v>0</v>
      </c>
      <c r="Q48" s="10">
        <f>SUMIFS('PLAN BUDGET SAMI-TF'!BC13:BC100000,'PLAN BUDGET SAMI-TF'!D13:D100000,SUMMARY!D48,'PLAN BUDGET SAMI-TF'!J13:J100000,SUMMARY!A48&amp;"*")</f>
        <v>0</v>
      </c>
      <c r="R48" s="10">
        <f>SUMIFS('PLAN BUDGET SAMI-TF'!BD13:BD100000,'PLAN BUDGET SAMI-TF'!D13:D100000,SUMMARY!D48,'PLAN BUDGET SAMI-TF'!J13:J100000,SUMMARY!A48&amp;"*")</f>
        <v>0</v>
      </c>
      <c r="S48" s="10">
        <f>SUMIFS('PLAN BUDGET SAMI-TF'!BE13:BE100000,'PLAN BUDGET SAMI-TF'!D13:D100000,SUMMARY!D48,'PLAN BUDGET SAMI-TF'!J13:J100000,SUMMARY!A48&amp;"*")</f>
        <v>0</v>
      </c>
      <c r="T48" s="10">
        <f>SUMIFS('PLAN BUDGET SAMI-TF'!BF13:BF100000,'PLAN BUDGET SAMI-TF'!D13:D100000,SUMMARY!D48,'PLAN BUDGET SAMI-TF'!J13:J100000,SUMMARY!A48&amp;"*")</f>
        <v>0</v>
      </c>
      <c r="U48" s="10">
        <f>SUMIFS('PLAN BUDGET SAMI-TF'!BG13:BG100000,'PLAN BUDGET SAMI-TF'!D13:D100000,SUMMARY!D48,'PLAN BUDGET SAMI-TF'!J13:J100000,SUMMARY!A48&amp;"*")</f>
        <v>0</v>
      </c>
      <c r="V48" s="10">
        <f>SUMIFS('PLAN BUDGET SAMI-TF'!BH13:BH100000,'PLAN BUDGET SAMI-TF'!D13:D100000,SUMMARY!D48,'PLAN BUDGET SAMI-TF'!J13:J100000,SUMMARY!A48&amp;"*")</f>
        <v>0</v>
      </c>
      <c r="W48" s="10">
        <f>SUMIFS('PLAN BUDGET SAMI-TF'!BI13:BI100000,'PLAN BUDGET SAMI-TF'!D13:D100000,SUMMARY!D48,'PLAN BUDGET SAMI-TF'!J13:J100000,SUMMARY!A48&amp;"*")</f>
        <v>0</v>
      </c>
      <c r="X48" s="10">
        <f>SUMIFS('PLAN BUDGET SAMI-TF'!BJ13:BJ100000,'PLAN BUDGET SAMI-TF'!D13:D100000,SUMMARY!D48,'PLAN BUDGET SAMI-TF'!J13:J100000,SUMMARY!A48&amp;"*")</f>
        <v>0</v>
      </c>
      <c r="Y48" s="10">
        <f>SUMIFS('PLAN BUDGET SAMI-TF'!BK13:BK100000,'PLAN BUDGET SAMI-TF'!D13:D100000,SUMMARY!D48,'PLAN BUDGET SAMI-TF'!J13:J100000,SUMMARY!A48&amp;"*")</f>
        <v>0</v>
      </c>
      <c r="Z48" s="10">
        <f>SUMIFS('PLAN BUDGET SAMI-TF'!BL13:BL100000,'PLAN BUDGET SAMI-TF'!D13:D100000,SUMMARY!D48,'PLAN BUDGET SAMI-TF'!J13:J100000,SUMMARY!A48&amp;"*")</f>
        <v>0</v>
      </c>
      <c r="AA48" s="10">
        <f>SUMIFS('PLAN BUDGET SAMI-TF'!BM13:BM100000,'PLAN BUDGET SAMI-TF'!D13:D100000,SUMMARY!D48,'PLAN BUDGET SAMI-TF'!J13:J100000,SUMMARY!A48&amp;"*")</f>
        <v>0</v>
      </c>
      <c r="AB48" s="10">
        <f>SUMIFS('PLAN BUDGET SAMI-TF'!BN13:BN100000,'PLAN BUDGET SAMI-TF'!D13:D100000,SUMMARY!D48,'PLAN BUDGET SAMI-TF'!J13:J100000,SUMMARY!A48&amp;"*")</f>
        <v>0</v>
      </c>
      <c r="AC48" s="10">
        <f t="shared" si="0"/>
        <v>0</v>
      </c>
      <c r="AD48" s="10">
        <f t="shared" si="1"/>
        <v>0</v>
      </c>
      <c r="AE48" s="16"/>
      <c r="AF48" s="10">
        <v>2</v>
      </c>
      <c r="AG48" s="10">
        <v>1984.3530439405999</v>
      </c>
      <c r="AH48" s="20">
        <f t="shared" si="2"/>
        <v>-1</v>
      </c>
      <c r="AI48" s="20">
        <f t="shared" si="3"/>
        <v>-1</v>
      </c>
      <c r="AJ48" s="67" t="s">
        <v>368</v>
      </c>
    </row>
    <row r="49" spans="1:36" x14ac:dyDescent="0.35">
      <c r="A49" s="7" t="s">
        <v>48</v>
      </c>
      <c r="B49" s="7"/>
      <c r="C49" s="7"/>
      <c r="D49" s="7" t="s">
        <v>285</v>
      </c>
      <c r="E49" s="10">
        <f>SUMIFS('PLAN BUDGET SAMI-TF'!AN13:AN100000,'PLAN BUDGET SAMI-TF'!D13:D100000,SUMMARY!D49,'PLAN BUDGET SAMI-TF'!J13:J100000,SUMMARY!A49&amp;"*")</f>
        <v>0</v>
      </c>
      <c r="F49" s="10">
        <f>SUMIFS('PLAN BUDGET SAMI-TF'!AO13:AO100000,'PLAN BUDGET SAMI-TF'!D13:D100000,SUMMARY!D49,'PLAN BUDGET SAMI-TF'!J13:J100000,SUMMARY!A49&amp;"*")</f>
        <v>0</v>
      </c>
      <c r="G49" s="10">
        <f>SUMIFS('PLAN BUDGET SAMI-TF'!AP13:AP100000,'PLAN BUDGET SAMI-TF'!D13:D100000,SUMMARY!D49,'PLAN BUDGET SAMI-TF'!J13:J100000,SUMMARY!A49&amp;"*")</f>
        <v>0</v>
      </c>
      <c r="H49" s="10">
        <f>SUMIFS('PLAN BUDGET SAMI-TF'!AQ13:AQ100000,'PLAN BUDGET SAMI-TF'!D13:D100000,SUMMARY!D49,'PLAN BUDGET SAMI-TF'!J13:J100000,SUMMARY!A49&amp;"*")</f>
        <v>0</v>
      </c>
      <c r="I49" s="10">
        <f>SUMIFS('PLAN BUDGET SAMI-TF'!AR13:AR100000,'PLAN BUDGET SAMI-TF'!D13:D100000,SUMMARY!D49,'PLAN BUDGET SAMI-TF'!J13:J100000,SUMMARY!A49&amp;"*")</f>
        <v>0</v>
      </c>
      <c r="J49" s="10">
        <f>SUMIFS('PLAN BUDGET SAMI-TF'!AS13:AS100000,'PLAN BUDGET SAMI-TF'!D13:D100000,SUMMARY!D49,'PLAN BUDGET SAMI-TF'!J13:J100000,SUMMARY!A49&amp;"*")</f>
        <v>0</v>
      </c>
      <c r="K49" s="10">
        <f>SUMIFS('PLAN BUDGET SAMI-TF'!AT13:AT100000,'PLAN BUDGET SAMI-TF'!D13:D100000,SUMMARY!D49,'PLAN BUDGET SAMI-TF'!J13:J100000,SUMMARY!A49&amp;"*")</f>
        <v>0</v>
      </c>
      <c r="L49" s="10">
        <f>SUMIFS('PLAN BUDGET SAMI-TF'!AU13:AU100000,'PLAN BUDGET SAMI-TF'!D13:D100000,SUMMARY!D49,'PLAN BUDGET SAMI-TF'!J13:J100000,SUMMARY!A49&amp;"*")</f>
        <v>0</v>
      </c>
      <c r="M49" s="10">
        <f>SUMIFS('PLAN BUDGET SAMI-TF'!AV13:AV100000,'PLAN BUDGET SAMI-TF'!D13:D100000,SUMMARY!D49,'PLAN BUDGET SAMI-TF'!J13:J100000,SUMMARY!A49&amp;"*")</f>
        <v>0</v>
      </c>
      <c r="N49" s="10">
        <f>SUMIFS('PLAN BUDGET SAMI-TF'!AW13:AW100000,'PLAN BUDGET SAMI-TF'!D13:D100000,SUMMARY!D49,'PLAN BUDGET SAMI-TF'!J13:J100000,SUMMARY!A49&amp;"*")</f>
        <v>0</v>
      </c>
      <c r="O49" s="10">
        <f>SUMIFS('PLAN BUDGET SAMI-TF'!AX13:AX100000,'PLAN BUDGET SAMI-TF'!D13:D100000,SUMMARY!D49,'PLAN BUDGET SAMI-TF'!J13:J100000,SUMMARY!A49&amp;"*")</f>
        <v>0</v>
      </c>
      <c r="P49" s="10">
        <f>SUMIFS('PLAN BUDGET SAMI-TF'!AY13:AY100000,'PLAN BUDGET SAMI-TF'!D13:D100000,SUMMARY!D49,'PLAN BUDGET SAMI-TF'!J13:J100000,SUMMARY!A49&amp;"*")</f>
        <v>0</v>
      </c>
      <c r="Q49" s="10">
        <f>SUMIFS('PLAN BUDGET SAMI-TF'!BC13:BC100000,'PLAN BUDGET SAMI-TF'!D13:D100000,SUMMARY!D49,'PLAN BUDGET SAMI-TF'!J13:J100000,SUMMARY!A49&amp;"*")</f>
        <v>0</v>
      </c>
      <c r="R49" s="10">
        <f>SUMIFS('PLAN BUDGET SAMI-TF'!BD13:BD100000,'PLAN BUDGET SAMI-TF'!D13:D100000,SUMMARY!D49,'PLAN BUDGET SAMI-TF'!J13:J100000,SUMMARY!A49&amp;"*")</f>
        <v>0</v>
      </c>
      <c r="S49" s="10">
        <f>SUMIFS('PLAN BUDGET SAMI-TF'!BE13:BE100000,'PLAN BUDGET SAMI-TF'!D13:D100000,SUMMARY!D49,'PLAN BUDGET SAMI-TF'!J13:J100000,SUMMARY!A49&amp;"*")</f>
        <v>0</v>
      </c>
      <c r="T49" s="10">
        <f>SUMIFS('PLAN BUDGET SAMI-TF'!BF13:BF100000,'PLAN BUDGET SAMI-TF'!D13:D100000,SUMMARY!D49,'PLAN BUDGET SAMI-TF'!J13:J100000,SUMMARY!A49&amp;"*")</f>
        <v>0</v>
      </c>
      <c r="U49" s="10">
        <f>SUMIFS('PLAN BUDGET SAMI-TF'!BG13:BG100000,'PLAN BUDGET SAMI-TF'!D13:D100000,SUMMARY!D49,'PLAN BUDGET SAMI-TF'!J13:J100000,SUMMARY!A49&amp;"*")</f>
        <v>0</v>
      </c>
      <c r="V49" s="10">
        <f>SUMIFS('PLAN BUDGET SAMI-TF'!BH13:BH100000,'PLAN BUDGET SAMI-TF'!D13:D100000,SUMMARY!D49,'PLAN BUDGET SAMI-TF'!J13:J100000,SUMMARY!A49&amp;"*")</f>
        <v>0</v>
      </c>
      <c r="W49" s="10">
        <f>SUMIFS('PLAN BUDGET SAMI-TF'!BI13:BI100000,'PLAN BUDGET SAMI-TF'!D13:D100000,SUMMARY!D49,'PLAN BUDGET SAMI-TF'!J13:J100000,SUMMARY!A49&amp;"*")</f>
        <v>0</v>
      </c>
      <c r="X49" s="10">
        <f>SUMIFS('PLAN BUDGET SAMI-TF'!BJ13:BJ100000,'PLAN BUDGET SAMI-TF'!D13:D100000,SUMMARY!D49,'PLAN BUDGET SAMI-TF'!J13:J100000,SUMMARY!A49&amp;"*")</f>
        <v>0</v>
      </c>
      <c r="Y49" s="10">
        <f>SUMIFS('PLAN BUDGET SAMI-TF'!BK13:BK100000,'PLAN BUDGET SAMI-TF'!D13:D100000,SUMMARY!D49,'PLAN BUDGET SAMI-TF'!J13:J100000,SUMMARY!A49&amp;"*")</f>
        <v>0</v>
      </c>
      <c r="Z49" s="10">
        <f>SUMIFS('PLAN BUDGET SAMI-TF'!BL13:BL100000,'PLAN BUDGET SAMI-TF'!D13:D100000,SUMMARY!D49,'PLAN BUDGET SAMI-TF'!J13:J100000,SUMMARY!A49&amp;"*")</f>
        <v>0</v>
      </c>
      <c r="AA49" s="10">
        <f>SUMIFS('PLAN BUDGET SAMI-TF'!BM13:BM100000,'PLAN BUDGET SAMI-TF'!D13:D100000,SUMMARY!D49,'PLAN BUDGET SAMI-TF'!J13:J100000,SUMMARY!A49&amp;"*")</f>
        <v>0</v>
      </c>
      <c r="AB49" s="10">
        <f>SUMIFS('PLAN BUDGET SAMI-TF'!BN13:BN100000,'PLAN BUDGET SAMI-TF'!D13:D100000,SUMMARY!D49,'PLAN BUDGET SAMI-TF'!J13:J100000,SUMMARY!A49&amp;"*")</f>
        <v>0</v>
      </c>
      <c r="AC49" s="10">
        <f t="shared" si="0"/>
        <v>0</v>
      </c>
      <c r="AD49" s="10">
        <f t="shared" si="1"/>
        <v>0</v>
      </c>
      <c r="AE49" s="16"/>
      <c r="AF49" s="10">
        <v>2</v>
      </c>
      <c r="AG49" s="10">
        <v>791.20934766372</v>
      </c>
      <c r="AH49" s="20">
        <f t="shared" si="2"/>
        <v>-1</v>
      </c>
      <c r="AI49" s="20">
        <f t="shared" si="3"/>
        <v>-1</v>
      </c>
      <c r="AJ49" s="67" t="s">
        <v>284</v>
      </c>
    </row>
    <row r="50" spans="1:36" x14ac:dyDescent="0.35">
      <c r="A50" s="7" t="s">
        <v>48</v>
      </c>
      <c r="B50" s="7"/>
      <c r="C50" s="7"/>
      <c r="D50" s="7" t="s">
        <v>233</v>
      </c>
      <c r="E50" s="10">
        <f>SUMIFS('PLAN BUDGET SAMI-TF'!AN13:AN100000,'PLAN BUDGET SAMI-TF'!D13:D100000,SUMMARY!D50,'PLAN BUDGET SAMI-TF'!J13:J100000,SUMMARY!A50&amp;"*")</f>
        <v>0</v>
      </c>
      <c r="F50" s="10">
        <f>SUMIFS('PLAN BUDGET SAMI-TF'!AO13:AO100000,'PLAN BUDGET SAMI-TF'!D13:D100000,SUMMARY!D50,'PLAN BUDGET SAMI-TF'!J13:J100000,SUMMARY!A50&amp;"*")</f>
        <v>0</v>
      </c>
      <c r="G50" s="10">
        <f>SUMIFS('PLAN BUDGET SAMI-TF'!AP13:AP100000,'PLAN BUDGET SAMI-TF'!D13:D100000,SUMMARY!D50,'PLAN BUDGET SAMI-TF'!J13:J100000,SUMMARY!A50&amp;"*")</f>
        <v>0</v>
      </c>
      <c r="H50" s="10">
        <f>SUMIFS('PLAN BUDGET SAMI-TF'!AQ13:AQ100000,'PLAN BUDGET SAMI-TF'!D13:D100000,SUMMARY!D50,'PLAN BUDGET SAMI-TF'!J13:J100000,SUMMARY!A50&amp;"*")</f>
        <v>0</v>
      </c>
      <c r="I50" s="10">
        <f>SUMIFS('PLAN BUDGET SAMI-TF'!AR13:AR100000,'PLAN BUDGET SAMI-TF'!D13:D100000,SUMMARY!D50,'PLAN BUDGET SAMI-TF'!J13:J100000,SUMMARY!A50&amp;"*")</f>
        <v>0</v>
      </c>
      <c r="J50" s="10">
        <f>SUMIFS('PLAN BUDGET SAMI-TF'!AS13:AS100000,'PLAN BUDGET SAMI-TF'!D13:D100000,SUMMARY!D50,'PLAN BUDGET SAMI-TF'!J13:J100000,SUMMARY!A50&amp;"*")</f>
        <v>0</v>
      </c>
      <c r="K50" s="10">
        <f>SUMIFS('PLAN BUDGET SAMI-TF'!AT13:AT100000,'PLAN BUDGET SAMI-TF'!D13:D100000,SUMMARY!D50,'PLAN BUDGET SAMI-TF'!J13:J100000,SUMMARY!A50&amp;"*")</f>
        <v>0</v>
      </c>
      <c r="L50" s="10">
        <f>SUMIFS('PLAN BUDGET SAMI-TF'!AU13:AU100000,'PLAN BUDGET SAMI-TF'!D13:D100000,SUMMARY!D50,'PLAN BUDGET SAMI-TF'!J13:J100000,SUMMARY!A50&amp;"*")</f>
        <v>0</v>
      </c>
      <c r="M50" s="10">
        <f>SUMIFS('PLAN BUDGET SAMI-TF'!AV13:AV100000,'PLAN BUDGET SAMI-TF'!D13:D100000,SUMMARY!D50,'PLAN BUDGET SAMI-TF'!J13:J100000,SUMMARY!A50&amp;"*")</f>
        <v>0</v>
      </c>
      <c r="N50" s="10">
        <f>SUMIFS('PLAN BUDGET SAMI-TF'!AW13:AW100000,'PLAN BUDGET SAMI-TF'!D13:D100000,SUMMARY!D50,'PLAN BUDGET SAMI-TF'!J13:J100000,SUMMARY!A50&amp;"*")</f>
        <v>0</v>
      </c>
      <c r="O50" s="10">
        <f>SUMIFS('PLAN BUDGET SAMI-TF'!AX13:AX100000,'PLAN BUDGET SAMI-TF'!D13:D100000,SUMMARY!D50,'PLAN BUDGET SAMI-TF'!J13:J100000,SUMMARY!A50&amp;"*")</f>
        <v>0</v>
      </c>
      <c r="P50" s="10">
        <f>SUMIFS('PLAN BUDGET SAMI-TF'!AY13:AY100000,'PLAN BUDGET SAMI-TF'!D13:D100000,SUMMARY!D50,'PLAN BUDGET SAMI-TF'!J13:J100000,SUMMARY!A50&amp;"*")</f>
        <v>0</v>
      </c>
      <c r="Q50" s="10">
        <f>SUMIFS('PLAN BUDGET SAMI-TF'!BC13:BC100000,'PLAN BUDGET SAMI-TF'!D13:D100000,SUMMARY!D50,'PLAN BUDGET SAMI-TF'!J13:J100000,SUMMARY!A50&amp;"*")</f>
        <v>0</v>
      </c>
      <c r="R50" s="10">
        <f>SUMIFS('PLAN BUDGET SAMI-TF'!BD13:BD100000,'PLAN BUDGET SAMI-TF'!D13:D100000,SUMMARY!D50,'PLAN BUDGET SAMI-TF'!J13:J100000,SUMMARY!A50&amp;"*")</f>
        <v>0</v>
      </c>
      <c r="S50" s="10">
        <f>SUMIFS('PLAN BUDGET SAMI-TF'!BE13:BE100000,'PLAN BUDGET SAMI-TF'!D13:D100000,SUMMARY!D50,'PLAN BUDGET SAMI-TF'!J13:J100000,SUMMARY!A50&amp;"*")</f>
        <v>0</v>
      </c>
      <c r="T50" s="10">
        <f>SUMIFS('PLAN BUDGET SAMI-TF'!BF13:BF100000,'PLAN BUDGET SAMI-TF'!D13:D100000,SUMMARY!D50,'PLAN BUDGET SAMI-TF'!J13:J100000,SUMMARY!A50&amp;"*")</f>
        <v>0</v>
      </c>
      <c r="U50" s="10">
        <f>SUMIFS('PLAN BUDGET SAMI-TF'!BG13:BG100000,'PLAN BUDGET SAMI-TF'!D13:D100000,SUMMARY!D50,'PLAN BUDGET SAMI-TF'!J13:J100000,SUMMARY!A50&amp;"*")</f>
        <v>0</v>
      </c>
      <c r="V50" s="10">
        <f>SUMIFS('PLAN BUDGET SAMI-TF'!BH13:BH100000,'PLAN BUDGET SAMI-TF'!D13:D100000,SUMMARY!D50,'PLAN BUDGET SAMI-TF'!J13:J100000,SUMMARY!A50&amp;"*")</f>
        <v>0</v>
      </c>
      <c r="W50" s="10">
        <f>SUMIFS('PLAN BUDGET SAMI-TF'!BI13:BI100000,'PLAN BUDGET SAMI-TF'!D13:D100000,SUMMARY!D50,'PLAN BUDGET SAMI-TF'!J13:J100000,SUMMARY!A50&amp;"*")</f>
        <v>0</v>
      </c>
      <c r="X50" s="10">
        <f>SUMIFS('PLAN BUDGET SAMI-TF'!BJ13:BJ100000,'PLAN BUDGET SAMI-TF'!D13:D100000,SUMMARY!D50,'PLAN BUDGET SAMI-TF'!J13:J100000,SUMMARY!A50&amp;"*")</f>
        <v>0</v>
      </c>
      <c r="Y50" s="10">
        <f>SUMIFS('PLAN BUDGET SAMI-TF'!BK13:BK100000,'PLAN BUDGET SAMI-TF'!D13:D100000,SUMMARY!D50,'PLAN BUDGET SAMI-TF'!J13:J100000,SUMMARY!A50&amp;"*")</f>
        <v>0</v>
      </c>
      <c r="Z50" s="10">
        <f>SUMIFS('PLAN BUDGET SAMI-TF'!BL13:BL100000,'PLAN BUDGET SAMI-TF'!D13:D100000,SUMMARY!D50,'PLAN BUDGET SAMI-TF'!J13:J100000,SUMMARY!A50&amp;"*")</f>
        <v>0</v>
      </c>
      <c r="AA50" s="10">
        <f>SUMIFS('PLAN BUDGET SAMI-TF'!BM13:BM100000,'PLAN BUDGET SAMI-TF'!D13:D100000,SUMMARY!D50,'PLAN BUDGET SAMI-TF'!J13:J100000,SUMMARY!A50&amp;"*")</f>
        <v>0</v>
      </c>
      <c r="AB50" s="10">
        <f>SUMIFS('PLAN BUDGET SAMI-TF'!BN13:BN100000,'PLAN BUDGET SAMI-TF'!D13:D100000,SUMMARY!D50,'PLAN BUDGET SAMI-TF'!J13:J100000,SUMMARY!A50&amp;"*")</f>
        <v>0</v>
      </c>
      <c r="AC50" s="10">
        <f t="shared" si="0"/>
        <v>0</v>
      </c>
      <c r="AD50" s="10">
        <f t="shared" si="1"/>
        <v>0</v>
      </c>
      <c r="AE50" s="16"/>
      <c r="AF50" s="10">
        <v>3</v>
      </c>
      <c r="AG50" s="10">
        <v>854.50609547680995</v>
      </c>
      <c r="AH50" s="20">
        <f t="shared" si="2"/>
        <v>-1</v>
      </c>
      <c r="AI50" s="20">
        <f t="shared" si="3"/>
        <v>-1</v>
      </c>
      <c r="AJ50" s="67" t="s">
        <v>365</v>
      </c>
    </row>
    <row r="51" spans="1:36" x14ac:dyDescent="0.35">
      <c r="A51" s="7" t="s">
        <v>48</v>
      </c>
      <c r="B51" s="7"/>
      <c r="C51" s="7"/>
      <c r="D51" s="7" t="s">
        <v>286</v>
      </c>
      <c r="E51" s="10">
        <f>SUMIFS('PLAN BUDGET SAMI-TF'!AN13:AN100000,'PLAN BUDGET SAMI-TF'!D13:D100000,SUMMARY!D51,'PLAN BUDGET SAMI-TF'!J13:J100000,SUMMARY!A51&amp;"*")</f>
        <v>0</v>
      </c>
      <c r="F51" s="10">
        <f>SUMIFS('PLAN BUDGET SAMI-TF'!AO13:AO100000,'PLAN BUDGET SAMI-TF'!D13:D100000,SUMMARY!D51,'PLAN BUDGET SAMI-TF'!J13:J100000,SUMMARY!A51&amp;"*")</f>
        <v>0</v>
      </c>
      <c r="G51" s="10">
        <f>SUMIFS('PLAN BUDGET SAMI-TF'!AP13:AP100000,'PLAN BUDGET SAMI-TF'!D13:D100000,SUMMARY!D51,'PLAN BUDGET SAMI-TF'!J13:J100000,SUMMARY!A51&amp;"*")</f>
        <v>0</v>
      </c>
      <c r="H51" s="10">
        <f>SUMIFS('PLAN BUDGET SAMI-TF'!AQ13:AQ100000,'PLAN BUDGET SAMI-TF'!D13:D100000,SUMMARY!D51,'PLAN BUDGET SAMI-TF'!J13:J100000,SUMMARY!A51&amp;"*")</f>
        <v>0</v>
      </c>
      <c r="I51" s="10">
        <f>SUMIFS('PLAN BUDGET SAMI-TF'!AR13:AR100000,'PLAN BUDGET SAMI-TF'!D13:D100000,SUMMARY!D51,'PLAN BUDGET SAMI-TF'!J13:J100000,SUMMARY!A51&amp;"*")</f>
        <v>0</v>
      </c>
      <c r="J51" s="10">
        <f>SUMIFS('PLAN BUDGET SAMI-TF'!AS13:AS100000,'PLAN BUDGET SAMI-TF'!D13:D100000,SUMMARY!D51,'PLAN BUDGET SAMI-TF'!J13:J100000,SUMMARY!A51&amp;"*")</f>
        <v>0</v>
      </c>
      <c r="K51" s="10">
        <f>SUMIFS('PLAN BUDGET SAMI-TF'!AT13:AT100000,'PLAN BUDGET SAMI-TF'!D13:D100000,SUMMARY!D51,'PLAN BUDGET SAMI-TF'!J13:J100000,SUMMARY!A51&amp;"*")</f>
        <v>0</v>
      </c>
      <c r="L51" s="10">
        <f>SUMIFS('PLAN BUDGET SAMI-TF'!AU13:AU100000,'PLAN BUDGET SAMI-TF'!D13:D100000,SUMMARY!D51,'PLAN BUDGET SAMI-TF'!J13:J100000,SUMMARY!A51&amp;"*")</f>
        <v>0</v>
      </c>
      <c r="M51" s="10">
        <f>SUMIFS('PLAN BUDGET SAMI-TF'!AV13:AV100000,'PLAN BUDGET SAMI-TF'!D13:D100000,SUMMARY!D51,'PLAN BUDGET SAMI-TF'!J13:J100000,SUMMARY!A51&amp;"*")</f>
        <v>0</v>
      </c>
      <c r="N51" s="10">
        <f>SUMIFS('PLAN BUDGET SAMI-TF'!AW13:AW100000,'PLAN BUDGET SAMI-TF'!D13:D100000,SUMMARY!D51,'PLAN BUDGET SAMI-TF'!J13:J100000,SUMMARY!A51&amp;"*")</f>
        <v>0</v>
      </c>
      <c r="O51" s="10">
        <f>SUMIFS('PLAN BUDGET SAMI-TF'!AX13:AX100000,'PLAN BUDGET SAMI-TF'!D13:D100000,SUMMARY!D51,'PLAN BUDGET SAMI-TF'!J13:J100000,SUMMARY!A51&amp;"*")</f>
        <v>0</v>
      </c>
      <c r="P51" s="10">
        <f>SUMIFS('PLAN BUDGET SAMI-TF'!AY13:AY100000,'PLAN BUDGET SAMI-TF'!D13:D100000,SUMMARY!D51,'PLAN BUDGET SAMI-TF'!J13:J100000,SUMMARY!A51&amp;"*")</f>
        <v>0</v>
      </c>
      <c r="Q51" s="10">
        <f>SUMIFS('PLAN BUDGET SAMI-TF'!BC13:BC100000,'PLAN BUDGET SAMI-TF'!D13:D100000,SUMMARY!D51,'PLAN BUDGET SAMI-TF'!J13:J100000,SUMMARY!A51&amp;"*")</f>
        <v>0</v>
      </c>
      <c r="R51" s="10">
        <f>SUMIFS('PLAN BUDGET SAMI-TF'!BD13:BD100000,'PLAN BUDGET SAMI-TF'!D13:D100000,SUMMARY!D51,'PLAN BUDGET SAMI-TF'!J13:J100000,SUMMARY!A51&amp;"*")</f>
        <v>0</v>
      </c>
      <c r="S51" s="10">
        <f>SUMIFS('PLAN BUDGET SAMI-TF'!BE13:BE100000,'PLAN BUDGET SAMI-TF'!D13:D100000,SUMMARY!D51,'PLAN BUDGET SAMI-TF'!J13:J100000,SUMMARY!A51&amp;"*")</f>
        <v>0</v>
      </c>
      <c r="T51" s="10">
        <f>SUMIFS('PLAN BUDGET SAMI-TF'!BF13:BF100000,'PLAN BUDGET SAMI-TF'!D13:D100000,SUMMARY!D51,'PLAN BUDGET SAMI-TF'!J13:J100000,SUMMARY!A51&amp;"*")</f>
        <v>0</v>
      </c>
      <c r="U51" s="10">
        <f>SUMIFS('PLAN BUDGET SAMI-TF'!BG13:BG100000,'PLAN BUDGET SAMI-TF'!D13:D100000,SUMMARY!D51,'PLAN BUDGET SAMI-TF'!J13:J100000,SUMMARY!A51&amp;"*")</f>
        <v>0</v>
      </c>
      <c r="V51" s="10">
        <f>SUMIFS('PLAN BUDGET SAMI-TF'!BH13:BH100000,'PLAN BUDGET SAMI-TF'!D13:D100000,SUMMARY!D51,'PLAN BUDGET SAMI-TF'!J13:J100000,SUMMARY!A51&amp;"*")</f>
        <v>0</v>
      </c>
      <c r="W51" s="10">
        <f>SUMIFS('PLAN BUDGET SAMI-TF'!BI13:BI100000,'PLAN BUDGET SAMI-TF'!D13:D100000,SUMMARY!D51,'PLAN BUDGET SAMI-TF'!J13:J100000,SUMMARY!A51&amp;"*")</f>
        <v>0</v>
      </c>
      <c r="X51" s="10">
        <f>SUMIFS('PLAN BUDGET SAMI-TF'!BJ13:BJ100000,'PLAN BUDGET SAMI-TF'!D13:D100000,SUMMARY!D51,'PLAN BUDGET SAMI-TF'!J13:J100000,SUMMARY!A51&amp;"*")</f>
        <v>0</v>
      </c>
      <c r="Y51" s="10">
        <f>SUMIFS('PLAN BUDGET SAMI-TF'!BK13:BK100000,'PLAN BUDGET SAMI-TF'!D13:D100000,SUMMARY!D51,'PLAN BUDGET SAMI-TF'!J13:J100000,SUMMARY!A51&amp;"*")</f>
        <v>0</v>
      </c>
      <c r="Z51" s="10">
        <f>SUMIFS('PLAN BUDGET SAMI-TF'!BL13:BL100000,'PLAN BUDGET SAMI-TF'!D13:D100000,SUMMARY!D51,'PLAN BUDGET SAMI-TF'!J13:J100000,SUMMARY!A51&amp;"*")</f>
        <v>0</v>
      </c>
      <c r="AA51" s="10">
        <f>SUMIFS('PLAN BUDGET SAMI-TF'!BM13:BM100000,'PLAN BUDGET SAMI-TF'!D13:D100000,SUMMARY!D51,'PLAN BUDGET SAMI-TF'!J13:J100000,SUMMARY!A51&amp;"*")</f>
        <v>0</v>
      </c>
      <c r="AB51" s="10">
        <f>SUMIFS('PLAN BUDGET SAMI-TF'!BN13:BN100000,'PLAN BUDGET SAMI-TF'!D13:D100000,SUMMARY!D51,'PLAN BUDGET SAMI-TF'!J13:J100000,SUMMARY!A51&amp;"*")</f>
        <v>0</v>
      </c>
      <c r="AC51" s="10">
        <f t="shared" si="0"/>
        <v>0</v>
      </c>
      <c r="AD51" s="10">
        <f t="shared" si="1"/>
        <v>0</v>
      </c>
      <c r="AE51" s="16"/>
      <c r="AF51" s="10">
        <v>8</v>
      </c>
      <c r="AG51" s="10">
        <v>0.75652272986213998</v>
      </c>
      <c r="AH51" s="20">
        <f t="shared" si="2"/>
        <v>-1</v>
      </c>
      <c r="AI51" s="20">
        <f t="shared" si="3"/>
        <v>-1</v>
      </c>
      <c r="AJ51" s="67" t="s">
        <v>284</v>
      </c>
    </row>
    <row r="52" spans="1:36" x14ac:dyDescent="0.35">
      <c r="A52" s="7" t="s">
        <v>48</v>
      </c>
      <c r="B52" s="7"/>
      <c r="C52" s="7"/>
      <c r="D52" s="7" t="s">
        <v>287</v>
      </c>
      <c r="E52" s="10">
        <f>SUMIFS('PLAN BUDGET SAMI-TF'!AN13:AN100000,'PLAN BUDGET SAMI-TF'!D13:D100000,SUMMARY!D52,'PLAN BUDGET SAMI-TF'!J13:J100000,SUMMARY!A52&amp;"*")</f>
        <v>0</v>
      </c>
      <c r="F52" s="10">
        <f>SUMIFS('PLAN BUDGET SAMI-TF'!AO13:AO100000,'PLAN BUDGET SAMI-TF'!D13:D100000,SUMMARY!D52,'PLAN BUDGET SAMI-TF'!J13:J100000,SUMMARY!A52&amp;"*")</f>
        <v>0</v>
      </c>
      <c r="G52" s="10">
        <f>SUMIFS('PLAN BUDGET SAMI-TF'!AP13:AP100000,'PLAN BUDGET SAMI-TF'!D13:D100000,SUMMARY!D52,'PLAN BUDGET SAMI-TF'!J13:J100000,SUMMARY!A52&amp;"*")</f>
        <v>0</v>
      </c>
      <c r="H52" s="10">
        <f>SUMIFS('PLAN BUDGET SAMI-TF'!AQ13:AQ100000,'PLAN BUDGET SAMI-TF'!D13:D100000,SUMMARY!D52,'PLAN BUDGET SAMI-TF'!J13:J100000,SUMMARY!A52&amp;"*")</f>
        <v>0</v>
      </c>
      <c r="I52" s="10">
        <f>SUMIFS('PLAN BUDGET SAMI-TF'!AR13:AR100000,'PLAN BUDGET SAMI-TF'!D13:D100000,SUMMARY!D52,'PLAN BUDGET SAMI-TF'!J13:J100000,SUMMARY!A52&amp;"*")</f>
        <v>0</v>
      </c>
      <c r="J52" s="10">
        <f>SUMIFS('PLAN BUDGET SAMI-TF'!AS13:AS100000,'PLAN BUDGET SAMI-TF'!D13:D100000,SUMMARY!D52,'PLAN BUDGET SAMI-TF'!J13:J100000,SUMMARY!A52&amp;"*")</f>
        <v>0</v>
      </c>
      <c r="K52" s="10">
        <f>SUMIFS('PLAN BUDGET SAMI-TF'!AT13:AT100000,'PLAN BUDGET SAMI-TF'!D13:D100000,SUMMARY!D52,'PLAN BUDGET SAMI-TF'!J13:J100000,SUMMARY!A52&amp;"*")</f>
        <v>0</v>
      </c>
      <c r="L52" s="10">
        <f>SUMIFS('PLAN BUDGET SAMI-TF'!AU13:AU100000,'PLAN BUDGET SAMI-TF'!D13:D100000,SUMMARY!D52,'PLAN BUDGET SAMI-TF'!J13:J100000,SUMMARY!A52&amp;"*")</f>
        <v>0</v>
      </c>
      <c r="M52" s="10">
        <f>SUMIFS('PLAN BUDGET SAMI-TF'!AV13:AV100000,'PLAN BUDGET SAMI-TF'!D13:D100000,SUMMARY!D52,'PLAN BUDGET SAMI-TF'!J13:J100000,SUMMARY!A52&amp;"*")</f>
        <v>0</v>
      </c>
      <c r="N52" s="10">
        <f>SUMIFS('PLAN BUDGET SAMI-TF'!AW13:AW100000,'PLAN BUDGET SAMI-TF'!D13:D100000,SUMMARY!D52,'PLAN BUDGET SAMI-TF'!J13:J100000,SUMMARY!A52&amp;"*")</f>
        <v>0</v>
      </c>
      <c r="O52" s="10">
        <f>SUMIFS('PLAN BUDGET SAMI-TF'!AX13:AX100000,'PLAN BUDGET SAMI-TF'!D13:D100000,SUMMARY!D52,'PLAN BUDGET SAMI-TF'!J13:J100000,SUMMARY!A52&amp;"*")</f>
        <v>0</v>
      </c>
      <c r="P52" s="10">
        <f>SUMIFS('PLAN BUDGET SAMI-TF'!AY13:AY100000,'PLAN BUDGET SAMI-TF'!D13:D100000,SUMMARY!D52,'PLAN BUDGET SAMI-TF'!J13:J100000,SUMMARY!A52&amp;"*")</f>
        <v>0</v>
      </c>
      <c r="Q52" s="10">
        <f>SUMIFS('PLAN BUDGET SAMI-TF'!BC13:BC100000,'PLAN BUDGET SAMI-TF'!D13:D100000,SUMMARY!D52,'PLAN BUDGET SAMI-TF'!J13:J100000,SUMMARY!A52&amp;"*")</f>
        <v>0</v>
      </c>
      <c r="R52" s="10">
        <f>SUMIFS('PLAN BUDGET SAMI-TF'!BD13:BD100000,'PLAN BUDGET SAMI-TF'!D13:D100000,SUMMARY!D52,'PLAN BUDGET SAMI-TF'!J13:J100000,SUMMARY!A52&amp;"*")</f>
        <v>0</v>
      </c>
      <c r="S52" s="10">
        <f>SUMIFS('PLAN BUDGET SAMI-TF'!BE13:BE100000,'PLAN BUDGET SAMI-TF'!D13:D100000,SUMMARY!D52,'PLAN BUDGET SAMI-TF'!J13:J100000,SUMMARY!A52&amp;"*")</f>
        <v>0</v>
      </c>
      <c r="T52" s="10">
        <f>SUMIFS('PLAN BUDGET SAMI-TF'!BF13:BF100000,'PLAN BUDGET SAMI-TF'!D13:D100000,SUMMARY!D52,'PLAN BUDGET SAMI-TF'!J13:J100000,SUMMARY!A52&amp;"*")</f>
        <v>0</v>
      </c>
      <c r="U52" s="10">
        <f>SUMIFS('PLAN BUDGET SAMI-TF'!BG13:BG100000,'PLAN BUDGET SAMI-TF'!D13:D100000,SUMMARY!D52,'PLAN BUDGET SAMI-TF'!J13:J100000,SUMMARY!A52&amp;"*")</f>
        <v>0</v>
      </c>
      <c r="V52" s="10">
        <f>SUMIFS('PLAN BUDGET SAMI-TF'!BH13:BH100000,'PLAN BUDGET SAMI-TF'!D13:D100000,SUMMARY!D52,'PLAN BUDGET SAMI-TF'!J13:J100000,SUMMARY!A52&amp;"*")</f>
        <v>0</v>
      </c>
      <c r="W52" s="10">
        <f>SUMIFS('PLAN BUDGET SAMI-TF'!BI13:BI100000,'PLAN BUDGET SAMI-TF'!D13:D100000,SUMMARY!D52,'PLAN BUDGET SAMI-TF'!J13:J100000,SUMMARY!A52&amp;"*")</f>
        <v>0</v>
      </c>
      <c r="X52" s="10">
        <f>SUMIFS('PLAN BUDGET SAMI-TF'!BJ13:BJ100000,'PLAN BUDGET SAMI-TF'!D13:D100000,SUMMARY!D52,'PLAN BUDGET SAMI-TF'!J13:J100000,SUMMARY!A52&amp;"*")</f>
        <v>0</v>
      </c>
      <c r="Y52" s="10">
        <f>SUMIFS('PLAN BUDGET SAMI-TF'!BK13:BK100000,'PLAN BUDGET SAMI-TF'!D13:D100000,SUMMARY!D52,'PLAN BUDGET SAMI-TF'!J13:J100000,SUMMARY!A52&amp;"*")</f>
        <v>0</v>
      </c>
      <c r="Z52" s="10">
        <f>SUMIFS('PLAN BUDGET SAMI-TF'!BL13:BL100000,'PLAN BUDGET SAMI-TF'!D13:D100000,SUMMARY!D52,'PLAN BUDGET SAMI-TF'!J13:J100000,SUMMARY!A52&amp;"*")</f>
        <v>0</v>
      </c>
      <c r="AA52" s="10">
        <f>SUMIFS('PLAN BUDGET SAMI-TF'!BM13:BM100000,'PLAN BUDGET SAMI-TF'!D13:D100000,SUMMARY!D52,'PLAN BUDGET SAMI-TF'!J13:J100000,SUMMARY!A52&amp;"*")</f>
        <v>0</v>
      </c>
      <c r="AB52" s="10">
        <f>SUMIFS('PLAN BUDGET SAMI-TF'!BN13:BN100000,'PLAN BUDGET SAMI-TF'!D13:D100000,SUMMARY!D52,'PLAN BUDGET SAMI-TF'!J13:J100000,SUMMARY!A52&amp;"*")</f>
        <v>0</v>
      </c>
      <c r="AC52" s="10">
        <f t="shared" si="0"/>
        <v>0</v>
      </c>
      <c r="AD52" s="10">
        <f t="shared" si="1"/>
        <v>0</v>
      </c>
      <c r="AE52" s="16"/>
      <c r="AF52" s="10">
        <v>10</v>
      </c>
      <c r="AG52" s="10">
        <v>227.86829212715</v>
      </c>
      <c r="AH52" s="20">
        <f t="shared" si="2"/>
        <v>-1</v>
      </c>
      <c r="AI52" s="20">
        <f t="shared" si="3"/>
        <v>-1</v>
      </c>
      <c r="AJ52" s="67" t="s">
        <v>284</v>
      </c>
    </row>
    <row r="53" spans="1:36" x14ac:dyDescent="0.35">
      <c r="A53" s="7" t="s">
        <v>48</v>
      </c>
      <c r="B53" s="7"/>
      <c r="C53" s="7"/>
      <c r="D53" s="7" t="s">
        <v>243</v>
      </c>
      <c r="E53" s="10">
        <f>SUMIFS('PLAN BUDGET SAMI-TF'!AN13:AN100000,'PLAN BUDGET SAMI-TF'!D13:D100000,SUMMARY!D53,'PLAN BUDGET SAMI-TF'!J13:J100000,SUMMARY!A53&amp;"*")</f>
        <v>0</v>
      </c>
      <c r="F53" s="10">
        <f>SUMIFS('PLAN BUDGET SAMI-TF'!AO13:AO100000,'PLAN BUDGET SAMI-TF'!D13:D100000,SUMMARY!D53,'PLAN BUDGET SAMI-TF'!J13:J100000,SUMMARY!A53&amp;"*")</f>
        <v>0</v>
      </c>
      <c r="G53" s="10">
        <f>SUMIFS('PLAN BUDGET SAMI-TF'!AP13:AP100000,'PLAN BUDGET SAMI-TF'!D13:D100000,SUMMARY!D53,'PLAN BUDGET SAMI-TF'!J13:J100000,SUMMARY!A53&amp;"*")</f>
        <v>0</v>
      </c>
      <c r="H53" s="10">
        <f>SUMIFS('PLAN BUDGET SAMI-TF'!AQ13:AQ100000,'PLAN BUDGET SAMI-TF'!D13:D100000,SUMMARY!D53,'PLAN BUDGET SAMI-TF'!J13:J100000,SUMMARY!A53&amp;"*")</f>
        <v>0</v>
      </c>
      <c r="I53" s="10">
        <f>SUMIFS('PLAN BUDGET SAMI-TF'!AR13:AR100000,'PLAN BUDGET SAMI-TF'!D13:D100000,SUMMARY!D53,'PLAN BUDGET SAMI-TF'!J13:J100000,SUMMARY!A53&amp;"*")</f>
        <v>0</v>
      </c>
      <c r="J53" s="10">
        <f>SUMIFS('PLAN BUDGET SAMI-TF'!AS13:AS100000,'PLAN BUDGET SAMI-TF'!D13:D100000,SUMMARY!D53,'PLAN BUDGET SAMI-TF'!J13:J100000,SUMMARY!A53&amp;"*")</f>
        <v>0</v>
      </c>
      <c r="K53" s="10">
        <f>SUMIFS('PLAN BUDGET SAMI-TF'!AT13:AT100000,'PLAN BUDGET SAMI-TF'!D13:D100000,SUMMARY!D53,'PLAN BUDGET SAMI-TF'!J13:J100000,SUMMARY!A53&amp;"*")</f>
        <v>0</v>
      </c>
      <c r="L53" s="10">
        <f>SUMIFS('PLAN BUDGET SAMI-TF'!AU13:AU100000,'PLAN BUDGET SAMI-TF'!D13:D100000,SUMMARY!D53,'PLAN BUDGET SAMI-TF'!J13:J100000,SUMMARY!A53&amp;"*")</f>
        <v>0</v>
      </c>
      <c r="M53" s="10">
        <f>SUMIFS('PLAN BUDGET SAMI-TF'!AV13:AV100000,'PLAN BUDGET SAMI-TF'!D13:D100000,SUMMARY!D53,'PLAN BUDGET SAMI-TF'!J13:J100000,SUMMARY!A53&amp;"*")</f>
        <v>0</v>
      </c>
      <c r="N53" s="10">
        <f>SUMIFS('PLAN BUDGET SAMI-TF'!AW13:AW100000,'PLAN BUDGET SAMI-TF'!D13:D100000,SUMMARY!D53,'PLAN BUDGET SAMI-TF'!J13:J100000,SUMMARY!A53&amp;"*")</f>
        <v>0</v>
      </c>
      <c r="O53" s="10">
        <f>SUMIFS('PLAN BUDGET SAMI-TF'!AX13:AX100000,'PLAN BUDGET SAMI-TF'!D13:D100000,SUMMARY!D53,'PLAN BUDGET SAMI-TF'!J13:J100000,SUMMARY!A53&amp;"*")</f>
        <v>0</v>
      </c>
      <c r="P53" s="10">
        <f>SUMIFS('PLAN BUDGET SAMI-TF'!AY13:AY100000,'PLAN BUDGET SAMI-TF'!D13:D100000,SUMMARY!D53,'PLAN BUDGET SAMI-TF'!J13:J100000,SUMMARY!A53&amp;"*")</f>
        <v>0</v>
      </c>
      <c r="Q53" s="10">
        <f>SUMIFS('PLAN BUDGET SAMI-TF'!BC13:BC100000,'PLAN BUDGET SAMI-TF'!D13:D100000,SUMMARY!D53,'PLAN BUDGET SAMI-TF'!J13:J100000,SUMMARY!A53&amp;"*")</f>
        <v>0</v>
      </c>
      <c r="R53" s="10">
        <f>SUMIFS('PLAN BUDGET SAMI-TF'!BD13:BD100000,'PLAN BUDGET SAMI-TF'!D13:D100000,SUMMARY!D53,'PLAN BUDGET SAMI-TF'!J13:J100000,SUMMARY!A53&amp;"*")</f>
        <v>0</v>
      </c>
      <c r="S53" s="10">
        <f>SUMIFS('PLAN BUDGET SAMI-TF'!BE13:BE100000,'PLAN BUDGET SAMI-TF'!D13:D100000,SUMMARY!D53,'PLAN BUDGET SAMI-TF'!J13:J100000,SUMMARY!A53&amp;"*")</f>
        <v>0</v>
      </c>
      <c r="T53" s="10">
        <f>SUMIFS('PLAN BUDGET SAMI-TF'!BF13:BF100000,'PLAN BUDGET SAMI-TF'!D13:D100000,SUMMARY!D53,'PLAN BUDGET SAMI-TF'!J13:J100000,SUMMARY!A53&amp;"*")</f>
        <v>0</v>
      </c>
      <c r="U53" s="10">
        <f>SUMIFS('PLAN BUDGET SAMI-TF'!BG13:BG100000,'PLAN BUDGET SAMI-TF'!D13:D100000,SUMMARY!D53,'PLAN BUDGET SAMI-TF'!J13:J100000,SUMMARY!A53&amp;"*")</f>
        <v>0</v>
      </c>
      <c r="V53" s="10">
        <f>SUMIFS('PLAN BUDGET SAMI-TF'!BH13:BH100000,'PLAN BUDGET SAMI-TF'!D13:D100000,SUMMARY!D53,'PLAN BUDGET SAMI-TF'!J13:J100000,SUMMARY!A53&amp;"*")</f>
        <v>0</v>
      </c>
      <c r="W53" s="10">
        <f>SUMIFS('PLAN BUDGET SAMI-TF'!BI13:BI100000,'PLAN BUDGET SAMI-TF'!D13:D100000,SUMMARY!D53,'PLAN BUDGET SAMI-TF'!J13:J100000,SUMMARY!A53&amp;"*")</f>
        <v>0</v>
      </c>
      <c r="X53" s="10">
        <f>SUMIFS('PLAN BUDGET SAMI-TF'!BJ13:BJ100000,'PLAN BUDGET SAMI-TF'!D13:D100000,SUMMARY!D53,'PLAN BUDGET SAMI-TF'!J13:J100000,SUMMARY!A53&amp;"*")</f>
        <v>0</v>
      </c>
      <c r="Y53" s="10">
        <f>SUMIFS('PLAN BUDGET SAMI-TF'!BK13:BK100000,'PLAN BUDGET SAMI-TF'!D13:D100000,SUMMARY!D53,'PLAN BUDGET SAMI-TF'!J13:J100000,SUMMARY!A53&amp;"*")</f>
        <v>0</v>
      </c>
      <c r="Z53" s="10">
        <f>SUMIFS('PLAN BUDGET SAMI-TF'!BL13:BL100000,'PLAN BUDGET SAMI-TF'!D13:D100000,SUMMARY!D53,'PLAN BUDGET SAMI-TF'!J13:J100000,SUMMARY!A53&amp;"*")</f>
        <v>0</v>
      </c>
      <c r="AA53" s="10">
        <f>SUMIFS('PLAN BUDGET SAMI-TF'!BM13:BM100000,'PLAN BUDGET SAMI-TF'!D13:D100000,SUMMARY!D53,'PLAN BUDGET SAMI-TF'!J13:J100000,SUMMARY!A53&amp;"*")</f>
        <v>0</v>
      </c>
      <c r="AB53" s="10">
        <f>SUMIFS('PLAN BUDGET SAMI-TF'!BN13:BN100000,'PLAN BUDGET SAMI-TF'!D13:D100000,SUMMARY!D53,'PLAN BUDGET SAMI-TF'!J13:J100000,SUMMARY!A53&amp;"*")</f>
        <v>0</v>
      </c>
      <c r="AC53" s="10">
        <f t="shared" si="0"/>
        <v>0</v>
      </c>
      <c r="AD53" s="10">
        <f t="shared" si="1"/>
        <v>0</v>
      </c>
      <c r="AE53" s="16"/>
      <c r="AF53" s="10">
        <v>1</v>
      </c>
      <c r="AG53" s="10">
        <v>43.484865747598</v>
      </c>
      <c r="AH53" s="20">
        <f t="shared" si="2"/>
        <v>-1</v>
      </c>
      <c r="AI53" s="20">
        <f t="shared" si="3"/>
        <v>-1</v>
      </c>
      <c r="AJ53" s="67" t="s">
        <v>367</v>
      </c>
    </row>
    <row r="54" spans="1:36" x14ac:dyDescent="0.35">
      <c r="A54" s="7" t="s">
        <v>48</v>
      </c>
      <c r="B54" s="7"/>
      <c r="C54" s="7"/>
      <c r="D54" s="7" t="s">
        <v>288</v>
      </c>
      <c r="E54" s="10">
        <f>SUMIFS('PLAN BUDGET SAMI-TF'!AN13:AN100000,'PLAN BUDGET SAMI-TF'!D13:D100000,SUMMARY!D54,'PLAN BUDGET SAMI-TF'!J13:J100000,SUMMARY!A54&amp;"*")</f>
        <v>0</v>
      </c>
      <c r="F54" s="10">
        <f>SUMIFS('PLAN BUDGET SAMI-TF'!AO13:AO100000,'PLAN BUDGET SAMI-TF'!D13:D100000,SUMMARY!D54,'PLAN BUDGET SAMI-TF'!J13:J100000,SUMMARY!A54&amp;"*")</f>
        <v>0</v>
      </c>
      <c r="G54" s="10">
        <f>SUMIFS('PLAN BUDGET SAMI-TF'!AP13:AP100000,'PLAN BUDGET SAMI-TF'!D13:D100000,SUMMARY!D54,'PLAN BUDGET SAMI-TF'!J13:J100000,SUMMARY!A54&amp;"*")</f>
        <v>0</v>
      </c>
      <c r="H54" s="10">
        <f>SUMIFS('PLAN BUDGET SAMI-TF'!AQ13:AQ100000,'PLAN BUDGET SAMI-TF'!D13:D100000,SUMMARY!D54,'PLAN BUDGET SAMI-TF'!J13:J100000,SUMMARY!A54&amp;"*")</f>
        <v>0</v>
      </c>
      <c r="I54" s="10">
        <f>SUMIFS('PLAN BUDGET SAMI-TF'!AR13:AR100000,'PLAN BUDGET SAMI-TF'!D13:D100000,SUMMARY!D54,'PLAN BUDGET SAMI-TF'!J13:J100000,SUMMARY!A54&amp;"*")</f>
        <v>0</v>
      </c>
      <c r="J54" s="10">
        <f>SUMIFS('PLAN BUDGET SAMI-TF'!AS13:AS100000,'PLAN BUDGET SAMI-TF'!D13:D100000,SUMMARY!D54,'PLAN BUDGET SAMI-TF'!J13:J100000,SUMMARY!A54&amp;"*")</f>
        <v>0</v>
      </c>
      <c r="K54" s="10">
        <f>SUMIFS('PLAN BUDGET SAMI-TF'!AT13:AT100000,'PLAN BUDGET SAMI-TF'!D13:D100000,SUMMARY!D54,'PLAN BUDGET SAMI-TF'!J13:J100000,SUMMARY!A54&amp;"*")</f>
        <v>0</v>
      </c>
      <c r="L54" s="10">
        <f>SUMIFS('PLAN BUDGET SAMI-TF'!AU13:AU100000,'PLAN BUDGET SAMI-TF'!D13:D100000,SUMMARY!D54,'PLAN BUDGET SAMI-TF'!J13:J100000,SUMMARY!A54&amp;"*")</f>
        <v>0</v>
      </c>
      <c r="M54" s="10">
        <f>SUMIFS('PLAN BUDGET SAMI-TF'!AV13:AV100000,'PLAN BUDGET SAMI-TF'!D13:D100000,SUMMARY!D54,'PLAN BUDGET SAMI-TF'!J13:J100000,SUMMARY!A54&amp;"*")</f>
        <v>0</v>
      </c>
      <c r="N54" s="10">
        <f>SUMIFS('PLAN BUDGET SAMI-TF'!AW13:AW100000,'PLAN BUDGET SAMI-TF'!D13:D100000,SUMMARY!D54,'PLAN BUDGET SAMI-TF'!J13:J100000,SUMMARY!A54&amp;"*")</f>
        <v>0</v>
      </c>
      <c r="O54" s="10">
        <f>SUMIFS('PLAN BUDGET SAMI-TF'!AX13:AX100000,'PLAN BUDGET SAMI-TF'!D13:D100000,SUMMARY!D54,'PLAN BUDGET SAMI-TF'!J13:J100000,SUMMARY!A54&amp;"*")</f>
        <v>0</v>
      </c>
      <c r="P54" s="10">
        <f>SUMIFS('PLAN BUDGET SAMI-TF'!AY13:AY100000,'PLAN BUDGET SAMI-TF'!D13:D100000,SUMMARY!D54,'PLAN BUDGET SAMI-TF'!J13:J100000,SUMMARY!A54&amp;"*")</f>
        <v>0</v>
      </c>
      <c r="Q54" s="10">
        <f>SUMIFS('PLAN BUDGET SAMI-TF'!BC13:BC100000,'PLAN BUDGET SAMI-TF'!D13:D100000,SUMMARY!D54,'PLAN BUDGET SAMI-TF'!J13:J100000,SUMMARY!A54&amp;"*")</f>
        <v>0</v>
      </c>
      <c r="R54" s="10">
        <f>SUMIFS('PLAN BUDGET SAMI-TF'!BD13:BD100000,'PLAN BUDGET SAMI-TF'!D13:D100000,SUMMARY!D54,'PLAN BUDGET SAMI-TF'!J13:J100000,SUMMARY!A54&amp;"*")</f>
        <v>0</v>
      </c>
      <c r="S54" s="10">
        <f>SUMIFS('PLAN BUDGET SAMI-TF'!BE13:BE100000,'PLAN BUDGET SAMI-TF'!D13:D100000,SUMMARY!D54,'PLAN BUDGET SAMI-TF'!J13:J100000,SUMMARY!A54&amp;"*")</f>
        <v>0</v>
      </c>
      <c r="T54" s="10">
        <f>SUMIFS('PLAN BUDGET SAMI-TF'!BF13:BF100000,'PLAN BUDGET SAMI-TF'!D13:D100000,SUMMARY!D54,'PLAN BUDGET SAMI-TF'!J13:J100000,SUMMARY!A54&amp;"*")</f>
        <v>0</v>
      </c>
      <c r="U54" s="10">
        <f>SUMIFS('PLAN BUDGET SAMI-TF'!BG13:BG100000,'PLAN BUDGET SAMI-TF'!D13:D100000,SUMMARY!D54,'PLAN BUDGET SAMI-TF'!J13:J100000,SUMMARY!A54&amp;"*")</f>
        <v>0</v>
      </c>
      <c r="V54" s="10">
        <f>SUMIFS('PLAN BUDGET SAMI-TF'!BH13:BH100000,'PLAN BUDGET SAMI-TF'!D13:D100000,SUMMARY!D54,'PLAN BUDGET SAMI-TF'!J13:J100000,SUMMARY!A54&amp;"*")</f>
        <v>0</v>
      </c>
      <c r="W54" s="10">
        <f>SUMIFS('PLAN BUDGET SAMI-TF'!BI13:BI100000,'PLAN BUDGET SAMI-TF'!D13:D100000,SUMMARY!D54,'PLAN BUDGET SAMI-TF'!J13:J100000,SUMMARY!A54&amp;"*")</f>
        <v>0</v>
      </c>
      <c r="X54" s="10">
        <f>SUMIFS('PLAN BUDGET SAMI-TF'!BJ13:BJ100000,'PLAN BUDGET SAMI-TF'!D13:D100000,SUMMARY!D54,'PLAN BUDGET SAMI-TF'!J13:J100000,SUMMARY!A54&amp;"*")</f>
        <v>0</v>
      </c>
      <c r="Y54" s="10">
        <f>SUMIFS('PLAN BUDGET SAMI-TF'!BK13:BK100000,'PLAN BUDGET SAMI-TF'!D13:D100000,SUMMARY!D54,'PLAN BUDGET SAMI-TF'!J13:J100000,SUMMARY!A54&amp;"*")</f>
        <v>0</v>
      </c>
      <c r="Z54" s="10">
        <f>SUMIFS('PLAN BUDGET SAMI-TF'!BL13:BL100000,'PLAN BUDGET SAMI-TF'!D13:D100000,SUMMARY!D54,'PLAN BUDGET SAMI-TF'!J13:J100000,SUMMARY!A54&amp;"*")</f>
        <v>0</v>
      </c>
      <c r="AA54" s="10">
        <f>SUMIFS('PLAN BUDGET SAMI-TF'!BM13:BM100000,'PLAN BUDGET SAMI-TF'!D13:D100000,SUMMARY!D54,'PLAN BUDGET SAMI-TF'!J13:J100000,SUMMARY!A54&amp;"*")</f>
        <v>0</v>
      </c>
      <c r="AB54" s="10">
        <f>SUMIFS('PLAN BUDGET SAMI-TF'!BN13:BN100000,'PLAN BUDGET SAMI-TF'!D13:D100000,SUMMARY!D54,'PLAN BUDGET SAMI-TF'!J13:J100000,SUMMARY!A54&amp;"*")</f>
        <v>0</v>
      </c>
      <c r="AC54" s="10">
        <f t="shared" si="0"/>
        <v>0</v>
      </c>
      <c r="AD54" s="10">
        <f t="shared" si="1"/>
        <v>0</v>
      </c>
      <c r="AE54" s="16"/>
      <c r="AF54" s="10">
        <v>2</v>
      </c>
      <c r="AG54" s="10">
        <v>1363.3486511463</v>
      </c>
      <c r="AH54" s="20">
        <f t="shared" si="2"/>
        <v>-1</v>
      </c>
      <c r="AI54" s="20">
        <f t="shared" si="3"/>
        <v>-1</v>
      </c>
      <c r="AJ54" s="67" t="s">
        <v>284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C7:AD7"/>
    <mergeCell ref="AF7:AJ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9"/>
  <sheetViews>
    <sheetView tabSelected="1" workbookViewId="0">
      <selection activeCell="I1" sqref="I1"/>
    </sheetView>
  </sheetViews>
  <sheetFormatPr defaultRowHeight="14.5" x14ac:dyDescent="0.35"/>
  <cols>
    <col min="1" max="1" width="12.453125" customWidth="1"/>
    <col min="2" max="2" width="42.453125" customWidth="1"/>
    <col min="3" max="3" width="4.453125" customWidth="1"/>
    <col min="4" max="11" width="14.453125" customWidth="1"/>
    <col min="12" max="12" width="60.453125" customWidth="1"/>
    <col min="13" max="13" width="12.453125" customWidth="1"/>
  </cols>
  <sheetData>
    <row r="1" spans="1:13" ht="16.25" customHeight="1" x14ac:dyDescent="0.35">
      <c r="B1" s="2" t="s">
        <v>289</v>
      </c>
      <c r="C1" s="30" t="s">
        <v>290</v>
      </c>
      <c r="D1" s="21" t="s">
        <v>291</v>
      </c>
      <c r="I1" s="27" t="s">
        <v>292</v>
      </c>
      <c r="J1" s="27" t="s">
        <v>293</v>
      </c>
      <c r="K1" s="27" t="s">
        <v>294</v>
      </c>
      <c r="M1" s="49"/>
    </row>
    <row r="2" spans="1:13" ht="16.25" customHeight="1" x14ac:dyDescent="0.35">
      <c r="B2" s="2" t="s">
        <v>295</v>
      </c>
      <c r="C2" s="30" t="s">
        <v>296</v>
      </c>
      <c r="D2" s="21" t="s">
        <v>297</v>
      </c>
      <c r="I2" s="55"/>
      <c r="J2" s="55"/>
      <c r="K2" s="55"/>
      <c r="M2" s="49"/>
    </row>
    <row r="3" spans="1:13" ht="16.25" customHeight="1" x14ac:dyDescent="0.35">
      <c r="B3" s="2" t="s">
        <v>298</v>
      </c>
      <c r="C3" s="1"/>
      <c r="I3" s="55"/>
      <c r="J3" s="55"/>
      <c r="K3" s="55"/>
      <c r="M3" s="49"/>
    </row>
    <row r="4" spans="1:13" ht="16.25" customHeight="1" x14ac:dyDescent="0.35">
      <c r="C4" s="1"/>
      <c r="I4" s="55"/>
      <c r="J4" s="55"/>
      <c r="K4" s="55"/>
      <c r="M4" s="49"/>
    </row>
    <row r="5" spans="1:13" ht="16.25" customHeight="1" x14ac:dyDescent="0.35">
      <c r="C5" s="1"/>
      <c r="I5" s="27" t="s">
        <v>299</v>
      </c>
      <c r="J5" s="27" t="s">
        <v>300</v>
      </c>
      <c r="K5" s="27" t="s">
        <v>301</v>
      </c>
      <c r="M5" s="49"/>
    </row>
    <row r="6" spans="1:13" ht="16.25" customHeight="1" x14ac:dyDescent="0.35">
      <c r="C6" s="1"/>
      <c r="M6" s="49"/>
    </row>
    <row r="7" spans="1:13" x14ac:dyDescent="0.35">
      <c r="B7" s="56" t="s">
        <v>265</v>
      </c>
      <c r="C7" s="59" t="s">
        <v>302</v>
      </c>
      <c r="D7" s="26" t="s">
        <v>303</v>
      </c>
      <c r="E7" s="26" t="s">
        <v>303</v>
      </c>
      <c r="F7" s="62" t="s">
        <v>304</v>
      </c>
      <c r="G7" s="62"/>
      <c r="H7" s="62"/>
      <c r="I7" s="62"/>
      <c r="J7" s="62"/>
      <c r="K7" s="63" t="s">
        <v>305</v>
      </c>
      <c r="L7" s="64" t="s">
        <v>306</v>
      </c>
      <c r="M7" s="49"/>
    </row>
    <row r="8" spans="1:13" x14ac:dyDescent="0.35">
      <c r="B8" s="57"/>
      <c r="C8" s="60"/>
      <c r="D8" s="24" t="s">
        <v>307</v>
      </c>
      <c r="E8" s="24" t="s">
        <v>308</v>
      </c>
      <c r="F8" s="37" t="s">
        <v>309</v>
      </c>
      <c r="G8" s="24" t="s">
        <v>310</v>
      </c>
      <c r="H8" s="24" t="s">
        <v>311</v>
      </c>
      <c r="I8" s="24" t="s">
        <v>312</v>
      </c>
      <c r="J8" s="43" t="s">
        <v>307</v>
      </c>
      <c r="K8" s="60"/>
      <c r="L8" s="65"/>
      <c r="M8" s="49"/>
    </row>
    <row r="9" spans="1:13" x14ac:dyDescent="0.35">
      <c r="B9" s="57"/>
      <c r="C9" s="60"/>
      <c r="D9" s="24" t="s">
        <v>313</v>
      </c>
      <c r="E9" s="24" t="s">
        <v>313</v>
      </c>
      <c r="F9" s="37" t="s">
        <v>313</v>
      </c>
      <c r="G9" s="24" t="s">
        <v>313</v>
      </c>
      <c r="H9" s="24" t="s">
        <v>313</v>
      </c>
      <c r="I9" s="24" t="s">
        <v>313</v>
      </c>
      <c r="J9" s="43" t="s">
        <v>313</v>
      </c>
      <c r="K9" s="60"/>
      <c r="L9" s="65"/>
      <c r="M9" s="49"/>
    </row>
    <row r="10" spans="1:13" x14ac:dyDescent="0.35">
      <c r="B10" s="58"/>
      <c r="C10" s="61"/>
      <c r="D10" s="25" t="s">
        <v>314</v>
      </c>
      <c r="E10" s="25" t="s">
        <v>124</v>
      </c>
      <c r="F10" s="38" t="s">
        <v>51</v>
      </c>
      <c r="G10" s="25" t="s">
        <v>116</v>
      </c>
      <c r="H10" s="25" t="s">
        <v>315</v>
      </c>
      <c r="I10" s="25" t="s">
        <v>290</v>
      </c>
      <c r="J10" s="44" t="s">
        <v>316</v>
      </c>
      <c r="K10" s="25" t="s">
        <v>317</v>
      </c>
      <c r="L10" s="66"/>
      <c r="M10" s="49"/>
    </row>
    <row r="11" spans="1:13" x14ac:dyDescent="0.35">
      <c r="B11" s="22" t="s">
        <v>318</v>
      </c>
      <c r="C11" s="31"/>
      <c r="D11" s="22">
        <v>3291348.91</v>
      </c>
      <c r="E11" s="22">
        <v>1635200.71</v>
      </c>
      <c r="F11" s="39">
        <v>3621015.35</v>
      </c>
      <c r="G11" s="22"/>
      <c r="H11" s="22"/>
      <c r="I11" s="22"/>
      <c r="J11" s="45">
        <v>3621015.35</v>
      </c>
      <c r="K11" s="22"/>
      <c r="L11" s="22"/>
      <c r="M11" s="49"/>
    </row>
    <row r="12" spans="1:13" x14ac:dyDescent="0.35">
      <c r="B12" s="23" t="s">
        <v>319</v>
      </c>
      <c r="C12" s="32"/>
      <c r="D12" s="28">
        <f>D11/12</f>
        <v>274279.07583333337</v>
      </c>
      <c r="E12" s="23">
        <f>E11/12</f>
        <v>136266.72583333333</v>
      </c>
      <c r="F12" s="40">
        <f>J11/12</f>
        <v>301751.27916666667</v>
      </c>
      <c r="G12" s="23"/>
      <c r="H12" s="23"/>
      <c r="I12" s="23"/>
      <c r="J12" s="46">
        <f>J11/12</f>
        <v>301751.27916666667</v>
      </c>
      <c r="K12" s="23"/>
      <c r="L12" s="23"/>
      <c r="M12" s="49" t="s">
        <v>320</v>
      </c>
    </row>
    <row r="13" spans="1:13" ht="7.5" customHeight="1" x14ac:dyDescent="0.35">
      <c r="C13" s="1"/>
      <c r="D13" s="29"/>
      <c r="F13" s="41"/>
      <c r="J13" s="47"/>
      <c r="M13" s="49"/>
    </row>
    <row r="14" spans="1:13" x14ac:dyDescent="0.35">
      <c r="A14" t="s">
        <v>48</v>
      </c>
      <c r="B14" s="7" t="s">
        <v>140</v>
      </c>
      <c r="C14" s="33" t="s">
        <v>290</v>
      </c>
      <c r="D14" s="34">
        <v>397.35099337747999</v>
      </c>
      <c r="E14" s="12">
        <v>397.35099337747999</v>
      </c>
      <c r="F14" s="42">
        <f t="shared" ref="F14:F59" si="0">IF(C14="F",E14,E14/$E$12*$F$12)</f>
        <v>397.35099337747999</v>
      </c>
      <c r="G14" s="12">
        <f t="shared" ref="G14:G59" si="1">IF(F14&lt;J14,J14-F14,0)</f>
        <v>3.979039320256561E-12</v>
      </c>
      <c r="H14" s="12">
        <f t="shared" ref="H14:H59" si="2">IF(F14&gt;J14,J14-F14,0)</f>
        <v>0</v>
      </c>
      <c r="I14" s="12"/>
      <c r="J14" s="48">
        <f>SUMIFS('PLAN BUDGET SAMI-TF'!BO13:BO100000,'PLAN BUDGET SAMI-TF'!D13:D100000,B14,'PLAN BUDGET SAMI-TF'!J13:J100000,A14&amp;"*")</f>
        <v>397.35099337748397</v>
      </c>
      <c r="K14" s="35">
        <f t="shared" ref="K14:K59" si="3">IFERROR(IF(F14&gt;0,(J14-F14)/F14,100%),0)</f>
        <v>1.0013915622645765E-14</v>
      </c>
      <c r="L14" s="36"/>
      <c r="M14" s="50">
        <f t="shared" ref="M14:M59" si="4">J14-SUM(F14:I14)</f>
        <v>0</v>
      </c>
    </row>
    <row r="15" spans="1:13" x14ac:dyDescent="0.35">
      <c r="A15" t="s">
        <v>48</v>
      </c>
      <c r="B15" s="7" t="s">
        <v>153</v>
      </c>
      <c r="C15" s="33" t="s">
        <v>290</v>
      </c>
      <c r="D15" s="34">
        <v>17.406605648602</v>
      </c>
      <c r="E15" s="12">
        <v>17.406605648602</v>
      </c>
      <c r="F15" s="42">
        <f t="shared" si="0"/>
        <v>17.406605648602</v>
      </c>
      <c r="G15" s="12">
        <f t="shared" si="1"/>
        <v>0</v>
      </c>
      <c r="H15" s="12">
        <f t="shared" si="2"/>
        <v>-6.9626422594409991</v>
      </c>
      <c r="I15" s="12"/>
      <c r="J15" s="48">
        <f>SUMIFS('PLAN BUDGET SAMI-TF'!BO13:BO100000,'PLAN BUDGET SAMI-TF'!D13:D100000,B15,'PLAN BUDGET SAMI-TF'!J13:J100000,A15&amp;"*")</f>
        <v>10.443963389161</v>
      </c>
      <c r="K15" s="35">
        <f t="shared" si="3"/>
        <v>-0.40000000000001146</v>
      </c>
      <c r="L15" s="36"/>
      <c r="M15" s="50">
        <f t="shared" si="4"/>
        <v>0</v>
      </c>
    </row>
    <row r="16" spans="1:13" x14ac:dyDescent="0.35">
      <c r="A16" t="s">
        <v>48</v>
      </c>
      <c r="B16" s="7" t="s">
        <v>54</v>
      </c>
      <c r="C16" s="33" t="s">
        <v>290</v>
      </c>
      <c r="D16" s="34">
        <v>2.1222133606775002</v>
      </c>
      <c r="E16" s="12">
        <v>2.1222133606775002</v>
      </c>
      <c r="F16" s="42">
        <f t="shared" si="0"/>
        <v>2.1222133606775002</v>
      </c>
      <c r="G16" s="12">
        <f t="shared" si="1"/>
        <v>0.13520185332889989</v>
      </c>
      <c r="H16" s="12">
        <f t="shared" si="2"/>
        <v>0</v>
      </c>
      <c r="I16" s="12"/>
      <c r="J16" s="48">
        <f>SUMIFS('PLAN BUDGET SAMI-TF'!BO13:BO100000,'PLAN BUDGET SAMI-TF'!D13:D100000,B16,'PLAN BUDGET SAMI-TF'!J13:J100000,A16&amp;"*")</f>
        <v>2.2574152140064001</v>
      </c>
      <c r="K16" s="35">
        <f t="shared" si="3"/>
        <v>6.3707945597768614E-2</v>
      </c>
      <c r="L16" s="36"/>
      <c r="M16" s="50">
        <f t="shared" si="4"/>
        <v>0</v>
      </c>
    </row>
    <row r="17" spans="1:13" x14ac:dyDescent="0.35">
      <c r="A17" t="s">
        <v>48</v>
      </c>
      <c r="B17" s="7" t="s">
        <v>91</v>
      </c>
      <c r="C17" s="33" t="s">
        <v>290</v>
      </c>
      <c r="D17" s="34">
        <v>0.44054536477916001</v>
      </c>
      <c r="E17" s="12">
        <v>0.36712113731596002</v>
      </c>
      <c r="F17" s="42">
        <f t="shared" si="0"/>
        <v>0.36712113731596002</v>
      </c>
      <c r="G17" s="12">
        <f t="shared" si="1"/>
        <v>9.1780284328999984E-3</v>
      </c>
      <c r="H17" s="12">
        <f t="shared" si="2"/>
        <v>0</v>
      </c>
      <c r="I17" s="12"/>
      <c r="J17" s="48">
        <f>SUMIFS('PLAN BUDGET SAMI-TF'!BO13:BO100000,'PLAN BUDGET SAMI-TF'!D13:D100000,B17,'PLAN BUDGET SAMI-TF'!J13:J100000,A17&amp;"*")</f>
        <v>0.37629916574886002</v>
      </c>
      <c r="K17" s="35">
        <f t="shared" si="3"/>
        <v>2.5000000000002718E-2</v>
      </c>
      <c r="L17" s="36"/>
      <c r="M17" s="50">
        <f t="shared" si="4"/>
        <v>0</v>
      </c>
    </row>
    <row r="18" spans="1:13" x14ac:dyDescent="0.35">
      <c r="A18" t="s">
        <v>48</v>
      </c>
      <c r="B18" s="7" t="s">
        <v>59</v>
      </c>
      <c r="C18" s="33" t="s">
        <v>290</v>
      </c>
      <c r="D18" s="34">
        <v>1.1525071841809</v>
      </c>
      <c r="E18" s="12">
        <v>1.1525071841809</v>
      </c>
      <c r="F18" s="42">
        <f t="shared" si="0"/>
        <v>1.1525071841809</v>
      </c>
      <c r="G18" s="12">
        <f t="shared" si="1"/>
        <v>0.69474510399653999</v>
      </c>
      <c r="H18" s="12">
        <f t="shared" si="2"/>
        <v>0</v>
      </c>
      <c r="I18" s="12"/>
      <c r="J18" s="48">
        <f>SUMIFS('PLAN BUDGET SAMI-TF'!BO13:BO100000,'PLAN BUDGET SAMI-TF'!D13:D100000,B18,'PLAN BUDGET SAMI-TF'!J13:J100000,A18&amp;"*")</f>
        <v>1.84725228817744</v>
      </c>
      <c r="K18" s="35">
        <f t="shared" si="3"/>
        <v>0.60281195079083449</v>
      </c>
      <c r="L18" s="36"/>
      <c r="M18" s="50">
        <f t="shared" si="4"/>
        <v>0</v>
      </c>
    </row>
    <row r="19" spans="1:13" x14ac:dyDescent="0.35">
      <c r="A19" t="s">
        <v>48</v>
      </c>
      <c r="B19" s="7" t="s">
        <v>112</v>
      </c>
      <c r="C19" s="33" t="s">
        <v>290</v>
      </c>
      <c r="D19" s="34">
        <v>1784.9682883293001</v>
      </c>
      <c r="E19" s="12">
        <v>1971.6936943779999</v>
      </c>
      <c r="F19" s="42">
        <f t="shared" si="0"/>
        <v>1971.6936943779999</v>
      </c>
      <c r="G19" s="12">
        <f t="shared" si="1"/>
        <v>0</v>
      </c>
      <c r="H19" s="12">
        <f t="shared" si="2"/>
        <v>-196.21991822062591</v>
      </c>
      <c r="I19" s="12"/>
      <c r="J19" s="48">
        <f>SUMIFS('PLAN BUDGET SAMI-TF'!BO13:BO100000,'PLAN BUDGET SAMI-TF'!D13:D100000,B19,'PLAN BUDGET SAMI-TF'!J13:J100000,A19&amp;"*")</f>
        <v>1775.473776157374</v>
      </c>
      <c r="K19" s="35">
        <f t="shared" si="3"/>
        <v>-9.9518459069032228E-2</v>
      </c>
      <c r="L19" s="36"/>
      <c r="M19" s="50">
        <f t="shared" si="4"/>
        <v>0</v>
      </c>
    </row>
    <row r="20" spans="1:13" x14ac:dyDescent="0.35">
      <c r="A20" t="s">
        <v>48</v>
      </c>
      <c r="B20" s="7" t="s">
        <v>126</v>
      </c>
      <c r="C20" s="33" t="s">
        <v>290</v>
      </c>
      <c r="D20" s="34">
        <v>52172.603964907998</v>
      </c>
      <c r="E20" s="12">
        <v>57321.642803793002</v>
      </c>
      <c r="F20" s="42">
        <f t="shared" si="0"/>
        <v>57321.642803793002</v>
      </c>
      <c r="G20" s="12">
        <f t="shared" si="1"/>
        <v>0</v>
      </c>
      <c r="H20" s="12">
        <f t="shared" si="2"/>
        <v>-2950.0027850566985</v>
      </c>
      <c r="I20" s="12"/>
      <c r="J20" s="48">
        <f>SUMIFS('PLAN BUDGET SAMI-TF'!BO13:BO100000,'PLAN BUDGET SAMI-TF'!D13:D100000,B20,'PLAN BUDGET SAMI-TF'!J13:J100000,A20&amp;"*")</f>
        <v>54371.640018736303</v>
      </c>
      <c r="K20" s="35">
        <f t="shared" si="3"/>
        <v>-5.1464030700486052E-2</v>
      </c>
      <c r="L20" s="36"/>
      <c r="M20" s="50">
        <f t="shared" si="4"/>
        <v>0</v>
      </c>
    </row>
    <row r="21" spans="1:13" x14ac:dyDescent="0.35">
      <c r="A21" t="s">
        <v>48</v>
      </c>
      <c r="B21" s="7" t="s">
        <v>192</v>
      </c>
      <c r="C21" s="33" t="s">
        <v>290</v>
      </c>
      <c r="D21" s="34">
        <v>6780.3121795602001</v>
      </c>
      <c r="E21" s="12">
        <v>7022.1057562061997</v>
      </c>
      <c r="F21" s="42">
        <f t="shared" si="0"/>
        <v>7022.1057562061997</v>
      </c>
      <c r="G21" s="12">
        <f t="shared" si="1"/>
        <v>365.85520235976128</v>
      </c>
      <c r="H21" s="12">
        <f t="shared" si="2"/>
        <v>0</v>
      </c>
      <c r="I21" s="12"/>
      <c r="J21" s="48">
        <f>SUMIFS('PLAN BUDGET SAMI-TF'!BO13:BO100000,'PLAN BUDGET SAMI-TF'!D13:D100000,B21,'PLAN BUDGET SAMI-TF'!J13:J100000,A21&amp;"*")</f>
        <v>7387.9609585659609</v>
      </c>
      <c r="K21" s="35">
        <f t="shared" si="3"/>
        <v>5.2100497352438074E-2</v>
      </c>
      <c r="L21" s="36"/>
      <c r="M21" s="50">
        <f t="shared" si="4"/>
        <v>0</v>
      </c>
    </row>
    <row r="22" spans="1:13" x14ac:dyDescent="0.35">
      <c r="A22" t="s">
        <v>48</v>
      </c>
      <c r="B22" s="7" t="s">
        <v>64</v>
      </c>
      <c r="C22" s="33" t="s">
        <v>290</v>
      </c>
      <c r="D22" s="34">
        <v>0.15001329231704</v>
      </c>
      <c r="E22" s="12">
        <v>0.15001329231704</v>
      </c>
      <c r="F22" s="42">
        <f t="shared" si="0"/>
        <v>0.15001329231704</v>
      </c>
      <c r="G22" s="12">
        <f t="shared" si="1"/>
        <v>9.621105667590002E-3</v>
      </c>
      <c r="H22" s="12">
        <f t="shared" si="2"/>
        <v>0</v>
      </c>
      <c r="I22" s="12"/>
      <c r="J22" s="48">
        <f>SUMIFS('PLAN BUDGET SAMI-TF'!BO13:BO100000,'PLAN BUDGET SAMI-TF'!D13:D100000,B22,'PLAN BUDGET SAMI-TF'!J13:J100000,A22&amp;"*")</f>
        <v>0.15963439798463</v>
      </c>
      <c r="K22" s="35">
        <f t="shared" si="3"/>
        <v>6.4135021097041417E-2</v>
      </c>
      <c r="L22" s="36"/>
      <c r="M22" s="50">
        <f t="shared" si="4"/>
        <v>0</v>
      </c>
    </row>
    <row r="23" spans="1:13" x14ac:dyDescent="0.35">
      <c r="A23" t="s">
        <v>48</v>
      </c>
      <c r="B23" s="7" t="s">
        <v>94</v>
      </c>
      <c r="C23" s="33" t="s">
        <v>290</v>
      </c>
      <c r="D23" s="34">
        <v>2.9684908789386002</v>
      </c>
      <c r="E23" s="12">
        <v>12.869114984872001</v>
      </c>
      <c r="F23" s="42">
        <f t="shared" si="0"/>
        <v>12.869114984872001</v>
      </c>
      <c r="G23" s="12">
        <f t="shared" si="1"/>
        <v>5.1559631866114994</v>
      </c>
      <c r="H23" s="12">
        <f t="shared" si="2"/>
        <v>0</v>
      </c>
      <c r="I23" s="12"/>
      <c r="J23" s="48">
        <f>SUMIFS('PLAN BUDGET SAMI-TF'!BO13:BO100000,'PLAN BUDGET SAMI-TF'!D13:D100000,B23,'PLAN BUDGET SAMI-TF'!J13:J100000,A23&amp;"*")</f>
        <v>18.0250781714835</v>
      </c>
      <c r="K23" s="35">
        <f t="shared" si="3"/>
        <v>0.40064629095881699</v>
      </c>
      <c r="L23" s="36"/>
      <c r="M23" s="50">
        <f t="shared" si="4"/>
        <v>0</v>
      </c>
    </row>
    <row r="24" spans="1:13" x14ac:dyDescent="0.35">
      <c r="A24" t="s">
        <v>48</v>
      </c>
      <c r="B24" s="7" t="s">
        <v>70</v>
      </c>
      <c r="C24" s="33" t="s">
        <v>290</v>
      </c>
      <c r="D24" s="34">
        <v>0</v>
      </c>
      <c r="E24" s="12">
        <v>0</v>
      </c>
      <c r="F24" s="42">
        <f t="shared" si="0"/>
        <v>0</v>
      </c>
      <c r="G24" s="12">
        <f t="shared" si="1"/>
        <v>0.14824098337826999</v>
      </c>
      <c r="H24" s="12">
        <f t="shared" si="2"/>
        <v>0</v>
      </c>
      <c r="I24" s="12"/>
      <c r="J24" s="48">
        <f>SUMIFS('PLAN BUDGET SAMI-TF'!BO13:BO100000,'PLAN BUDGET SAMI-TF'!D13:D100000,B24,'PLAN BUDGET SAMI-TF'!J13:J100000,A24&amp;"*")</f>
        <v>0.14824098337826999</v>
      </c>
      <c r="K24" s="35">
        <f t="shared" si="3"/>
        <v>1</v>
      </c>
      <c r="L24" s="36"/>
      <c r="M24" s="50">
        <f t="shared" si="4"/>
        <v>0</v>
      </c>
    </row>
    <row r="25" spans="1:13" x14ac:dyDescent="0.35">
      <c r="A25" t="s">
        <v>48</v>
      </c>
      <c r="B25" s="7" t="s">
        <v>150</v>
      </c>
      <c r="C25" s="33" t="s">
        <v>290</v>
      </c>
      <c r="D25" s="34">
        <v>0</v>
      </c>
      <c r="E25" s="12">
        <v>3.3244717886394999</v>
      </c>
      <c r="F25" s="42">
        <f t="shared" si="0"/>
        <v>3.3244717886394999</v>
      </c>
      <c r="G25" s="12">
        <f t="shared" si="1"/>
        <v>0</v>
      </c>
      <c r="H25" s="12">
        <f t="shared" si="2"/>
        <v>-0.28224019849860005</v>
      </c>
      <c r="I25" s="12"/>
      <c r="J25" s="48">
        <f>SUMIFS('PLAN BUDGET SAMI-TF'!BO13:BO100000,'PLAN BUDGET SAMI-TF'!D13:D100000,B25,'PLAN BUDGET SAMI-TF'!J13:J100000,A25&amp;"*")</f>
        <v>3.0422315901408998</v>
      </c>
      <c r="K25" s="35">
        <f t="shared" si="3"/>
        <v>-8.4897757130345045E-2</v>
      </c>
      <c r="L25" s="36"/>
      <c r="M25" s="50">
        <f t="shared" si="4"/>
        <v>0</v>
      </c>
    </row>
    <row r="26" spans="1:13" x14ac:dyDescent="0.35">
      <c r="A26" t="s">
        <v>48</v>
      </c>
      <c r="B26" s="7" t="s">
        <v>44</v>
      </c>
      <c r="C26" s="33" t="s">
        <v>290</v>
      </c>
      <c r="D26" s="34">
        <v>16.680971731671999</v>
      </c>
      <c r="E26" s="12">
        <v>16.680971731671999</v>
      </c>
      <c r="F26" s="42">
        <f t="shared" si="0"/>
        <v>16.680971731671999</v>
      </c>
      <c r="G26" s="12">
        <f t="shared" si="1"/>
        <v>0</v>
      </c>
      <c r="H26" s="12">
        <f t="shared" si="2"/>
        <v>-11.548744825490399</v>
      </c>
      <c r="I26" s="12"/>
      <c r="J26" s="48">
        <f>SUMIFS('PLAN BUDGET SAMI-TF'!BO13:BO100000,'PLAN BUDGET SAMI-TF'!D13:D100000,B26,'PLAN BUDGET SAMI-TF'!J13:J100000,A26&amp;"*")</f>
        <v>5.1322269061816002</v>
      </c>
      <c r="K26" s="35">
        <f t="shared" si="3"/>
        <v>-0.69233045959564266</v>
      </c>
      <c r="L26" s="36"/>
      <c r="M26" s="50">
        <f t="shared" si="4"/>
        <v>0</v>
      </c>
    </row>
    <row r="27" spans="1:13" x14ac:dyDescent="0.35">
      <c r="A27" t="s">
        <v>48</v>
      </c>
      <c r="B27" s="7" t="s">
        <v>104</v>
      </c>
      <c r="C27" s="33" t="s">
        <v>290</v>
      </c>
      <c r="D27" s="34">
        <v>2.5147797906144</v>
      </c>
      <c r="E27" s="12">
        <v>2.3419796690846</v>
      </c>
      <c r="F27" s="42">
        <f t="shared" si="0"/>
        <v>2.3419796690846</v>
      </c>
      <c r="G27" s="12">
        <f t="shared" si="1"/>
        <v>1.2667293304469998</v>
      </c>
      <c r="H27" s="12">
        <f t="shared" si="2"/>
        <v>0</v>
      </c>
      <c r="I27" s="12"/>
      <c r="J27" s="48">
        <f>SUMIFS('PLAN BUDGET SAMI-TF'!BO13:BO100000,'PLAN BUDGET SAMI-TF'!D13:D100000,B27,'PLAN BUDGET SAMI-TF'!J13:J100000,A27&amp;"*")</f>
        <v>3.6087089995315997</v>
      </c>
      <c r="K27" s="35">
        <f t="shared" si="3"/>
        <v>0.54087972972972953</v>
      </c>
      <c r="L27" s="36"/>
      <c r="M27" s="50">
        <f t="shared" si="4"/>
        <v>0</v>
      </c>
    </row>
    <row r="28" spans="1:13" x14ac:dyDescent="0.35">
      <c r="A28" t="s">
        <v>48</v>
      </c>
      <c r="B28" s="7" t="s">
        <v>210</v>
      </c>
      <c r="C28" s="33" t="s">
        <v>290</v>
      </c>
      <c r="D28" s="34">
        <v>0</v>
      </c>
      <c r="E28" s="12">
        <v>0</v>
      </c>
      <c r="F28" s="42">
        <f t="shared" si="0"/>
        <v>0</v>
      </c>
      <c r="G28" s="12">
        <f t="shared" si="1"/>
        <v>96</v>
      </c>
      <c r="H28" s="12">
        <f t="shared" si="2"/>
        <v>0</v>
      </c>
      <c r="I28" s="12"/>
      <c r="J28" s="48">
        <f>SUMIFS('PLAN BUDGET SAMI-TF'!BO13:BO100000,'PLAN BUDGET SAMI-TF'!D13:D100000,B28,'PLAN BUDGET SAMI-TF'!J13:J100000,A28&amp;"*")</f>
        <v>96</v>
      </c>
      <c r="K28" s="35">
        <f t="shared" si="3"/>
        <v>1</v>
      </c>
      <c r="L28" s="36"/>
      <c r="M28" s="50">
        <f t="shared" si="4"/>
        <v>0</v>
      </c>
    </row>
    <row r="29" spans="1:13" x14ac:dyDescent="0.35">
      <c r="A29" t="s">
        <v>48</v>
      </c>
      <c r="B29" s="7" t="s">
        <v>207</v>
      </c>
      <c r="C29" s="33" t="s">
        <v>290</v>
      </c>
      <c r="D29" s="34">
        <v>72</v>
      </c>
      <c r="E29" s="12">
        <v>72</v>
      </c>
      <c r="F29" s="42">
        <f t="shared" si="0"/>
        <v>72</v>
      </c>
      <c r="G29" s="12">
        <f t="shared" si="1"/>
        <v>0</v>
      </c>
      <c r="H29" s="12">
        <f t="shared" si="2"/>
        <v>-15.032926968212003</v>
      </c>
      <c r="I29" s="12"/>
      <c r="J29" s="48">
        <f>SUMIFS('PLAN BUDGET SAMI-TF'!BO13:BO100000,'PLAN BUDGET SAMI-TF'!D13:D100000,B29,'PLAN BUDGET SAMI-TF'!J13:J100000,A29&amp;"*")</f>
        <v>56.967073031787997</v>
      </c>
      <c r="K29" s="35">
        <f t="shared" si="3"/>
        <v>-0.2087906523362778</v>
      </c>
      <c r="L29" s="36"/>
      <c r="M29" s="50">
        <f t="shared" si="4"/>
        <v>0</v>
      </c>
    </row>
    <row r="30" spans="1:13" x14ac:dyDescent="0.35">
      <c r="A30" t="s">
        <v>48</v>
      </c>
      <c r="B30" s="7" t="s">
        <v>204</v>
      </c>
      <c r="C30" s="33" t="s">
        <v>290</v>
      </c>
      <c r="D30" s="34">
        <v>11.496714898789</v>
      </c>
      <c r="E30" s="12">
        <v>9.6211056675908004</v>
      </c>
      <c r="F30" s="42">
        <f t="shared" si="0"/>
        <v>9.6211056675908004</v>
      </c>
      <c r="G30" s="12">
        <f t="shared" si="1"/>
        <v>10.254073145721801</v>
      </c>
      <c r="H30" s="12">
        <f t="shared" si="2"/>
        <v>0</v>
      </c>
      <c r="I30" s="12"/>
      <c r="J30" s="48">
        <f>SUMIFS('PLAN BUDGET SAMI-TF'!BO13:BO100000,'PLAN BUDGET SAMI-TF'!D13:D100000,B30,'PLAN BUDGET SAMI-TF'!J13:J100000,A30&amp;"*")</f>
        <v>19.875178813312601</v>
      </c>
      <c r="K30" s="35">
        <f t="shared" si="3"/>
        <v>1.0657894736842133</v>
      </c>
      <c r="L30" s="36"/>
      <c r="M30" s="50">
        <f t="shared" si="4"/>
        <v>0</v>
      </c>
    </row>
    <row r="31" spans="1:13" x14ac:dyDescent="0.35">
      <c r="A31" t="s">
        <v>48</v>
      </c>
      <c r="B31" s="7" t="s">
        <v>101</v>
      </c>
      <c r="C31" s="33" t="s">
        <v>290</v>
      </c>
      <c r="D31" s="34">
        <v>113.44992594281</v>
      </c>
      <c r="E31" s="12">
        <v>113.44992594281</v>
      </c>
      <c r="F31" s="42">
        <f t="shared" si="0"/>
        <v>113.44992594281</v>
      </c>
      <c r="G31" s="12">
        <f t="shared" si="1"/>
        <v>43.939336396890994</v>
      </c>
      <c r="H31" s="12">
        <f t="shared" si="2"/>
        <v>0</v>
      </c>
      <c r="I31" s="12"/>
      <c r="J31" s="48">
        <f>SUMIFS('PLAN BUDGET SAMI-TF'!BO13:BO100000,'PLAN BUDGET SAMI-TF'!D13:D100000,B31,'PLAN BUDGET SAMI-TF'!J13:J100000,A31&amp;"*")</f>
        <v>157.38926233970099</v>
      </c>
      <c r="K31" s="35">
        <f t="shared" si="3"/>
        <v>0.38730158730152697</v>
      </c>
      <c r="L31" s="36"/>
      <c r="M31" s="50">
        <f t="shared" si="4"/>
        <v>0</v>
      </c>
    </row>
    <row r="32" spans="1:13" x14ac:dyDescent="0.35">
      <c r="A32" t="s">
        <v>48</v>
      </c>
      <c r="B32" s="7" t="s">
        <v>120</v>
      </c>
      <c r="C32" s="33" t="s">
        <v>290</v>
      </c>
      <c r="D32" s="34">
        <v>2617.3398275796999</v>
      </c>
      <c r="E32" s="12">
        <v>2265.8080462826001</v>
      </c>
      <c r="F32" s="42">
        <f t="shared" si="0"/>
        <v>2265.8080462826001</v>
      </c>
      <c r="G32" s="12">
        <f t="shared" si="1"/>
        <v>0</v>
      </c>
      <c r="H32" s="12">
        <f t="shared" si="2"/>
        <v>-6.0026650317013264E-11</v>
      </c>
      <c r="I32" s="12"/>
      <c r="J32" s="48">
        <f>SUMIFS('PLAN BUDGET SAMI-TF'!BO13:BO100000,'PLAN BUDGET SAMI-TF'!D13:D100000,B32,'PLAN BUDGET SAMI-TF'!J13:J100000,A32&amp;"*")</f>
        <v>2265.8080462825401</v>
      </c>
      <c r="K32" s="35">
        <f t="shared" si="3"/>
        <v>-2.6492381124471705E-14</v>
      </c>
      <c r="L32" s="36"/>
      <c r="M32" s="50">
        <f t="shared" si="4"/>
        <v>0</v>
      </c>
    </row>
    <row r="33" spans="1:13" x14ac:dyDescent="0.35">
      <c r="A33" t="s">
        <v>48</v>
      </c>
      <c r="B33" s="7" t="s">
        <v>74</v>
      </c>
      <c r="C33" s="33" t="s">
        <v>290</v>
      </c>
      <c r="D33" s="34">
        <v>0.23407137341282999</v>
      </c>
      <c r="E33" s="12">
        <v>0.23407137341282999</v>
      </c>
      <c r="F33" s="42">
        <f t="shared" si="0"/>
        <v>0.23407137341282999</v>
      </c>
      <c r="G33" s="12">
        <f t="shared" si="1"/>
        <v>7.9500715253250004E-2</v>
      </c>
      <c r="H33" s="12">
        <f t="shared" si="2"/>
        <v>0</v>
      </c>
      <c r="I33" s="12"/>
      <c r="J33" s="48">
        <f>SUMIFS('PLAN BUDGET SAMI-TF'!BO13:BO100000,'PLAN BUDGET SAMI-TF'!D13:D100000,B33,'PLAN BUDGET SAMI-TF'!J13:J100000,A33&amp;"*")</f>
        <v>0.31357208866608</v>
      </c>
      <c r="K33" s="35">
        <f t="shared" si="3"/>
        <v>0.33964305029746278</v>
      </c>
      <c r="L33" s="36"/>
      <c r="M33" s="50">
        <f t="shared" si="4"/>
        <v>0</v>
      </c>
    </row>
    <row r="34" spans="1:13" x14ac:dyDescent="0.35">
      <c r="A34" t="s">
        <v>48</v>
      </c>
      <c r="B34" s="7" t="s">
        <v>77</v>
      </c>
      <c r="C34" s="33" t="s">
        <v>290</v>
      </c>
      <c r="D34" s="34">
        <v>0.31217956021420001</v>
      </c>
      <c r="E34" s="12">
        <v>0.31217956021420001</v>
      </c>
      <c r="F34" s="42">
        <f t="shared" si="0"/>
        <v>0.31217956021420001</v>
      </c>
      <c r="G34" s="12">
        <f t="shared" si="1"/>
        <v>0.34939804792828999</v>
      </c>
      <c r="H34" s="12">
        <f t="shared" si="2"/>
        <v>0</v>
      </c>
      <c r="I34" s="12"/>
      <c r="J34" s="48">
        <f>SUMIFS('PLAN BUDGET SAMI-TF'!BO13:BO100000,'PLAN BUDGET SAMI-TF'!D13:D100000,B34,'PLAN BUDGET SAMI-TF'!J13:J100000,A34&amp;"*")</f>
        <v>0.66157760814249</v>
      </c>
      <c r="K34" s="35">
        <f t="shared" si="3"/>
        <v>1.1192214111921766</v>
      </c>
      <c r="L34" s="36"/>
      <c r="M34" s="50">
        <f t="shared" si="4"/>
        <v>0</v>
      </c>
    </row>
    <row r="35" spans="1:13" x14ac:dyDescent="0.35">
      <c r="A35" t="s">
        <v>48</v>
      </c>
      <c r="B35" s="7" t="s">
        <v>174</v>
      </c>
      <c r="C35" s="33" t="s">
        <v>290</v>
      </c>
      <c r="D35" s="34">
        <v>474.72560859823</v>
      </c>
      <c r="E35" s="12">
        <v>474.72560859823</v>
      </c>
      <c r="F35" s="42">
        <f t="shared" si="0"/>
        <v>474.72560859823</v>
      </c>
      <c r="G35" s="12">
        <f t="shared" si="1"/>
        <v>1515.9571101237239</v>
      </c>
      <c r="H35" s="12">
        <f t="shared" si="2"/>
        <v>0</v>
      </c>
      <c r="I35" s="12"/>
      <c r="J35" s="48">
        <f>SUMIFS('PLAN BUDGET SAMI-TF'!BO13:BO100000,'PLAN BUDGET SAMI-TF'!D13:D100000,B35,'PLAN BUDGET SAMI-TF'!J13:J100000,A35&amp;"*")</f>
        <v>1990.682718721954</v>
      </c>
      <c r="K35" s="35">
        <f t="shared" si="3"/>
        <v>3.1933333333334235</v>
      </c>
      <c r="L35" s="36"/>
      <c r="M35" s="50">
        <f t="shared" si="4"/>
        <v>0</v>
      </c>
    </row>
    <row r="36" spans="1:13" x14ac:dyDescent="0.35">
      <c r="A36" t="s">
        <v>48</v>
      </c>
      <c r="B36" s="7" t="s">
        <v>80</v>
      </c>
      <c r="C36" s="33" t="s">
        <v>290</v>
      </c>
      <c r="D36" s="34">
        <v>1.4555087159622</v>
      </c>
      <c r="E36" s="12">
        <v>1.4555087159622</v>
      </c>
      <c r="F36" s="42">
        <f t="shared" si="0"/>
        <v>1.4555087159622</v>
      </c>
      <c r="G36" s="12">
        <f t="shared" si="1"/>
        <v>0.70006203081284002</v>
      </c>
      <c r="H36" s="12">
        <f t="shared" si="2"/>
        <v>0</v>
      </c>
      <c r="I36" s="12"/>
      <c r="J36" s="48">
        <f>SUMIFS('PLAN BUDGET SAMI-TF'!BO13:BO100000,'PLAN BUDGET SAMI-TF'!D13:D100000,B36,'PLAN BUDGET SAMI-TF'!J13:J100000,A36&amp;"*")</f>
        <v>2.15557074677504</v>
      </c>
      <c r="K36" s="35">
        <f t="shared" si="3"/>
        <v>0.48097412480972107</v>
      </c>
      <c r="L36" s="36"/>
      <c r="M36" s="50">
        <f t="shared" si="4"/>
        <v>0</v>
      </c>
    </row>
    <row r="37" spans="1:13" x14ac:dyDescent="0.35">
      <c r="A37" t="s">
        <v>48</v>
      </c>
      <c r="B37" s="7" t="s">
        <v>83</v>
      </c>
      <c r="C37" s="33" t="s">
        <v>290</v>
      </c>
      <c r="D37" s="34">
        <v>0.55226412466927</v>
      </c>
      <c r="E37" s="12">
        <v>0.55226412466927</v>
      </c>
      <c r="F37" s="42">
        <f t="shared" si="0"/>
        <v>0.55226412466927</v>
      </c>
      <c r="G37" s="12">
        <f t="shared" si="1"/>
        <v>5.2219816945810016E-2</v>
      </c>
      <c r="H37" s="12">
        <f t="shared" si="2"/>
        <v>0</v>
      </c>
      <c r="I37" s="12"/>
      <c r="J37" s="48">
        <f>SUMIFS('PLAN BUDGET SAMI-TF'!BO13:BO100000,'PLAN BUDGET SAMI-TF'!D13:D100000,B37,'PLAN BUDGET SAMI-TF'!J13:J100000,A37&amp;"*")</f>
        <v>0.60448394161508001</v>
      </c>
      <c r="K37" s="35">
        <f t="shared" si="3"/>
        <v>9.4555873925510694E-2</v>
      </c>
      <c r="L37" s="36"/>
      <c r="M37" s="50">
        <f t="shared" si="4"/>
        <v>0</v>
      </c>
    </row>
    <row r="38" spans="1:13" x14ac:dyDescent="0.35">
      <c r="A38" t="s">
        <v>48</v>
      </c>
      <c r="B38" s="7" t="s">
        <v>166</v>
      </c>
      <c r="C38" s="33" t="s">
        <v>290</v>
      </c>
      <c r="D38" s="34">
        <v>110.76930867292</v>
      </c>
      <c r="E38" s="12">
        <v>110.76930867292</v>
      </c>
      <c r="F38" s="42">
        <f t="shared" si="0"/>
        <v>110.76930867292</v>
      </c>
      <c r="G38" s="12">
        <f t="shared" si="1"/>
        <v>0</v>
      </c>
      <c r="H38" s="12">
        <f t="shared" si="2"/>
        <v>-15.824186953275017</v>
      </c>
      <c r="I38" s="12"/>
      <c r="J38" s="48">
        <f>SUMIFS('PLAN BUDGET SAMI-TF'!BO13:BO100000,'PLAN BUDGET SAMI-TF'!D13:D100000,B38,'PLAN BUDGET SAMI-TF'!J13:J100000,A38&amp;"*")</f>
        <v>94.945121719644987</v>
      </c>
      <c r="K38" s="35">
        <f t="shared" si="3"/>
        <v>-0.14285714285714946</v>
      </c>
      <c r="L38" s="36"/>
      <c r="M38" s="50">
        <f t="shared" si="4"/>
        <v>0</v>
      </c>
    </row>
    <row r="39" spans="1:13" x14ac:dyDescent="0.35">
      <c r="A39" t="s">
        <v>48</v>
      </c>
      <c r="B39" s="7" t="s">
        <v>86</v>
      </c>
      <c r="C39" s="33" t="s">
        <v>290</v>
      </c>
      <c r="D39" s="34">
        <v>2.9892522122213001</v>
      </c>
      <c r="E39" s="12">
        <v>7.4731305305533002</v>
      </c>
      <c r="F39" s="42">
        <f t="shared" si="0"/>
        <v>7.4731305305533002</v>
      </c>
      <c r="G39" s="12">
        <f t="shared" si="1"/>
        <v>0.70987302672392971</v>
      </c>
      <c r="H39" s="12">
        <f t="shared" si="2"/>
        <v>0</v>
      </c>
      <c r="I39" s="12"/>
      <c r="J39" s="48">
        <f>SUMIFS('PLAN BUDGET SAMI-TF'!BO13:BO100000,'PLAN BUDGET SAMI-TF'!D13:D100000,B39,'PLAN BUDGET SAMI-TF'!J13:J100000,A39&amp;"*")</f>
        <v>8.1830035572772299</v>
      </c>
      <c r="K39" s="35">
        <f t="shared" si="3"/>
        <v>9.4990047855001369E-2</v>
      </c>
      <c r="L39" s="36"/>
      <c r="M39" s="50">
        <f t="shared" si="4"/>
        <v>0</v>
      </c>
    </row>
    <row r="40" spans="1:13" x14ac:dyDescent="0.35">
      <c r="A40" t="s">
        <v>48</v>
      </c>
      <c r="B40" s="7" t="s">
        <v>156</v>
      </c>
      <c r="C40" s="33" t="s">
        <v>290</v>
      </c>
      <c r="D40" s="34">
        <v>109.97809932526</v>
      </c>
      <c r="E40" s="12">
        <v>109.97809932526</v>
      </c>
      <c r="F40" s="42">
        <f t="shared" si="0"/>
        <v>109.97809932526</v>
      </c>
      <c r="G40" s="12">
        <f t="shared" si="1"/>
        <v>0</v>
      </c>
      <c r="H40" s="12">
        <f t="shared" si="2"/>
        <v>-4.007461029686965E-12</v>
      </c>
      <c r="I40" s="12"/>
      <c r="J40" s="48">
        <f>SUMIFS('PLAN BUDGET SAMI-TF'!BO13:BO100000,'PLAN BUDGET SAMI-TF'!D13:D100000,B40,'PLAN BUDGET SAMI-TF'!J13:J100000,A40&amp;"*")</f>
        <v>109.978099325256</v>
      </c>
      <c r="K40" s="35">
        <f t="shared" si="3"/>
        <v>-3.6438718747401763E-14</v>
      </c>
      <c r="L40" s="36"/>
      <c r="M40" s="50">
        <f t="shared" si="4"/>
        <v>0</v>
      </c>
    </row>
    <row r="41" spans="1:13" x14ac:dyDescent="0.35">
      <c r="A41" t="s">
        <v>48</v>
      </c>
      <c r="B41" s="7" t="s">
        <v>130</v>
      </c>
      <c r="C41" s="33" t="s">
        <v>290</v>
      </c>
      <c r="D41" s="34">
        <v>226734.37696378</v>
      </c>
      <c r="E41" s="12">
        <v>163700.24372413001</v>
      </c>
      <c r="F41" s="42">
        <f t="shared" si="0"/>
        <v>163700.24372413001</v>
      </c>
      <c r="G41" s="12">
        <f t="shared" si="1"/>
        <v>0</v>
      </c>
      <c r="H41" s="12">
        <f t="shared" si="2"/>
        <v>-6585.0931411662896</v>
      </c>
      <c r="I41" s="12"/>
      <c r="J41" s="48">
        <f>SUMIFS('PLAN BUDGET SAMI-TF'!BO13:BO100000,'PLAN BUDGET SAMI-TF'!D13:D100000,B41,'PLAN BUDGET SAMI-TF'!J13:J100000,A41&amp;"*")</f>
        <v>157115.15058296372</v>
      </c>
      <c r="K41" s="35">
        <f t="shared" si="3"/>
        <v>-4.0226532296821639E-2</v>
      </c>
      <c r="L41" s="36"/>
      <c r="M41" s="50">
        <f t="shared" si="4"/>
        <v>0</v>
      </c>
    </row>
    <row r="42" spans="1:13" x14ac:dyDescent="0.35">
      <c r="A42" t="s">
        <v>48</v>
      </c>
      <c r="B42" s="7" t="s">
        <v>160</v>
      </c>
      <c r="C42" s="33" t="s">
        <v>290</v>
      </c>
      <c r="D42" s="34">
        <v>5.0637398250477998</v>
      </c>
      <c r="E42" s="12">
        <v>5.0637398250477998</v>
      </c>
      <c r="F42" s="42">
        <f t="shared" si="0"/>
        <v>5.0637398250477998</v>
      </c>
      <c r="G42" s="12">
        <f t="shared" si="1"/>
        <v>0</v>
      </c>
      <c r="H42" s="12">
        <f t="shared" si="2"/>
        <v>0</v>
      </c>
      <c r="I42" s="12"/>
      <c r="J42" s="48">
        <f>SUMIFS('PLAN BUDGET SAMI-TF'!BO13:BO100000,'PLAN BUDGET SAMI-TF'!D13:D100000,B42,'PLAN BUDGET SAMI-TF'!J13:J100000,A42&amp;"*")</f>
        <v>5.0637398250477998</v>
      </c>
      <c r="K42" s="35">
        <f t="shared" si="3"/>
        <v>0</v>
      </c>
      <c r="L42" s="36"/>
      <c r="M42" s="50">
        <f t="shared" si="4"/>
        <v>0</v>
      </c>
    </row>
    <row r="43" spans="1:13" x14ac:dyDescent="0.35">
      <c r="A43" t="s">
        <v>48</v>
      </c>
      <c r="B43" s="7" t="s">
        <v>108</v>
      </c>
      <c r="C43" s="33" t="s">
        <v>290</v>
      </c>
      <c r="D43" s="34">
        <v>70.740445355917998</v>
      </c>
      <c r="E43" s="12">
        <v>69.626422594407003</v>
      </c>
      <c r="F43" s="42">
        <f t="shared" si="0"/>
        <v>69.626422594407003</v>
      </c>
      <c r="G43" s="12">
        <f t="shared" si="1"/>
        <v>2.5318699125229926</v>
      </c>
      <c r="H43" s="12">
        <f t="shared" si="2"/>
        <v>0</v>
      </c>
      <c r="I43" s="12"/>
      <c r="J43" s="48">
        <f>SUMIFS('PLAN BUDGET SAMI-TF'!BO13:BO100000,'PLAN BUDGET SAMI-TF'!D13:D100000,B43,'PLAN BUDGET SAMI-TF'!J13:J100000,A43&amp;"*")</f>
        <v>72.158292506929996</v>
      </c>
      <c r="K43" s="35">
        <f t="shared" si="3"/>
        <v>3.6363636363623462E-2</v>
      </c>
      <c r="L43" s="36"/>
      <c r="M43" s="50">
        <f t="shared" si="4"/>
        <v>0</v>
      </c>
    </row>
    <row r="44" spans="1:13" x14ac:dyDescent="0.35">
      <c r="A44" t="s">
        <v>48</v>
      </c>
      <c r="B44" s="7" t="s">
        <v>213</v>
      </c>
      <c r="C44" s="33" t="s">
        <v>290</v>
      </c>
      <c r="D44" s="34">
        <v>270.69236092565001</v>
      </c>
      <c r="E44" s="12">
        <v>344.53856670843999</v>
      </c>
      <c r="F44" s="42">
        <f t="shared" si="0"/>
        <v>344.53856670843999</v>
      </c>
      <c r="G44" s="12">
        <f t="shared" si="1"/>
        <v>0</v>
      </c>
      <c r="H44" s="12">
        <f t="shared" si="2"/>
        <v>-30.857164558882289</v>
      </c>
      <c r="I44" s="12"/>
      <c r="J44" s="48">
        <f>SUMIFS('PLAN BUDGET SAMI-TF'!BO13:BO100000,'PLAN BUDGET SAMI-TF'!D13:D100000,B44,'PLAN BUDGET SAMI-TF'!J13:J100000,A44&amp;"*")</f>
        <v>313.6814021495577</v>
      </c>
      <c r="K44" s="35">
        <f t="shared" si="3"/>
        <v>-8.9560843227732612E-2</v>
      </c>
      <c r="L44" s="36"/>
      <c r="M44" s="50">
        <f t="shared" si="4"/>
        <v>0</v>
      </c>
    </row>
    <row r="45" spans="1:13" x14ac:dyDescent="0.35">
      <c r="A45" t="s">
        <v>228</v>
      </c>
      <c r="B45" s="7" t="s">
        <v>233</v>
      </c>
      <c r="C45" s="33" t="s">
        <v>290</v>
      </c>
      <c r="D45" s="34">
        <v>0</v>
      </c>
      <c r="E45" s="12">
        <v>0</v>
      </c>
      <c r="F45" s="42">
        <f t="shared" si="0"/>
        <v>0</v>
      </c>
      <c r="G45" s="12">
        <f t="shared" si="1"/>
        <v>1550.77032142088</v>
      </c>
      <c r="H45" s="12">
        <f t="shared" si="2"/>
        <v>0</v>
      </c>
      <c r="I45" s="12"/>
      <c r="J45" s="48">
        <f>SUMIFS('PLAN BUDGET SAMI-TF'!BO13:BO100000,'PLAN BUDGET SAMI-TF'!D13:D100000,B45,'PLAN BUDGET SAMI-TF'!J13:J100000,A45&amp;"*")</f>
        <v>1550.77032142088</v>
      </c>
      <c r="K45" s="35">
        <f t="shared" si="3"/>
        <v>1</v>
      </c>
      <c r="L45" s="36"/>
      <c r="M45" s="50">
        <f t="shared" si="4"/>
        <v>0</v>
      </c>
    </row>
    <row r="46" spans="1:13" x14ac:dyDescent="0.35">
      <c r="A46" t="s">
        <v>228</v>
      </c>
      <c r="B46" s="7" t="s">
        <v>112</v>
      </c>
      <c r="C46" s="33" t="s">
        <v>290</v>
      </c>
      <c r="D46" s="34">
        <v>0</v>
      </c>
      <c r="E46" s="12">
        <v>0</v>
      </c>
      <c r="F46" s="42">
        <f t="shared" si="0"/>
        <v>0</v>
      </c>
      <c r="G46" s="12">
        <f t="shared" si="1"/>
        <v>971.60507893103795</v>
      </c>
      <c r="H46" s="12">
        <f t="shared" si="2"/>
        <v>0</v>
      </c>
      <c r="I46" s="12"/>
      <c r="J46" s="48">
        <f>SUMIFS('PLAN BUDGET SAMI-TF'!BO13:BO100000,'PLAN BUDGET SAMI-TF'!D13:D100000,B46,'PLAN BUDGET SAMI-TF'!J13:J100000,A46&amp;"*")</f>
        <v>971.60507893103795</v>
      </c>
      <c r="K46" s="35">
        <f t="shared" si="3"/>
        <v>1</v>
      </c>
      <c r="L46" s="36"/>
      <c r="M46" s="50">
        <f t="shared" si="4"/>
        <v>0</v>
      </c>
    </row>
    <row r="47" spans="1:13" x14ac:dyDescent="0.35">
      <c r="A47" t="s">
        <v>228</v>
      </c>
      <c r="B47" s="7" t="s">
        <v>192</v>
      </c>
      <c r="C47" s="33" t="s">
        <v>290</v>
      </c>
      <c r="D47" s="34">
        <v>0</v>
      </c>
      <c r="E47" s="12">
        <v>0</v>
      </c>
      <c r="F47" s="42">
        <f t="shared" si="0"/>
        <v>0</v>
      </c>
      <c r="G47" s="12">
        <f t="shared" si="1"/>
        <v>1063.3853632600401</v>
      </c>
      <c r="H47" s="12">
        <f t="shared" si="2"/>
        <v>0</v>
      </c>
      <c r="I47" s="12"/>
      <c r="J47" s="48">
        <f>SUMIFS('PLAN BUDGET SAMI-TF'!BO13:BO100000,'PLAN BUDGET SAMI-TF'!D13:D100000,B47,'PLAN BUDGET SAMI-TF'!J13:J100000,A47&amp;"*")</f>
        <v>1063.3853632600401</v>
      </c>
      <c r="K47" s="35">
        <f t="shared" si="3"/>
        <v>1</v>
      </c>
      <c r="L47" s="36"/>
      <c r="M47" s="50">
        <f t="shared" si="4"/>
        <v>0</v>
      </c>
    </row>
    <row r="48" spans="1:13" x14ac:dyDescent="0.35">
      <c r="A48" t="s">
        <v>228</v>
      </c>
      <c r="B48" s="7" t="s">
        <v>207</v>
      </c>
      <c r="C48" s="33" t="s">
        <v>290</v>
      </c>
      <c r="D48" s="34">
        <v>0</v>
      </c>
      <c r="E48" s="12">
        <v>0</v>
      </c>
      <c r="F48" s="42">
        <f t="shared" si="0"/>
        <v>0</v>
      </c>
      <c r="G48" s="12">
        <f t="shared" si="1"/>
        <v>18.989024343929</v>
      </c>
      <c r="H48" s="12">
        <f t="shared" si="2"/>
        <v>0</v>
      </c>
      <c r="I48" s="12"/>
      <c r="J48" s="48">
        <f>SUMIFS('PLAN BUDGET SAMI-TF'!BO13:BO100000,'PLAN BUDGET SAMI-TF'!D13:D100000,B48,'PLAN BUDGET SAMI-TF'!J13:J100000,A48&amp;"*")</f>
        <v>18.989024343929</v>
      </c>
      <c r="K48" s="35">
        <f t="shared" si="3"/>
        <v>1</v>
      </c>
      <c r="L48" s="36"/>
      <c r="M48" s="50">
        <f t="shared" si="4"/>
        <v>0</v>
      </c>
    </row>
    <row r="49" spans="1:13" x14ac:dyDescent="0.35">
      <c r="A49" t="s">
        <v>228</v>
      </c>
      <c r="B49" s="7" t="s">
        <v>174</v>
      </c>
      <c r="C49" s="33" t="s">
        <v>290</v>
      </c>
      <c r="D49" s="34">
        <v>0</v>
      </c>
      <c r="E49" s="12">
        <v>0</v>
      </c>
      <c r="F49" s="42">
        <f t="shared" si="0"/>
        <v>0</v>
      </c>
      <c r="G49" s="12">
        <f t="shared" si="1"/>
        <v>1079.209550213302</v>
      </c>
      <c r="H49" s="12">
        <f t="shared" si="2"/>
        <v>0</v>
      </c>
      <c r="I49" s="12"/>
      <c r="J49" s="48">
        <f>SUMIFS('PLAN BUDGET SAMI-TF'!BO13:BO100000,'PLAN BUDGET SAMI-TF'!D13:D100000,B49,'PLAN BUDGET SAMI-TF'!J13:J100000,A49&amp;"*")</f>
        <v>1079.209550213302</v>
      </c>
      <c r="K49" s="35">
        <f t="shared" si="3"/>
        <v>1</v>
      </c>
      <c r="L49" s="36"/>
      <c r="M49" s="50">
        <f t="shared" si="4"/>
        <v>0</v>
      </c>
    </row>
    <row r="50" spans="1:13" x14ac:dyDescent="0.35">
      <c r="A50" t="s">
        <v>228</v>
      </c>
      <c r="B50" s="7" t="s">
        <v>248</v>
      </c>
      <c r="C50" s="33" t="s">
        <v>290</v>
      </c>
      <c r="D50" s="34">
        <v>436.74755991037</v>
      </c>
      <c r="E50" s="12">
        <v>294.32987733089999</v>
      </c>
      <c r="F50" s="42">
        <f t="shared" si="0"/>
        <v>294.32987733089999</v>
      </c>
      <c r="G50" s="12">
        <f t="shared" si="1"/>
        <v>0</v>
      </c>
      <c r="H50" s="12">
        <f t="shared" si="2"/>
        <v>-123.42865823553998</v>
      </c>
      <c r="I50" s="12"/>
      <c r="J50" s="48">
        <f>SUMIFS('PLAN BUDGET SAMI-TF'!BO13:BO100000,'PLAN BUDGET SAMI-TF'!D13:D100000,B50,'PLAN BUDGET SAMI-TF'!J13:J100000,A50&amp;"*")</f>
        <v>170.90121909536001</v>
      </c>
      <c r="K50" s="35">
        <f t="shared" si="3"/>
        <v>-0.41935483870968177</v>
      </c>
      <c r="L50" s="36"/>
      <c r="M50" s="50">
        <f t="shared" si="4"/>
        <v>0</v>
      </c>
    </row>
    <row r="51" spans="1:13" x14ac:dyDescent="0.35">
      <c r="A51" t="s">
        <v>228</v>
      </c>
      <c r="B51" s="7" t="s">
        <v>243</v>
      </c>
      <c r="C51" s="33" t="s">
        <v>290</v>
      </c>
      <c r="D51" s="34">
        <v>0</v>
      </c>
      <c r="E51" s="12">
        <v>0</v>
      </c>
      <c r="F51" s="42">
        <f t="shared" si="0"/>
        <v>0</v>
      </c>
      <c r="G51" s="12">
        <f t="shared" si="1"/>
        <v>189.89024343928702</v>
      </c>
      <c r="H51" s="12">
        <f t="shared" si="2"/>
        <v>0</v>
      </c>
      <c r="I51" s="12"/>
      <c r="J51" s="48">
        <f>SUMIFS('PLAN BUDGET SAMI-TF'!BO13:BO100000,'PLAN BUDGET SAMI-TF'!D13:D100000,B51,'PLAN BUDGET SAMI-TF'!J13:J100000,A51&amp;"*")</f>
        <v>189.89024343928702</v>
      </c>
      <c r="K51" s="35">
        <f t="shared" si="3"/>
        <v>1</v>
      </c>
      <c r="L51" s="36"/>
      <c r="M51" s="50">
        <f t="shared" si="4"/>
        <v>0</v>
      </c>
    </row>
    <row r="52" spans="1:13" x14ac:dyDescent="0.35">
      <c r="A52" t="s">
        <v>228</v>
      </c>
      <c r="B52" s="7" t="s">
        <v>213</v>
      </c>
      <c r="C52" s="33" t="s">
        <v>290</v>
      </c>
      <c r="D52" s="34">
        <v>0</v>
      </c>
      <c r="E52" s="12">
        <v>0</v>
      </c>
      <c r="F52" s="42">
        <f t="shared" si="0"/>
        <v>0</v>
      </c>
      <c r="G52" s="12">
        <f t="shared" si="1"/>
        <v>101.9077639790857</v>
      </c>
      <c r="H52" s="12">
        <f t="shared" si="2"/>
        <v>0</v>
      </c>
      <c r="I52" s="12"/>
      <c r="J52" s="48">
        <f>SUMIFS('PLAN BUDGET SAMI-TF'!BO13:BO100000,'PLAN BUDGET SAMI-TF'!D13:D100000,B52,'PLAN BUDGET SAMI-TF'!J13:J100000,A52&amp;"*")</f>
        <v>101.9077639790857</v>
      </c>
      <c r="K52" s="35">
        <f t="shared" si="3"/>
        <v>1</v>
      </c>
      <c r="L52" s="36"/>
      <c r="M52" s="50">
        <f t="shared" si="4"/>
        <v>0</v>
      </c>
    </row>
    <row r="53" spans="1:13" x14ac:dyDescent="0.35">
      <c r="A53" t="s">
        <v>228</v>
      </c>
      <c r="B53" s="7" t="s">
        <v>283</v>
      </c>
      <c r="C53" s="33" t="s">
        <v>290</v>
      </c>
      <c r="D53" s="34">
        <v>1984.3530439405999</v>
      </c>
      <c r="E53" s="12">
        <v>1984.3530439405999</v>
      </c>
      <c r="F53" s="42">
        <f t="shared" si="0"/>
        <v>1984.3530439405999</v>
      </c>
      <c r="G53" s="12">
        <f t="shared" si="1"/>
        <v>0</v>
      </c>
      <c r="H53" s="12">
        <f t="shared" si="2"/>
        <v>-1984.3530439405999</v>
      </c>
      <c r="I53" s="12"/>
      <c r="J53" s="48">
        <f>SUMIFS('PLAN BUDGET SAMI-TF'!BO13:BO100000,'PLAN BUDGET SAMI-TF'!D13:D100000,B53,'PLAN BUDGET SAMI-TF'!J13:J100000,A53&amp;"*")</f>
        <v>0</v>
      </c>
      <c r="K53" s="35">
        <f t="shared" si="3"/>
        <v>-1</v>
      </c>
      <c r="L53" s="36" t="s">
        <v>284</v>
      </c>
      <c r="M53" s="50">
        <f t="shared" si="4"/>
        <v>0</v>
      </c>
    </row>
    <row r="54" spans="1:13" x14ac:dyDescent="0.35">
      <c r="A54" t="s">
        <v>48</v>
      </c>
      <c r="B54" s="7" t="s">
        <v>285</v>
      </c>
      <c r="C54" s="33" t="s">
        <v>290</v>
      </c>
      <c r="D54" s="34">
        <v>791.20934766372</v>
      </c>
      <c r="E54" s="12">
        <v>791.20934766372</v>
      </c>
      <c r="F54" s="42">
        <f t="shared" si="0"/>
        <v>791.20934766372</v>
      </c>
      <c r="G54" s="12">
        <f t="shared" si="1"/>
        <v>0</v>
      </c>
      <c r="H54" s="12">
        <f t="shared" si="2"/>
        <v>-791.20934766372</v>
      </c>
      <c r="I54" s="12"/>
      <c r="J54" s="48">
        <f>SUMIFS('PLAN BUDGET SAMI-TF'!BO13:BO100000,'PLAN BUDGET SAMI-TF'!D13:D100000,B54,'PLAN BUDGET SAMI-TF'!J13:J100000,A54&amp;"*")</f>
        <v>0</v>
      </c>
      <c r="K54" s="35">
        <f t="shared" si="3"/>
        <v>-1</v>
      </c>
      <c r="L54" s="36" t="s">
        <v>284</v>
      </c>
      <c r="M54" s="50">
        <f t="shared" si="4"/>
        <v>0</v>
      </c>
    </row>
    <row r="55" spans="1:13" x14ac:dyDescent="0.35">
      <c r="A55" t="s">
        <v>48</v>
      </c>
      <c r="B55" s="7" t="s">
        <v>233</v>
      </c>
      <c r="C55" s="33" t="s">
        <v>290</v>
      </c>
      <c r="D55" s="34">
        <v>854.50609547680995</v>
      </c>
      <c r="E55" s="12">
        <v>854.50609547680995</v>
      </c>
      <c r="F55" s="42">
        <f t="shared" si="0"/>
        <v>854.50609547680995</v>
      </c>
      <c r="G55" s="12">
        <f t="shared" si="1"/>
        <v>0</v>
      </c>
      <c r="H55" s="12">
        <f t="shared" si="2"/>
        <v>-854.50609547680995</v>
      </c>
      <c r="I55" s="12"/>
      <c r="J55" s="48">
        <f>SUMIFS('PLAN BUDGET SAMI-TF'!BO13:BO100000,'PLAN BUDGET SAMI-TF'!D13:D100000,B55,'PLAN BUDGET SAMI-TF'!J13:J100000,A55&amp;"*")</f>
        <v>0</v>
      </c>
      <c r="K55" s="35">
        <f t="shared" si="3"/>
        <v>-1</v>
      </c>
      <c r="L55" s="36" t="s">
        <v>284</v>
      </c>
      <c r="M55" s="50">
        <f t="shared" si="4"/>
        <v>0</v>
      </c>
    </row>
    <row r="56" spans="1:13" x14ac:dyDescent="0.35">
      <c r="A56" t="s">
        <v>48</v>
      </c>
      <c r="B56" s="7" t="s">
        <v>286</v>
      </c>
      <c r="C56" s="33" t="s">
        <v>290</v>
      </c>
      <c r="D56" s="34">
        <v>0.75652272986213998</v>
      </c>
      <c r="E56" s="12">
        <v>0.75652272986213998</v>
      </c>
      <c r="F56" s="42">
        <f t="shared" si="0"/>
        <v>0.75652272986213998</v>
      </c>
      <c r="G56" s="12">
        <f t="shared" si="1"/>
        <v>0</v>
      </c>
      <c r="H56" s="12">
        <f t="shared" si="2"/>
        <v>-0.75652272986213998</v>
      </c>
      <c r="I56" s="12"/>
      <c r="J56" s="48">
        <f>SUMIFS('PLAN BUDGET SAMI-TF'!BO13:BO100000,'PLAN BUDGET SAMI-TF'!D13:D100000,B56,'PLAN BUDGET SAMI-TF'!J13:J100000,A56&amp;"*")</f>
        <v>0</v>
      </c>
      <c r="K56" s="35">
        <f t="shared" si="3"/>
        <v>-1</v>
      </c>
      <c r="L56" s="36" t="s">
        <v>284</v>
      </c>
      <c r="M56" s="50">
        <f t="shared" si="4"/>
        <v>0</v>
      </c>
    </row>
    <row r="57" spans="1:13" x14ac:dyDescent="0.35">
      <c r="A57" t="s">
        <v>48</v>
      </c>
      <c r="B57" s="7" t="s">
        <v>287</v>
      </c>
      <c r="C57" s="33" t="s">
        <v>290</v>
      </c>
      <c r="D57" s="34">
        <v>0</v>
      </c>
      <c r="E57" s="12">
        <v>227.86829212715</v>
      </c>
      <c r="F57" s="42">
        <f t="shared" si="0"/>
        <v>227.86829212715</v>
      </c>
      <c r="G57" s="12">
        <f t="shared" si="1"/>
        <v>0</v>
      </c>
      <c r="H57" s="12">
        <f t="shared" si="2"/>
        <v>-227.86829212715</v>
      </c>
      <c r="I57" s="12"/>
      <c r="J57" s="48">
        <f>SUMIFS('PLAN BUDGET SAMI-TF'!BO13:BO100000,'PLAN BUDGET SAMI-TF'!D13:D100000,B57,'PLAN BUDGET SAMI-TF'!J13:J100000,A57&amp;"*")</f>
        <v>0</v>
      </c>
      <c r="K57" s="35">
        <f t="shared" si="3"/>
        <v>-1</v>
      </c>
      <c r="L57" s="36" t="s">
        <v>284</v>
      </c>
      <c r="M57" s="50">
        <f t="shared" si="4"/>
        <v>0</v>
      </c>
    </row>
    <row r="58" spans="1:13" x14ac:dyDescent="0.35">
      <c r="A58" t="s">
        <v>48</v>
      </c>
      <c r="B58" s="7" t="s">
        <v>243</v>
      </c>
      <c r="C58" s="33" t="s">
        <v>290</v>
      </c>
      <c r="D58" s="34">
        <v>43.484865747598</v>
      </c>
      <c r="E58" s="12">
        <v>43.484865747598</v>
      </c>
      <c r="F58" s="42">
        <f t="shared" si="0"/>
        <v>43.484865747598</v>
      </c>
      <c r="G58" s="12">
        <f t="shared" si="1"/>
        <v>0</v>
      </c>
      <c r="H58" s="12">
        <f t="shared" si="2"/>
        <v>-43.484865747598</v>
      </c>
      <c r="I58" s="12"/>
      <c r="J58" s="48">
        <f>SUMIFS('PLAN BUDGET SAMI-TF'!BO13:BO100000,'PLAN BUDGET SAMI-TF'!D13:D100000,B58,'PLAN BUDGET SAMI-TF'!J13:J100000,A58&amp;"*")</f>
        <v>0</v>
      </c>
      <c r="K58" s="35">
        <f t="shared" si="3"/>
        <v>-1</v>
      </c>
      <c r="L58" s="36" t="s">
        <v>284</v>
      </c>
      <c r="M58" s="50">
        <f t="shared" si="4"/>
        <v>0</v>
      </c>
    </row>
    <row r="59" spans="1:13" x14ac:dyDescent="0.35">
      <c r="A59" t="s">
        <v>48</v>
      </c>
      <c r="B59" s="7" t="s">
        <v>288</v>
      </c>
      <c r="C59" s="33" t="s">
        <v>290</v>
      </c>
      <c r="D59" s="34">
        <v>1582.4186953274</v>
      </c>
      <c r="E59" s="12">
        <v>1363.3486511463</v>
      </c>
      <c r="F59" s="42">
        <f t="shared" si="0"/>
        <v>1363.3486511463</v>
      </c>
      <c r="G59" s="12">
        <f t="shared" si="1"/>
        <v>0</v>
      </c>
      <c r="H59" s="12">
        <f t="shared" si="2"/>
        <v>-1363.3486511463</v>
      </c>
      <c r="I59" s="12"/>
      <c r="J59" s="48">
        <f>SUMIFS('PLAN BUDGET SAMI-TF'!BO13:BO100000,'PLAN BUDGET SAMI-TF'!D13:D100000,B59,'PLAN BUDGET SAMI-TF'!J13:J100000,A59&amp;"*")</f>
        <v>0</v>
      </c>
      <c r="K59" s="35">
        <f t="shared" si="3"/>
        <v>-1</v>
      </c>
      <c r="L59" s="36" t="s">
        <v>284</v>
      </c>
      <c r="M59" s="50">
        <f t="shared" si="4"/>
        <v>0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L7:L10"/>
    <mergeCell ref="I2:I4"/>
    <mergeCell ref="J2:J4"/>
    <mergeCell ref="K2:K4"/>
    <mergeCell ref="B7:B10"/>
    <mergeCell ref="C7:C10"/>
    <mergeCell ref="F7:J7"/>
    <mergeCell ref="K7: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selection activeCell="C8" sqref="C8"/>
    </sheetView>
  </sheetViews>
  <sheetFormatPr defaultRowHeight="14.5" x14ac:dyDescent="0.35"/>
  <cols>
    <col min="1" max="1" width="5" customWidth="1"/>
    <col min="2" max="2" width="20" customWidth="1"/>
    <col min="3" max="3" width="15" customWidth="1"/>
    <col min="4" max="4" width="20" customWidth="1"/>
    <col min="5" max="5" width="15" customWidth="1"/>
    <col min="6" max="6" width="22" customWidth="1"/>
    <col min="7" max="7" width="20" customWidth="1"/>
    <col min="8" max="10" width="9" customWidth="1"/>
    <col min="11" max="11" width="22" customWidth="1"/>
    <col min="12" max="12" width="5" customWidth="1"/>
    <col min="13" max="15" width="15" customWidth="1"/>
    <col min="16" max="16" width="20" customWidth="1"/>
    <col min="17" max="20" width="15" customWidth="1"/>
    <col min="21" max="21" width="7" customWidth="1"/>
    <col min="22" max="22" width="5" customWidth="1"/>
    <col min="23" max="25" width="15" customWidth="1"/>
    <col min="26" max="26" width="7" customWidth="1"/>
    <col min="27" max="27" width="5" customWidth="1"/>
    <col min="28" max="30" width="15" customWidth="1"/>
    <col min="31" max="31" width="7" customWidth="1"/>
    <col min="32" max="32" width="5" customWidth="1"/>
    <col min="33" max="33" width="15" customWidth="1"/>
    <col min="34" max="34" width="5" customWidth="1"/>
    <col min="35" max="35" width="15" customWidth="1"/>
  </cols>
  <sheetData>
    <row r="1" spans="1:7" x14ac:dyDescent="0.35">
      <c r="A1" s="1"/>
      <c r="B1" s="1" t="s">
        <v>321</v>
      </c>
      <c r="C1" s="1" t="s">
        <v>322</v>
      </c>
      <c r="D1" s="1" t="s">
        <v>323</v>
      </c>
      <c r="E1" s="1"/>
      <c r="F1" s="1"/>
    </row>
    <row r="2" spans="1:7" x14ac:dyDescent="0.35">
      <c r="A2" s="1"/>
      <c r="B2" s="1" t="s">
        <v>324</v>
      </c>
      <c r="C2" s="1" t="s">
        <v>325</v>
      </c>
      <c r="D2" s="1" t="s">
        <v>326</v>
      </c>
      <c r="E2" s="1" t="s">
        <v>327</v>
      </c>
      <c r="F2" s="1" t="s">
        <v>311</v>
      </c>
    </row>
    <row r="8" spans="1:7" x14ac:dyDescent="0.35">
      <c r="A8" s="1" t="s">
        <v>328</v>
      </c>
      <c r="B8" s="1" t="s">
        <v>329</v>
      </c>
      <c r="C8" s="1" t="s">
        <v>313</v>
      </c>
      <c r="D8" s="1" t="s">
        <v>330</v>
      </c>
      <c r="E8" s="1" t="s">
        <v>331</v>
      </c>
      <c r="F8" s="1" t="s">
        <v>332</v>
      </c>
      <c r="G8" s="1" t="s">
        <v>333</v>
      </c>
    </row>
    <row r="9" spans="1:7" x14ac:dyDescent="0.35">
      <c r="A9">
        <v>1</v>
      </c>
      <c r="B9" t="s">
        <v>243</v>
      </c>
      <c r="C9">
        <v>189.89024343928702</v>
      </c>
      <c r="D9" t="s">
        <v>337</v>
      </c>
      <c r="E9">
        <v>85</v>
      </c>
      <c r="F9" t="s">
        <v>334</v>
      </c>
    </row>
    <row r="10" spans="1:7" x14ac:dyDescent="0.35">
      <c r="A10">
        <v>2</v>
      </c>
      <c r="B10" t="s">
        <v>210</v>
      </c>
      <c r="C10">
        <v>18.989024343929</v>
      </c>
      <c r="D10" t="s">
        <v>337</v>
      </c>
      <c r="E10">
        <v>85</v>
      </c>
      <c r="F10" t="s">
        <v>335</v>
      </c>
    </row>
    <row r="11" spans="1:7" x14ac:dyDescent="0.35">
      <c r="A11">
        <v>3</v>
      </c>
      <c r="B11" t="s">
        <v>70</v>
      </c>
      <c r="C11">
        <v>0.14824098337826999</v>
      </c>
      <c r="D11" t="s">
        <v>337</v>
      </c>
      <c r="E11">
        <v>85</v>
      </c>
      <c r="F11" t="s">
        <v>336</v>
      </c>
    </row>
    <row r="12" spans="1:7" x14ac:dyDescent="0.35">
      <c r="A12">
        <v>4</v>
      </c>
      <c r="B12" t="s">
        <v>192</v>
      </c>
      <c r="C12">
        <v>1063.3853632600401</v>
      </c>
      <c r="D12" t="s">
        <v>338</v>
      </c>
      <c r="E12">
        <v>85</v>
      </c>
      <c r="F12" t="s">
        <v>339</v>
      </c>
    </row>
    <row r="13" spans="1:7" x14ac:dyDescent="0.35">
      <c r="A13">
        <v>5</v>
      </c>
      <c r="B13" t="s">
        <v>112</v>
      </c>
      <c r="C13">
        <v>971.60507893103795</v>
      </c>
      <c r="D13" t="s">
        <v>338</v>
      </c>
      <c r="E13">
        <v>85</v>
      </c>
      <c r="F13" t="s">
        <v>340</v>
      </c>
    </row>
    <row r="14" spans="1:7" x14ac:dyDescent="0.35">
      <c r="A14">
        <v>6</v>
      </c>
      <c r="B14" t="s">
        <v>213</v>
      </c>
      <c r="C14">
        <v>101.9077639790857</v>
      </c>
      <c r="D14" t="s">
        <v>338</v>
      </c>
      <c r="E14">
        <v>85</v>
      </c>
      <c r="F14" t="s">
        <v>339</v>
      </c>
    </row>
    <row r="15" spans="1:7" x14ac:dyDescent="0.35">
      <c r="A15">
        <v>7</v>
      </c>
      <c r="B15" t="s">
        <v>213</v>
      </c>
      <c r="C15">
        <v>313.6814021495577</v>
      </c>
      <c r="D15" t="s">
        <v>338</v>
      </c>
      <c r="E15">
        <v>85</v>
      </c>
      <c r="F15" t="s">
        <v>341</v>
      </c>
    </row>
    <row r="16" spans="1:7" x14ac:dyDescent="0.35">
      <c r="A16">
        <v>8</v>
      </c>
      <c r="B16" t="s">
        <v>210</v>
      </c>
      <c r="C16">
        <v>152.967073031788</v>
      </c>
      <c r="D16" t="s">
        <v>338</v>
      </c>
      <c r="E16">
        <v>85</v>
      </c>
      <c r="F16" t="s">
        <v>342</v>
      </c>
    </row>
    <row r="17" spans="1:6" x14ac:dyDescent="0.35">
      <c r="A17">
        <v>9</v>
      </c>
      <c r="B17" t="s">
        <v>204</v>
      </c>
      <c r="C17">
        <v>19.875178813312601</v>
      </c>
      <c r="D17" t="s">
        <v>338</v>
      </c>
      <c r="E17">
        <v>85</v>
      </c>
      <c r="F17" t="s">
        <v>343</v>
      </c>
    </row>
    <row r="18" spans="1:6" x14ac:dyDescent="0.35">
      <c r="A18">
        <v>10</v>
      </c>
      <c r="B18" t="s">
        <v>104</v>
      </c>
      <c r="C18">
        <v>3.6087089995315997</v>
      </c>
      <c r="D18" t="s">
        <v>338</v>
      </c>
      <c r="E18">
        <v>85</v>
      </c>
      <c r="F18" t="s">
        <v>343</v>
      </c>
    </row>
    <row r="19" spans="1:6" x14ac:dyDescent="0.35">
      <c r="A19">
        <v>11</v>
      </c>
      <c r="B19" t="s">
        <v>80</v>
      </c>
      <c r="C19">
        <v>2.15557074677504</v>
      </c>
      <c r="D19" t="s">
        <v>338</v>
      </c>
      <c r="E19">
        <v>85</v>
      </c>
      <c r="F19" t="s">
        <v>344</v>
      </c>
    </row>
    <row r="20" spans="1:6" x14ac:dyDescent="0.35">
      <c r="A20">
        <v>12</v>
      </c>
      <c r="B20" t="s">
        <v>59</v>
      </c>
      <c r="C20">
        <v>1.84725228817744</v>
      </c>
      <c r="D20" t="s">
        <v>338</v>
      </c>
      <c r="E20">
        <v>85</v>
      </c>
      <c r="F20" t="s">
        <v>345</v>
      </c>
    </row>
    <row r="21" spans="1:6" x14ac:dyDescent="0.35">
      <c r="A21">
        <v>13</v>
      </c>
      <c r="B21" t="s">
        <v>77</v>
      </c>
      <c r="C21">
        <v>0.66157760814249</v>
      </c>
      <c r="D21" t="s">
        <v>338</v>
      </c>
      <c r="E21">
        <v>85</v>
      </c>
      <c r="F21" t="s">
        <v>346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 BUDGET SAMI-TF</vt:lpstr>
      <vt:lpstr>SUMMARY</vt:lpstr>
      <vt:lpstr>ANALYSIS</vt:lpstr>
      <vt:lpstr>TAKI GRAPH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PLAN BUDGET STP SAMI-TF</dc:creator>
  <cp:keywords/>
  <dc:description/>
  <cp:lastModifiedBy>AMALIA</cp:lastModifiedBy>
  <dcterms:created xsi:type="dcterms:W3CDTF">2025-04-06T22:34:04Z</dcterms:created>
  <dcterms:modified xsi:type="dcterms:W3CDTF">2025-04-06T22:43:09Z</dcterms:modified>
  <cp:category/>
</cp:coreProperties>
</file>