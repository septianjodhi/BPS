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N-JF05\Downloads\"/>
    </mc:Choice>
  </mc:AlternateContent>
  <bookViews>
    <workbookView xWindow="0" yWindow="0" windowWidth="9440" windowHeight="9100"/>
  </bookViews>
  <sheets>
    <sheet name="PLAN BUDGET SAMI-JF" sheetId="1" r:id="rId1"/>
    <sheet name="SUMMARY" sheetId="2" r:id="rId2"/>
    <sheet name="ANALYSIS" sheetId="3" r:id="rId3"/>
    <sheet name="TAKI GRAPH" sheetId="4" r:id="rId4"/>
  </sheets>
  <definedNames>
    <definedName name="_xlnm._FilterDatabase" localSheetId="1" hidden="1">SUMMARY!$A$8:$AJ$87</definedName>
  </definedNames>
  <calcPr calcId="162913"/>
</workbook>
</file>

<file path=xl/calcChain.xml><?xml version="1.0" encoding="utf-8"?>
<calcChain xmlns="http://schemas.openxmlformats.org/spreadsheetml/2006/main">
  <c r="J92" i="3" l="1"/>
  <c r="F92" i="3"/>
  <c r="K92" i="3" s="1"/>
  <c r="J91" i="3"/>
  <c r="G91" i="3" s="1"/>
  <c r="M91" i="3" s="1"/>
  <c r="F91" i="3"/>
  <c r="H91" i="3" s="1"/>
  <c r="J90" i="3"/>
  <c r="G90" i="3"/>
  <c r="F90" i="3"/>
  <c r="J89" i="3"/>
  <c r="H89" i="3"/>
  <c r="G89" i="3"/>
  <c r="M89" i="3" s="1"/>
  <c r="F89" i="3"/>
  <c r="K89" i="3" s="1"/>
  <c r="J88" i="3"/>
  <c r="F88" i="3"/>
  <c r="K88" i="3" s="1"/>
  <c r="J87" i="3"/>
  <c r="F87" i="3"/>
  <c r="J86" i="3"/>
  <c r="G86" i="3" s="1"/>
  <c r="F86" i="3"/>
  <c r="J85" i="3"/>
  <c r="H85" i="3"/>
  <c r="G85" i="3"/>
  <c r="M85" i="3" s="1"/>
  <c r="F85" i="3"/>
  <c r="K85" i="3" s="1"/>
  <c r="J84" i="3"/>
  <c r="F84" i="3"/>
  <c r="K84" i="3" s="1"/>
  <c r="J83" i="3"/>
  <c r="F83" i="3"/>
  <c r="H83" i="3" s="1"/>
  <c r="J82" i="3"/>
  <c r="F82" i="3"/>
  <c r="J81" i="3"/>
  <c r="H81" i="3"/>
  <c r="G81" i="3"/>
  <c r="M81" i="3" s="1"/>
  <c r="F81" i="3"/>
  <c r="K81" i="3" s="1"/>
  <c r="J80" i="3"/>
  <c r="F80" i="3"/>
  <c r="K80" i="3" s="1"/>
  <c r="J79" i="3"/>
  <c r="F79" i="3"/>
  <c r="J78" i="3"/>
  <c r="G78" i="3"/>
  <c r="F78" i="3"/>
  <c r="J77" i="3"/>
  <c r="M77" i="3" s="1"/>
  <c r="H77" i="3"/>
  <c r="G77" i="3"/>
  <c r="F77" i="3"/>
  <c r="K77" i="3" s="1"/>
  <c r="J76" i="3"/>
  <c r="F76" i="3"/>
  <c r="K76" i="3" s="1"/>
  <c r="J75" i="3"/>
  <c r="F75" i="3"/>
  <c r="J74" i="3"/>
  <c r="G74" i="3"/>
  <c r="F74" i="3"/>
  <c r="J73" i="3"/>
  <c r="H73" i="3"/>
  <c r="G73" i="3"/>
  <c r="F73" i="3"/>
  <c r="K73" i="3" s="1"/>
  <c r="J72" i="3"/>
  <c r="F72" i="3"/>
  <c r="K72" i="3" s="1"/>
  <c r="J71" i="3"/>
  <c r="F71" i="3"/>
  <c r="J70" i="3"/>
  <c r="G70" i="3"/>
  <c r="F70" i="3"/>
  <c r="J69" i="3"/>
  <c r="M69" i="3" s="1"/>
  <c r="H69" i="3"/>
  <c r="G69" i="3"/>
  <c r="F69" i="3"/>
  <c r="K69" i="3" s="1"/>
  <c r="J68" i="3"/>
  <c r="F68" i="3"/>
  <c r="K68" i="3" s="1"/>
  <c r="J67" i="3"/>
  <c r="F67" i="3"/>
  <c r="H67" i="3" s="1"/>
  <c r="J66" i="3"/>
  <c r="G66" i="3"/>
  <c r="F66" i="3"/>
  <c r="J65" i="3"/>
  <c r="M65" i="3" s="1"/>
  <c r="H65" i="3"/>
  <c r="G65" i="3"/>
  <c r="F65" i="3"/>
  <c r="K65" i="3" s="1"/>
  <c r="J64" i="3"/>
  <c r="F64" i="3"/>
  <c r="K64" i="3" s="1"/>
  <c r="J63" i="3"/>
  <c r="F63" i="3"/>
  <c r="H63" i="3" s="1"/>
  <c r="J62" i="3"/>
  <c r="G62" i="3"/>
  <c r="F62" i="3"/>
  <c r="J61" i="3"/>
  <c r="H61" i="3"/>
  <c r="G61" i="3"/>
  <c r="F61" i="3"/>
  <c r="K61" i="3" s="1"/>
  <c r="J60" i="3"/>
  <c r="F60" i="3"/>
  <c r="K60" i="3" s="1"/>
  <c r="J59" i="3"/>
  <c r="F59" i="3"/>
  <c r="H59" i="3" s="1"/>
  <c r="J58" i="3"/>
  <c r="G58" i="3"/>
  <c r="F58" i="3"/>
  <c r="J57" i="3"/>
  <c r="H57" i="3"/>
  <c r="G57" i="3"/>
  <c r="F57" i="3"/>
  <c r="K57" i="3" s="1"/>
  <c r="J56" i="3"/>
  <c r="F56" i="3"/>
  <c r="K56" i="3" s="1"/>
  <c r="J55" i="3"/>
  <c r="F55" i="3"/>
  <c r="J54" i="3"/>
  <c r="G54" i="3" s="1"/>
  <c r="F54" i="3"/>
  <c r="J53" i="3"/>
  <c r="H53" i="3"/>
  <c r="G53" i="3"/>
  <c r="F53" i="3"/>
  <c r="K53" i="3" s="1"/>
  <c r="J52" i="3"/>
  <c r="F52" i="3"/>
  <c r="K52" i="3" s="1"/>
  <c r="J51" i="3"/>
  <c r="F51" i="3"/>
  <c r="H51" i="3" s="1"/>
  <c r="J50" i="3"/>
  <c r="F50" i="3"/>
  <c r="J49" i="3"/>
  <c r="M49" i="3" s="1"/>
  <c r="H49" i="3"/>
  <c r="G49" i="3"/>
  <c r="F49" i="3"/>
  <c r="K49" i="3" s="1"/>
  <c r="J48" i="3"/>
  <c r="F48" i="3"/>
  <c r="K48" i="3" s="1"/>
  <c r="J47" i="3"/>
  <c r="F47" i="3"/>
  <c r="J46" i="3"/>
  <c r="G46" i="3"/>
  <c r="F46" i="3"/>
  <c r="J45" i="3"/>
  <c r="M45" i="3" s="1"/>
  <c r="H45" i="3"/>
  <c r="G45" i="3"/>
  <c r="F45" i="3"/>
  <c r="K45" i="3" s="1"/>
  <c r="J44" i="3"/>
  <c r="F44" i="3"/>
  <c r="K44" i="3" s="1"/>
  <c r="J43" i="3"/>
  <c r="F43" i="3"/>
  <c r="J42" i="3"/>
  <c r="G42" i="3"/>
  <c r="F42" i="3"/>
  <c r="J41" i="3"/>
  <c r="H41" i="3"/>
  <c r="G41" i="3"/>
  <c r="F41" i="3"/>
  <c r="K41" i="3" s="1"/>
  <c r="J40" i="3"/>
  <c r="F40" i="3"/>
  <c r="K40" i="3" s="1"/>
  <c r="J39" i="3"/>
  <c r="F39" i="3"/>
  <c r="J38" i="3"/>
  <c r="G38" i="3"/>
  <c r="F38" i="3"/>
  <c r="J37" i="3"/>
  <c r="H37" i="3"/>
  <c r="G37" i="3"/>
  <c r="F37" i="3"/>
  <c r="K37" i="3" s="1"/>
  <c r="F36" i="3"/>
  <c r="F32" i="3"/>
  <c r="J31" i="3"/>
  <c r="F28" i="3"/>
  <c r="K28" i="3" s="1"/>
  <c r="J26" i="3"/>
  <c r="F24" i="3"/>
  <c r="F20" i="3"/>
  <c r="F16" i="3"/>
  <c r="J12" i="3"/>
  <c r="F12" i="3"/>
  <c r="E12" i="3"/>
  <c r="F34" i="3" s="1"/>
  <c r="D12" i="3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O56" i="1"/>
  <c r="BP56" i="1" s="1"/>
  <c r="AZ56" i="1"/>
  <c r="BA56" i="1" s="1"/>
  <c r="BO55" i="1"/>
  <c r="BP55" i="1" s="1"/>
  <c r="AZ55" i="1"/>
  <c r="BA55" i="1" s="1"/>
  <c r="BO54" i="1"/>
  <c r="BP54" i="1" s="1"/>
  <c r="AZ54" i="1"/>
  <c r="BA54" i="1" s="1"/>
  <c r="BO53" i="1"/>
  <c r="BP53" i="1" s="1"/>
  <c r="AZ53" i="1"/>
  <c r="BA53" i="1" s="1"/>
  <c r="BO52" i="1"/>
  <c r="BP52" i="1" s="1"/>
  <c r="AZ52" i="1"/>
  <c r="BA52" i="1" s="1"/>
  <c r="BO51" i="1"/>
  <c r="BP51" i="1" s="1"/>
  <c r="AZ51" i="1"/>
  <c r="BA51" i="1" s="1"/>
  <c r="BO50" i="1"/>
  <c r="J35" i="3" s="1"/>
  <c r="AZ50" i="1"/>
  <c r="BA50" i="1" s="1"/>
  <c r="BO49" i="1"/>
  <c r="BP49" i="1" s="1"/>
  <c r="AZ49" i="1"/>
  <c r="BA49" i="1" s="1"/>
  <c r="BO48" i="1"/>
  <c r="BP48" i="1" s="1"/>
  <c r="AZ48" i="1"/>
  <c r="BA48" i="1" s="1"/>
  <c r="BO47" i="1"/>
  <c r="BP47" i="1" s="1"/>
  <c r="AZ47" i="1"/>
  <c r="BA47" i="1" s="1"/>
  <c r="BO46" i="1"/>
  <c r="BP46" i="1" s="1"/>
  <c r="AZ46" i="1"/>
  <c r="BA46" i="1" s="1"/>
  <c r="BO45" i="1"/>
  <c r="J32" i="3" s="1"/>
  <c r="AZ45" i="1"/>
  <c r="BA45" i="1" s="1"/>
  <c r="BO44" i="1"/>
  <c r="AZ44" i="1"/>
  <c r="BA44" i="1" s="1"/>
  <c r="BO43" i="1"/>
  <c r="J34" i="3" s="1"/>
  <c r="AZ43" i="1"/>
  <c r="BA43" i="1" s="1"/>
  <c r="BO42" i="1"/>
  <c r="AZ42" i="1"/>
  <c r="BA42" i="1" s="1"/>
  <c r="BO41" i="1"/>
  <c r="BP41" i="1" s="1"/>
  <c r="AZ41" i="1"/>
  <c r="BA41" i="1" s="1"/>
  <c r="BO40" i="1"/>
  <c r="J29" i="3" s="1"/>
  <c r="AZ40" i="1"/>
  <c r="BA40" i="1" s="1"/>
  <c r="BO39" i="1"/>
  <c r="BP39" i="1" s="1"/>
  <c r="AZ39" i="1"/>
  <c r="BA39" i="1" s="1"/>
  <c r="BO38" i="1"/>
  <c r="J28" i="3" s="1"/>
  <c r="AZ38" i="1"/>
  <c r="BA38" i="1" s="1"/>
  <c r="BO37" i="1"/>
  <c r="BP37" i="1" s="1"/>
  <c r="AZ37" i="1"/>
  <c r="BA37" i="1" s="1"/>
  <c r="BO36" i="1"/>
  <c r="J21" i="3" s="1"/>
  <c r="AZ36" i="1"/>
  <c r="BA36" i="1" s="1"/>
  <c r="BO35" i="1"/>
  <c r="BP35" i="1" s="1"/>
  <c r="AZ35" i="1"/>
  <c r="BA35" i="1" s="1"/>
  <c r="BO34" i="1"/>
  <c r="J20" i="3" s="1"/>
  <c r="AZ34" i="1"/>
  <c r="BA34" i="1" s="1"/>
  <c r="BO33" i="1"/>
  <c r="J16" i="3" s="1"/>
  <c r="AZ33" i="1"/>
  <c r="BA33" i="1" s="1"/>
  <c r="BO32" i="1"/>
  <c r="BP32" i="1" s="1"/>
  <c r="AZ32" i="1"/>
  <c r="BA32" i="1" s="1"/>
  <c r="BO31" i="1"/>
  <c r="BP31" i="1" s="1"/>
  <c r="AZ31" i="1"/>
  <c r="BA31" i="1" s="1"/>
  <c r="BO30" i="1"/>
  <c r="BP30" i="1" s="1"/>
  <c r="AZ30" i="1"/>
  <c r="BA30" i="1" s="1"/>
  <c r="BO29" i="1"/>
  <c r="J15" i="3" s="1"/>
  <c r="AZ29" i="1"/>
  <c r="BA29" i="1" s="1"/>
  <c r="BO28" i="1"/>
  <c r="BP28" i="1" s="1"/>
  <c r="AZ28" i="1"/>
  <c r="BA28" i="1" s="1"/>
  <c r="BO27" i="1"/>
  <c r="BP27" i="1" s="1"/>
  <c r="AZ27" i="1"/>
  <c r="BA27" i="1" s="1"/>
  <c r="BO26" i="1"/>
  <c r="BP26" i="1" s="1"/>
  <c r="AZ26" i="1"/>
  <c r="BA26" i="1" s="1"/>
  <c r="BO25" i="1"/>
  <c r="BP25" i="1" s="1"/>
  <c r="AZ25" i="1"/>
  <c r="BA25" i="1" s="1"/>
  <c r="BO24" i="1"/>
  <c r="J17" i="3" s="1"/>
  <c r="AZ24" i="1"/>
  <c r="BA24" i="1" s="1"/>
  <c r="BO23" i="1"/>
  <c r="J30" i="3" s="1"/>
  <c r="AZ23" i="1"/>
  <c r="BA23" i="1" s="1"/>
  <c r="BO22" i="1"/>
  <c r="BP22" i="1" s="1"/>
  <c r="AZ22" i="1"/>
  <c r="BA22" i="1" s="1"/>
  <c r="BO21" i="1"/>
  <c r="J19" i="3" s="1"/>
  <c r="AZ21" i="1"/>
  <c r="BA21" i="1" s="1"/>
  <c r="BO20" i="1"/>
  <c r="BP20" i="1" s="1"/>
  <c r="AZ20" i="1"/>
  <c r="BA20" i="1" s="1"/>
  <c r="BO19" i="1"/>
  <c r="BP19" i="1" s="1"/>
  <c r="AZ19" i="1"/>
  <c r="BA19" i="1" s="1"/>
  <c r="BO18" i="1"/>
  <c r="BP18" i="1" s="1"/>
  <c r="AZ18" i="1"/>
  <c r="BA18" i="1" s="1"/>
  <c r="BO17" i="1"/>
  <c r="BP17" i="1" s="1"/>
  <c r="AZ17" i="1"/>
  <c r="BA17" i="1" s="1"/>
  <c r="BO16" i="1"/>
  <c r="BP16" i="1" s="1"/>
  <c r="AZ16" i="1"/>
  <c r="BA16" i="1" s="1"/>
  <c r="BO15" i="1"/>
  <c r="J25" i="3" s="1"/>
  <c r="AZ15" i="1"/>
  <c r="BA15" i="1" s="1"/>
  <c r="BO14" i="1"/>
  <c r="BP14" i="1" s="1"/>
  <c r="AZ14" i="1"/>
  <c r="BA14" i="1" s="1"/>
  <c r="BO13" i="1"/>
  <c r="J24" i="3" s="1"/>
  <c r="AZ13" i="1"/>
  <c r="BA13" i="1" s="1"/>
  <c r="AD43" i="2" l="1"/>
  <c r="AI43" i="2" s="1"/>
  <c r="AD51" i="2"/>
  <c r="AI51" i="2" s="1"/>
  <c r="AD59" i="2"/>
  <c r="AI59" i="2" s="1"/>
  <c r="AD67" i="2"/>
  <c r="AI67" i="2" s="1"/>
  <c r="AD75" i="2"/>
  <c r="AI75" i="2" s="1"/>
  <c r="AD83" i="2"/>
  <c r="AI83" i="2" s="1"/>
  <c r="AD44" i="2"/>
  <c r="AI44" i="2" s="1"/>
  <c r="AD48" i="2"/>
  <c r="AI48" i="2" s="1"/>
  <c r="AD56" i="2"/>
  <c r="AI56" i="2" s="1"/>
  <c r="AD35" i="2"/>
  <c r="AI35" i="2" s="1"/>
  <c r="AC9" i="2"/>
  <c r="AH9" i="2" s="1"/>
  <c r="AD9" i="2"/>
  <c r="AI9" i="2" s="1"/>
  <c r="AC10" i="2"/>
  <c r="AH10" i="2" s="1"/>
  <c r="AD11" i="2"/>
  <c r="AI11" i="2" s="1"/>
  <c r="AC12" i="2"/>
  <c r="AH12" i="2" s="1"/>
  <c r="AC14" i="2"/>
  <c r="AH14" i="2" s="1"/>
  <c r="AC18" i="2"/>
  <c r="AH18" i="2" s="1"/>
  <c r="AC20" i="2"/>
  <c r="AH20" i="2" s="1"/>
  <c r="AC22" i="2"/>
  <c r="AH22" i="2" s="1"/>
  <c r="AC24" i="2"/>
  <c r="AH24" i="2" s="1"/>
  <c r="AC25" i="2"/>
  <c r="AH25" i="2" s="1"/>
  <c r="AD25" i="2"/>
  <c r="AI25" i="2" s="1"/>
  <c r="AD87" i="2"/>
  <c r="AI87" i="2" s="1"/>
  <c r="AD85" i="2"/>
  <c r="AI85" i="2" s="1"/>
  <c r="AC26" i="2"/>
  <c r="AH26" i="2" s="1"/>
  <c r="AC28" i="2"/>
  <c r="AH28" i="2" s="1"/>
  <c r="AC34" i="2"/>
  <c r="AH34" i="2" s="1"/>
  <c r="AD37" i="2"/>
  <c r="AI37" i="2" s="1"/>
  <c r="AD39" i="2"/>
  <c r="AI39" i="2" s="1"/>
  <c r="AD41" i="2"/>
  <c r="AI41" i="2" s="1"/>
  <c r="AC50" i="2"/>
  <c r="AH50" i="2" s="1"/>
  <c r="AC51" i="2"/>
  <c r="AH51" i="2" s="1"/>
  <c r="AD72" i="2"/>
  <c r="AI72" i="2" s="1"/>
  <c r="AC16" i="2"/>
  <c r="AH16" i="2" s="1"/>
  <c r="AD17" i="2"/>
  <c r="AI17" i="2" s="1"/>
  <c r="AD21" i="2"/>
  <c r="AI21" i="2" s="1"/>
  <c r="AD45" i="2"/>
  <c r="AI45" i="2" s="1"/>
  <c r="AD47" i="2"/>
  <c r="AI47" i="2" s="1"/>
  <c r="AD49" i="2"/>
  <c r="AI49" i="2" s="1"/>
  <c r="AC58" i="2"/>
  <c r="AH58" i="2" s="1"/>
  <c r="AC59" i="2"/>
  <c r="AH59" i="2" s="1"/>
  <c r="AD78" i="2"/>
  <c r="AI78" i="2" s="1"/>
  <c r="AD80" i="2"/>
  <c r="AI80" i="2" s="1"/>
  <c r="AD18" i="2"/>
  <c r="AI18" i="2" s="1"/>
  <c r="AD10" i="2"/>
  <c r="AI10" i="2" s="1"/>
  <c r="AD15" i="2"/>
  <c r="AI15" i="2" s="1"/>
  <c r="AD12" i="2"/>
  <c r="AI12" i="2" s="1"/>
  <c r="AD13" i="2"/>
  <c r="AI13" i="2" s="1"/>
  <c r="AD14" i="2"/>
  <c r="AI14" i="2" s="1"/>
  <c r="AD19" i="2"/>
  <c r="AI19" i="2" s="1"/>
  <c r="AD20" i="2"/>
  <c r="AI20" i="2" s="1"/>
  <c r="AD24" i="2"/>
  <c r="AI24" i="2" s="1"/>
  <c r="AD29" i="2"/>
  <c r="AI29" i="2" s="1"/>
  <c r="AD31" i="2"/>
  <c r="AI31" i="2" s="1"/>
  <c r="AD33" i="2"/>
  <c r="AI33" i="2" s="1"/>
  <c r="AD53" i="2"/>
  <c r="AI53" i="2" s="1"/>
  <c r="AD55" i="2"/>
  <c r="AI55" i="2" s="1"/>
  <c r="AD57" i="2"/>
  <c r="AI57" i="2" s="1"/>
  <c r="AC66" i="2"/>
  <c r="AH66" i="2" s="1"/>
  <c r="AC67" i="2"/>
  <c r="AH67" i="2" s="1"/>
  <c r="AD86" i="2"/>
  <c r="AI86" i="2" s="1"/>
  <c r="AC30" i="2"/>
  <c r="AH30" i="2" s="1"/>
  <c r="AC32" i="2"/>
  <c r="AH32" i="2" s="1"/>
  <c r="AD22" i="2"/>
  <c r="AI22" i="2" s="1"/>
  <c r="AD23" i="2"/>
  <c r="AI23" i="2" s="1"/>
  <c r="AD26" i="2"/>
  <c r="AI26" i="2" s="1"/>
  <c r="AD27" i="2"/>
  <c r="AI27" i="2" s="1"/>
  <c r="AD28" i="2"/>
  <c r="AI28" i="2" s="1"/>
  <c r="AD61" i="2"/>
  <c r="AI61" i="2" s="1"/>
  <c r="AD63" i="2"/>
  <c r="AI63" i="2" s="1"/>
  <c r="AD65" i="2"/>
  <c r="AI65" i="2" s="1"/>
  <c r="AC74" i="2"/>
  <c r="AH74" i="2" s="1"/>
  <c r="AC75" i="2"/>
  <c r="AH75" i="2" s="1"/>
  <c r="AC35" i="2"/>
  <c r="AH35" i="2" s="1"/>
  <c r="AD16" i="2"/>
  <c r="AI16" i="2" s="1"/>
  <c r="AD36" i="2"/>
  <c r="AI36" i="2" s="1"/>
  <c r="AD40" i="2"/>
  <c r="AI40" i="2" s="1"/>
  <c r="AD69" i="2"/>
  <c r="AI69" i="2" s="1"/>
  <c r="AD71" i="2"/>
  <c r="AI71" i="2" s="1"/>
  <c r="AD73" i="2"/>
  <c r="AI73" i="2" s="1"/>
  <c r="AC82" i="2"/>
  <c r="AH82" i="2" s="1"/>
  <c r="AC83" i="2"/>
  <c r="AH83" i="2" s="1"/>
  <c r="AD77" i="2"/>
  <c r="AI77" i="2" s="1"/>
  <c r="AD79" i="2"/>
  <c r="AI79" i="2" s="1"/>
  <c r="AD81" i="2"/>
  <c r="AI81" i="2" s="1"/>
  <c r="AD52" i="2"/>
  <c r="AI52" i="2" s="1"/>
  <c r="AD30" i="2"/>
  <c r="AI30" i="2" s="1"/>
  <c r="AC42" i="2"/>
  <c r="AH42" i="2" s="1"/>
  <c r="AC43" i="2"/>
  <c r="AH43" i="2" s="1"/>
  <c r="AD60" i="2"/>
  <c r="AI60" i="2" s="1"/>
  <c r="AD64" i="2"/>
  <c r="AI64" i="2" s="1"/>
  <c r="G34" i="3"/>
  <c r="M34" i="3" s="1"/>
  <c r="M50" i="3"/>
  <c r="K50" i="3"/>
  <c r="H50" i="3"/>
  <c r="K82" i="3"/>
  <c r="H82" i="3"/>
  <c r="AC23" i="2"/>
  <c r="AH23" i="2" s="1"/>
  <c r="AD38" i="2"/>
  <c r="AI38" i="2" s="1"/>
  <c r="AD46" i="2"/>
  <c r="AI46" i="2" s="1"/>
  <c r="AD54" i="2"/>
  <c r="AI54" i="2" s="1"/>
  <c r="AD62" i="2"/>
  <c r="AI62" i="2" s="1"/>
  <c r="AD70" i="2"/>
  <c r="AI70" i="2" s="1"/>
  <c r="J22" i="3"/>
  <c r="J27" i="3"/>
  <c r="M38" i="3"/>
  <c r="K38" i="3"/>
  <c r="H38" i="3"/>
  <c r="G63" i="3"/>
  <c r="K63" i="3"/>
  <c r="M70" i="3"/>
  <c r="K70" i="3"/>
  <c r="H70" i="3"/>
  <c r="G43" i="3"/>
  <c r="M43" i="3" s="1"/>
  <c r="K43" i="3"/>
  <c r="G75" i="3"/>
  <c r="M75" i="3" s="1"/>
  <c r="K75" i="3"/>
  <c r="AD32" i="2"/>
  <c r="AI32" i="2" s="1"/>
  <c r="BP13" i="1"/>
  <c r="BP15" i="1"/>
  <c r="BP21" i="1"/>
  <c r="BP23" i="1"/>
  <c r="BP29" i="1"/>
  <c r="BP33" i="1"/>
  <c r="BP43" i="1"/>
  <c r="BP45" i="1"/>
  <c r="AC21" i="2"/>
  <c r="AH21" i="2" s="1"/>
  <c r="AC31" i="2"/>
  <c r="AH31" i="2" s="1"/>
  <c r="AC36" i="2"/>
  <c r="AH36" i="2" s="1"/>
  <c r="AC37" i="2"/>
  <c r="AH37" i="2" s="1"/>
  <c r="AC44" i="2"/>
  <c r="AH44" i="2" s="1"/>
  <c r="AC45" i="2"/>
  <c r="AH45" i="2" s="1"/>
  <c r="AC52" i="2"/>
  <c r="AH52" i="2" s="1"/>
  <c r="AC53" i="2"/>
  <c r="AH53" i="2" s="1"/>
  <c r="AC60" i="2"/>
  <c r="AH60" i="2" s="1"/>
  <c r="AC61" i="2"/>
  <c r="AH61" i="2" s="1"/>
  <c r="AC68" i="2"/>
  <c r="AH68" i="2" s="1"/>
  <c r="AC69" i="2"/>
  <c r="AH69" i="2" s="1"/>
  <c r="AC76" i="2"/>
  <c r="AH76" i="2" s="1"/>
  <c r="AC77" i="2"/>
  <c r="AH77" i="2" s="1"/>
  <c r="AC84" i="2"/>
  <c r="AH84" i="2" s="1"/>
  <c r="AC85" i="2"/>
  <c r="AH85" i="2" s="1"/>
  <c r="J18" i="3"/>
  <c r="J23" i="3"/>
  <c r="K32" i="3"/>
  <c r="H39" i="3"/>
  <c r="G51" i="3"/>
  <c r="K51" i="3"/>
  <c r="M53" i="3"/>
  <c r="K58" i="3"/>
  <c r="H58" i="3"/>
  <c r="M58" i="3" s="1"/>
  <c r="M63" i="3"/>
  <c r="H71" i="3"/>
  <c r="M71" i="3" s="1"/>
  <c r="G83" i="3"/>
  <c r="K83" i="3"/>
  <c r="K90" i="3"/>
  <c r="H90" i="3"/>
  <c r="M90" i="3" s="1"/>
  <c r="J14" i="3"/>
  <c r="G39" i="3"/>
  <c r="K39" i="3"/>
  <c r="M41" i="3"/>
  <c r="K46" i="3"/>
  <c r="H46" i="3"/>
  <c r="M46" i="3" s="1"/>
  <c r="M51" i="3"/>
  <c r="G71" i="3"/>
  <c r="K71" i="3"/>
  <c r="M73" i="3"/>
  <c r="K78" i="3"/>
  <c r="H78" i="3"/>
  <c r="M78" i="3" s="1"/>
  <c r="M83" i="3"/>
  <c r="AC17" i="2"/>
  <c r="AH17" i="2" s="1"/>
  <c r="AC29" i="2"/>
  <c r="AH29" i="2" s="1"/>
  <c r="AD34" i="2"/>
  <c r="AI34" i="2" s="1"/>
  <c r="AC38" i="2"/>
  <c r="AH38" i="2" s="1"/>
  <c r="AC39" i="2"/>
  <c r="AH39" i="2" s="1"/>
  <c r="AC46" i="2"/>
  <c r="AH46" i="2" s="1"/>
  <c r="AC47" i="2"/>
  <c r="AH47" i="2" s="1"/>
  <c r="AC54" i="2"/>
  <c r="AH54" i="2" s="1"/>
  <c r="AC55" i="2"/>
  <c r="AH55" i="2" s="1"/>
  <c r="AC62" i="2"/>
  <c r="AH62" i="2" s="1"/>
  <c r="AC63" i="2"/>
  <c r="AH63" i="2" s="1"/>
  <c r="AC70" i="2"/>
  <c r="AH70" i="2" s="1"/>
  <c r="AC71" i="2"/>
  <c r="AH71" i="2" s="1"/>
  <c r="AC78" i="2"/>
  <c r="AH78" i="2" s="1"/>
  <c r="AC79" i="2"/>
  <c r="AH79" i="2" s="1"/>
  <c r="AC86" i="2"/>
  <c r="AH86" i="2" s="1"/>
  <c r="AC87" i="2"/>
  <c r="AH87" i="2" s="1"/>
  <c r="K24" i="3"/>
  <c r="H47" i="3"/>
  <c r="G59" i="3"/>
  <c r="M59" i="3" s="1"/>
  <c r="K59" i="3"/>
  <c r="M61" i="3"/>
  <c r="K66" i="3"/>
  <c r="H66" i="3"/>
  <c r="M66" i="3" s="1"/>
  <c r="H79" i="3"/>
  <c r="AC19" i="2"/>
  <c r="AH19" i="2" s="1"/>
  <c r="J33" i="3"/>
  <c r="AC15" i="2"/>
  <c r="AH15" i="2" s="1"/>
  <c r="AC33" i="2"/>
  <c r="AH33" i="2" s="1"/>
  <c r="AD42" i="2"/>
  <c r="AI42" i="2" s="1"/>
  <c r="AD50" i="2"/>
  <c r="AI50" i="2" s="1"/>
  <c r="AD58" i="2"/>
  <c r="AI58" i="2" s="1"/>
  <c r="AD66" i="2"/>
  <c r="AI66" i="2" s="1"/>
  <c r="AD74" i="2"/>
  <c r="AI74" i="2" s="1"/>
  <c r="AD82" i="2"/>
  <c r="AI82" i="2" s="1"/>
  <c r="K20" i="3"/>
  <c r="G47" i="3"/>
  <c r="M47" i="3" s="1"/>
  <c r="K47" i="3"/>
  <c r="M54" i="3"/>
  <c r="K54" i="3"/>
  <c r="H54" i="3"/>
  <c r="G79" i="3"/>
  <c r="K79" i="3"/>
  <c r="K86" i="3"/>
  <c r="H86" i="3"/>
  <c r="M86" i="3" s="1"/>
  <c r="J36" i="3"/>
  <c r="BP24" i="1"/>
  <c r="BP34" i="1"/>
  <c r="BP36" i="1"/>
  <c r="BP38" i="1"/>
  <c r="BP40" i="1"/>
  <c r="BP42" i="1"/>
  <c r="BP44" i="1"/>
  <c r="BP50" i="1"/>
  <c r="AC13" i="2"/>
  <c r="AH13" i="2" s="1"/>
  <c r="AC27" i="2"/>
  <c r="AH27" i="2" s="1"/>
  <c r="AC40" i="2"/>
  <c r="AH40" i="2" s="1"/>
  <c r="AC41" i="2"/>
  <c r="AH41" i="2" s="1"/>
  <c r="AC48" i="2"/>
  <c r="AH48" i="2" s="1"/>
  <c r="AC49" i="2"/>
  <c r="AH49" i="2" s="1"/>
  <c r="AC56" i="2"/>
  <c r="AH56" i="2" s="1"/>
  <c r="AC57" i="2"/>
  <c r="AH57" i="2" s="1"/>
  <c r="AC64" i="2"/>
  <c r="AH64" i="2" s="1"/>
  <c r="AC65" i="2"/>
  <c r="AH65" i="2" s="1"/>
  <c r="AC72" i="2"/>
  <c r="AH72" i="2" s="1"/>
  <c r="AC73" i="2"/>
  <c r="AH73" i="2" s="1"/>
  <c r="AC80" i="2"/>
  <c r="AH80" i="2" s="1"/>
  <c r="AC81" i="2"/>
  <c r="AH81" i="2" s="1"/>
  <c r="K16" i="3"/>
  <c r="M37" i="3"/>
  <c r="K42" i="3"/>
  <c r="H42" i="3"/>
  <c r="M42" i="3" s="1"/>
  <c r="H55" i="3"/>
  <c r="G67" i="3"/>
  <c r="M67" i="3" s="1"/>
  <c r="K67" i="3"/>
  <c r="M74" i="3"/>
  <c r="K74" i="3"/>
  <c r="H74" i="3"/>
  <c r="M79" i="3"/>
  <c r="H87" i="3"/>
  <c r="AC11" i="2"/>
  <c r="AH11" i="2" s="1"/>
  <c r="AD68" i="2"/>
  <c r="AI68" i="2" s="1"/>
  <c r="AD76" i="2"/>
  <c r="AI76" i="2" s="1"/>
  <c r="AD84" i="2"/>
  <c r="AI84" i="2" s="1"/>
  <c r="K34" i="3"/>
  <c r="H34" i="3"/>
  <c r="H43" i="3"/>
  <c r="G50" i="3"/>
  <c r="G55" i="3"/>
  <c r="M55" i="3" s="1"/>
  <c r="K55" i="3"/>
  <c r="M57" i="3"/>
  <c r="M62" i="3"/>
  <c r="K62" i="3"/>
  <c r="H62" i="3"/>
  <c r="H75" i="3"/>
  <c r="G82" i="3"/>
  <c r="M82" i="3" s="1"/>
  <c r="G87" i="3"/>
  <c r="M87" i="3" s="1"/>
  <c r="K87" i="3"/>
  <c r="M92" i="3"/>
  <c r="F17" i="3"/>
  <c r="F21" i="3"/>
  <c r="F25" i="3"/>
  <c r="F29" i="3"/>
  <c r="F33" i="3"/>
  <c r="K91" i="3"/>
  <c r="G16" i="3"/>
  <c r="M16" i="3" s="1"/>
  <c r="G20" i="3"/>
  <c r="G24" i="3"/>
  <c r="G28" i="3"/>
  <c r="G32" i="3"/>
  <c r="M32" i="3" s="1"/>
  <c r="G40" i="3"/>
  <c r="M40" i="3" s="1"/>
  <c r="G44" i="3"/>
  <c r="G48" i="3"/>
  <c r="G52" i="3"/>
  <c r="M52" i="3" s="1"/>
  <c r="G56" i="3"/>
  <c r="G60" i="3"/>
  <c r="G64" i="3"/>
  <c r="G68" i="3"/>
  <c r="G72" i="3"/>
  <c r="M72" i="3" s="1"/>
  <c r="G76" i="3"/>
  <c r="G80" i="3"/>
  <c r="G84" i="3"/>
  <c r="M84" i="3" s="1"/>
  <c r="G88" i="3"/>
  <c r="G92" i="3"/>
  <c r="F15" i="3"/>
  <c r="H16" i="3"/>
  <c r="F19" i="3"/>
  <c r="H20" i="3"/>
  <c r="F23" i="3"/>
  <c r="H24" i="3"/>
  <c r="F27" i="3"/>
  <c r="H28" i="3"/>
  <c r="F31" i="3"/>
  <c r="H32" i="3"/>
  <c r="F35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F14" i="3"/>
  <c r="F18" i="3"/>
  <c r="F22" i="3"/>
  <c r="F26" i="3"/>
  <c r="F30" i="3"/>
  <c r="M28" i="3" l="1"/>
  <c r="M24" i="3"/>
  <c r="M20" i="3"/>
  <c r="K22" i="3"/>
  <c r="H22" i="3"/>
  <c r="G22" i="3"/>
  <c r="H23" i="3"/>
  <c r="G23" i="3"/>
  <c r="K23" i="3"/>
  <c r="M80" i="3"/>
  <c r="M48" i="3"/>
  <c r="M39" i="3"/>
  <c r="K36" i="3"/>
  <c r="K26" i="3"/>
  <c r="H26" i="3"/>
  <c r="G26" i="3"/>
  <c r="M26" i="3" s="1"/>
  <c r="K18" i="3"/>
  <c r="H18" i="3"/>
  <c r="G18" i="3"/>
  <c r="H36" i="3"/>
  <c r="M76" i="3"/>
  <c r="M44" i="3"/>
  <c r="H35" i="3"/>
  <c r="G35" i="3"/>
  <c r="M35" i="3" s="1"/>
  <c r="K35" i="3"/>
  <c r="K33" i="3"/>
  <c r="H33" i="3"/>
  <c r="G33" i="3"/>
  <c r="M68" i="3"/>
  <c r="G36" i="3"/>
  <c r="M36" i="3" s="1"/>
  <c r="K29" i="3"/>
  <c r="H29" i="3"/>
  <c r="G29" i="3"/>
  <c r="H31" i="3"/>
  <c r="G31" i="3"/>
  <c r="K31" i="3"/>
  <c r="H15" i="3"/>
  <c r="G15" i="3"/>
  <c r="M15" i="3" s="1"/>
  <c r="K15" i="3"/>
  <c r="M64" i="3"/>
  <c r="K25" i="3"/>
  <c r="H25" i="3"/>
  <c r="G25" i="3"/>
  <c r="M25" i="3" s="1"/>
  <c r="M33" i="3"/>
  <c r="M60" i="3"/>
  <c r="K21" i="3"/>
  <c r="H21" i="3"/>
  <c r="G21" i="3"/>
  <c r="M21" i="3" s="1"/>
  <c r="K14" i="3"/>
  <c r="H14" i="3"/>
  <c r="G14" i="3"/>
  <c r="M14" i="3" s="1"/>
  <c r="H19" i="3"/>
  <c r="G19" i="3"/>
  <c r="M19" i="3" s="1"/>
  <c r="K19" i="3"/>
  <c r="M18" i="3"/>
  <c r="K30" i="3"/>
  <c r="H30" i="3"/>
  <c r="G30" i="3"/>
  <c r="M30" i="3" s="1"/>
  <c r="H27" i="3"/>
  <c r="G27" i="3"/>
  <c r="K27" i="3"/>
  <c r="M88" i="3"/>
  <c r="M56" i="3"/>
  <c r="K17" i="3"/>
  <c r="H17" i="3"/>
  <c r="G17" i="3"/>
  <c r="M17" i="3"/>
  <c r="M23" i="3" l="1"/>
  <c r="M22" i="3"/>
  <c r="M27" i="3"/>
  <c r="M31" i="3"/>
  <c r="M29" i="3"/>
</calcChain>
</file>

<file path=xl/sharedStrings.xml><?xml version="1.0" encoding="utf-8"?>
<sst xmlns="http://schemas.openxmlformats.org/spreadsheetml/2006/main" count="1340" uniqueCount="292">
  <si>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</si>
  <si>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</si>
  <si>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</si>
  <si>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</si>
  <si>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</si>
  <si>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</si>
  <si>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</si>
  <si>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</si>
  <si>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</si>
  <si>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</si>
  <si>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</si>
  <si>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</si>
  <si>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</si>
  <si>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</si>
  <si>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</si>
  <si>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</si>
  <si>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</si>
  <si>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</si>
  <si>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</si>
  <si>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</si>
  <si>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</si>
  <si>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</si>
  <si>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</si>
  <si>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</si>
  <si>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</si>
  <si>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</si>
  <si>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</si>
  <si>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</si>
  <si>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</si>
  <si>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</si>
  <si>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</si>
  <si>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</si>
  <si>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</si>
  <si>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</si>
  <si>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</si>
  <si>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</si>
  <si>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</si>
  <si>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</si>
  <si>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</si>
  <si>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</si>
  <si>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</si>
  <si>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</si>
  <si>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A-03149</t>
  </si>
  <si>
    <t>PLASTIK ID CARD</t>
  </si>
  <si>
    <t>PLASTIK ID CARD DEPAN SOBEK SAMPING</t>
  </si>
  <si>
    <t>INCLASS LICENSE</t>
  </si>
  <si>
    <t>OPEX</t>
  </si>
  <si>
    <t>RUTIN</t>
  </si>
  <si>
    <t>JPI000</t>
  </si>
  <si>
    <t>ALL</t>
  </si>
  <si>
    <t>PCS</t>
  </si>
  <si>
    <t>C</t>
  </si>
  <si>
    <t>GA</t>
  </si>
  <si>
    <t>A-03442</t>
  </si>
  <si>
    <t>PERJALANAN DINAS</t>
  </si>
  <si>
    <t>HOTEL DALAM NEGERI (TRAVELING/MEETING) GOL IV</t>
  </si>
  <si>
    <t>KAIZEN FESTIVAL TMC</t>
  </si>
  <si>
    <t>DAY</t>
  </si>
  <si>
    <t>D</t>
  </si>
  <si>
    <t>A-01223</t>
  </si>
  <si>
    <t>POINTER</t>
  </si>
  <si>
    <t>INCLASS TRAINING KELAS</t>
  </si>
  <si>
    <t>A-03946</t>
  </si>
  <si>
    <t>UANG MAKAN SIANG PD DALAM NEGERI (TRAVELLING &amp; MEETING)  GOL III</t>
  </si>
  <si>
    <t>A-03959</t>
  </si>
  <si>
    <t>UANG MAKAN SIANG PD DALAM NEGERI (TRAVELLING &amp; MEETING) GOL IV</t>
  </si>
  <si>
    <t>A-00704</t>
  </si>
  <si>
    <t>MASKER</t>
  </si>
  <si>
    <t>SAFETY MASK CARBON ACTIVE - LONG</t>
  </si>
  <si>
    <t>NEOP SIMULASI B3</t>
  </si>
  <si>
    <t>A-03944</t>
  </si>
  <si>
    <t>UANG MAKAN PAGI PD DALAM NEGERI (TRAVELLING &amp; MEETING) GOL III</t>
  </si>
  <si>
    <t>A-03961</t>
  </si>
  <si>
    <t>UANG MAKAN MALAM PD DALAM NEGERI (TRAVELLING &amp; MEETING) GOL IV</t>
  </si>
  <si>
    <t>A-00451</t>
  </si>
  <si>
    <t>FORM</t>
  </si>
  <si>
    <t>FORMULIR DAFTAR HADIR TRAINING</t>
  </si>
  <si>
    <t>RECORD TRAINING</t>
  </si>
  <si>
    <t>RIM</t>
  </si>
  <si>
    <t>A-00641</t>
  </si>
  <si>
    <t>BATTERY</t>
  </si>
  <si>
    <t>BATTERY CR2032 3V</t>
  </si>
  <si>
    <t>NEOP BATERAI STOPWATCH</t>
  </si>
  <si>
    <t>A-03050</t>
  </si>
  <si>
    <t>TES BAHASA ASING</t>
  </si>
  <si>
    <t>JLPT N5</t>
  </si>
  <si>
    <t>BAHASA JEPANG JLPT</t>
  </si>
  <si>
    <t>PEOPLE</t>
  </si>
  <si>
    <t>B</t>
  </si>
  <si>
    <t>A-03610</t>
  </si>
  <si>
    <t>BULAN COMPLIANCE</t>
  </si>
  <si>
    <t>AKTIFITAS BULAN COMPLIANCE</t>
  </si>
  <si>
    <t>PAKET</t>
  </si>
  <si>
    <t>E</t>
  </si>
  <si>
    <t>A-03955</t>
  </si>
  <si>
    <t>UANG MAKAN PAGI PD DALAM NEGERI (TRAVELLING &amp; MEETING) GOL IV</t>
  </si>
  <si>
    <t>SN008905</t>
  </si>
  <si>
    <t>SENAR</t>
  </si>
  <si>
    <t>SENAR PANCING</t>
  </si>
  <si>
    <t>NEOP SIMULASI PRAKTEK</t>
  </si>
  <si>
    <t>MTP</t>
  </si>
  <si>
    <t>A-00637</t>
  </si>
  <si>
    <t>BATTERY AAA</t>
  </si>
  <si>
    <t>INCLASS BATERAI POINTER</t>
  </si>
  <si>
    <t>SET</t>
  </si>
  <si>
    <t>A-00980</t>
  </si>
  <si>
    <t>ENTERTAIN</t>
  </si>
  <si>
    <t>MAKAN MALAM</t>
  </si>
  <si>
    <t>Audit eksternal Promotor OLS</t>
  </si>
  <si>
    <t>MEAL</t>
  </si>
  <si>
    <t>A-03369</t>
  </si>
  <si>
    <t>BENCHMARK QCC</t>
  </si>
  <si>
    <t>A</t>
  </si>
  <si>
    <t>A-03422</t>
  </si>
  <si>
    <t>TIKET PERJALANAN DINAS DALAM NEGERI  (TRAVELLING/MEETING) GOL IV</t>
  </si>
  <si>
    <t>A-00380</t>
  </si>
  <si>
    <t>UANG CADANGAN DALAM NEGERI (TRAVELLING/MEETING)</t>
  </si>
  <si>
    <t>SN009201</t>
  </si>
  <si>
    <t>SELANG</t>
  </si>
  <si>
    <t>SELANG SEAGULE 1 1/4" (BERSERAT)</t>
  </si>
  <si>
    <t>ROLL</t>
  </si>
  <si>
    <t>A-00777</t>
  </si>
  <si>
    <t>BIAYA TRAINING</t>
  </si>
  <si>
    <t>TRAINING SKILL UP BAHASA JEPANG N5</t>
  </si>
  <si>
    <t>BAHASA JEPANG N5</t>
  </si>
  <si>
    <t>PACK</t>
  </si>
  <si>
    <t>A-02017</t>
  </si>
  <si>
    <t>KERTAS</t>
  </si>
  <si>
    <t>KERTAS UKURAN A5</t>
  </si>
  <si>
    <t>NEOP SERTIFIKAT</t>
  </si>
  <si>
    <t>A-03898</t>
  </si>
  <si>
    <t>BAHASA JEPANG CONVERSATION</t>
  </si>
  <si>
    <t>PAX</t>
  </si>
  <si>
    <t>A-03890</t>
  </si>
  <si>
    <t>LAMPU</t>
  </si>
  <si>
    <t>LAMPU LED STRIP 12 VOLT</t>
  </si>
  <si>
    <t>A-03951</t>
  </si>
  <si>
    <t>UANG MAKAN MALAM PD DALAM NEGERI (TRAVELLING &amp; MEETING) GOL III</t>
  </si>
  <si>
    <t>A-03378</t>
  </si>
  <si>
    <t>STAND TABLET</t>
  </si>
  <si>
    <t>A-00636</t>
  </si>
  <si>
    <t>BATTERY AA</t>
  </si>
  <si>
    <t>INCLASS MOUSE</t>
  </si>
  <si>
    <t>A-00736</t>
  </si>
  <si>
    <t>STOPWATCH</t>
  </si>
  <si>
    <t>STOPWATCH ROX</t>
  </si>
  <si>
    <t>NEOP SIMULASI CT</t>
  </si>
  <si>
    <t>A-01272</t>
  </si>
  <si>
    <t>BIAYA PROSES VISA</t>
  </si>
  <si>
    <t>VISA JEPANG  (TRAINING)</t>
  </si>
  <si>
    <t>NEXT GENERATION FM</t>
  </si>
  <si>
    <t>INSIDENTAL</t>
  </si>
  <si>
    <t>A-00725</t>
  </si>
  <si>
    <t>SAPU</t>
  </si>
  <si>
    <t>MZ04</t>
  </si>
  <si>
    <t>PROJECT HVPT</t>
  </si>
  <si>
    <t>MAZDA J69</t>
  </si>
  <si>
    <t>Mazda - Mazda-Japan</t>
  </si>
  <si>
    <t>A-00727</t>
  </si>
  <si>
    <t>SEROKAN</t>
  </si>
  <si>
    <t>A-02960</t>
  </si>
  <si>
    <t>VACUM CLEANER</t>
  </si>
  <si>
    <t>VACUM CLEANER MAYAKA</t>
  </si>
  <si>
    <t>PA MAZDA J69</t>
  </si>
  <si>
    <t>MJFPA</t>
  </si>
  <si>
    <t>MAZDA6, CX-3</t>
  </si>
  <si>
    <t>Mazda - Mazda-Japan, Mazda - AAT: Auto Alliance Thailand (Mazda)</t>
  </si>
  <si>
    <t>UNIT</t>
  </si>
  <si>
    <t>A-01312</t>
  </si>
  <si>
    <t>HANDMOP</t>
  </si>
  <si>
    <t>MZ03</t>
  </si>
  <si>
    <t>A-01866</t>
  </si>
  <si>
    <t>TEMPAT SAMPAH</t>
  </si>
  <si>
    <t>TEMPAT SAMPAH INJAK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</si>
  <si>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</si>
  <si>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</si>
  <si>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</si>
  <si>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</si>
  <si>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</si>
  <si>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</si>
  <si>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</si>
  <si>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</si>
  <si>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</si>
  <si>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</si>
  <si>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</si>
  <si>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</si>
  <si>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</si>
  <si>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</si>
  <si>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</si>
  <si>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</si>
  <si>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</si>
  <si>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</si>
  <si>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</si>
  <si>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</si>
  <si>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</si>
  <si>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</si>
  <si>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</si>
  <si>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</si>
  <si>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PROJECT</t>
  </si>
  <si>
    <t>IMPROVEMENT</t>
  </si>
  <si>
    <t>TABLET</t>
  </si>
  <si>
    <t>Budget di Term 85 tidak ada, sedangkan di Term 84 ada.</t>
  </si>
  <si>
    <t>ACRYLIC</t>
  </si>
  <si>
    <t>BATERAY</t>
  </si>
  <si>
    <t>BATTERY CAMERA</t>
  </si>
  <si>
    <t>BIAYA PENGAMBILAN PAKET DOKUMEN</t>
  </si>
  <si>
    <t>BUTTON</t>
  </si>
  <si>
    <t>CAMERA</t>
  </si>
  <si>
    <t>EXTENDER</t>
  </si>
  <si>
    <t>HDMI</t>
  </si>
  <si>
    <t>HOTEL</t>
  </si>
  <si>
    <t>KURSI</t>
  </si>
  <si>
    <t>MESIN SCREW BATERAY</t>
  </si>
  <si>
    <t>SCANNER</t>
  </si>
  <si>
    <t>SOFTCASE</t>
  </si>
  <si>
    <t>STABILIZER</t>
  </si>
  <si>
    <t>TIKET PERJALANAN DINAS</t>
  </si>
  <si>
    <t>TRIPOD</t>
  </si>
  <si>
    <t>UANG SAKU PERJALANAN DINAS</t>
  </si>
  <si>
    <t>PLASTIK FOTO 4M</t>
  </si>
  <si>
    <t>AKRILIK</t>
  </si>
  <si>
    <t>BIAYA PROSES PASPORT</t>
  </si>
  <si>
    <t>BOLT</t>
  </si>
  <si>
    <t>FAREWELL PARTY</t>
  </si>
  <si>
    <t>KERTAS MODUL</t>
  </si>
  <si>
    <t>KURSUS BAHASA INGGRIS</t>
  </si>
  <si>
    <t>LAUNDRY</t>
  </si>
  <si>
    <t>LOCAL TRANSPORT</t>
  </si>
  <si>
    <t>MAJUN</t>
  </si>
  <si>
    <t>MATA BOR</t>
  </si>
  <si>
    <t>MATA SCREW</t>
  </si>
  <si>
    <t>MEDICAL CHECK UP</t>
  </si>
  <si>
    <t>MMT</t>
  </si>
  <si>
    <t>OLEH-OLEH TAMU</t>
  </si>
  <si>
    <t>PAKET DATA</t>
  </si>
  <si>
    <t>PERJALANAN DINAS JEPANG</t>
  </si>
  <si>
    <t>REWARD KAIZEN</t>
  </si>
  <si>
    <t>REWARD KEHADIRAN QCC</t>
  </si>
  <si>
    <t>REWARD LOMBA MOTO</t>
  </si>
  <si>
    <t>REWARD MOTO</t>
  </si>
  <si>
    <t>REWARD QCC</t>
  </si>
  <si>
    <t>SEKRUP</t>
  </si>
  <si>
    <t>SEWA KENDARAAN</t>
  </si>
  <si>
    <t>STICKER</t>
  </si>
  <si>
    <t>TUNJANGAN MUSIM DINGIN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</si>
  <si>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</si>
  <si>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</si>
  <si>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</si>
  <si>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</si>
  <si>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</si>
  <si>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</si>
  <si>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</si>
  <si>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</si>
  <si>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</si>
  <si>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</si>
  <si>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</si>
  <si>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</si>
  <si>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</si>
  <si>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</si>
  <si>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</si>
  <si>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</si>
  <si>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</si>
  <si>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</si>
  <si>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</si>
  <si>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</si>
  <si>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</si>
  <si>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</si>
  <si>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</si>
  <si>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</si>
  <si>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</si>
  <si>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</si>
  <si>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</si>
  <si>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</si>
  <si>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</si>
  <si>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</si>
  <si>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</si>
  <si>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</si>
  <si>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</si>
  <si>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</si>
  <si>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</si>
  <si>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</si>
  <si>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</si>
  <si>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</si>
  <si>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</si>
  <si>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</si>
  <si>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</si>
  <si>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</si>
  <si>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</si>
  <si>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ada kenaikan penggunaan (di pinjam) section lain</t>
  </si>
  <si>
    <t>kenaikan harga dari Vendor</t>
  </si>
  <si>
    <t>Budget di Term 84 tidak ada, sedangkan di Term 85 ada.</t>
  </si>
  <si>
    <t>ada training eksternal di term 84 ada tapi di tem 85 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</si>
</sst>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6"/>
  <sheetViews>
    <sheetView tabSelected="1" zoomScale="70" workbookViewId="0">
      <selection activeCell="I31" sqref="I31"/>
    </sheetView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18.4531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34.372999999999998</v>
      </c>
    </row>
    <row r="6" spans="1:78" x14ac:dyDescent="0.35">
      <c r="N6" s="13" t="s">
        <v>8</v>
      </c>
      <c r="O6" s="13">
        <v>1</v>
      </c>
    </row>
    <row r="7" spans="1:78" x14ac:dyDescent="0.35">
      <c r="N7" s="13" t="s">
        <v>9</v>
      </c>
      <c r="O7" s="13">
        <v>0.92600000000000005</v>
      </c>
    </row>
    <row r="8" spans="1:78" x14ac:dyDescent="0.35">
      <c r="N8" s="13" t="s">
        <v>10</v>
      </c>
      <c r="O8" s="13">
        <v>0.872</v>
      </c>
    </row>
    <row r="10" spans="1:78" x14ac:dyDescent="0.35">
      <c r="A10" s="50" t="s">
        <v>11</v>
      </c>
      <c r="B10" s="50" t="s">
        <v>12</v>
      </c>
      <c r="C10" s="50" t="s">
        <v>13</v>
      </c>
      <c r="D10" s="50" t="s">
        <v>14</v>
      </c>
      <c r="E10" s="50" t="s">
        <v>15</v>
      </c>
      <c r="F10" s="50" t="s">
        <v>16</v>
      </c>
      <c r="G10" s="51" t="s">
        <v>17</v>
      </c>
      <c r="H10" s="50" t="s">
        <v>18</v>
      </c>
      <c r="I10" s="50" t="s">
        <v>19</v>
      </c>
      <c r="J10" s="50" t="s">
        <v>20</v>
      </c>
      <c r="K10" s="50" t="s">
        <v>21</v>
      </c>
      <c r="L10" s="50" t="s">
        <v>22</v>
      </c>
      <c r="M10" s="50" t="s">
        <v>23</v>
      </c>
      <c r="N10" s="50" t="s">
        <v>24</v>
      </c>
      <c r="O10" s="50" t="s">
        <v>25</v>
      </c>
      <c r="P10" s="50" t="s">
        <v>26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 t="s">
        <v>27</v>
      </c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0" t="s">
        <v>28</v>
      </c>
      <c r="BA10" s="50" t="s">
        <v>29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0" t="s">
        <v>28</v>
      </c>
      <c r="BP10" s="50" t="s">
        <v>29</v>
      </c>
      <c r="BQ10" s="6"/>
      <c r="BR10" s="52" t="s">
        <v>30</v>
      </c>
      <c r="BS10" s="52" t="s">
        <v>31</v>
      </c>
      <c r="BT10" s="52" t="s">
        <v>32</v>
      </c>
      <c r="BU10" s="52" t="s">
        <v>33</v>
      </c>
      <c r="BV10" s="52"/>
      <c r="BW10" s="52"/>
      <c r="BX10" s="52"/>
      <c r="BY10" s="52"/>
      <c r="BZ10" s="52"/>
    </row>
    <row r="11" spans="1:78" ht="30" customHeight="1" x14ac:dyDescent="0.3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34</v>
      </c>
      <c r="AO11" s="6" t="s">
        <v>34</v>
      </c>
      <c r="AP11" s="6" t="s">
        <v>34</v>
      </c>
      <c r="AQ11" s="6" t="s">
        <v>34</v>
      </c>
      <c r="AR11" s="6" t="s">
        <v>34</v>
      </c>
      <c r="AS11" s="6" t="s">
        <v>34</v>
      </c>
      <c r="AT11" s="6" t="s">
        <v>34</v>
      </c>
      <c r="AU11" s="6" t="s">
        <v>34</v>
      </c>
      <c r="AV11" s="6" t="s">
        <v>34</v>
      </c>
      <c r="AW11" s="6" t="s">
        <v>34</v>
      </c>
      <c r="AX11" s="6" t="s">
        <v>34</v>
      </c>
      <c r="AY11" s="6" t="s">
        <v>34</v>
      </c>
      <c r="AZ11" s="50"/>
      <c r="BA11" s="50"/>
      <c r="BB11" s="5"/>
      <c r="BC11" s="6" t="s">
        <v>35</v>
      </c>
      <c r="BD11" s="6" t="s">
        <v>35</v>
      </c>
      <c r="BE11" s="6" t="s">
        <v>35</v>
      </c>
      <c r="BF11" s="6" t="s">
        <v>35</v>
      </c>
      <c r="BG11" s="6" t="s">
        <v>35</v>
      </c>
      <c r="BH11" s="6" t="s">
        <v>35</v>
      </c>
      <c r="BI11" s="6" t="s">
        <v>35</v>
      </c>
      <c r="BJ11" s="6" t="s">
        <v>35</v>
      </c>
      <c r="BK11" s="6" t="s">
        <v>35</v>
      </c>
      <c r="BL11" s="6" t="s">
        <v>35</v>
      </c>
      <c r="BM11" s="6" t="s">
        <v>35</v>
      </c>
      <c r="BN11" s="6" t="s">
        <v>35</v>
      </c>
      <c r="BO11" s="50"/>
      <c r="BP11" s="50"/>
      <c r="BQ11" s="6"/>
      <c r="BR11" s="52"/>
      <c r="BS11" s="52"/>
      <c r="BT11" s="52"/>
      <c r="BU11" s="8" t="s">
        <v>36</v>
      </c>
      <c r="BV11" s="8" t="s">
        <v>37</v>
      </c>
      <c r="BW11" s="8" t="s">
        <v>38</v>
      </c>
      <c r="BX11" s="8" t="s">
        <v>39</v>
      </c>
      <c r="BY11" s="8" t="s">
        <v>40</v>
      </c>
      <c r="BZ11" s="8"/>
    </row>
    <row r="12" spans="1:78" ht="2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x14ac:dyDescent="0.35">
      <c r="A13" s="7" t="s">
        <v>41</v>
      </c>
      <c r="B13" s="7"/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/>
      <c r="I13" s="7"/>
      <c r="J13" s="7" t="s">
        <v>47</v>
      </c>
      <c r="K13" s="7" t="s">
        <v>48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1670</v>
      </c>
      <c r="Q13" s="7">
        <v>1670</v>
      </c>
      <c r="R13" s="7">
        <v>1670</v>
      </c>
      <c r="S13" s="7">
        <v>1670</v>
      </c>
      <c r="T13" s="7">
        <v>1670</v>
      </c>
      <c r="U13" s="7">
        <v>1670</v>
      </c>
      <c r="V13" s="7">
        <v>1670</v>
      </c>
      <c r="W13" s="7">
        <v>1670</v>
      </c>
      <c r="X13" s="7">
        <v>1670</v>
      </c>
      <c r="Y13" s="7">
        <v>1670</v>
      </c>
      <c r="Z13" s="7">
        <v>1670</v>
      </c>
      <c r="AA13" s="7">
        <v>1670</v>
      </c>
      <c r="AB13" s="9">
        <v>0.10570556884787</v>
      </c>
      <c r="AC13" s="9">
        <v>0.10570556884787</v>
      </c>
      <c r="AD13" s="9">
        <v>0.10570556884787</v>
      </c>
      <c r="AE13" s="9">
        <v>0.10570556884787</v>
      </c>
      <c r="AF13" s="9">
        <v>0.10570556884787</v>
      </c>
      <c r="AG13" s="9">
        <v>0.10570556884787</v>
      </c>
      <c r="AH13" s="9">
        <v>0.10570556884787</v>
      </c>
      <c r="AI13" s="9">
        <v>0.10570556884787</v>
      </c>
      <c r="AJ13" s="9">
        <v>0.10570556884787</v>
      </c>
      <c r="AK13" s="9">
        <v>0.10570556884787</v>
      </c>
      <c r="AL13" s="9">
        <v>0.10570556884787</v>
      </c>
      <c r="AM13" s="9">
        <v>0.10570556884787</v>
      </c>
      <c r="AN13" s="10">
        <v>0</v>
      </c>
      <c r="AO13" s="10">
        <v>560</v>
      </c>
      <c r="AP13" s="10">
        <v>0</v>
      </c>
      <c r="AQ13" s="10">
        <v>0</v>
      </c>
      <c r="AR13" s="10">
        <v>552</v>
      </c>
      <c r="AS13" s="10">
        <v>0</v>
      </c>
      <c r="AT13" s="10">
        <v>0</v>
      </c>
      <c r="AU13" s="10">
        <v>0</v>
      </c>
      <c r="AV13" s="10">
        <v>300</v>
      </c>
      <c r="AW13" s="10">
        <v>0</v>
      </c>
      <c r="AX13" s="10">
        <v>0</v>
      </c>
      <c r="AY13" s="10">
        <v>300</v>
      </c>
      <c r="AZ13" s="7">
        <f t="shared" ref="AZ13:AZ56" si="0">SUM(AN13:AY13)</f>
        <v>1712</v>
      </c>
      <c r="BA13" s="11">
        <f t="shared" ref="BA13:BA56" si="1">AZ13/12</f>
        <v>142.66666666666666</v>
      </c>
      <c r="BC13" s="12">
        <v>0</v>
      </c>
      <c r="BD13" s="12">
        <v>59.195118554809</v>
      </c>
      <c r="BE13" s="12">
        <v>0</v>
      </c>
      <c r="BF13" s="12">
        <v>0</v>
      </c>
      <c r="BG13" s="12">
        <v>58.349474004026</v>
      </c>
      <c r="BH13" s="12">
        <v>0</v>
      </c>
      <c r="BI13" s="12">
        <v>0</v>
      </c>
      <c r="BJ13" s="12">
        <v>0</v>
      </c>
      <c r="BK13" s="12">
        <v>31.711670654361999</v>
      </c>
      <c r="BL13" s="12">
        <v>0</v>
      </c>
      <c r="BM13" s="12">
        <v>0</v>
      </c>
      <c r="BN13" s="12">
        <v>31.711670654361999</v>
      </c>
      <c r="BO13" s="12">
        <f t="shared" ref="BO13:BO56" si="2">SUM(BC13:BN13)</f>
        <v>180.967933867559</v>
      </c>
      <c r="BP13" s="12">
        <f t="shared" ref="BP13:BP56" si="3">BO13/12</f>
        <v>15.080661155629917</v>
      </c>
      <c r="BQ13" s="7"/>
      <c r="BR13" s="7"/>
      <c r="BS13" s="7" t="s">
        <v>51</v>
      </c>
      <c r="BT13" s="7" t="s">
        <v>52</v>
      </c>
      <c r="BU13" s="7">
        <v>15</v>
      </c>
      <c r="BV13" s="7">
        <v>10</v>
      </c>
      <c r="BW13" s="7">
        <v>5</v>
      </c>
      <c r="BX13" s="7">
        <v>20</v>
      </c>
      <c r="BY13" s="7">
        <v>5</v>
      </c>
      <c r="BZ13" s="7"/>
    </row>
    <row r="14" spans="1:78" x14ac:dyDescent="0.35">
      <c r="A14" s="7" t="s">
        <v>41</v>
      </c>
      <c r="B14" s="7"/>
      <c r="C14" s="7" t="s">
        <v>53</v>
      </c>
      <c r="D14" s="7" t="s">
        <v>54</v>
      </c>
      <c r="E14" s="7" t="s">
        <v>55</v>
      </c>
      <c r="F14" s="7" t="s">
        <v>56</v>
      </c>
      <c r="G14" s="7" t="s">
        <v>46</v>
      </c>
      <c r="H14" s="7"/>
      <c r="I14" s="7"/>
      <c r="J14" s="7" t="s">
        <v>47</v>
      </c>
      <c r="K14" s="7" t="s">
        <v>48</v>
      </c>
      <c r="L14" s="7" t="s">
        <v>49</v>
      </c>
      <c r="M14" s="7" t="s">
        <v>49</v>
      </c>
      <c r="N14" s="7" t="s">
        <v>57</v>
      </c>
      <c r="O14" s="7" t="s">
        <v>4</v>
      </c>
      <c r="P14" s="7">
        <v>1200000</v>
      </c>
      <c r="Q14" s="7">
        <v>1200000</v>
      </c>
      <c r="R14" s="7">
        <v>1200000</v>
      </c>
      <c r="S14" s="7">
        <v>1200000</v>
      </c>
      <c r="T14" s="7">
        <v>1200000</v>
      </c>
      <c r="U14" s="7">
        <v>1200000</v>
      </c>
      <c r="V14" s="7">
        <v>1200000</v>
      </c>
      <c r="W14" s="7">
        <v>1200000</v>
      </c>
      <c r="X14" s="7">
        <v>1200000</v>
      </c>
      <c r="Y14" s="7">
        <v>1200000</v>
      </c>
      <c r="Z14" s="7">
        <v>1200000</v>
      </c>
      <c r="AA14" s="7">
        <v>1200000</v>
      </c>
      <c r="AB14" s="9">
        <v>75.956097375716993</v>
      </c>
      <c r="AC14" s="9">
        <v>75.956097375716993</v>
      </c>
      <c r="AD14" s="9">
        <v>75.956097375716993</v>
      </c>
      <c r="AE14" s="9">
        <v>75.956097375716993</v>
      </c>
      <c r="AF14" s="9">
        <v>75.956097375716993</v>
      </c>
      <c r="AG14" s="9">
        <v>75.956097375716993</v>
      </c>
      <c r="AH14" s="9">
        <v>75.956097375716993</v>
      </c>
      <c r="AI14" s="9">
        <v>75.956097375716993</v>
      </c>
      <c r="AJ14" s="9">
        <v>75.956097375716993</v>
      </c>
      <c r="AK14" s="9">
        <v>75.956097375716993</v>
      </c>
      <c r="AL14" s="9">
        <v>75.956097375716993</v>
      </c>
      <c r="AM14" s="9">
        <v>75.956097375716993</v>
      </c>
      <c r="AN14" s="10">
        <v>0</v>
      </c>
      <c r="AO14" s="10">
        <v>0</v>
      </c>
      <c r="AP14" s="10">
        <v>0</v>
      </c>
      <c r="AQ14" s="10">
        <v>0</v>
      </c>
      <c r="AR14" s="10">
        <v>2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2</v>
      </c>
      <c r="BA14" s="11">
        <f t="shared" si="1"/>
        <v>0.16666666666666666</v>
      </c>
      <c r="BC14" s="12">
        <v>0</v>
      </c>
      <c r="BD14" s="12">
        <v>0</v>
      </c>
      <c r="BE14" s="12">
        <v>0</v>
      </c>
      <c r="BF14" s="12">
        <v>0</v>
      </c>
      <c r="BG14" s="12">
        <v>151.91219475143001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151.91219475143001</v>
      </c>
      <c r="BP14" s="12">
        <f t="shared" si="3"/>
        <v>12.659349562619168</v>
      </c>
      <c r="BQ14" s="7"/>
      <c r="BR14" s="7"/>
      <c r="BS14" s="7" t="s">
        <v>58</v>
      </c>
      <c r="BT14" s="7" t="s">
        <v>52</v>
      </c>
      <c r="BU14" s="7">
        <v>0</v>
      </c>
      <c r="BV14" s="7">
        <v>10</v>
      </c>
      <c r="BW14" s="7">
        <v>0</v>
      </c>
      <c r="BX14" s="7">
        <v>0</v>
      </c>
      <c r="BY14" s="7">
        <v>5</v>
      </c>
      <c r="BZ14" s="7"/>
    </row>
    <row r="15" spans="1:78" x14ac:dyDescent="0.35">
      <c r="A15" s="7" t="s">
        <v>41</v>
      </c>
      <c r="B15" s="7"/>
      <c r="C15" s="7" t="s">
        <v>59</v>
      </c>
      <c r="D15" s="7" t="s">
        <v>60</v>
      </c>
      <c r="E15" s="7" t="s">
        <v>60</v>
      </c>
      <c r="F15" s="7" t="s">
        <v>61</v>
      </c>
      <c r="G15" s="7" t="s">
        <v>46</v>
      </c>
      <c r="H15" s="7"/>
      <c r="I15" s="7"/>
      <c r="J15" s="7" t="s">
        <v>47</v>
      </c>
      <c r="K15" s="7" t="s">
        <v>48</v>
      </c>
      <c r="L15" s="7" t="s">
        <v>49</v>
      </c>
      <c r="M15" s="7" t="s">
        <v>49</v>
      </c>
      <c r="N15" s="7" t="s">
        <v>50</v>
      </c>
      <c r="O15" s="7" t="s">
        <v>4</v>
      </c>
      <c r="P15" s="7">
        <v>473800</v>
      </c>
      <c r="Q15" s="7">
        <v>473800</v>
      </c>
      <c r="R15" s="7">
        <v>473800</v>
      </c>
      <c r="S15" s="7">
        <v>473800</v>
      </c>
      <c r="T15" s="7">
        <v>473800</v>
      </c>
      <c r="U15" s="7">
        <v>473800</v>
      </c>
      <c r="V15" s="7">
        <v>473800</v>
      </c>
      <c r="W15" s="7">
        <v>473800</v>
      </c>
      <c r="X15" s="7">
        <v>473800</v>
      </c>
      <c r="Y15" s="7">
        <v>473800</v>
      </c>
      <c r="Z15" s="7">
        <v>473800</v>
      </c>
      <c r="AA15" s="7">
        <v>473800</v>
      </c>
      <c r="AB15" s="9">
        <v>29.989999113846</v>
      </c>
      <c r="AC15" s="9">
        <v>29.989999113846</v>
      </c>
      <c r="AD15" s="9">
        <v>29.989999113846</v>
      </c>
      <c r="AE15" s="9">
        <v>29.989999113846</v>
      </c>
      <c r="AF15" s="9">
        <v>29.989999113846</v>
      </c>
      <c r="AG15" s="9">
        <v>29.989999113846</v>
      </c>
      <c r="AH15" s="9">
        <v>29.989999113846</v>
      </c>
      <c r="AI15" s="9">
        <v>29.989999113846</v>
      </c>
      <c r="AJ15" s="9">
        <v>29.989999113846</v>
      </c>
      <c r="AK15" s="9">
        <v>29.989999113846</v>
      </c>
      <c r="AL15" s="9">
        <v>29.989999113846</v>
      </c>
      <c r="AM15" s="9">
        <v>29.989999113846</v>
      </c>
      <c r="AN15" s="10">
        <v>0</v>
      </c>
      <c r="AO15" s="10">
        <v>0</v>
      </c>
      <c r="AP15" s="10">
        <v>2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2</v>
      </c>
      <c r="BA15" s="11">
        <f t="shared" si="1"/>
        <v>0.16666666666666666</v>
      </c>
      <c r="BC15" s="12">
        <v>0</v>
      </c>
      <c r="BD15" s="12">
        <v>0</v>
      </c>
      <c r="BE15" s="12">
        <v>59.979998227690999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59.979998227690999</v>
      </c>
      <c r="BP15" s="12">
        <f t="shared" si="3"/>
        <v>4.9983331856409166</v>
      </c>
      <c r="BQ15" s="7"/>
      <c r="BR15" s="7"/>
      <c r="BS15" s="7" t="s">
        <v>51</v>
      </c>
      <c r="BT15" s="7" t="s">
        <v>52</v>
      </c>
      <c r="BU15" s="7">
        <v>15</v>
      </c>
      <c r="BV15" s="7">
        <v>10</v>
      </c>
      <c r="BW15" s="7">
        <v>5</v>
      </c>
      <c r="BX15" s="7">
        <v>20</v>
      </c>
      <c r="BY15" s="7">
        <v>5</v>
      </c>
      <c r="BZ15" s="7"/>
    </row>
    <row r="16" spans="1:78" x14ac:dyDescent="0.35">
      <c r="A16" s="7" t="s">
        <v>41</v>
      </c>
      <c r="B16" s="7"/>
      <c r="C16" s="7" t="s">
        <v>62</v>
      </c>
      <c r="D16" s="7" t="s">
        <v>54</v>
      </c>
      <c r="E16" s="7" t="s">
        <v>63</v>
      </c>
      <c r="F16" s="7" t="s">
        <v>56</v>
      </c>
      <c r="G16" s="7" t="s">
        <v>46</v>
      </c>
      <c r="H16" s="7"/>
      <c r="I16" s="7"/>
      <c r="J16" s="7" t="s">
        <v>47</v>
      </c>
      <c r="K16" s="7" t="s">
        <v>48</v>
      </c>
      <c r="L16" s="7" t="s">
        <v>49</v>
      </c>
      <c r="M16" s="7" t="s">
        <v>49</v>
      </c>
      <c r="N16" s="7" t="s">
        <v>57</v>
      </c>
      <c r="O16" s="7" t="s">
        <v>4</v>
      </c>
      <c r="P16" s="7">
        <v>20000</v>
      </c>
      <c r="Q16" s="7">
        <v>20000</v>
      </c>
      <c r="R16" s="7">
        <v>20000</v>
      </c>
      <c r="S16" s="7">
        <v>20000</v>
      </c>
      <c r="T16" s="7">
        <v>20000</v>
      </c>
      <c r="U16" s="7">
        <v>20000</v>
      </c>
      <c r="V16" s="7">
        <v>20000</v>
      </c>
      <c r="W16" s="7">
        <v>20000</v>
      </c>
      <c r="X16" s="7">
        <v>20000</v>
      </c>
      <c r="Y16" s="7">
        <v>20000</v>
      </c>
      <c r="Z16" s="7">
        <v>20000</v>
      </c>
      <c r="AA16" s="7">
        <v>20000</v>
      </c>
      <c r="AB16" s="9">
        <v>1.2659349562619</v>
      </c>
      <c r="AC16" s="9">
        <v>1.2659349562619</v>
      </c>
      <c r="AD16" s="9">
        <v>1.2659349562619</v>
      </c>
      <c r="AE16" s="9">
        <v>1.2659349562619</v>
      </c>
      <c r="AF16" s="9">
        <v>1.2659349562619</v>
      </c>
      <c r="AG16" s="9">
        <v>1.2659349562619</v>
      </c>
      <c r="AH16" s="9">
        <v>1.2659349562619</v>
      </c>
      <c r="AI16" s="9">
        <v>1.2659349562619</v>
      </c>
      <c r="AJ16" s="9">
        <v>1.2659349562619</v>
      </c>
      <c r="AK16" s="9">
        <v>1.2659349562619</v>
      </c>
      <c r="AL16" s="9">
        <v>1.2659349562619</v>
      </c>
      <c r="AM16" s="9">
        <v>1.2659349562619</v>
      </c>
      <c r="AN16" s="10">
        <v>0</v>
      </c>
      <c r="AO16" s="10">
        <v>0</v>
      </c>
      <c r="AP16" s="10">
        <v>0</v>
      </c>
      <c r="AQ16" s="10">
        <v>0</v>
      </c>
      <c r="AR16" s="10">
        <v>3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7">
        <f t="shared" si="0"/>
        <v>3</v>
      </c>
      <c r="BA16" s="11">
        <f t="shared" si="1"/>
        <v>0.25</v>
      </c>
      <c r="BC16" s="12">
        <v>0</v>
      </c>
      <c r="BD16" s="12">
        <v>0</v>
      </c>
      <c r="BE16" s="12">
        <v>0</v>
      </c>
      <c r="BF16" s="12">
        <v>0</v>
      </c>
      <c r="BG16" s="12">
        <v>3.7978048687857999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f t="shared" si="2"/>
        <v>3.7978048687857999</v>
      </c>
      <c r="BP16" s="12">
        <f t="shared" si="3"/>
        <v>0.31648373906548333</v>
      </c>
      <c r="BQ16" s="7"/>
      <c r="BR16" s="7"/>
      <c r="BS16" s="7" t="s">
        <v>58</v>
      </c>
      <c r="BT16" s="7" t="s">
        <v>52</v>
      </c>
      <c r="BU16" s="7">
        <v>0</v>
      </c>
      <c r="BV16" s="7">
        <v>10</v>
      </c>
      <c r="BW16" s="7">
        <v>0</v>
      </c>
      <c r="BX16" s="7">
        <v>0</v>
      </c>
      <c r="BY16" s="7">
        <v>5</v>
      </c>
      <c r="BZ16" s="7"/>
    </row>
    <row r="17" spans="1:78" x14ac:dyDescent="0.35">
      <c r="A17" s="7" t="s">
        <v>41</v>
      </c>
      <c r="B17" s="7"/>
      <c r="C17" s="7" t="s">
        <v>64</v>
      </c>
      <c r="D17" s="7" t="s">
        <v>54</v>
      </c>
      <c r="E17" s="7" t="s">
        <v>65</v>
      </c>
      <c r="F17" s="7" t="s">
        <v>56</v>
      </c>
      <c r="G17" s="7" t="s">
        <v>46</v>
      </c>
      <c r="H17" s="7"/>
      <c r="I17" s="7"/>
      <c r="J17" s="7" t="s">
        <v>47</v>
      </c>
      <c r="K17" s="7" t="s">
        <v>48</v>
      </c>
      <c r="L17" s="7" t="s">
        <v>49</v>
      </c>
      <c r="M17" s="7" t="s">
        <v>49</v>
      </c>
      <c r="N17" s="7" t="s">
        <v>57</v>
      </c>
      <c r="O17" s="7" t="s">
        <v>4</v>
      </c>
      <c r="P17" s="7">
        <v>27500</v>
      </c>
      <c r="Q17" s="7">
        <v>27500</v>
      </c>
      <c r="R17" s="7">
        <v>27500</v>
      </c>
      <c r="S17" s="7">
        <v>27500</v>
      </c>
      <c r="T17" s="7">
        <v>27500</v>
      </c>
      <c r="U17" s="7">
        <v>27500</v>
      </c>
      <c r="V17" s="7">
        <v>27500</v>
      </c>
      <c r="W17" s="7">
        <v>27500</v>
      </c>
      <c r="X17" s="7">
        <v>27500</v>
      </c>
      <c r="Y17" s="7">
        <v>27500</v>
      </c>
      <c r="Z17" s="7">
        <v>27500</v>
      </c>
      <c r="AA17" s="7">
        <v>27500</v>
      </c>
      <c r="AB17" s="9">
        <v>1.7406605648602</v>
      </c>
      <c r="AC17" s="9">
        <v>1.7406605648602</v>
      </c>
      <c r="AD17" s="9">
        <v>1.7406605648602</v>
      </c>
      <c r="AE17" s="9">
        <v>1.7406605648602</v>
      </c>
      <c r="AF17" s="9">
        <v>1.7406605648602</v>
      </c>
      <c r="AG17" s="9">
        <v>1.7406605648602</v>
      </c>
      <c r="AH17" s="9">
        <v>1.7406605648602</v>
      </c>
      <c r="AI17" s="9">
        <v>1.7406605648602</v>
      </c>
      <c r="AJ17" s="9">
        <v>1.7406605648602</v>
      </c>
      <c r="AK17" s="9">
        <v>1.7406605648602</v>
      </c>
      <c r="AL17" s="9">
        <v>1.7406605648602</v>
      </c>
      <c r="AM17" s="9">
        <v>1.7406605648602</v>
      </c>
      <c r="AN17" s="10">
        <v>0</v>
      </c>
      <c r="AO17" s="10">
        <v>0</v>
      </c>
      <c r="AP17" s="10">
        <v>0</v>
      </c>
      <c r="AQ17" s="10">
        <v>0</v>
      </c>
      <c r="AR17" s="10">
        <v>3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3</v>
      </c>
      <c r="BA17" s="11">
        <f t="shared" si="1"/>
        <v>0.25</v>
      </c>
      <c r="BC17" s="12">
        <v>0</v>
      </c>
      <c r="BD17" s="12">
        <v>0</v>
      </c>
      <c r="BE17" s="12">
        <v>0</v>
      </c>
      <c r="BF17" s="12">
        <v>0</v>
      </c>
      <c r="BG17" s="12">
        <v>5.2219816945805002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5.2219816945805002</v>
      </c>
      <c r="BP17" s="12">
        <f t="shared" si="3"/>
        <v>0.43516514121504168</v>
      </c>
      <c r="BQ17" s="7"/>
      <c r="BR17" s="7"/>
      <c r="BS17" s="7" t="s">
        <v>58</v>
      </c>
      <c r="BT17" s="7" t="s">
        <v>52</v>
      </c>
      <c r="BU17" s="7">
        <v>0</v>
      </c>
      <c r="BV17" s="7">
        <v>10</v>
      </c>
      <c r="BW17" s="7">
        <v>0</v>
      </c>
      <c r="BX17" s="7">
        <v>0</v>
      </c>
      <c r="BY17" s="7">
        <v>5</v>
      </c>
      <c r="BZ17" s="7"/>
    </row>
    <row r="18" spans="1:78" x14ac:dyDescent="0.35">
      <c r="A18" s="7" t="s">
        <v>41</v>
      </c>
      <c r="B18" s="7"/>
      <c r="C18" s="7" t="s">
        <v>66</v>
      </c>
      <c r="D18" s="7" t="s">
        <v>67</v>
      </c>
      <c r="E18" s="7" t="s">
        <v>68</v>
      </c>
      <c r="F18" s="7" t="s">
        <v>69</v>
      </c>
      <c r="G18" s="7" t="s">
        <v>46</v>
      </c>
      <c r="H18" s="7"/>
      <c r="I18" s="7"/>
      <c r="J18" s="7" t="s">
        <v>47</v>
      </c>
      <c r="K18" s="7" t="s">
        <v>48</v>
      </c>
      <c r="L18" s="7" t="s">
        <v>49</v>
      </c>
      <c r="M18" s="7" t="s">
        <v>49</v>
      </c>
      <c r="N18" s="7" t="s">
        <v>50</v>
      </c>
      <c r="O18" s="7" t="s">
        <v>4</v>
      </c>
      <c r="P18" s="7">
        <v>33000</v>
      </c>
      <c r="Q18" s="7">
        <v>33000</v>
      </c>
      <c r="R18" s="7">
        <v>33000</v>
      </c>
      <c r="S18" s="7">
        <v>33000</v>
      </c>
      <c r="T18" s="7">
        <v>33000</v>
      </c>
      <c r="U18" s="7">
        <v>33000</v>
      </c>
      <c r="V18" s="7">
        <v>33000</v>
      </c>
      <c r="W18" s="7">
        <v>33000</v>
      </c>
      <c r="X18" s="7">
        <v>33000</v>
      </c>
      <c r="Y18" s="7">
        <v>33000</v>
      </c>
      <c r="Z18" s="7">
        <v>33000</v>
      </c>
      <c r="AA18" s="7">
        <v>33000</v>
      </c>
      <c r="AB18" s="9">
        <v>2.0887926778321999</v>
      </c>
      <c r="AC18" s="9">
        <v>2.0887926778321999</v>
      </c>
      <c r="AD18" s="9">
        <v>2.0887926778321999</v>
      </c>
      <c r="AE18" s="9">
        <v>2.0887926778321999</v>
      </c>
      <c r="AF18" s="9">
        <v>2.0887926778321999</v>
      </c>
      <c r="AG18" s="9">
        <v>2.0887926778321999</v>
      </c>
      <c r="AH18" s="9">
        <v>2.0887926778321999</v>
      </c>
      <c r="AI18" s="9">
        <v>2.0887926778321999</v>
      </c>
      <c r="AJ18" s="9">
        <v>2.0887926778321999</v>
      </c>
      <c r="AK18" s="9">
        <v>2.0887926778321999</v>
      </c>
      <c r="AL18" s="9">
        <v>2.0887926778321999</v>
      </c>
      <c r="AM18" s="9">
        <v>2.0887926778321999</v>
      </c>
      <c r="AN18" s="10">
        <v>0</v>
      </c>
      <c r="AO18" s="10">
        <v>0</v>
      </c>
      <c r="AP18" s="10">
        <v>13</v>
      </c>
      <c r="AQ18" s="10">
        <v>0</v>
      </c>
      <c r="AR18" s="10">
        <v>0</v>
      </c>
      <c r="AS18" s="10">
        <v>0</v>
      </c>
      <c r="AT18" s="10">
        <v>0</v>
      </c>
      <c r="AU18" s="10">
        <v>13</v>
      </c>
      <c r="AV18" s="10">
        <v>0</v>
      </c>
      <c r="AW18" s="10">
        <v>0</v>
      </c>
      <c r="AX18" s="10">
        <v>0</v>
      </c>
      <c r="AY18" s="10">
        <v>0</v>
      </c>
      <c r="AZ18" s="7">
        <f t="shared" si="0"/>
        <v>26</v>
      </c>
      <c r="BA18" s="11">
        <f t="shared" si="1"/>
        <v>2.1666666666666665</v>
      </c>
      <c r="BC18" s="12">
        <v>0</v>
      </c>
      <c r="BD18" s="12">
        <v>0</v>
      </c>
      <c r="BE18" s="12">
        <v>27.154304811818999</v>
      </c>
      <c r="BF18" s="12">
        <v>0</v>
      </c>
      <c r="BG18" s="12">
        <v>0</v>
      </c>
      <c r="BH18" s="12">
        <v>0</v>
      </c>
      <c r="BI18" s="12">
        <v>0</v>
      </c>
      <c r="BJ18" s="12">
        <v>27.154304811818999</v>
      </c>
      <c r="BK18" s="12">
        <v>0</v>
      </c>
      <c r="BL18" s="12">
        <v>0</v>
      </c>
      <c r="BM18" s="12">
        <v>0</v>
      </c>
      <c r="BN18" s="12">
        <v>0</v>
      </c>
      <c r="BO18" s="12">
        <f t="shared" si="2"/>
        <v>54.308609623637999</v>
      </c>
      <c r="BP18" s="12">
        <f t="shared" si="3"/>
        <v>4.5257174686364996</v>
      </c>
      <c r="BQ18" s="7"/>
      <c r="BR18" s="7"/>
      <c r="BS18" s="7" t="s">
        <v>51</v>
      </c>
      <c r="BT18" s="7" t="s">
        <v>52</v>
      </c>
      <c r="BU18" s="7">
        <v>15</v>
      </c>
      <c r="BV18" s="7">
        <v>10</v>
      </c>
      <c r="BW18" s="7">
        <v>5</v>
      </c>
      <c r="BX18" s="7">
        <v>20</v>
      </c>
      <c r="BY18" s="7">
        <v>5</v>
      </c>
      <c r="BZ18" s="7"/>
    </row>
    <row r="19" spans="1:78" x14ac:dyDescent="0.35">
      <c r="A19" s="7" t="s">
        <v>41</v>
      </c>
      <c r="B19" s="7"/>
      <c r="C19" s="7" t="s">
        <v>70</v>
      </c>
      <c r="D19" s="7" t="s">
        <v>54</v>
      </c>
      <c r="E19" s="7" t="s">
        <v>71</v>
      </c>
      <c r="F19" s="7" t="s">
        <v>56</v>
      </c>
      <c r="G19" s="7" t="s">
        <v>46</v>
      </c>
      <c r="H19" s="7"/>
      <c r="I19" s="7"/>
      <c r="J19" s="7" t="s">
        <v>47</v>
      </c>
      <c r="K19" s="7" t="s">
        <v>48</v>
      </c>
      <c r="L19" s="7" t="s">
        <v>49</v>
      </c>
      <c r="M19" s="7" t="s">
        <v>49</v>
      </c>
      <c r="N19" s="7" t="s">
        <v>57</v>
      </c>
      <c r="O19" s="7" t="s">
        <v>4</v>
      </c>
      <c r="P19" s="7">
        <v>12500</v>
      </c>
      <c r="Q19" s="7">
        <v>12500</v>
      </c>
      <c r="R19" s="7">
        <v>12500</v>
      </c>
      <c r="S19" s="7">
        <v>12500</v>
      </c>
      <c r="T19" s="7">
        <v>12500</v>
      </c>
      <c r="U19" s="7">
        <v>12500</v>
      </c>
      <c r="V19" s="7">
        <v>12500</v>
      </c>
      <c r="W19" s="7">
        <v>12500</v>
      </c>
      <c r="X19" s="7">
        <v>12500</v>
      </c>
      <c r="Y19" s="7">
        <v>12500</v>
      </c>
      <c r="Z19" s="7">
        <v>12500</v>
      </c>
      <c r="AA19" s="7">
        <v>12500</v>
      </c>
      <c r="AB19" s="9">
        <v>0.79120934766371998</v>
      </c>
      <c r="AC19" s="9">
        <v>0.79120934766371998</v>
      </c>
      <c r="AD19" s="9">
        <v>0.79120934766371998</v>
      </c>
      <c r="AE19" s="9">
        <v>0.79120934766371998</v>
      </c>
      <c r="AF19" s="9">
        <v>0.79120934766371998</v>
      </c>
      <c r="AG19" s="9">
        <v>0.79120934766371998</v>
      </c>
      <c r="AH19" s="9">
        <v>0.79120934766371998</v>
      </c>
      <c r="AI19" s="9">
        <v>0.79120934766371998</v>
      </c>
      <c r="AJ19" s="9">
        <v>0.79120934766371998</v>
      </c>
      <c r="AK19" s="9">
        <v>0.79120934766371998</v>
      </c>
      <c r="AL19" s="9">
        <v>0.79120934766371998</v>
      </c>
      <c r="AM19" s="9">
        <v>0.79120934766371998</v>
      </c>
      <c r="AN19" s="10">
        <v>0</v>
      </c>
      <c r="AO19" s="10">
        <v>0</v>
      </c>
      <c r="AP19" s="10">
        <v>0</v>
      </c>
      <c r="AQ19" s="10">
        <v>0</v>
      </c>
      <c r="AR19" s="10">
        <v>3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7">
        <f t="shared" si="0"/>
        <v>3</v>
      </c>
      <c r="BA19" s="11">
        <f t="shared" si="1"/>
        <v>0.25</v>
      </c>
      <c r="BC19" s="12">
        <v>0</v>
      </c>
      <c r="BD19" s="12">
        <v>0</v>
      </c>
      <c r="BE19" s="12">
        <v>0</v>
      </c>
      <c r="BF19" s="12">
        <v>0</v>
      </c>
      <c r="BG19" s="12">
        <v>2.3736280429912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f t="shared" si="2"/>
        <v>2.3736280429912</v>
      </c>
      <c r="BP19" s="12">
        <f t="shared" si="3"/>
        <v>0.19780233691593332</v>
      </c>
      <c r="BQ19" s="7"/>
      <c r="BR19" s="7"/>
      <c r="BS19" s="7" t="s">
        <v>58</v>
      </c>
      <c r="BT19" s="7" t="s">
        <v>52</v>
      </c>
      <c r="BU19" s="7">
        <v>0</v>
      </c>
      <c r="BV19" s="7">
        <v>10</v>
      </c>
      <c r="BW19" s="7">
        <v>0</v>
      </c>
      <c r="BX19" s="7">
        <v>0</v>
      </c>
      <c r="BY19" s="7">
        <v>5</v>
      </c>
      <c r="BZ19" s="7"/>
    </row>
    <row r="20" spans="1:78" x14ac:dyDescent="0.35">
      <c r="A20" s="7" t="s">
        <v>41</v>
      </c>
      <c r="B20" s="7"/>
      <c r="C20" s="7" t="s">
        <v>72</v>
      </c>
      <c r="D20" s="7" t="s">
        <v>54</v>
      </c>
      <c r="E20" s="7" t="s">
        <v>73</v>
      </c>
      <c r="F20" s="7" t="s">
        <v>56</v>
      </c>
      <c r="G20" s="7" t="s">
        <v>46</v>
      </c>
      <c r="H20" s="7"/>
      <c r="I20" s="7"/>
      <c r="J20" s="7" t="s">
        <v>47</v>
      </c>
      <c r="K20" s="7" t="s">
        <v>48</v>
      </c>
      <c r="L20" s="7" t="s">
        <v>49</v>
      </c>
      <c r="M20" s="7" t="s">
        <v>49</v>
      </c>
      <c r="N20" s="7" t="s">
        <v>57</v>
      </c>
      <c r="O20" s="7" t="s">
        <v>4</v>
      </c>
      <c r="P20" s="7">
        <v>27500</v>
      </c>
      <c r="Q20" s="7">
        <v>27500</v>
      </c>
      <c r="R20" s="7">
        <v>27500</v>
      </c>
      <c r="S20" s="7">
        <v>27500</v>
      </c>
      <c r="T20" s="7">
        <v>27500</v>
      </c>
      <c r="U20" s="7">
        <v>27500</v>
      </c>
      <c r="V20" s="7">
        <v>27500</v>
      </c>
      <c r="W20" s="7">
        <v>27500</v>
      </c>
      <c r="X20" s="7">
        <v>27500</v>
      </c>
      <c r="Y20" s="7">
        <v>27500</v>
      </c>
      <c r="Z20" s="7">
        <v>27500</v>
      </c>
      <c r="AA20" s="7">
        <v>27500</v>
      </c>
      <c r="AB20" s="9">
        <v>1.7406605648602</v>
      </c>
      <c r="AC20" s="9">
        <v>1.7406605648602</v>
      </c>
      <c r="AD20" s="9">
        <v>1.7406605648602</v>
      </c>
      <c r="AE20" s="9">
        <v>1.7406605648602</v>
      </c>
      <c r="AF20" s="9">
        <v>1.7406605648602</v>
      </c>
      <c r="AG20" s="9">
        <v>1.7406605648602</v>
      </c>
      <c r="AH20" s="9">
        <v>1.7406605648602</v>
      </c>
      <c r="AI20" s="9">
        <v>1.7406605648602</v>
      </c>
      <c r="AJ20" s="9">
        <v>1.7406605648602</v>
      </c>
      <c r="AK20" s="9">
        <v>1.7406605648602</v>
      </c>
      <c r="AL20" s="9">
        <v>1.7406605648602</v>
      </c>
      <c r="AM20" s="9">
        <v>1.7406605648602</v>
      </c>
      <c r="AN20" s="10">
        <v>0</v>
      </c>
      <c r="AO20" s="10">
        <v>0</v>
      </c>
      <c r="AP20" s="10">
        <v>0</v>
      </c>
      <c r="AQ20" s="10">
        <v>0</v>
      </c>
      <c r="AR20" s="10">
        <v>3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3</v>
      </c>
      <c r="BA20" s="11">
        <f t="shared" si="1"/>
        <v>0.25</v>
      </c>
      <c r="BC20" s="12">
        <v>0</v>
      </c>
      <c r="BD20" s="12">
        <v>0</v>
      </c>
      <c r="BE20" s="12">
        <v>0</v>
      </c>
      <c r="BF20" s="12">
        <v>0</v>
      </c>
      <c r="BG20" s="12">
        <v>5.2219816945805002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5.2219816945805002</v>
      </c>
      <c r="BP20" s="12">
        <f t="shared" si="3"/>
        <v>0.43516514121504168</v>
      </c>
      <c r="BQ20" s="7"/>
      <c r="BR20" s="7"/>
      <c r="BS20" s="7" t="s">
        <v>58</v>
      </c>
      <c r="BT20" s="7" t="s">
        <v>52</v>
      </c>
      <c r="BU20" s="7">
        <v>0</v>
      </c>
      <c r="BV20" s="7">
        <v>10</v>
      </c>
      <c r="BW20" s="7">
        <v>0</v>
      </c>
      <c r="BX20" s="7">
        <v>0</v>
      </c>
      <c r="BY20" s="7">
        <v>5</v>
      </c>
      <c r="BZ20" s="7"/>
    </row>
    <row r="21" spans="1:78" x14ac:dyDescent="0.35">
      <c r="A21" s="7" t="s">
        <v>41</v>
      </c>
      <c r="B21" s="7"/>
      <c r="C21" s="7" t="s">
        <v>74</v>
      </c>
      <c r="D21" s="7" t="s">
        <v>75</v>
      </c>
      <c r="E21" s="7" t="s">
        <v>76</v>
      </c>
      <c r="F21" s="7" t="s">
        <v>77</v>
      </c>
      <c r="G21" s="7" t="s">
        <v>46</v>
      </c>
      <c r="H21" s="7"/>
      <c r="I21" s="7"/>
      <c r="J21" s="7" t="s">
        <v>47</v>
      </c>
      <c r="K21" s="7" t="s">
        <v>48</v>
      </c>
      <c r="L21" s="7" t="s">
        <v>49</v>
      </c>
      <c r="M21" s="7" t="s">
        <v>49</v>
      </c>
      <c r="N21" s="7" t="s">
        <v>78</v>
      </c>
      <c r="O21" s="7" t="s">
        <v>4</v>
      </c>
      <c r="P21" s="7">
        <v>200000</v>
      </c>
      <c r="Q21" s="7">
        <v>200000</v>
      </c>
      <c r="R21" s="7">
        <v>200000</v>
      </c>
      <c r="S21" s="7">
        <v>200000</v>
      </c>
      <c r="T21" s="7">
        <v>200000</v>
      </c>
      <c r="U21" s="7">
        <v>200000</v>
      </c>
      <c r="V21" s="7">
        <v>200000</v>
      </c>
      <c r="W21" s="7">
        <v>200000</v>
      </c>
      <c r="X21" s="7">
        <v>200000</v>
      </c>
      <c r="Y21" s="7">
        <v>200000</v>
      </c>
      <c r="Z21" s="7">
        <v>200000</v>
      </c>
      <c r="AA21" s="7">
        <v>200000</v>
      </c>
      <c r="AB21" s="9">
        <v>12.659349562618999</v>
      </c>
      <c r="AC21" s="9">
        <v>12.659349562618999</v>
      </c>
      <c r="AD21" s="9">
        <v>12.659349562618999</v>
      </c>
      <c r="AE21" s="9">
        <v>12.659349562618999</v>
      </c>
      <c r="AF21" s="9">
        <v>12.659349562618999</v>
      </c>
      <c r="AG21" s="9">
        <v>12.659349562618999</v>
      </c>
      <c r="AH21" s="9">
        <v>12.659349562618999</v>
      </c>
      <c r="AI21" s="9">
        <v>12.659349562618999</v>
      </c>
      <c r="AJ21" s="9">
        <v>12.659349562618999</v>
      </c>
      <c r="AK21" s="9">
        <v>12.659349562618999</v>
      </c>
      <c r="AL21" s="9">
        <v>12.659349562618999</v>
      </c>
      <c r="AM21" s="9">
        <v>12.659349562618999</v>
      </c>
      <c r="AN21" s="10">
        <v>0</v>
      </c>
      <c r="AO21" s="10">
        <v>0</v>
      </c>
      <c r="AP21" s="10">
        <v>0</v>
      </c>
      <c r="AQ21" s="10">
        <v>1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0</v>
      </c>
      <c r="AY21" s="10">
        <v>0</v>
      </c>
      <c r="AZ21" s="7">
        <f t="shared" si="0"/>
        <v>2</v>
      </c>
      <c r="BA21" s="11">
        <f t="shared" si="1"/>
        <v>0.16666666666666666</v>
      </c>
      <c r="BC21" s="12">
        <v>0</v>
      </c>
      <c r="BD21" s="12">
        <v>0</v>
      </c>
      <c r="BE21" s="12">
        <v>0</v>
      </c>
      <c r="BF21" s="12">
        <v>12.659349562618999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12.659349562618999</v>
      </c>
      <c r="BM21" s="12">
        <v>0</v>
      </c>
      <c r="BN21" s="12">
        <v>0</v>
      </c>
      <c r="BO21" s="12">
        <f t="shared" si="2"/>
        <v>25.318699125237998</v>
      </c>
      <c r="BP21" s="12">
        <f t="shared" si="3"/>
        <v>2.109891593769833</v>
      </c>
      <c r="BQ21" s="7"/>
      <c r="BR21" s="7"/>
      <c r="BS21" s="7" t="s">
        <v>51</v>
      </c>
      <c r="BT21" s="7" t="s">
        <v>52</v>
      </c>
      <c r="BU21" s="7">
        <v>15</v>
      </c>
      <c r="BV21" s="7">
        <v>10</v>
      </c>
      <c r="BW21" s="7">
        <v>5</v>
      </c>
      <c r="BX21" s="7">
        <v>20</v>
      </c>
      <c r="BY21" s="7">
        <v>5</v>
      </c>
      <c r="BZ21" s="7"/>
    </row>
    <row r="22" spans="1:78" x14ac:dyDescent="0.35">
      <c r="A22" s="7" t="s">
        <v>41</v>
      </c>
      <c r="B22" s="7"/>
      <c r="C22" s="7" t="s">
        <v>79</v>
      </c>
      <c r="D22" s="7" t="s">
        <v>80</v>
      </c>
      <c r="E22" s="7" t="s">
        <v>81</v>
      </c>
      <c r="F22" s="7" t="s">
        <v>82</v>
      </c>
      <c r="G22" s="7" t="s">
        <v>46</v>
      </c>
      <c r="H22" s="7"/>
      <c r="I22" s="7"/>
      <c r="J22" s="7" t="s">
        <v>47</v>
      </c>
      <c r="K22" s="7" t="s">
        <v>48</v>
      </c>
      <c r="L22" s="7" t="s">
        <v>49</v>
      </c>
      <c r="M22" s="7" t="s">
        <v>49</v>
      </c>
      <c r="N22" s="7" t="s">
        <v>50</v>
      </c>
      <c r="O22" s="7" t="s">
        <v>4</v>
      </c>
      <c r="P22" s="7">
        <v>5000</v>
      </c>
      <c r="Q22" s="7">
        <v>5000</v>
      </c>
      <c r="R22" s="7">
        <v>5000</v>
      </c>
      <c r="S22" s="7">
        <v>5000</v>
      </c>
      <c r="T22" s="7">
        <v>5000</v>
      </c>
      <c r="U22" s="7">
        <v>5000</v>
      </c>
      <c r="V22" s="7">
        <v>5000</v>
      </c>
      <c r="W22" s="7">
        <v>5000</v>
      </c>
      <c r="X22" s="7">
        <v>5000</v>
      </c>
      <c r="Y22" s="7">
        <v>5000</v>
      </c>
      <c r="Z22" s="7">
        <v>5000</v>
      </c>
      <c r="AA22" s="7">
        <v>5000</v>
      </c>
      <c r="AB22" s="9">
        <v>0.31648373906548999</v>
      </c>
      <c r="AC22" s="9">
        <v>0.31648373906548999</v>
      </c>
      <c r="AD22" s="9">
        <v>0.31648373906548999</v>
      </c>
      <c r="AE22" s="9">
        <v>0.31648373906548999</v>
      </c>
      <c r="AF22" s="9">
        <v>0.31648373906548999</v>
      </c>
      <c r="AG22" s="9">
        <v>0.31648373906548999</v>
      </c>
      <c r="AH22" s="9">
        <v>0.31648373906548999</v>
      </c>
      <c r="AI22" s="9">
        <v>0.31648373906548999</v>
      </c>
      <c r="AJ22" s="9">
        <v>0.31648373906548999</v>
      </c>
      <c r="AK22" s="9">
        <v>0.31648373906548999</v>
      </c>
      <c r="AL22" s="9">
        <v>0.31648373906548999</v>
      </c>
      <c r="AM22" s="9">
        <v>0.31648373906548999</v>
      </c>
      <c r="AN22" s="10">
        <v>0</v>
      </c>
      <c r="AO22" s="10">
        <v>20</v>
      </c>
      <c r="AP22" s="10">
        <v>0</v>
      </c>
      <c r="AQ22" s="10">
        <v>0</v>
      </c>
      <c r="AR22" s="10">
        <v>0</v>
      </c>
      <c r="AS22" s="10">
        <v>0</v>
      </c>
      <c r="AT22" s="10">
        <v>20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40</v>
      </c>
      <c r="BA22" s="11">
        <f t="shared" si="1"/>
        <v>3.3333333333333335</v>
      </c>
      <c r="BC22" s="12">
        <v>0</v>
      </c>
      <c r="BD22" s="12">
        <v>6.3296747813097003</v>
      </c>
      <c r="BE22" s="12">
        <v>0</v>
      </c>
      <c r="BF22" s="12">
        <v>0</v>
      </c>
      <c r="BG22" s="12">
        <v>0</v>
      </c>
      <c r="BH22" s="12">
        <v>0</v>
      </c>
      <c r="BI22" s="12">
        <v>6.3296747813097003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12.659349562619401</v>
      </c>
      <c r="BP22" s="12">
        <f t="shared" si="3"/>
        <v>1.05494579688495</v>
      </c>
      <c r="BQ22" s="7"/>
      <c r="BR22" s="7"/>
      <c r="BS22" s="7" t="s">
        <v>51</v>
      </c>
      <c r="BT22" s="7" t="s">
        <v>52</v>
      </c>
      <c r="BU22" s="7">
        <v>15</v>
      </c>
      <c r="BV22" s="7">
        <v>10</v>
      </c>
      <c r="BW22" s="7">
        <v>5</v>
      </c>
      <c r="BX22" s="7">
        <v>20</v>
      </c>
      <c r="BY22" s="7">
        <v>5</v>
      </c>
      <c r="BZ22" s="7"/>
    </row>
    <row r="23" spans="1:78" x14ac:dyDescent="0.35">
      <c r="A23" s="7" t="s">
        <v>41</v>
      </c>
      <c r="B23" s="7"/>
      <c r="C23" s="7" t="s">
        <v>83</v>
      </c>
      <c r="D23" s="7" t="s">
        <v>84</v>
      </c>
      <c r="E23" s="7" t="s">
        <v>85</v>
      </c>
      <c r="F23" s="7" t="s">
        <v>86</v>
      </c>
      <c r="G23" s="7" t="s">
        <v>46</v>
      </c>
      <c r="H23" s="7"/>
      <c r="I23" s="7"/>
      <c r="J23" s="7" t="s">
        <v>47</v>
      </c>
      <c r="K23" s="7" t="s">
        <v>48</v>
      </c>
      <c r="L23" s="7" t="s">
        <v>49</v>
      </c>
      <c r="M23" s="7" t="s">
        <v>49</v>
      </c>
      <c r="N23" s="7" t="s">
        <v>87</v>
      </c>
      <c r="O23" s="7" t="s">
        <v>4</v>
      </c>
      <c r="P23" s="7">
        <v>140000</v>
      </c>
      <c r="Q23" s="7">
        <v>140000</v>
      </c>
      <c r="R23" s="7">
        <v>140000</v>
      </c>
      <c r="S23" s="7">
        <v>140000</v>
      </c>
      <c r="T23" s="7">
        <v>140000</v>
      </c>
      <c r="U23" s="7">
        <v>140000</v>
      </c>
      <c r="V23" s="7">
        <v>140000</v>
      </c>
      <c r="W23" s="7">
        <v>140000</v>
      </c>
      <c r="X23" s="7">
        <v>140000</v>
      </c>
      <c r="Y23" s="7">
        <v>140000</v>
      </c>
      <c r="Z23" s="7">
        <v>140000</v>
      </c>
      <c r="AA23" s="7">
        <v>140000</v>
      </c>
      <c r="AB23" s="9">
        <v>8.8615446938336007</v>
      </c>
      <c r="AC23" s="9">
        <v>8.8615446938336007</v>
      </c>
      <c r="AD23" s="9">
        <v>8.8615446938336007</v>
      </c>
      <c r="AE23" s="9">
        <v>8.8615446938336007</v>
      </c>
      <c r="AF23" s="9">
        <v>8.8615446938336007</v>
      </c>
      <c r="AG23" s="9">
        <v>8.8615446938336007</v>
      </c>
      <c r="AH23" s="9">
        <v>8.8615446938336007</v>
      </c>
      <c r="AI23" s="9">
        <v>8.8615446938336007</v>
      </c>
      <c r="AJ23" s="9">
        <v>8.8615446938336007</v>
      </c>
      <c r="AK23" s="9">
        <v>8.8615446938336007</v>
      </c>
      <c r="AL23" s="9">
        <v>8.8615446938336007</v>
      </c>
      <c r="AM23" s="9">
        <v>8.8615446938336007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10</v>
      </c>
      <c r="AW23" s="10">
        <v>0</v>
      </c>
      <c r="AX23" s="10">
        <v>0</v>
      </c>
      <c r="AY23" s="10">
        <v>0</v>
      </c>
      <c r="AZ23" s="7">
        <f t="shared" si="0"/>
        <v>10</v>
      </c>
      <c r="BA23" s="11">
        <f t="shared" si="1"/>
        <v>0.83333333333333337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88.615446938336007</v>
      </c>
      <c r="BL23" s="12">
        <v>0</v>
      </c>
      <c r="BM23" s="12">
        <v>0</v>
      </c>
      <c r="BN23" s="12">
        <v>0</v>
      </c>
      <c r="BO23" s="12">
        <f t="shared" si="2"/>
        <v>88.615446938336007</v>
      </c>
      <c r="BP23" s="12">
        <f t="shared" si="3"/>
        <v>7.3846205781946672</v>
      </c>
      <c r="BQ23" s="7"/>
      <c r="BR23" s="7"/>
      <c r="BS23" s="7" t="s">
        <v>88</v>
      </c>
      <c r="BT23" s="7" t="s">
        <v>52</v>
      </c>
      <c r="BU23" s="7">
        <v>0</v>
      </c>
      <c r="BV23" s="7">
        <v>5</v>
      </c>
      <c r="BW23" s="7">
        <v>0</v>
      </c>
      <c r="BX23" s="7">
        <v>15</v>
      </c>
      <c r="BY23" s="7">
        <v>15</v>
      </c>
      <c r="BZ23" s="7"/>
    </row>
    <row r="24" spans="1:78" x14ac:dyDescent="0.35">
      <c r="A24" s="7" t="s">
        <v>41</v>
      </c>
      <c r="B24" s="7"/>
      <c r="C24" s="7" t="s">
        <v>89</v>
      </c>
      <c r="D24" s="7" t="s">
        <v>90</v>
      </c>
      <c r="E24" s="7" t="s">
        <v>90</v>
      </c>
      <c r="F24" s="7" t="s">
        <v>91</v>
      </c>
      <c r="G24" s="7" t="s">
        <v>46</v>
      </c>
      <c r="H24" s="7"/>
      <c r="I24" s="7"/>
      <c r="J24" s="7" t="s">
        <v>47</v>
      </c>
      <c r="K24" s="7" t="s">
        <v>48</v>
      </c>
      <c r="L24" s="7" t="s">
        <v>49</v>
      </c>
      <c r="M24" s="7" t="s">
        <v>49</v>
      </c>
      <c r="N24" s="7" t="s">
        <v>92</v>
      </c>
      <c r="O24" s="7" t="s">
        <v>4</v>
      </c>
      <c r="P24" s="7">
        <v>5000000</v>
      </c>
      <c r="Q24" s="7">
        <v>5000000</v>
      </c>
      <c r="R24" s="7">
        <v>5000000</v>
      </c>
      <c r="S24" s="7">
        <v>5000000</v>
      </c>
      <c r="T24" s="7">
        <v>5000000</v>
      </c>
      <c r="U24" s="7">
        <v>5000000</v>
      </c>
      <c r="V24" s="7">
        <v>5000000</v>
      </c>
      <c r="W24" s="7">
        <v>5000000</v>
      </c>
      <c r="X24" s="7">
        <v>5000000</v>
      </c>
      <c r="Y24" s="7">
        <v>5000000</v>
      </c>
      <c r="Z24" s="7">
        <v>5000000</v>
      </c>
      <c r="AA24" s="7">
        <v>5000000</v>
      </c>
      <c r="AB24" s="9">
        <v>316.48373906549</v>
      </c>
      <c r="AC24" s="9">
        <v>316.48373906549</v>
      </c>
      <c r="AD24" s="9">
        <v>316.48373906549</v>
      </c>
      <c r="AE24" s="9">
        <v>316.48373906549</v>
      </c>
      <c r="AF24" s="9">
        <v>316.48373906549</v>
      </c>
      <c r="AG24" s="9">
        <v>316.48373906549</v>
      </c>
      <c r="AH24" s="9">
        <v>316.48373906549</v>
      </c>
      <c r="AI24" s="9">
        <v>316.48373906549</v>
      </c>
      <c r="AJ24" s="9">
        <v>316.48373906549</v>
      </c>
      <c r="AK24" s="9">
        <v>316.48373906549</v>
      </c>
      <c r="AL24" s="9">
        <v>316.48373906549</v>
      </c>
      <c r="AM24" s="9">
        <v>316.48373906549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</v>
      </c>
      <c r="AZ24" s="7">
        <f t="shared" si="0"/>
        <v>1</v>
      </c>
      <c r="BA24" s="11">
        <f t="shared" si="1"/>
        <v>8.3333333333333329E-2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316.48373906549</v>
      </c>
      <c r="BO24" s="12">
        <f t="shared" si="2"/>
        <v>316.48373906549</v>
      </c>
      <c r="BP24" s="12">
        <f t="shared" si="3"/>
        <v>26.373644922124168</v>
      </c>
      <c r="BQ24" s="7"/>
      <c r="BR24" s="7"/>
      <c r="BS24" s="7" t="s">
        <v>93</v>
      </c>
      <c r="BT24" s="7" t="s">
        <v>52</v>
      </c>
      <c r="BU24" s="7">
        <v>0</v>
      </c>
      <c r="BV24" s="7">
        <v>10</v>
      </c>
      <c r="BW24" s="7">
        <v>0</v>
      </c>
      <c r="BX24" s="7">
        <v>10</v>
      </c>
      <c r="BY24" s="7">
        <v>5</v>
      </c>
      <c r="BZ24" s="7"/>
    </row>
    <row r="25" spans="1:78" x14ac:dyDescent="0.35">
      <c r="A25" s="7" t="s">
        <v>41</v>
      </c>
      <c r="B25" s="7"/>
      <c r="C25" s="7" t="s">
        <v>94</v>
      </c>
      <c r="D25" s="7" t="s">
        <v>54</v>
      </c>
      <c r="E25" s="7" t="s">
        <v>95</v>
      </c>
      <c r="F25" s="7" t="s">
        <v>56</v>
      </c>
      <c r="G25" s="7" t="s">
        <v>46</v>
      </c>
      <c r="H25" s="7"/>
      <c r="I25" s="7"/>
      <c r="J25" s="7" t="s">
        <v>47</v>
      </c>
      <c r="K25" s="7" t="s">
        <v>48</v>
      </c>
      <c r="L25" s="7" t="s">
        <v>49</v>
      </c>
      <c r="M25" s="7" t="s">
        <v>49</v>
      </c>
      <c r="N25" s="7" t="s">
        <v>57</v>
      </c>
      <c r="O25" s="7" t="s">
        <v>4</v>
      </c>
      <c r="P25" s="7">
        <v>12500</v>
      </c>
      <c r="Q25" s="7">
        <v>12500</v>
      </c>
      <c r="R25" s="7">
        <v>12500</v>
      </c>
      <c r="S25" s="7">
        <v>12500</v>
      </c>
      <c r="T25" s="7">
        <v>12500</v>
      </c>
      <c r="U25" s="7">
        <v>12500</v>
      </c>
      <c r="V25" s="7">
        <v>12500</v>
      </c>
      <c r="W25" s="7">
        <v>12500</v>
      </c>
      <c r="X25" s="7">
        <v>12500</v>
      </c>
      <c r="Y25" s="7">
        <v>12500</v>
      </c>
      <c r="Z25" s="7">
        <v>12500</v>
      </c>
      <c r="AA25" s="7">
        <v>12500</v>
      </c>
      <c r="AB25" s="9">
        <v>0.79120934766371998</v>
      </c>
      <c r="AC25" s="9">
        <v>0.79120934766371998</v>
      </c>
      <c r="AD25" s="9">
        <v>0.79120934766371998</v>
      </c>
      <c r="AE25" s="9">
        <v>0.79120934766371998</v>
      </c>
      <c r="AF25" s="9">
        <v>0.79120934766371998</v>
      </c>
      <c r="AG25" s="9">
        <v>0.79120934766371998</v>
      </c>
      <c r="AH25" s="9">
        <v>0.79120934766371998</v>
      </c>
      <c r="AI25" s="9">
        <v>0.79120934766371998</v>
      </c>
      <c r="AJ25" s="9">
        <v>0.79120934766371998</v>
      </c>
      <c r="AK25" s="9">
        <v>0.79120934766371998</v>
      </c>
      <c r="AL25" s="9">
        <v>0.79120934766371998</v>
      </c>
      <c r="AM25" s="9">
        <v>0.79120934766371998</v>
      </c>
      <c r="AN25" s="10">
        <v>0</v>
      </c>
      <c r="AO25" s="10">
        <v>0</v>
      </c>
      <c r="AP25" s="10">
        <v>0</v>
      </c>
      <c r="AQ25" s="10">
        <v>0</v>
      </c>
      <c r="AR25" s="10">
        <v>3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7">
        <f t="shared" si="0"/>
        <v>3</v>
      </c>
      <c r="BA25" s="11">
        <f t="shared" si="1"/>
        <v>0.25</v>
      </c>
      <c r="BC25" s="12">
        <v>0</v>
      </c>
      <c r="BD25" s="12">
        <v>0</v>
      </c>
      <c r="BE25" s="12">
        <v>0</v>
      </c>
      <c r="BF25" s="12">
        <v>0</v>
      </c>
      <c r="BG25" s="12">
        <v>2.3736280429912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2.3736280429912</v>
      </c>
      <c r="BP25" s="12">
        <f t="shared" si="3"/>
        <v>0.19780233691593332</v>
      </c>
      <c r="BQ25" s="7"/>
      <c r="BR25" s="7"/>
      <c r="BS25" s="7" t="s">
        <v>58</v>
      </c>
      <c r="BT25" s="7" t="s">
        <v>52</v>
      </c>
      <c r="BU25" s="7">
        <v>0</v>
      </c>
      <c r="BV25" s="7">
        <v>10</v>
      </c>
      <c r="BW25" s="7">
        <v>0</v>
      </c>
      <c r="BX25" s="7">
        <v>0</v>
      </c>
      <c r="BY25" s="7">
        <v>5</v>
      </c>
      <c r="BZ25" s="7"/>
    </row>
    <row r="26" spans="1:78" x14ac:dyDescent="0.35">
      <c r="A26" s="7" t="s">
        <v>41</v>
      </c>
      <c r="B26" s="7"/>
      <c r="C26" s="7" t="s">
        <v>96</v>
      </c>
      <c r="D26" s="7" t="s">
        <v>97</v>
      </c>
      <c r="E26" s="7" t="s">
        <v>98</v>
      </c>
      <c r="F26" s="7" t="s">
        <v>99</v>
      </c>
      <c r="G26" s="7" t="s">
        <v>46</v>
      </c>
      <c r="H26" s="7"/>
      <c r="I26" s="7"/>
      <c r="J26" s="7" t="s">
        <v>47</v>
      </c>
      <c r="K26" s="7" t="s">
        <v>48</v>
      </c>
      <c r="L26" s="7" t="s">
        <v>49</v>
      </c>
      <c r="M26" s="7" t="s">
        <v>49</v>
      </c>
      <c r="N26" s="7" t="s">
        <v>50</v>
      </c>
      <c r="O26" s="7" t="s">
        <v>4</v>
      </c>
      <c r="P26" s="7">
        <v>36000</v>
      </c>
      <c r="Q26" s="7">
        <v>36000</v>
      </c>
      <c r="R26" s="7">
        <v>36000</v>
      </c>
      <c r="S26" s="7">
        <v>36000</v>
      </c>
      <c r="T26" s="7">
        <v>36000</v>
      </c>
      <c r="U26" s="7">
        <v>36000</v>
      </c>
      <c r="V26" s="7">
        <v>37000</v>
      </c>
      <c r="W26" s="7">
        <v>37000</v>
      </c>
      <c r="X26" s="7">
        <v>37000</v>
      </c>
      <c r="Y26" s="7">
        <v>37000</v>
      </c>
      <c r="Z26" s="7">
        <v>37000</v>
      </c>
      <c r="AA26" s="7">
        <v>37000</v>
      </c>
      <c r="AB26" s="9">
        <v>2.2786829212714999</v>
      </c>
      <c r="AC26" s="9">
        <v>2.2786829212714999</v>
      </c>
      <c r="AD26" s="9">
        <v>2.2786829212714999</v>
      </c>
      <c r="AE26" s="9">
        <v>2.2786829212714999</v>
      </c>
      <c r="AF26" s="9">
        <v>2.2786829212714999</v>
      </c>
      <c r="AG26" s="9">
        <v>2.2786829212714999</v>
      </c>
      <c r="AH26" s="9">
        <v>2.3419796690846</v>
      </c>
      <c r="AI26" s="9">
        <v>2.3419796690846</v>
      </c>
      <c r="AJ26" s="9">
        <v>2.3419796690846</v>
      </c>
      <c r="AK26" s="9">
        <v>2.3419796690846</v>
      </c>
      <c r="AL26" s="9">
        <v>2.3419796690846</v>
      </c>
      <c r="AM26" s="9">
        <v>2.3419796690846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1</v>
      </c>
      <c r="BA26" s="11">
        <f t="shared" si="1"/>
        <v>8.3333333333333329E-2</v>
      </c>
      <c r="BC26" s="12">
        <v>2.2786829212714999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2.2786829212714999</v>
      </c>
      <c r="BP26" s="12">
        <f t="shared" si="3"/>
        <v>0.18989024343929164</v>
      </c>
      <c r="BQ26" s="7"/>
      <c r="BR26" s="7"/>
      <c r="BS26" s="7" t="s">
        <v>51</v>
      </c>
      <c r="BT26" s="7" t="s">
        <v>100</v>
      </c>
      <c r="BU26" s="7">
        <v>15</v>
      </c>
      <c r="BV26" s="7">
        <v>20</v>
      </c>
      <c r="BW26" s="7">
        <v>5</v>
      </c>
      <c r="BX26" s="7">
        <v>60</v>
      </c>
      <c r="BY26" s="7">
        <v>10</v>
      </c>
      <c r="BZ26" s="7"/>
    </row>
    <row r="27" spans="1:78" x14ac:dyDescent="0.35">
      <c r="A27" s="7" t="s">
        <v>41</v>
      </c>
      <c r="B27" s="7"/>
      <c r="C27" s="7" t="s">
        <v>101</v>
      </c>
      <c r="D27" s="7" t="s">
        <v>80</v>
      </c>
      <c r="E27" s="7" t="s">
        <v>102</v>
      </c>
      <c r="F27" s="7" t="s">
        <v>103</v>
      </c>
      <c r="G27" s="7" t="s">
        <v>46</v>
      </c>
      <c r="H27" s="7"/>
      <c r="I27" s="7"/>
      <c r="J27" s="7" t="s">
        <v>47</v>
      </c>
      <c r="K27" s="7" t="s">
        <v>48</v>
      </c>
      <c r="L27" s="7" t="s">
        <v>49</v>
      </c>
      <c r="M27" s="7" t="s">
        <v>49</v>
      </c>
      <c r="N27" s="7" t="s">
        <v>104</v>
      </c>
      <c r="O27" s="7" t="s">
        <v>4</v>
      </c>
      <c r="P27" s="7">
        <v>13694</v>
      </c>
      <c r="Q27" s="7">
        <v>13694</v>
      </c>
      <c r="R27" s="7">
        <v>13694</v>
      </c>
      <c r="S27" s="7">
        <v>13694</v>
      </c>
      <c r="T27" s="7">
        <v>13694</v>
      </c>
      <c r="U27" s="7">
        <v>13694</v>
      </c>
      <c r="V27" s="7">
        <v>13694</v>
      </c>
      <c r="W27" s="7">
        <v>13694</v>
      </c>
      <c r="X27" s="7">
        <v>13694</v>
      </c>
      <c r="Y27" s="7">
        <v>13694</v>
      </c>
      <c r="Z27" s="7">
        <v>13694</v>
      </c>
      <c r="AA27" s="7">
        <v>13694</v>
      </c>
      <c r="AB27" s="9">
        <v>0.86678566455256001</v>
      </c>
      <c r="AC27" s="9">
        <v>0.86678566455256001</v>
      </c>
      <c r="AD27" s="9">
        <v>0.86678566455256001</v>
      </c>
      <c r="AE27" s="9">
        <v>0.86678566455256001</v>
      </c>
      <c r="AF27" s="9">
        <v>0.86678566455256001</v>
      </c>
      <c r="AG27" s="9">
        <v>0.86678566455256001</v>
      </c>
      <c r="AH27" s="9">
        <v>0.86678566455256001</v>
      </c>
      <c r="AI27" s="9">
        <v>0.86678566455256001</v>
      </c>
      <c r="AJ27" s="9">
        <v>0.86678566455256001</v>
      </c>
      <c r="AK27" s="9">
        <v>0.86678566455256001</v>
      </c>
      <c r="AL27" s="9">
        <v>0.86678566455256001</v>
      </c>
      <c r="AM27" s="9">
        <v>0.86678566455256001</v>
      </c>
      <c r="AN27" s="10">
        <v>0</v>
      </c>
      <c r="AO27" s="10">
        <v>8</v>
      </c>
      <c r="AP27" s="10">
        <v>0</v>
      </c>
      <c r="AQ27" s="10">
        <v>0</v>
      </c>
      <c r="AR27" s="10">
        <v>0</v>
      </c>
      <c r="AS27" s="10">
        <v>0</v>
      </c>
      <c r="AT27" s="10">
        <v>8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7">
        <f t="shared" si="0"/>
        <v>16</v>
      </c>
      <c r="BA27" s="11">
        <f t="shared" si="1"/>
        <v>1.3333333333333333</v>
      </c>
      <c r="BC27" s="12">
        <v>0</v>
      </c>
      <c r="BD27" s="12">
        <v>6.9342853164204001</v>
      </c>
      <c r="BE27" s="12">
        <v>0</v>
      </c>
      <c r="BF27" s="12">
        <v>0</v>
      </c>
      <c r="BG27" s="12">
        <v>0</v>
      </c>
      <c r="BH27" s="12">
        <v>0</v>
      </c>
      <c r="BI27" s="12">
        <v>6.9342853164204001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f t="shared" si="2"/>
        <v>13.8685706328408</v>
      </c>
      <c r="BP27" s="12">
        <f t="shared" si="3"/>
        <v>1.1557142194034</v>
      </c>
      <c r="BQ27" s="7"/>
      <c r="BR27" s="7"/>
      <c r="BS27" s="7" t="s">
        <v>51</v>
      </c>
      <c r="BT27" s="7" t="s">
        <v>52</v>
      </c>
      <c r="BU27" s="7">
        <v>15</v>
      </c>
      <c r="BV27" s="7">
        <v>10</v>
      </c>
      <c r="BW27" s="7">
        <v>5</v>
      </c>
      <c r="BX27" s="7">
        <v>20</v>
      </c>
      <c r="BY27" s="7">
        <v>5</v>
      </c>
      <c r="BZ27" s="7"/>
    </row>
    <row r="28" spans="1:78" x14ac:dyDescent="0.35">
      <c r="A28" s="7" t="s">
        <v>41</v>
      </c>
      <c r="B28" s="7"/>
      <c r="C28" s="7" t="s">
        <v>105</v>
      </c>
      <c r="D28" s="7" t="s">
        <v>106</v>
      </c>
      <c r="E28" s="7" t="s">
        <v>107</v>
      </c>
      <c r="F28" s="7" t="s">
        <v>108</v>
      </c>
      <c r="G28" s="7" t="s">
        <v>46</v>
      </c>
      <c r="H28" s="7"/>
      <c r="I28" s="7"/>
      <c r="J28" s="7" t="s">
        <v>47</v>
      </c>
      <c r="K28" s="7" t="s">
        <v>48</v>
      </c>
      <c r="L28" s="7" t="s">
        <v>49</v>
      </c>
      <c r="M28" s="7" t="s">
        <v>49</v>
      </c>
      <c r="N28" s="7" t="s">
        <v>109</v>
      </c>
      <c r="O28" s="7" t="s">
        <v>4</v>
      </c>
      <c r="P28" s="7">
        <v>150000</v>
      </c>
      <c r="Q28" s="7">
        <v>150000</v>
      </c>
      <c r="R28" s="7">
        <v>150000</v>
      </c>
      <c r="S28" s="7">
        <v>150000</v>
      </c>
      <c r="T28" s="7">
        <v>150000</v>
      </c>
      <c r="U28" s="7">
        <v>150000</v>
      </c>
      <c r="V28" s="7">
        <v>150000</v>
      </c>
      <c r="W28" s="7">
        <v>150000</v>
      </c>
      <c r="X28" s="7">
        <v>150000</v>
      </c>
      <c r="Y28" s="7">
        <v>150000</v>
      </c>
      <c r="Z28" s="7">
        <v>150000</v>
      </c>
      <c r="AA28" s="7">
        <v>0</v>
      </c>
      <c r="AB28" s="9">
        <v>9.4945121719645993</v>
      </c>
      <c r="AC28" s="9">
        <v>9.4945121719645993</v>
      </c>
      <c r="AD28" s="9">
        <v>9.4945121719645993</v>
      </c>
      <c r="AE28" s="9">
        <v>9.4945121719645993</v>
      </c>
      <c r="AF28" s="9">
        <v>9.4945121719645993</v>
      </c>
      <c r="AG28" s="9">
        <v>9.4945121719645993</v>
      </c>
      <c r="AH28" s="9">
        <v>9.4945121719645993</v>
      </c>
      <c r="AI28" s="9">
        <v>9.4945121719645993</v>
      </c>
      <c r="AJ28" s="9">
        <v>9.4945121719645993</v>
      </c>
      <c r="AK28" s="9">
        <v>9.4945121719645993</v>
      </c>
      <c r="AL28" s="9">
        <v>9.4945121719645993</v>
      </c>
      <c r="AM28" s="9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10</v>
      </c>
      <c r="AY28" s="10">
        <v>0</v>
      </c>
      <c r="AZ28" s="7">
        <f t="shared" si="0"/>
        <v>10</v>
      </c>
      <c r="BA28" s="11">
        <f t="shared" si="1"/>
        <v>0.83333333333333337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94.945121719645996</v>
      </c>
      <c r="BN28" s="12">
        <v>0</v>
      </c>
      <c r="BO28" s="12">
        <f t="shared" si="2"/>
        <v>94.945121719645996</v>
      </c>
      <c r="BP28" s="12">
        <f t="shared" si="3"/>
        <v>7.9120934766371667</v>
      </c>
      <c r="BQ28" s="7"/>
      <c r="BR28" s="7"/>
      <c r="BS28" s="7" t="s">
        <v>58</v>
      </c>
      <c r="BT28" s="7" t="s">
        <v>52</v>
      </c>
      <c r="BU28" s="7">
        <v>0</v>
      </c>
      <c r="BV28" s="7">
        <v>10</v>
      </c>
      <c r="BW28" s="7">
        <v>0</v>
      </c>
      <c r="BX28" s="7">
        <v>0</v>
      </c>
      <c r="BY28" s="7">
        <v>5</v>
      </c>
      <c r="BZ28" s="7"/>
    </row>
    <row r="29" spans="1:78" x14ac:dyDescent="0.35">
      <c r="A29" s="7" t="s">
        <v>41</v>
      </c>
      <c r="B29" s="7"/>
      <c r="C29" s="7" t="s">
        <v>110</v>
      </c>
      <c r="D29" s="7" t="s">
        <v>111</v>
      </c>
      <c r="E29" s="7" t="s">
        <v>111</v>
      </c>
      <c r="F29" s="7" t="s">
        <v>56</v>
      </c>
      <c r="G29" s="7" t="s">
        <v>46</v>
      </c>
      <c r="H29" s="7"/>
      <c r="I29" s="7"/>
      <c r="J29" s="7" t="s">
        <v>47</v>
      </c>
      <c r="K29" s="7" t="s">
        <v>48</v>
      </c>
      <c r="L29" s="7" t="s">
        <v>49</v>
      </c>
      <c r="M29" s="7" t="s">
        <v>49</v>
      </c>
      <c r="N29" s="7" t="s">
        <v>50</v>
      </c>
      <c r="O29" s="7" t="s">
        <v>4</v>
      </c>
      <c r="P29" s="7">
        <v>500000</v>
      </c>
      <c r="Q29" s="7">
        <v>500000</v>
      </c>
      <c r="R29" s="7">
        <v>500000</v>
      </c>
      <c r="S29" s="7">
        <v>500000</v>
      </c>
      <c r="T29" s="7">
        <v>500000</v>
      </c>
      <c r="U29" s="7">
        <v>500000</v>
      </c>
      <c r="V29" s="7">
        <v>500000</v>
      </c>
      <c r="W29" s="7">
        <v>500000</v>
      </c>
      <c r="X29" s="7">
        <v>500000</v>
      </c>
      <c r="Y29" s="7">
        <v>500000</v>
      </c>
      <c r="Z29" s="7">
        <v>500000</v>
      </c>
      <c r="AA29" s="7">
        <v>500000</v>
      </c>
      <c r="AB29" s="9">
        <v>31.648373906549001</v>
      </c>
      <c r="AC29" s="9">
        <v>31.648373906549001</v>
      </c>
      <c r="AD29" s="9">
        <v>31.648373906549001</v>
      </c>
      <c r="AE29" s="9">
        <v>31.648373906549001</v>
      </c>
      <c r="AF29" s="9">
        <v>31.648373906549001</v>
      </c>
      <c r="AG29" s="9">
        <v>31.648373906549001</v>
      </c>
      <c r="AH29" s="9">
        <v>31.648373906549001</v>
      </c>
      <c r="AI29" s="9">
        <v>31.648373906549001</v>
      </c>
      <c r="AJ29" s="9">
        <v>31.648373906549001</v>
      </c>
      <c r="AK29" s="9">
        <v>31.648373906549001</v>
      </c>
      <c r="AL29" s="9">
        <v>31.648373906549001</v>
      </c>
      <c r="AM29" s="9">
        <v>31.648373906549001</v>
      </c>
      <c r="AN29" s="10">
        <v>0</v>
      </c>
      <c r="AO29" s="10">
        <v>0</v>
      </c>
      <c r="AP29" s="10">
        <v>0</v>
      </c>
      <c r="AQ29" s="10">
        <v>0</v>
      </c>
      <c r="AR29" s="10">
        <v>2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2</v>
      </c>
      <c r="BA29" s="11">
        <f t="shared" si="1"/>
        <v>0.16666666666666666</v>
      </c>
      <c r="BC29" s="12">
        <v>0</v>
      </c>
      <c r="BD29" s="12">
        <v>0</v>
      </c>
      <c r="BE29" s="12">
        <v>0</v>
      </c>
      <c r="BF29" s="12">
        <v>0</v>
      </c>
      <c r="BG29" s="12">
        <v>63.296747813096999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63.296747813096999</v>
      </c>
      <c r="BP29" s="12">
        <f t="shared" si="3"/>
        <v>5.2747289844247502</v>
      </c>
      <c r="BQ29" s="7"/>
      <c r="BR29" s="7"/>
      <c r="BS29" s="7" t="s">
        <v>112</v>
      </c>
      <c r="BT29" s="7" t="s">
        <v>52</v>
      </c>
      <c r="BU29" s="7">
        <v>15</v>
      </c>
      <c r="BV29" s="7">
        <v>10</v>
      </c>
      <c r="BW29" s="7">
        <v>5</v>
      </c>
      <c r="BX29" s="7">
        <v>20</v>
      </c>
      <c r="BY29" s="7">
        <v>5</v>
      </c>
      <c r="BZ29" s="7"/>
    </row>
    <row r="30" spans="1:78" x14ac:dyDescent="0.35">
      <c r="A30" s="7" t="s">
        <v>41</v>
      </c>
      <c r="B30" s="7"/>
      <c r="C30" s="7" t="s">
        <v>113</v>
      </c>
      <c r="D30" s="7" t="s">
        <v>54</v>
      </c>
      <c r="E30" s="7" t="s">
        <v>114</v>
      </c>
      <c r="F30" s="7" t="s">
        <v>56</v>
      </c>
      <c r="G30" s="7" t="s">
        <v>46</v>
      </c>
      <c r="H30" s="7"/>
      <c r="I30" s="7"/>
      <c r="J30" s="7" t="s">
        <v>47</v>
      </c>
      <c r="K30" s="7" t="s">
        <v>48</v>
      </c>
      <c r="L30" s="7" t="s">
        <v>49</v>
      </c>
      <c r="M30" s="7" t="s">
        <v>49</v>
      </c>
      <c r="N30" s="7" t="s">
        <v>87</v>
      </c>
      <c r="O30" s="7" t="s">
        <v>4</v>
      </c>
      <c r="P30" s="7">
        <v>2500000</v>
      </c>
      <c r="Q30" s="7">
        <v>2500000</v>
      </c>
      <c r="R30" s="7">
        <v>2500000</v>
      </c>
      <c r="S30" s="7">
        <v>2500000</v>
      </c>
      <c r="T30" s="7">
        <v>2500000</v>
      </c>
      <c r="U30" s="7">
        <v>2500000</v>
      </c>
      <c r="V30" s="7">
        <v>2500000</v>
      </c>
      <c r="W30" s="7">
        <v>2500000</v>
      </c>
      <c r="X30" s="7">
        <v>2500000</v>
      </c>
      <c r="Y30" s="7">
        <v>2500000</v>
      </c>
      <c r="Z30" s="7">
        <v>2500000</v>
      </c>
      <c r="AA30" s="7">
        <v>2500000</v>
      </c>
      <c r="AB30" s="9">
        <v>158.24186953274</v>
      </c>
      <c r="AC30" s="9">
        <v>158.24186953274</v>
      </c>
      <c r="AD30" s="9">
        <v>158.24186953274</v>
      </c>
      <c r="AE30" s="9">
        <v>158.24186953274</v>
      </c>
      <c r="AF30" s="9">
        <v>158.24186953274</v>
      </c>
      <c r="AG30" s="9">
        <v>158.24186953274</v>
      </c>
      <c r="AH30" s="9">
        <v>158.24186953274</v>
      </c>
      <c r="AI30" s="9">
        <v>158.24186953274</v>
      </c>
      <c r="AJ30" s="9">
        <v>158.24186953274</v>
      </c>
      <c r="AK30" s="9">
        <v>158.24186953274</v>
      </c>
      <c r="AL30" s="9">
        <v>158.24186953274</v>
      </c>
      <c r="AM30" s="9">
        <v>158.24186953274</v>
      </c>
      <c r="AN30" s="10">
        <v>0</v>
      </c>
      <c r="AO30" s="10">
        <v>0</v>
      </c>
      <c r="AP30" s="10">
        <v>0</v>
      </c>
      <c r="AQ30" s="10">
        <v>0</v>
      </c>
      <c r="AR30" s="10">
        <v>2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7">
        <f t="shared" si="0"/>
        <v>2</v>
      </c>
      <c r="BA30" s="11">
        <f t="shared" si="1"/>
        <v>0.16666666666666666</v>
      </c>
      <c r="BC30" s="12">
        <v>0</v>
      </c>
      <c r="BD30" s="12">
        <v>0</v>
      </c>
      <c r="BE30" s="12">
        <v>0</v>
      </c>
      <c r="BF30" s="12">
        <v>0</v>
      </c>
      <c r="BG30" s="12">
        <v>316.48373906549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f t="shared" si="2"/>
        <v>316.48373906549</v>
      </c>
      <c r="BP30" s="12">
        <f t="shared" si="3"/>
        <v>26.373644922124168</v>
      </c>
      <c r="BQ30" s="7"/>
      <c r="BR30" s="7"/>
      <c r="BS30" s="7" t="s">
        <v>58</v>
      </c>
      <c r="BT30" s="7" t="s">
        <v>52</v>
      </c>
      <c r="BU30" s="7">
        <v>0</v>
      </c>
      <c r="BV30" s="7">
        <v>10</v>
      </c>
      <c r="BW30" s="7">
        <v>0</v>
      </c>
      <c r="BX30" s="7">
        <v>0</v>
      </c>
      <c r="BY30" s="7">
        <v>5</v>
      </c>
      <c r="BZ30" s="7"/>
    </row>
    <row r="31" spans="1:78" x14ac:dyDescent="0.35">
      <c r="A31" s="7" t="s">
        <v>41</v>
      </c>
      <c r="B31" s="7"/>
      <c r="C31" s="7" t="s">
        <v>115</v>
      </c>
      <c r="D31" s="7" t="s">
        <v>54</v>
      </c>
      <c r="E31" s="7" t="s">
        <v>116</v>
      </c>
      <c r="F31" s="7" t="s">
        <v>56</v>
      </c>
      <c r="G31" s="7" t="s">
        <v>46</v>
      </c>
      <c r="H31" s="7"/>
      <c r="I31" s="7"/>
      <c r="J31" s="7" t="s">
        <v>47</v>
      </c>
      <c r="K31" s="7" t="s">
        <v>48</v>
      </c>
      <c r="L31" s="7" t="s">
        <v>49</v>
      </c>
      <c r="M31" s="7" t="s">
        <v>49</v>
      </c>
      <c r="N31" s="7" t="s">
        <v>87</v>
      </c>
      <c r="O31" s="7" t="s">
        <v>4</v>
      </c>
      <c r="P31" s="7">
        <v>300000</v>
      </c>
      <c r="Q31" s="7">
        <v>300000</v>
      </c>
      <c r="R31" s="7">
        <v>300000</v>
      </c>
      <c r="S31" s="7">
        <v>300000</v>
      </c>
      <c r="T31" s="7">
        <v>300000</v>
      </c>
      <c r="U31" s="7">
        <v>300000</v>
      </c>
      <c r="V31" s="7">
        <v>300000</v>
      </c>
      <c r="W31" s="7">
        <v>300000</v>
      </c>
      <c r="X31" s="7">
        <v>300000</v>
      </c>
      <c r="Y31" s="7">
        <v>300000</v>
      </c>
      <c r="Z31" s="7">
        <v>300000</v>
      </c>
      <c r="AA31" s="7">
        <v>300000</v>
      </c>
      <c r="AB31" s="9">
        <v>18.989024343929</v>
      </c>
      <c r="AC31" s="9">
        <v>18.989024343929</v>
      </c>
      <c r="AD31" s="9">
        <v>18.989024343929</v>
      </c>
      <c r="AE31" s="9">
        <v>18.989024343929</v>
      </c>
      <c r="AF31" s="9">
        <v>18.989024343929</v>
      </c>
      <c r="AG31" s="9">
        <v>18.989024343929</v>
      </c>
      <c r="AH31" s="9">
        <v>18.989024343929</v>
      </c>
      <c r="AI31" s="9">
        <v>18.989024343929</v>
      </c>
      <c r="AJ31" s="9">
        <v>18.989024343929</v>
      </c>
      <c r="AK31" s="9">
        <v>18.989024343929</v>
      </c>
      <c r="AL31" s="9">
        <v>18.989024343929</v>
      </c>
      <c r="AM31" s="9">
        <v>18.989024343929</v>
      </c>
      <c r="AN31" s="10">
        <v>0</v>
      </c>
      <c r="AO31" s="10">
        <v>0</v>
      </c>
      <c r="AP31" s="10">
        <v>0</v>
      </c>
      <c r="AQ31" s="10">
        <v>0</v>
      </c>
      <c r="AR31" s="10">
        <v>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7">
        <f t="shared" si="0"/>
        <v>2</v>
      </c>
      <c r="BA31" s="11">
        <f t="shared" si="1"/>
        <v>0.16666666666666666</v>
      </c>
      <c r="BC31" s="12">
        <v>0</v>
      </c>
      <c r="BD31" s="12">
        <v>0</v>
      </c>
      <c r="BE31" s="12">
        <v>0</v>
      </c>
      <c r="BF31" s="12">
        <v>0</v>
      </c>
      <c r="BG31" s="12">
        <v>37.978048687857999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f t="shared" si="2"/>
        <v>37.978048687857999</v>
      </c>
      <c r="BP31" s="12">
        <f t="shared" si="3"/>
        <v>3.1648373906548333</v>
      </c>
      <c r="BQ31" s="7"/>
      <c r="BR31" s="7"/>
      <c r="BS31" s="7" t="s">
        <v>58</v>
      </c>
      <c r="BT31" s="7" t="s">
        <v>52</v>
      </c>
      <c r="BU31" s="7">
        <v>0</v>
      </c>
      <c r="BV31" s="7">
        <v>10</v>
      </c>
      <c r="BW31" s="7">
        <v>0</v>
      </c>
      <c r="BX31" s="7">
        <v>0</v>
      </c>
      <c r="BY31" s="7">
        <v>5</v>
      </c>
      <c r="BZ31" s="7"/>
    </row>
    <row r="32" spans="1:78" x14ac:dyDescent="0.35">
      <c r="A32" s="7" t="s">
        <v>41</v>
      </c>
      <c r="B32" s="7"/>
      <c r="C32" s="7" t="s">
        <v>117</v>
      </c>
      <c r="D32" s="7" t="s">
        <v>118</v>
      </c>
      <c r="E32" s="7" t="s">
        <v>119</v>
      </c>
      <c r="F32" s="7" t="s">
        <v>99</v>
      </c>
      <c r="G32" s="7" t="s">
        <v>46</v>
      </c>
      <c r="H32" s="7"/>
      <c r="I32" s="7"/>
      <c r="J32" s="7" t="s">
        <v>47</v>
      </c>
      <c r="K32" s="7" t="s">
        <v>48</v>
      </c>
      <c r="L32" s="7" t="s">
        <v>49</v>
      </c>
      <c r="M32" s="7" t="s">
        <v>49</v>
      </c>
      <c r="N32" s="7" t="s">
        <v>120</v>
      </c>
      <c r="O32" s="7" t="s">
        <v>4</v>
      </c>
      <c r="P32" s="7">
        <v>1750000</v>
      </c>
      <c r="Q32" s="7">
        <v>1750000</v>
      </c>
      <c r="R32" s="7">
        <v>1750000</v>
      </c>
      <c r="S32" s="7">
        <v>1750000</v>
      </c>
      <c r="T32" s="7">
        <v>1750000</v>
      </c>
      <c r="U32" s="7">
        <v>1750000</v>
      </c>
      <c r="V32" s="7">
        <v>1750000</v>
      </c>
      <c r="W32" s="7">
        <v>1750000</v>
      </c>
      <c r="X32" s="7">
        <v>1750000</v>
      </c>
      <c r="Y32" s="7">
        <v>1750000</v>
      </c>
      <c r="Z32" s="7">
        <v>1750000</v>
      </c>
      <c r="AA32" s="7">
        <v>1750000</v>
      </c>
      <c r="AB32" s="9">
        <v>110.76930867292</v>
      </c>
      <c r="AC32" s="9">
        <v>110.76930867292</v>
      </c>
      <c r="AD32" s="9">
        <v>110.76930867292</v>
      </c>
      <c r="AE32" s="9">
        <v>110.76930867292</v>
      </c>
      <c r="AF32" s="9">
        <v>110.76930867292</v>
      </c>
      <c r="AG32" s="9">
        <v>110.76930867292</v>
      </c>
      <c r="AH32" s="9">
        <v>110.76930867292</v>
      </c>
      <c r="AI32" s="9">
        <v>110.76930867292</v>
      </c>
      <c r="AJ32" s="9">
        <v>110.76930867292</v>
      </c>
      <c r="AK32" s="9">
        <v>110.76930867292</v>
      </c>
      <c r="AL32" s="9">
        <v>110.76930867292</v>
      </c>
      <c r="AM32" s="9">
        <v>110.76930867292</v>
      </c>
      <c r="AN32" s="10">
        <v>1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7">
        <f t="shared" si="0"/>
        <v>1</v>
      </c>
      <c r="BA32" s="11">
        <f t="shared" si="1"/>
        <v>8.3333333333333329E-2</v>
      </c>
      <c r="BC32" s="12">
        <v>110.76930867292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f t="shared" si="2"/>
        <v>110.76930867292</v>
      </c>
      <c r="BP32" s="12">
        <f t="shared" si="3"/>
        <v>9.2307757227433331</v>
      </c>
      <c r="BQ32" s="7"/>
      <c r="BR32" s="7"/>
      <c r="BS32" s="7" t="s">
        <v>51</v>
      </c>
      <c r="BT32" s="7" t="s">
        <v>100</v>
      </c>
      <c r="BU32" s="7">
        <v>15</v>
      </c>
      <c r="BV32" s="7">
        <v>20</v>
      </c>
      <c r="BW32" s="7">
        <v>5</v>
      </c>
      <c r="BX32" s="7">
        <v>60</v>
      </c>
      <c r="BY32" s="7">
        <v>10</v>
      </c>
      <c r="BZ32" s="7"/>
    </row>
    <row r="33" spans="1:78" x14ac:dyDescent="0.35">
      <c r="A33" s="7" t="s">
        <v>41</v>
      </c>
      <c r="B33" s="7"/>
      <c r="C33" s="7" t="s">
        <v>121</v>
      </c>
      <c r="D33" s="7" t="s">
        <v>122</v>
      </c>
      <c r="E33" s="7" t="s">
        <v>123</v>
      </c>
      <c r="F33" s="7" t="s">
        <v>124</v>
      </c>
      <c r="G33" s="7" t="s">
        <v>46</v>
      </c>
      <c r="H33" s="7"/>
      <c r="I33" s="7"/>
      <c r="J33" s="7" t="s">
        <v>47</v>
      </c>
      <c r="K33" s="7" t="s">
        <v>48</v>
      </c>
      <c r="L33" s="7" t="s">
        <v>49</v>
      </c>
      <c r="M33" s="7" t="s">
        <v>49</v>
      </c>
      <c r="N33" s="7" t="s">
        <v>125</v>
      </c>
      <c r="O33" s="7" t="s">
        <v>4</v>
      </c>
      <c r="P33" s="7">
        <v>23170000</v>
      </c>
      <c r="Q33" s="7">
        <v>23170000</v>
      </c>
      <c r="R33" s="7">
        <v>23170000</v>
      </c>
      <c r="S33" s="7">
        <v>23170000</v>
      </c>
      <c r="T33" s="7">
        <v>23170000</v>
      </c>
      <c r="U33" s="7">
        <v>23170000</v>
      </c>
      <c r="V33" s="7">
        <v>23170000</v>
      </c>
      <c r="W33" s="7">
        <v>23170000</v>
      </c>
      <c r="X33" s="7">
        <v>23170000</v>
      </c>
      <c r="Y33" s="7">
        <v>23170000</v>
      </c>
      <c r="Z33" s="7">
        <v>23170000</v>
      </c>
      <c r="AA33" s="7">
        <v>23170000</v>
      </c>
      <c r="AB33" s="9">
        <v>1466.5856468295001</v>
      </c>
      <c r="AC33" s="9">
        <v>1466.5856468295001</v>
      </c>
      <c r="AD33" s="9">
        <v>1466.5856468295001</v>
      </c>
      <c r="AE33" s="9">
        <v>1466.5856468295001</v>
      </c>
      <c r="AF33" s="9">
        <v>1466.5856468295001</v>
      </c>
      <c r="AG33" s="9">
        <v>1466.5856468295001</v>
      </c>
      <c r="AH33" s="9">
        <v>1466.5856468295001</v>
      </c>
      <c r="AI33" s="9">
        <v>1466.5856468295001</v>
      </c>
      <c r="AJ33" s="9">
        <v>1466.5856468295001</v>
      </c>
      <c r="AK33" s="9">
        <v>1466.5856468295001</v>
      </c>
      <c r="AL33" s="9">
        <v>1466.5856468295001</v>
      </c>
      <c r="AM33" s="9">
        <v>1466.5856468295001</v>
      </c>
      <c r="AN33" s="10">
        <v>0</v>
      </c>
      <c r="AO33" s="10">
        <v>0</v>
      </c>
      <c r="AP33" s="10">
        <v>0</v>
      </c>
      <c r="AQ33" s="10">
        <v>1</v>
      </c>
      <c r="AR33" s="10">
        <v>0</v>
      </c>
      <c r="AS33" s="10">
        <v>0</v>
      </c>
      <c r="AT33" s="10">
        <v>0</v>
      </c>
      <c r="AU33" s="10">
        <v>1</v>
      </c>
      <c r="AV33" s="10">
        <v>0</v>
      </c>
      <c r="AW33" s="10">
        <v>0</v>
      </c>
      <c r="AX33" s="10">
        <v>0</v>
      </c>
      <c r="AY33" s="10">
        <v>0</v>
      </c>
      <c r="AZ33" s="7">
        <f t="shared" si="0"/>
        <v>2</v>
      </c>
      <c r="BA33" s="11">
        <f t="shared" si="1"/>
        <v>0.16666666666666666</v>
      </c>
      <c r="BC33" s="12">
        <v>0</v>
      </c>
      <c r="BD33" s="12">
        <v>0</v>
      </c>
      <c r="BE33" s="12">
        <v>0</v>
      </c>
      <c r="BF33" s="12">
        <v>1466.5856468295001</v>
      </c>
      <c r="BG33" s="12">
        <v>0</v>
      </c>
      <c r="BH33" s="12">
        <v>0</v>
      </c>
      <c r="BI33" s="12">
        <v>0</v>
      </c>
      <c r="BJ33" s="12">
        <v>1466.5856468295001</v>
      </c>
      <c r="BK33" s="12">
        <v>0</v>
      </c>
      <c r="BL33" s="12">
        <v>0</v>
      </c>
      <c r="BM33" s="12">
        <v>0</v>
      </c>
      <c r="BN33" s="12">
        <v>0</v>
      </c>
      <c r="BO33" s="12">
        <f t="shared" si="2"/>
        <v>2933.1712936590002</v>
      </c>
      <c r="BP33" s="12">
        <f t="shared" si="3"/>
        <v>244.43094113825001</v>
      </c>
      <c r="BQ33" s="7"/>
      <c r="BR33" s="7"/>
      <c r="BS33" s="7" t="s">
        <v>112</v>
      </c>
      <c r="BT33" s="7" t="s">
        <v>52</v>
      </c>
      <c r="BU33" s="7">
        <v>15</v>
      </c>
      <c r="BV33" s="7">
        <v>10</v>
      </c>
      <c r="BW33" s="7">
        <v>5</v>
      </c>
      <c r="BX33" s="7">
        <v>20</v>
      </c>
      <c r="BY33" s="7">
        <v>5</v>
      </c>
      <c r="BZ33" s="7"/>
    </row>
    <row r="34" spans="1:78" x14ac:dyDescent="0.35">
      <c r="A34" s="7" t="s">
        <v>41</v>
      </c>
      <c r="B34" s="7"/>
      <c r="C34" s="7" t="s">
        <v>126</v>
      </c>
      <c r="D34" s="7" t="s">
        <v>127</v>
      </c>
      <c r="E34" s="7" t="s">
        <v>128</v>
      </c>
      <c r="F34" s="7" t="s">
        <v>129</v>
      </c>
      <c r="G34" s="7" t="s">
        <v>46</v>
      </c>
      <c r="H34" s="7"/>
      <c r="I34" s="7"/>
      <c r="J34" s="7" t="s">
        <v>47</v>
      </c>
      <c r="K34" s="7" t="s">
        <v>48</v>
      </c>
      <c r="L34" s="7" t="s">
        <v>49</v>
      </c>
      <c r="M34" s="7" t="s">
        <v>49</v>
      </c>
      <c r="N34" s="7" t="s">
        <v>78</v>
      </c>
      <c r="O34" s="7" t="s">
        <v>4</v>
      </c>
      <c r="P34" s="7">
        <v>35000</v>
      </c>
      <c r="Q34" s="7">
        <v>35000</v>
      </c>
      <c r="R34" s="7">
        <v>35000</v>
      </c>
      <c r="S34" s="7">
        <v>35000</v>
      </c>
      <c r="T34" s="7">
        <v>35000</v>
      </c>
      <c r="U34" s="7">
        <v>35000</v>
      </c>
      <c r="V34" s="7">
        <v>35000</v>
      </c>
      <c r="W34" s="7">
        <v>35000</v>
      </c>
      <c r="X34" s="7">
        <v>35000</v>
      </c>
      <c r="Y34" s="7">
        <v>35000</v>
      </c>
      <c r="Z34" s="7">
        <v>35000</v>
      </c>
      <c r="AA34" s="7">
        <v>35000</v>
      </c>
      <c r="AB34" s="9">
        <v>2.2153861734584002</v>
      </c>
      <c r="AC34" s="9">
        <v>2.2153861734584002</v>
      </c>
      <c r="AD34" s="9">
        <v>2.2153861734584002</v>
      </c>
      <c r="AE34" s="9">
        <v>2.2153861734584002</v>
      </c>
      <c r="AF34" s="9">
        <v>2.2153861734584002</v>
      </c>
      <c r="AG34" s="9">
        <v>2.2153861734584002</v>
      </c>
      <c r="AH34" s="9">
        <v>2.2153861734584002</v>
      </c>
      <c r="AI34" s="9">
        <v>2.2153861734584002</v>
      </c>
      <c r="AJ34" s="9">
        <v>2.2153861734584002</v>
      </c>
      <c r="AK34" s="9">
        <v>2.2153861734584002</v>
      </c>
      <c r="AL34" s="9">
        <v>2.2153861734584002</v>
      </c>
      <c r="AM34" s="9">
        <v>2.2153861734584002</v>
      </c>
      <c r="AN34" s="10">
        <v>0</v>
      </c>
      <c r="AO34" s="10">
        <v>1</v>
      </c>
      <c r="AP34" s="10">
        <v>0</v>
      </c>
      <c r="AQ34" s="10">
        <v>0</v>
      </c>
      <c r="AR34" s="10">
        <v>1</v>
      </c>
      <c r="AS34" s="10">
        <v>0</v>
      </c>
      <c r="AT34" s="10">
        <v>0</v>
      </c>
      <c r="AU34" s="10">
        <v>1</v>
      </c>
      <c r="AV34" s="10">
        <v>0</v>
      </c>
      <c r="AW34" s="10">
        <v>0</v>
      </c>
      <c r="AX34" s="10">
        <v>1</v>
      </c>
      <c r="AY34" s="10">
        <v>0</v>
      </c>
      <c r="AZ34" s="7">
        <f t="shared" si="0"/>
        <v>4</v>
      </c>
      <c r="BA34" s="11">
        <f t="shared" si="1"/>
        <v>0.33333333333333331</v>
      </c>
      <c r="BC34" s="12">
        <v>0</v>
      </c>
      <c r="BD34" s="12">
        <v>2.2153861734584002</v>
      </c>
      <c r="BE34" s="12">
        <v>0</v>
      </c>
      <c r="BF34" s="12">
        <v>0</v>
      </c>
      <c r="BG34" s="12">
        <v>2.2153861734584002</v>
      </c>
      <c r="BH34" s="12">
        <v>0</v>
      </c>
      <c r="BI34" s="12">
        <v>0</v>
      </c>
      <c r="BJ34" s="12">
        <v>2.2153861734584002</v>
      </c>
      <c r="BK34" s="12">
        <v>0</v>
      </c>
      <c r="BL34" s="12">
        <v>0</v>
      </c>
      <c r="BM34" s="12">
        <v>2.2153861734584002</v>
      </c>
      <c r="BN34" s="12">
        <v>0</v>
      </c>
      <c r="BO34" s="12">
        <f t="shared" si="2"/>
        <v>8.8615446938336007</v>
      </c>
      <c r="BP34" s="12">
        <f t="shared" si="3"/>
        <v>0.73846205781946672</v>
      </c>
      <c r="BQ34" s="7"/>
      <c r="BR34" s="7"/>
      <c r="BS34" s="7" t="s">
        <v>51</v>
      </c>
      <c r="BT34" s="7" t="s">
        <v>52</v>
      </c>
      <c r="BU34" s="7">
        <v>15</v>
      </c>
      <c r="BV34" s="7">
        <v>10</v>
      </c>
      <c r="BW34" s="7">
        <v>5</v>
      </c>
      <c r="BX34" s="7">
        <v>20</v>
      </c>
      <c r="BY34" s="7">
        <v>5</v>
      </c>
      <c r="BZ34" s="7"/>
    </row>
    <row r="35" spans="1:78" x14ac:dyDescent="0.35">
      <c r="A35" s="7" t="s">
        <v>41</v>
      </c>
      <c r="B35" s="7"/>
      <c r="C35" s="7" t="s">
        <v>130</v>
      </c>
      <c r="D35" s="7" t="s">
        <v>122</v>
      </c>
      <c r="E35" s="7" t="b">
        <v>0</v>
      </c>
      <c r="F35" s="7" t="s">
        <v>131</v>
      </c>
      <c r="G35" s="7" t="s">
        <v>46</v>
      </c>
      <c r="H35" s="7"/>
      <c r="I35" s="7"/>
      <c r="J35" s="7" t="s">
        <v>47</v>
      </c>
      <c r="K35" s="7" t="s">
        <v>48</v>
      </c>
      <c r="L35" s="7" t="s">
        <v>49</v>
      </c>
      <c r="M35" s="7" t="s">
        <v>49</v>
      </c>
      <c r="N35" s="7" t="s">
        <v>132</v>
      </c>
      <c r="O35" s="7" t="s">
        <v>4</v>
      </c>
      <c r="P35" s="7">
        <v>19770000</v>
      </c>
      <c r="Q35" s="7">
        <v>19770000</v>
      </c>
      <c r="R35" s="7">
        <v>19770000</v>
      </c>
      <c r="S35" s="7">
        <v>19770000</v>
      </c>
      <c r="T35" s="7">
        <v>19770000</v>
      </c>
      <c r="U35" s="7">
        <v>19770000</v>
      </c>
      <c r="V35" s="7">
        <v>19770000</v>
      </c>
      <c r="W35" s="7">
        <v>19770000</v>
      </c>
      <c r="X35" s="7">
        <v>19770000</v>
      </c>
      <c r="Y35" s="7">
        <v>19770000</v>
      </c>
      <c r="Z35" s="7">
        <v>19770000</v>
      </c>
      <c r="AA35" s="7">
        <v>19770000</v>
      </c>
      <c r="AB35" s="9">
        <v>1251.3767042648999</v>
      </c>
      <c r="AC35" s="9">
        <v>1251.3767042648999</v>
      </c>
      <c r="AD35" s="9">
        <v>1251.3767042648999</v>
      </c>
      <c r="AE35" s="9">
        <v>1251.3767042648999</v>
      </c>
      <c r="AF35" s="9">
        <v>1251.3767042648999</v>
      </c>
      <c r="AG35" s="9">
        <v>1251.3767042648999</v>
      </c>
      <c r="AH35" s="9">
        <v>1251.3767042648999</v>
      </c>
      <c r="AI35" s="9">
        <v>1251.3767042648999</v>
      </c>
      <c r="AJ35" s="9">
        <v>1251.3767042648999</v>
      </c>
      <c r="AK35" s="9">
        <v>1251.3767042648999</v>
      </c>
      <c r="AL35" s="9">
        <v>1251.3767042648999</v>
      </c>
      <c r="AM35" s="9">
        <v>1251.3767042648999</v>
      </c>
      <c r="AN35" s="10">
        <v>0</v>
      </c>
      <c r="AO35" s="10">
        <v>1</v>
      </c>
      <c r="AP35" s="10">
        <v>0</v>
      </c>
      <c r="AQ35" s="10">
        <v>0</v>
      </c>
      <c r="AR35" s="10">
        <v>0</v>
      </c>
      <c r="AS35" s="10">
        <v>1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7">
        <f t="shared" si="0"/>
        <v>2</v>
      </c>
      <c r="BA35" s="11">
        <f t="shared" si="1"/>
        <v>0.16666666666666666</v>
      </c>
      <c r="BC35" s="12">
        <v>0</v>
      </c>
      <c r="BD35" s="12">
        <v>1251.3767042648999</v>
      </c>
      <c r="BE35" s="12">
        <v>0</v>
      </c>
      <c r="BF35" s="12">
        <v>0</v>
      </c>
      <c r="BG35" s="12">
        <v>0</v>
      </c>
      <c r="BH35" s="12">
        <v>1251.3767042648999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f t="shared" si="2"/>
        <v>2502.7534085297998</v>
      </c>
      <c r="BP35" s="12">
        <f t="shared" si="3"/>
        <v>208.56278404414999</v>
      </c>
      <c r="BQ35" s="7"/>
      <c r="BR35" s="7"/>
      <c r="BS35" s="7" t="s">
        <v>112</v>
      </c>
      <c r="BT35" s="7" t="s">
        <v>52</v>
      </c>
      <c r="BU35" s="7">
        <v>15</v>
      </c>
      <c r="BV35" s="7">
        <v>10</v>
      </c>
      <c r="BW35" s="7">
        <v>5</v>
      </c>
      <c r="BX35" s="7">
        <v>20</v>
      </c>
      <c r="BY35" s="7">
        <v>5</v>
      </c>
      <c r="BZ35" s="7"/>
    </row>
    <row r="36" spans="1:78" x14ac:dyDescent="0.35">
      <c r="A36" s="7" t="s">
        <v>41</v>
      </c>
      <c r="B36" s="7"/>
      <c r="C36" s="7" t="s">
        <v>133</v>
      </c>
      <c r="D36" s="7" t="s">
        <v>134</v>
      </c>
      <c r="E36" s="7" t="s">
        <v>135</v>
      </c>
      <c r="F36" s="7" t="s">
        <v>99</v>
      </c>
      <c r="G36" s="7" t="s">
        <v>46</v>
      </c>
      <c r="H36" s="7"/>
      <c r="I36" s="7"/>
      <c r="J36" s="7" t="s">
        <v>47</v>
      </c>
      <c r="K36" s="7" t="s">
        <v>48</v>
      </c>
      <c r="L36" s="7" t="s">
        <v>49</v>
      </c>
      <c r="M36" s="7" t="s">
        <v>49</v>
      </c>
      <c r="N36" s="7" t="s">
        <v>50</v>
      </c>
      <c r="O36" s="7" t="s">
        <v>4</v>
      </c>
      <c r="P36" s="7">
        <v>45000</v>
      </c>
      <c r="Q36" s="7">
        <v>45000</v>
      </c>
      <c r="R36" s="7">
        <v>45000</v>
      </c>
      <c r="S36" s="7">
        <v>45000</v>
      </c>
      <c r="T36" s="7">
        <v>45000</v>
      </c>
      <c r="U36" s="7">
        <v>45000</v>
      </c>
      <c r="V36" s="7">
        <v>45000</v>
      </c>
      <c r="W36" s="7">
        <v>45000</v>
      </c>
      <c r="X36" s="7">
        <v>45000</v>
      </c>
      <c r="Y36" s="7">
        <v>45000</v>
      </c>
      <c r="Z36" s="7">
        <v>45000</v>
      </c>
      <c r="AA36" s="7">
        <v>45000</v>
      </c>
      <c r="AB36" s="9">
        <v>2.8483536515894001</v>
      </c>
      <c r="AC36" s="9">
        <v>2.8483536515894001</v>
      </c>
      <c r="AD36" s="9">
        <v>2.8483536515894001</v>
      </c>
      <c r="AE36" s="9">
        <v>2.8483536515894001</v>
      </c>
      <c r="AF36" s="9">
        <v>2.8483536515894001</v>
      </c>
      <c r="AG36" s="9">
        <v>2.8483536515894001</v>
      </c>
      <c r="AH36" s="9">
        <v>2.8483536515894001</v>
      </c>
      <c r="AI36" s="9">
        <v>2.8483536515894001</v>
      </c>
      <c r="AJ36" s="9">
        <v>2.8483536515894001</v>
      </c>
      <c r="AK36" s="9">
        <v>2.8483536515894001</v>
      </c>
      <c r="AL36" s="9">
        <v>2.8483536515894001</v>
      </c>
      <c r="AM36" s="9">
        <v>2.8483536515894001</v>
      </c>
      <c r="AN36" s="10">
        <v>1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7">
        <f t="shared" si="0"/>
        <v>1</v>
      </c>
      <c r="BA36" s="11">
        <f t="shared" si="1"/>
        <v>8.3333333333333329E-2</v>
      </c>
      <c r="BC36" s="12">
        <v>2.8483536515894001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f t="shared" si="2"/>
        <v>2.8483536515894001</v>
      </c>
      <c r="BP36" s="12">
        <f t="shared" si="3"/>
        <v>0.23736280429911669</v>
      </c>
      <c r="BQ36" s="7"/>
      <c r="BR36" s="7"/>
      <c r="BS36" s="7" t="s">
        <v>51</v>
      </c>
      <c r="BT36" s="7" t="s">
        <v>52</v>
      </c>
      <c r="BU36" s="7">
        <v>15</v>
      </c>
      <c r="BV36" s="7">
        <v>10</v>
      </c>
      <c r="BW36" s="7">
        <v>5</v>
      </c>
      <c r="BX36" s="7">
        <v>20</v>
      </c>
      <c r="BY36" s="7">
        <v>5</v>
      </c>
      <c r="BZ36" s="7"/>
    </row>
    <row r="37" spans="1:78" x14ac:dyDescent="0.35">
      <c r="A37" s="7" t="s">
        <v>41</v>
      </c>
      <c r="B37" s="7"/>
      <c r="C37" s="7" t="s">
        <v>136</v>
      </c>
      <c r="D37" s="7" t="s">
        <v>54</v>
      </c>
      <c r="E37" s="7" t="s">
        <v>137</v>
      </c>
      <c r="F37" s="7" t="s">
        <v>56</v>
      </c>
      <c r="G37" s="7" t="s">
        <v>46</v>
      </c>
      <c r="H37" s="7"/>
      <c r="I37" s="7"/>
      <c r="J37" s="7" t="s">
        <v>47</v>
      </c>
      <c r="K37" s="7" t="s">
        <v>48</v>
      </c>
      <c r="L37" s="7" t="s">
        <v>49</v>
      </c>
      <c r="M37" s="7" t="s">
        <v>49</v>
      </c>
      <c r="N37" s="7" t="s">
        <v>57</v>
      </c>
      <c r="O37" s="7" t="s">
        <v>4</v>
      </c>
      <c r="P37" s="7">
        <v>20000</v>
      </c>
      <c r="Q37" s="7">
        <v>20000</v>
      </c>
      <c r="R37" s="7">
        <v>20000</v>
      </c>
      <c r="S37" s="7">
        <v>20000</v>
      </c>
      <c r="T37" s="7">
        <v>20000</v>
      </c>
      <c r="U37" s="7">
        <v>20000</v>
      </c>
      <c r="V37" s="7">
        <v>20000</v>
      </c>
      <c r="W37" s="7">
        <v>20000</v>
      </c>
      <c r="X37" s="7">
        <v>20000</v>
      </c>
      <c r="Y37" s="7">
        <v>20000</v>
      </c>
      <c r="Z37" s="7">
        <v>20000</v>
      </c>
      <c r="AA37" s="7">
        <v>20000</v>
      </c>
      <c r="AB37" s="9">
        <v>1.2659349562619</v>
      </c>
      <c r="AC37" s="9">
        <v>1.2659349562619</v>
      </c>
      <c r="AD37" s="9">
        <v>1.2659349562619</v>
      </c>
      <c r="AE37" s="9">
        <v>1.2659349562619</v>
      </c>
      <c r="AF37" s="9">
        <v>1.2659349562619</v>
      </c>
      <c r="AG37" s="9">
        <v>1.2659349562619</v>
      </c>
      <c r="AH37" s="9">
        <v>1.2659349562619</v>
      </c>
      <c r="AI37" s="9">
        <v>1.2659349562619</v>
      </c>
      <c r="AJ37" s="9">
        <v>1.2659349562619</v>
      </c>
      <c r="AK37" s="9">
        <v>1.2659349562619</v>
      </c>
      <c r="AL37" s="9">
        <v>1.2659349562619</v>
      </c>
      <c r="AM37" s="9">
        <v>1.2659349562619</v>
      </c>
      <c r="AN37" s="10">
        <v>0</v>
      </c>
      <c r="AO37" s="10">
        <v>0</v>
      </c>
      <c r="AP37" s="10">
        <v>0</v>
      </c>
      <c r="AQ37" s="10">
        <v>0</v>
      </c>
      <c r="AR37" s="10">
        <v>3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7">
        <f t="shared" si="0"/>
        <v>3</v>
      </c>
      <c r="BA37" s="11">
        <f t="shared" si="1"/>
        <v>0.25</v>
      </c>
      <c r="BC37" s="12">
        <v>0</v>
      </c>
      <c r="BD37" s="12">
        <v>0</v>
      </c>
      <c r="BE37" s="12">
        <v>0</v>
      </c>
      <c r="BF37" s="12">
        <v>0</v>
      </c>
      <c r="BG37" s="12">
        <v>3.7978048687857999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f t="shared" si="2"/>
        <v>3.7978048687857999</v>
      </c>
      <c r="BP37" s="12">
        <f t="shared" si="3"/>
        <v>0.31648373906548333</v>
      </c>
      <c r="BQ37" s="7"/>
      <c r="BR37" s="7"/>
      <c r="BS37" s="7" t="s">
        <v>58</v>
      </c>
      <c r="BT37" s="7" t="s">
        <v>52</v>
      </c>
      <c r="BU37" s="7">
        <v>0</v>
      </c>
      <c r="BV37" s="7">
        <v>10</v>
      </c>
      <c r="BW37" s="7">
        <v>0</v>
      </c>
      <c r="BX37" s="7">
        <v>0</v>
      </c>
      <c r="BY37" s="7">
        <v>5</v>
      </c>
      <c r="BZ37" s="7"/>
    </row>
    <row r="38" spans="1:78" x14ac:dyDescent="0.35">
      <c r="A38" s="7" t="s">
        <v>41</v>
      </c>
      <c r="B38" s="7"/>
      <c r="C38" s="7" t="s">
        <v>138</v>
      </c>
      <c r="D38" s="7" t="s">
        <v>139</v>
      </c>
      <c r="E38" s="7" t="s">
        <v>139</v>
      </c>
      <c r="F38" s="7" t="s">
        <v>61</v>
      </c>
      <c r="G38" s="7" t="s">
        <v>46</v>
      </c>
      <c r="H38" s="7"/>
      <c r="I38" s="7"/>
      <c r="J38" s="7" t="s">
        <v>47</v>
      </c>
      <c r="K38" s="7" t="s">
        <v>48</v>
      </c>
      <c r="L38" s="7" t="s">
        <v>49</v>
      </c>
      <c r="M38" s="7" t="s">
        <v>49</v>
      </c>
      <c r="N38" s="7" t="s">
        <v>50</v>
      </c>
      <c r="O38" s="7" t="s">
        <v>4</v>
      </c>
      <c r="P38" s="7">
        <v>920000</v>
      </c>
      <c r="Q38" s="7">
        <v>920000</v>
      </c>
      <c r="R38" s="7">
        <v>920000</v>
      </c>
      <c r="S38" s="7">
        <v>920000</v>
      </c>
      <c r="T38" s="7">
        <v>920000</v>
      </c>
      <c r="U38" s="7">
        <v>920000</v>
      </c>
      <c r="V38" s="7">
        <v>920000</v>
      </c>
      <c r="W38" s="7">
        <v>920000</v>
      </c>
      <c r="X38" s="7">
        <v>920000</v>
      </c>
      <c r="Y38" s="7">
        <v>920000</v>
      </c>
      <c r="Z38" s="7">
        <v>920000</v>
      </c>
      <c r="AA38" s="7">
        <v>920000</v>
      </c>
      <c r="AB38" s="9">
        <v>58.233007988049998</v>
      </c>
      <c r="AC38" s="9">
        <v>58.233007988049998</v>
      </c>
      <c r="AD38" s="9">
        <v>58.233007988049998</v>
      </c>
      <c r="AE38" s="9">
        <v>58.233007988049998</v>
      </c>
      <c r="AF38" s="9">
        <v>58.233007988049998</v>
      </c>
      <c r="AG38" s="9">
        <v>58.233007988049998</v>
      </c>
      <c r="AH38" s="9">
        <v>58.233007988049998</v>
      </c>
      <c r="AI38" s="9">
        <v>58.233007988049998</v>
      </c>
      <c r="AJ38" s="9">
        <v>58.233007988049998</v>
      </c>
      <c r="AK38" s="9">
        <v>58.233007988049998</v>
      </c>
      <c r="AL38" s="9">
        <v>58.233007988049998</v>
      </c>
      <c r="AM38" s="9">
        <v>58.233007988049998</v>
      </c>
      <c r="AN38" s="10">
        <v>0</v>
      </c>
      <c r="AO38" s="10">
        <v>20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20</v>
      </c>
      <c r="BA38" s="11">
        <f t="shared" si="1"/>
        <v>1.6666666666666667</v>
      </c>
      <c r="BC38" s="12">
        <v>0</v>
      </c>
      <c r="BD38" s="12">
        <v>1164.6601597609999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1164.6601597609999</v>
      </c>
      <c r="BP38" s="12">
        <f t="shared" si="3"/>
        <v>97.055013313416666</v>
      </c>
      <c r="BQ38" s="7"/>
      <c r="BR38" s="7"/>
      <c r="BS38" s="7" t="s">
        <v>51</v>
      </c>
      <c r="BT38" s="7" t="s">
        <v>52</v>
      </c>
      <c r="BU38" s="7">
        <v>15</v>
      </c>
      <c r="BV38" s="7">
        <v>10</v>
      </c>
      <c r="BW38" s="7">
        <v>5</v>
      </c>
      <c r="BX38" s="7">
        <v>20</v>
      </c>
      <c r="BY38" s="7">
        <v>5</v>
      </c>
      <c r="BZ38" s="7"/>
    </row>
    <row r="39" spans="1:78" x14ac:dyDescent="0.35">
      <c r="A39" s="7" t="s">
        <v>41</v>
      </c>
      <c r="B39" s="7"/>
      <c r="C39" s="7" t="s">
        <v>140</v>
      </c>
      <c r="D39" s="7" t="s">
        <v>80</v>
      </c>
      <c r="E39" s="7" t="s">
        <v>141</v>
      </c>
      <c r="F39" s="7" t="s">
        <v>142</v>
      </c>
      <c r="G39" s="7" t="s">
        <v>46</v>
      </c>
      <c r="H39" s="7"/>
      <c r="I39" s="7"/>
      <c r="J39" s="7" t="s">
        <v>47</v>
      </c>
      <c r="K39" s="7" t="s">
        <v>48</v>
      </c>
      <c r="L39" s="7" t="s">
        <v>49</v>
      </c>
      <c r="M39" s="7" t="s">
        <v>49</v>
      </c>
      <c r="N39" s="7" t="s">
        <v>104</v>
      </c>
      <c r="O39" s="7" t="s">
        <v>4</v>
      </c>
      <c r="P39" s="7">
        <v>13694</v>
      </c>
      <c r="Q39" s="7">
        <v>13694</v>
      </c>
      <c r="R39" s="7">
        <v>13694</v>
      </c>
      <c r="S39" s="7">
        <v>13694</v>
      </c>
      <c r="T39" s="7">
        <v>13694</v>
      </c>
      <c r="U39" s="7">
        <v>13694</v>
      </c>
      <c r="V39" s="7">
        <v>13694</v>
      </c>
      <c r="W39" s="7">
        <v>13694</v>
      </c>
      <c r="X39" s="7">
        <v>13694</v>
      </c>
      <c r="Y39" s="7">
        <v>13694</v>
      </c>
      <c r="Z39" s="7">
        <v>13694</v>
      </c>
      <c r="AA39" s="7">
        <v>13694</v>
      </c>
      <c r="AB39" s="9">
        <v>0.86678566455256001</v>
      </c>
      <c r="AC39" s="9">
        <v>0.86678566455256001</v>
      </c>
      <c r="AD39" s="9">
        <v>0.86678566455256001</v>
      </c>
      <c r="AE39" s="9">
        <v>0.86678566455256001</v>
      </c>
      <c r="AF39" s="9">
        <v>0.86678566455256001</v>
      </c>
      <c r="AG39" s="9">
        <v>0.86678566455256001</v>
      </c>
      <c r="AH39" s="9">
        <v>0.86678566455256001</v>
      </c>
      <c r="AI39" s="9">
        <v>0.86678566455256001</v>
      </c>
      <c r="AJ39" s="9">
        <v>0.86678566455256001</v>
      </c>
      <c r="AK39" s="9">
        <v>0.86678566455256001</v>
      </c>
      <c r="AL39" s="9">
        <v>0.86678566455256001</v>
      </c>
      <c r="AM39" s="9">
        <v>0.86678566455256001</v>
      </c>
      <c r="AN39" s="10">
        <v>0</v>
      </c>
      <c r="AO39" s="10">
        <v>6</v>
      </c>
      <c r="AP39" s="10">
        <v>0</v>
      </c>
      <c r="AQ39" s="10">
        <v>0</v>
      </c>
      <c r="AR39" s="10">
        <v>0</v>
      </c>
      <c r="AS39" s="10">
        <v>0</v>
      </c>
      <c r="AT39" s="10">
        <v>6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7">
        <f t="shared" si="0"/>
        <v>12</v>
      </c>
      <c r="BA39" s="11">
        <f t="shared" si="1"/>
        <v>1</v>
      </c>
      <c r="BC39" s="12">
        <v>0</v>
      </c>
      <c r="BD39" s="12">
        <v>5.2007139873153001</v>
      </c>
      <c r="BE39" s="12">
        <v>0</v>
      </c>
      <c r="BF39" s="12">
        <v>0</v>
      </c>
      <c r="BG39" s="12">
        <v>0</v>
      </c>
      <c r="BH39" s="12">
        <v>0</v>
      </c>
      <c r="BI39" s="12">
        <v>5.2007139873153001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f t="shared" si="2"/>
        <v>10.4014279746306</v>
      </c>
      <c r="BP39" s="12">
        <f t="shared" si="3"/>
        <v>0.86678566455255002</v>
      </c>
      <c r="BQ39" s="7"/>
      <c r="BR39" s="7"/>
      <c r="BS39" s="7" t="s">
        <v>51</v>
      </c>
      <c r="BT39" s="7" t="s">
        <v>52</v>
      </c>
      <c r="BU39" s="7">
        <v>15</v>
      </c>
      <c r="BV39" s="7">
        <v>10</v>
      </c>
      <c r="BW39" s="7">
        <v>5</v>
      </c>
      <c r="BX39" s="7">
        <v>20</v>
      </c>
      <c r="BY39" s="7">
        <v>5</v>
      </c>
      <c r="BZ39" s="7"/>
    </row>
    <row r="40" spans="1:78" x14ac:dyDescent="0.35">
      <c r="A40" s="7" t="s">
        <v>41</v>
      </c>
      <c r="B40" s="7"/>
      <c r="C40" s="7" t="s">
        <v>143</v>
      </c>
      <c r="D40" s="7" t="s">
        <v>144</v>
      </c>
      <c r="E40" s="7" t="s">
        <v>145</v>
      </c>
      <c r="F40" s="7" t="s">
        <v>146</v>
      </c>
      <c r="G40" s="7" t="s">
        <v>46</v>
      </c>
      <c r="H40" s="7"/>
      <c r="I40" s="7"/>
      <c r="J40" s="7" t="s">
        <v>47</v>
      </c>
      <c r="K40" s="7" t="s">
        <v>48</v>
      </c>
      <c r="L40" s="7" t="s">
        <v>49</v>
      </c>
      <c r="M40" s="7" t="s">
        <v>49</v>
      </c>
      <c r="N40" s="7" t="s">
        <v>50</v>
      </c>
      <c r="O40" s="7" t="s">
        <v>4</v>
      </c>
      <c r="P40" s="7">
        <v>448050</v>
      </c>
      <c r="Q40" s="7">
        <v>448050</v>
      </c>
      <c r="R40" s="7">
        <v>448050</v>
      </c>
      <c r="S40" s="7">
        <v>448050</v>
      </c>
      <c r="T40" s="7">
        <v>448050</v>
      </c>
      <c r="U40" s="7">
        <v>448050</v>
      </c>
      <c r="V40" s="7">
        <v>448050</v>
      </c>
      <c r="W40" s="7">
        <v>448050</v>
      </c>
      <c r="X40" s="7">
        <v>448050</v>
      </c>
      <c r="Y40" s="7">
        <v>448050</v>
      </c>
      <c r="Z40" s="7">
        <v>448050</v>
      </c>
      <c r="AA40" s="7">
        <v>448050</v>
      </c>
      <c r="AB40" s="9">
        <v>28.360107857658001</v>
      </c>
      <c r="AC40" s="9">
        <v>28.360107857658001</v>
      </c>
      <c r="AD40" s="9">
        <v>28.360107857658001</v>
      </c>
      <c r="AE40" s="9">
        <v>28.360107857658001</v>
      </c>
      <c r="AF40" s="9">
        <v>28.360107857658001</v>
      </c>
      <c r="AG40" s="9">
        <v>28.360107857658001</v>
      </c>
      <c r="AH40" s="9">
        <v>28.360107857658001</v>
      </c>
      <c r="AI40" s="9">
        <v>28.360107857658001</v>
      </c>
      <c r="AJ40" s="9">
        <v>28.360107857658001</v>
      </c>
      <c r="AK40" s="9">
        <v>28.360107857658001</v>
      </c>
      <c r="AL40" s="9">
        <v>28.360107857658001</v>
      </c>
      <c r="AM40" s="9">
        <v>28.360107857658001</v>
      </c>
      <c r="AN40" s="10">
        <v>0</v>
      </c>
      <c r="AO40" s="10">
        <v>10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7">
        <f t="shared" si="0"/>
        <v>10</v>
      </c>
      <c r="BA40" s="11">
        <f t="shared" si="1"/>
        <v>0.83333333333333337</v>
      </c>
      <c r="BC40" s="12">
        <v>0</v>
      </c>
      <c r="BD40" s="12">
        <v>283.60107857657999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f t="shared" si="2"/>
        <v>283.60107857657999</v>
      </c>
      <c r="BP40" s="12">
        <f t="shared" si="3"/>
        <v>23.633423214714998</v>
      </c>
      <c r="BQ40" s="7"/>
      <c r="BR40" s="7"/>
      <c r="BS40" s="7" t="s">
        <v>51</v>
      </c>
      <c r="BT40" s="7" t="s">
        <v>52</v>
      </c>
      <c r="BU40" s="7">
        <v>15</v>
      </c>
      <c r="BV40" s="7">
        <v>10</v>
      </c>
      <c r="BW40" s="7">
        <v>5</v>
      </c>
      <c r="BX40" s="7">
        <v>20</v>
      </c>
      <c r="BY40" s="7">
        <v>5</v>
      </c>
      <c r="BZ40" s="7"/>
    </row>
    <row r="41" spans="1:78" x14ac:dyDescent="0.35">
      <c r="A41" s="7" t="s">
        <v>41</v>
      </c>
      <c r="B41" s="7"/>
      <c r="C41" s="7" t="s">
        <v>147</v>
      </c>
      <c r="D41" s="7" t="s">
        <v>148</v>
      </c>
      <c r="E41" s="7" t="s">
        <v>149</v>
      </c>
      <c r="F41" s="7" t="s">
        <v>150</v>
      </c>
      <c r="G41" s="7" t="s">
        <v>46</v>
      </c>
      <c r="H41" s="7"/>
      <c r="I41" s="7"/>
      <c r="J41" s="7" t="s">
        <v>151</v>
      </c>
      <c r="K41" s="7" t="s">
        <v>48</v>
      </c>
      <c r="L41" s="7" t="s">
        <v>49</v>
      </c>
      <c r="M41" s="7" t="s">
        <v>49</v>
      </c>
      <c r="N41" s="7" t="s">
        <v>87</v>
      </c>
      <c r="O41" s="7" t="s">
        <v>4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560000</v>
      </c>
      <c r="AA41" s="7">
        <v>560000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35.446178775335</v>
      </c>
      <c r="AM41" s="9">
        <v>35.446178775335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7">
        <f t="shared" si="0"/>
        <v>0</v>
      </c>
      <c r="BA41" s="11">
        <f t="shared" si="1"/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f t="shared" si="2"/>
        <v>0</v>
      </c>
      <c r="BP41" s="12">
        <f t="shared" si="3"/>
        <v>0</v>
      </c>
      <c r="BQ41" s="7"/>
      <c r="BR41" s="7"/>
      <c r="BS41" s="7" t="s">
        <v>88</v>
      </c>
      <c r="BT41" s="7" t="s">
        <v>52</v>
      </c>
      <c r="BU41" s="7">
        <v>0</v>
      </c>
      <c r="BV41" s="7">
        <v>5</v>
      </c>
      <c r="BW41" s="7">
        <v>0</v>
      </c>
      <c r="BX41" s="7">
        <v>15</v>
      </c>
      <c r="BY41" s="7">
        <v>15</v>
      </c>
      <c r="BZ41" s="7"/>
    </row>
    <row r="42" spans="1:78" x14ac:dyDescent="0.35">
      <c r="A42" s="7" t="s">
        <v>41</v>
      </c>
      <c r="B42" s="7"/>
      <c r="C42" s="7" t="s">
        <v>152</v>
      </c>
      <c r="D42" s="7" t="s">
        <v>153</v>
      </c>
      <c r="E42" s="7" t="s">
        <v>153</v>
      </c>
      <c r="F42" s="7" t="s">
        <v>154</v>
      </c>
      <c r="G42" s="7" t="s">
        <v>46</v>
      </c>
      <c r="H42" s="7"/>
      <c r="I42" s="7"/>
      <c r="J42" s="7" t="s">
        <v>155</v>
      </c>
      <c r="K42" s="7" t="s">
        <v>154</v>
      </c>
      <c r="L42" s="7" t="s">
        <v>156</v>
      </c>
      <c r="M42" s="7" t="s">
        <v>157</v>
      </c>
      <c r="N42" s="7" t="s">
        <v>50</v>
      </c>
      <c r="O42" s="7" t="s">
        <v>4</v>
      </c>
      <c r="P42" s="7">
        <v>57500</v>
      </c>
      <c r="Q42" s="7">
        <v>57500</v>
      </c>
      <c r="R42" s="7">
        <v>57500</v>
      </c>
      <c r="S42" s="7">
        <v>57500</v>
      </c>
      <c r="T42" s="7">
        <v>57500</v>
      </c>
      <c r="U42" s="7">
        <v>57500</v>
      </c>
      <c r="V42" s="7">
        <v>57500</v>
      </c>
      <c r="W42" s="7">
        <v>57500</v>
      </c>
      <c r="X42" s="7">
        <v>57500</v>
      </c>
      <c r="Y42" s="7">
        <v>57500</v>
      </c>
      <c r="Z42" s="7">
        <v>57500</v>
      </c>
      <c r="AA42" s="7">
        <v>57500</v>
      </c>
      <c r="AB42" s="9">
        <v>3.6395629992531</v>
      </c>
      <c r="AC42" s="9">
        <v>3.6395629992531</v>
      </c>
      <c r="AD42" s="9">
        <v>3.6395629992531</v>
      </c>
      <c r="AE42" s="9">
        <v>3.6395629992531</v>
      </c>
      <c r="AF42" s="9">
        <v>3.6395629992531</v>
      </c>
      <c r="AG42" s="9">
        <v>3.6395629992531</v>
      </c>
      <c r="AH42" s="9">
        <v>3.6395629992531</v>
      </c>
      <c r="AI42" s="9">
        <v>3.6395629992531</v>
      </c>
      <c r="AJ42" s="9">
        <v>3.6395629992531</v>
      </c>
      <c r="AK42" s="9">
        <v>3.6395629992531</v>
      </c>
      <c r="AL42" s="9">
        <v>3.6395629992531</v>
      </c>
      <c r="AM42" s="9">
        <v>3.6395629992531</v>
      </c>
      <c r="AN42" s="10">
        <v>0</v>
      </c>
      <c r="AO42" s="10">
        <v>36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7">
        <f t="shared" si="0"/>
        <v>36</v>
      </c>
      <c r="BA42" s="11">
        <f t="shared" si="1"/>
        <v>3</v>
      </c>
      <c r="BC42" s="12">
        <v>0</v>
      </c>
      <c r="BD42" s="12">
        <v>131.02426797311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f t="shared" si="2"/>
        <v>131.02426797311</v>
      </c>
      <c r="BP42" s="12">
        <f t="shared" si="3"/>
        <v>10.918688997759167</v>
      </c>
      <c r="BQ42" s="7"/>
      <c r="BR42" s="7"/>
      <c r="BS42" s="7" t="s">
        <v>51</v>
      </c>
      <c r="BT42" s="7" t="s">
        <v>52</v>
      </c>
      <c r="BU42" s="7">
        <v>15</v>
      </c>
      <c r="BV42" s="7">
        <v>10</v>
      </c>
      <c r="BW42" s="7">
        <v>5</v>
      </c>
      <c r="BX42" s="7">
        <v>20</v>
      </c>
      <c r="BY42" s="7">
        <v>5</v>
      </c>
      <c r="BZ42" s="7"/>
    </row>
    <row r="43" spans="1:78" x14ac:dyDescent="0.35">
      <c r="A43" s="7" t="s">
        <v>41</v>
      </c>
      <c r="B43" s="7"/>
      <c r="C43" s="7" t="s">
        <v>158</v>
      </c>
      <c r="D43" s="7" t="s">
        <v>159</v>
      </c>
      <c r="E43" s="7" t="s">
        <v>159</v>
      </c>
      <c r="F43" s="7" t="s">
        <v>154</v>
      </c>
      <c r="G43" s="7" t="s">
        <v>46</v>
      </c>
      <c r="H43" s="7"/>
      <c r="I43" s="7"/>
      <c r="J43" s="7" t="s">
        <v>155</v>
      </c>
      <c r="K43" s="7" t="s">
        <v>154</v>
      </c>
      <c r="L43" s="7" t="s">
        <v>156</v>
      </c>
      <c r="M43" s="7" t="s">
        <v>157</v>
      </c>
      <c r="N43" s="7" t="s">
        <v>50</v>
      </c>
      <c r="O43" s="7" t="s">
        <v>4</v>
      </c>
      <c r="P43" s="7">
        <v>7500</v>
      </c>
      <c r="Q43" s="7">
        <v>7500</v>
      </c>
      <c r="R43" s="7">
        <v>7500</v>
      </c>
      <c r="S43" s="7">
        <v>7500</v>
      </c>
      <c r="T43" s="7">
        <v>7500</v>
      </c>
      <c r="U43" s="7">
        <v>7500</v>
      </c>
      <c r="V43" s="7">
        <v>7500</v>
      </c>
      <c r="W43" s="7">
        <v>7500</v>
      </c>
      <c r="X43" s="7">
        <v>7500</v>
      </c>
      <c r="Y43" s="7">
        <v>7500</v>
      </c>
      <c r="Z43" s="7">
        <v>7500</v>
      </c>
      <c r="AA43" s="7">
        <v>7500</v>
      </c>
      <c r="AB43" s="9">
        <v>0.47472560859822999</v>
      </c>
      <c r="AC43" s="9">
        <v>0.47472560859822999</v>
      </c>
      <c r="AD43" s="9">
        <v>0.47472560859822999</v>
      </c>
      <c r="AE43" s="9">
        <v>0.47472560859822999</v>
      </c>
      <c r="AF43" s="9">
        <v>0.47472560859822999</v>
      </c>
      <c r="AG43" s="9">
        <v>0.47472560859822999</v>
      </c>
      <c r="AH43" s="9">
        <v>0.47472560859822999</v>
      </c>
      <c r="AI43" s="9">
        <v>0.47472560859822999</v>
      </c>
      <c r="AJ43" s="9">
        <v>0.47472560859822999</v>
      </c>
      <c r="AK43" s="9">
        <v>0.47472560859822999</v>
      </c>
      <c r="AL43" s="9">
        <v>0.47472560859822999</v>
      </c>
      <c r="AM43" s="9">
        <v>0.47472560859822999</v>
      </c>
      <c r="AN43" s="10">
        <v>0</v>
      </c>
      <c r="AO43" s="10">
        <v>6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7">
        <f t="shared" si="0"/>
        <v>6</v>
      </c>
      <c r="BA43" s="11">
        <f t="shared" si="1"/>
        <v>0.5</v>
      </c>
      <c r="BC43" s="12">
        <v>0</v>
      </c>
      <c r="BD43" s="12">
        <v>2.8483536515894001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f t="shared" si="2"/>
        <v>2.8483536515894001</v>
      </c>
      <c r="BP43" s="12">
        <f t="shared" si="3"/>
        <v>0.23736280429911669</v>
      </c>
      <c r="BQ43" s="7"/>
      <c r="BR43" s="7"/>
      <c r="BS43" s="7" t="s">
        <v>51</v>
      </c>
      <c r="BT43" s="7" t="s">
        <v>52</v>
      </c>
      <c r="BU43" s="7">
        <v>15</v>
      </c>
      <c r="BV43" s="7">
        <v>10</v>
      </c>
      <c r="BW43" s="7">
        <v>5</v>
      </c>
      <c r="BX43" s="7">
        <v>20</v>
      </c>
      <c r="BY43" s="7">
        <v>5</v>
      </c>
      <c r="BZ43" s="7"/>
    </row>
    <row r="44" spans="1:78" x14ac:dyDescent="0.35">
      <c r="A44" s="7" t="s">
        <v>41</v>
      </c>
      <c r="B44" s="7"/>
      <c r="C44" s="7" t="s">
        <v>160</v>
      </c>
      <c r="D44" s="7" t="s">
        <v>161</v>
      </c>
      <c r="E44" s="7" t="s">
        <v>162</v>
      </c>
      <c r="F44" s="7" t="s">
        <v>163</v>
      </c>
      <c r="G44" s="7" t="s">
        <v>46</v>
      </c>
      <c r="H44" s="7"/>
      <c r="I44" s="7"/>
      <c r="J44" s="7" t="s">
        <v>155</v>
      </c>
      <c r="K44" s="7" t="s">
        <v>164</v>
      </c>
      <c r="L44" s="7" t="s">
        <v>165</v>
      </c>
      <c r="M44" s="7" t="s">
        <v>166</v>
      </c>
      <c r="N44" s="7" t="s">
        <v>167</v>
      </c>
      <c r="O44" s="7" t="s">
        <v>4</v>
      </c>
      <c r="P44" s="7">
        <v>1210000</v>
      </c>
      <c r="Q44" s="7">
        <v>1210000</v>
      </c>
      <c r="R44" s="7">
        <v>1210000</v>
      </c>
      <c r="S44" s="7">
        <v>1210000</v>
      </c>
      <c r="T44" s="7">
        <v>1210000</v>
      </c>
      <c r="U44" s="7">
        <v>1210000</v>
      </c>
      <c r="V44" s="7">
        <v>1210000</v>
      </c>
      <c r="W44" s="7">
        <v>1210000</v>
      </c>
      <c r="X44" s="7">
        <v>1210000</v>
      </c>
      <c r="Y44" s="7">
        <v>1210000</v>
      </c>
      <c r="Z44" s="7">
        <v>1210000</v>
      </c>
      <c r="AA44" s="7">
        <v>1210000</v>
      </c>
      <c r="AB44" s="9">
        <v>76.589064853848001</v>
      </c>
      <c r="AC44" s="9">
        <v>76.589064853848001</v>
      </c>
      <c r="AD44" s="9">
        <v>76.589064853848001</v>
      </c>
      <c r="AE44" s="9">
        <v>76.589064853848001</v>
      </c>
      <c r="AF44" s="9">
        <v>76.589064853848001</v>
      </c>
      <c r="AG44" s="9">
        <v>76.589064853848001</v>
      </c>
      <c r="AH44" s="9">
        <v>76.589064853848001</v>
      </c>
      <c r="AI44" s="9">
        <v>76.589064853848001</v>
      </c>
      <c r="AJ44" s="9">
        <v>76.589064853848001</v>
      </c>
      <c r="AK44" s="9">
        <v>76.589064853848001</v>
      </c>
      <c r="AL44" s="9">
        <v>76.589064853848001</v>
      </c>
      <c r="AM44" s="9">
        <v>76.589064853848001</v>
      </c>
      <c r="AN44" s="10">
        <v>0</v>
      </c>
      <c r="AO44" s="10">
        <v>1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1</v>
      </c>
      <c r="BA44" s="11">
        <f t="shared" si="1"/>
        <v>8.3333333333333329E-2</v>
      </c>
      <c r="BC44" s="12">
        <v>0</v>
      </c>
      <c r="BD44" s="12">
        <v>76.589064853848001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76.589064853848001</v>
      </c>
      <c r="BP44" s="12">
        <f t="shared" si="3"/>
        <v>6.3824220711540001</v>
      </c>
      <c r="BQ44" s="7"/>
      <c r="BR44" s="7"/>
      <c r="BS44" s="7" t="s">
        <v>51</v>
      </c>
      <c r="BT44" s="7" t="s">
        <v>52</v>
      </c>
      <c r="BU44" s="7">
        <v>15</v>
      </c>
      <c r="BV44" s="7">
        <v>10</v>
      </c>
      <c r="BW44" s="7">
        <v>5</v>
      </c>
      <c r="BX44" s="7">
        <v>20</v>
      </c>
      <c r="BY44" s="7">
        <v>5</v>
      </c>
      <c r="BZ44" s="7"/>
    </row>
    <row r="45" spans="1:78" x14ac:dyDescent="0.35">
      <c r="A45" s="7" t="s">
        <v>41</v>
      </c>
      <c r="B45" s="7"/>
      <c r="C45" s="7" t="s">
        <v>168</v>
      </c>
      <c r="D45" s="7" t="s">
        <v>169</v>
      </c>
      <c r="E45" s="7" t="s">
        <v>169</v>
      </c>
      <c r="F45" s="7" t="s">
        <v>170</v>
      </c>
      <c r="G45" s="7" t="s">
        <v>46</v>
      </c>
      <c r="H45" s="7"/>
      <c r="I45" s="7"/>
      <c r="J45" s="7" t="s">
        <v>155</v>
      </c>
      <c r="K45" s="7" t="s">
        <v>170</v>
      </c>
      <c r="L45" s="7" t="s">
        <v>156</v>
      </c>
      <c r="M45" s="7" t="s">
        <v>157</v>
      </c>
      <c r="N45" s="7" t="s">
        <v>50</v>
      </c>
      <c r="O45" s="7" t="s">
        <v>4</v>
      </c>
      <c r="P45" s="7">
        <v>23063</v>
      </c>
      <c r="Q45" s="7">
        <v>23063</v>
      </c>
      <c r="R45" s="7">
        <v>23063</v>
      </c>
      <c r="S45" s="7">
        <v>23063</v>
      </c>
      <c r="T45" s="7">
        <v>23063</v>
      </c>
      <c r="U45" s="7">
        <v>23063</v>
      </c>
      <c r="V45" s="7">
        <v>23063</v>
      </c>
      <c r="W45" s="7">
        <v>23063</v>
      </c>
      <c r="X45" s="7">
        <v>23063</v>
      </c>
      <c r="Y45" s="7">
        <v>23063</v>
      </c>
      <c r="Z45" s="7">
        <v>23063</v>
      </c>
      <c r="AA45" s="7">
        <v>23063</v>
      </c>
      <c r="AB45" s="9">
        <v>1.4598128948135001</v>
      </c>
      <c r="AC45" s="9">
        <v>1.4598128948135001</v>
      </c>
      <c r="AD45" s="9">
        <v>1.4598128948135001</v>
      </c>
      <c r="AE45" s="9">
        <v>1.4598128948135001</v>
      </c>
      <c r="AF45" s="9">
        <v>1.4598128948135001</v>
      </c>
      <c r="AG45" s="9">
        <v>1.4598128948135001</v>
      </c>
      <c r="AH45" s="9">
        <v>1.4598128948135001</v>
      </c>
      <c r="AI45" s="9">
        <v>1.4598128948135001</v>
      </c>
      <c r="AJ45" s="9">
        <v>1.4598128948135001</v>
      </c>
      <c r="AK45" s="9">
        <v>1.4598128948135001</v>
      </c>
      <c r="AL45" s="9">
        <v>1.4598128948135001</v>
      </c>
      <c r="AM45" s="9">
        <v>1.4598128948135001</v>
      </c>
      <c r="AN45" s="10">
        <v>0</v>
      </c>
      <c r="AO45" s="10">
        <v>2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7">
        <f t="shared" si="0"/>
        <v>2</v>
      </c>
      <c r="BA45" s="11">
        <f t="shared" si="1"/>
        <v>0.16666666666666666</v>
      </c>
      <c r="BC45" s="12">
        <v>0</v>
      </c>
      <c r="BD45" s="12">
        <v>2.9196257896268998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f t="shared" si="2"/>
        <v>2.9196257896268998</v>
      </c>
      <c r="BP45" s="12">
        <f t="shared" si="3"/>
        <v>0.24330214913557499</v>
      </c>
      <c r="BQ45" s="7"/>
      <c r="BR45" s="7"/>
      <c r="BS45" s="7" t="s">
        <v>51</v>
      </c>
      <c r="BT45" s="7" t="s">
        <v>52</v>
      </c>
      <c r="BU45" s="7">
        <v>15</v>
      </c>
      <c r="BV45" s="7">
        <v>10</v>
      </c>
      <c r="BW45" s="7">
        <v>5</v>
      </c>
      <c r="BX45" s="7">
        <v>20</v>
      </c>
      <c r="BY45" s="7">
        <v>5</v>
      </c>
      <c r="BZ45" s="7"/>
    </row>
    <row r="46" spans="1:78" x14ac:dyDescent="0.35">
      <c r="A46" s="7" t="s">
        <v>41</v>
      </c>
      <c r="B46" s="7"/>
      <c r="C46" s="7" t="s">
        <v>168</v>
      </c>
      <c r="D46" s="7" t="s">
        <v>169</v>
      </c>
      <c r="E46" s="7" t="s">
        <v>169</v>
      </c>
      <c r="F46" s="7" t="s">
        <v>154</v>
      </c>
      <c r="G46" s="7" t="s">
        <v>46</v>
      </c>
      <c r="H46" s="7"/>
      <c r="I46" s="7"/>
      <c r="J46" s="7" t="s">
        <v>155</v>
      </c>
      <c r="K46" s="7" t="s">
        <v>154</v>
      </c>
      <c r="L46" s="7" t="s">
        <v>156</v>
      </c>
      <c r="M46" s="7" t="s">
        <v>157</v>
      </c>
      <c r="N46" s="7" t="s">
        <v>50</v>
      </c>
      <c r="O46" s="7" t="s">
        <v>4</v>
      </c>
      <c r="P46" s="7">
        <v>23063</v>
      </c>
      <c r="Q46" s="7">
        <v>23063</v>
      </c>
      <c r="R46" s="7">
        <v>23063</v>
      </c>
      <c r="S46" s="7">
        <v>23063</v>
      </c>
      <c r="T46" s="7">
        <v>23063</v>
      </c>
      <c r="U46" s="7">
        <v>23063</v>
      </c>
      <c r="V46" s="7">
        <v>23063</v>
      </c>
      <c r="W46" s="7">
        <v>23063</v>
      </c>
      <c r="X46" s="7">
        <v>23063</v>
      </c>
      <c r="Y46" s="7">
        <v>23063</v>
      </c>
      <c r="Z46" s="7">
        <v>23063</v>
      </c>
      <c r="AA46" s="7">
        <v>23063</v>
      </c>
      <c r="AB46" s="9">
        <v>1.4598128948135001</v>
      </c>
      <c r="AC46" s="9">
        <v>1.4598128948135001</v>
      </c>
      <c r="AD46" s="9">
        <v>1.4598128948135001</v>
      </c>
      <c r="AE46" s="9">
        <v>1.4598128948135001</v>
      </c>
      <c r="AF46" s="9">
        <v>1.4598128948135001</v>
      </c>
      <c r="AG46" s="9">
        <v>1.4598128948135001</v>
      </c>
      <c r="AH46" s="9">
        <v>1.4598128948135001</v>
      </c>
      <c r="AI46" s="9">
        <v>1.4598128948135001</v>
      </c>
      <c r="AJ46" s="9">
        <v>1.4598128948135001</v>
      </c>
      <c r="AK46" s="9">
        <v>1.4598128948135001</v>
      </c>
      <c r="AL46" s="9">
        <v>1.4598128948135001</v>
      </c>
      <c r="AM46" s="9">
        <v>1.4598128948135001</v>
      </c>
      <c r="AN46" s="10">
        <v>0</v>
      </c>
      <c r="AO46" s="10">
        <v>2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7">
        <f t="shared" si="0"/>
        <v>2</v>
      </c>
      <c r="BA46" s="11">
        <f t="shared" si="1"/>
        <v>0.16666666666666666</v>
      </c>
      <c r="BC46" s="12">
        <v>0</v>
      </c>
      <c r="BD46" s="12">
        <v>2.9196257896268998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f t="shared" si="2"/>
        <v>2.9196257896268998</v>
      </c>
      <c r="BP46" s="12">
        <f t="shared" si="3"/>
        <v>0.24330214913557499</v>
      </c>
      <c r="BQ46" s="7"/>
      <c r="BR46" s="7"/>
      <c r="BS46" s="7" t="s">
        <v>51</v>
      </c>
      <c r="BT46" s="7" t="s">
        <v>52</v>
      </c>
      <c r="BU46" s="7">
        <v>15</v>
      </c>
      <c r="BV46" s="7">
        <v>10</v>
      </c>
      <c r="BW46" s="7">
        <v>5</v>
      </c>
      <c r="BX46" s="7">
        <v>20</v>
      </c>
      <c r="BY46" s="7">
        <v>5</v>
      </c>
      <c r="BZ46" s="7"/>
    </row>
    <row r="47" spans="1:78" x14ac:dyDescent="0.35">
      <c r="A47" s="7" t="s">
        <v>41</v>
      </c>
      <c r="B47" s="7"/>
      <c r="C47" s="7" t="s">
        <v>160</v>
      </c>
      <c r="D47" s="7" t="s">
        <v>161</v>
      </c>
      <c r="E47" s="7" t="s">
        <v>162</v>
      </c>
      <c r="F47" s="7" t="s">
        <v>170</v>
      </c>
      <c r="G47" s="7" t="s">
        <v>46</v>
      </c>
      <c r="H47" s="7"/>
      <c r="I47" s="7"/>
      <c r="J47" s="7" t="s">
        <v>155</v>
      </c>
      <c r="K47" s="7" t="s">
        <v>170</v>
      </c>
      <c r="L47" s="7" t="s">
        <v>156</v>
      </c>
      <c r="M47" s="7" t="s">
        <v>157</v>
      </c>
      <c r="N47" s="7" t="s">
        <v>167</v>
      </c>
      <c r="O47" s="7" t="s">
        <v>4</v>
      </c>
      <c r="P47" s="7">
        <v>1210000</v>
      </c>
      <c r="Q47" s="7">
        <v>1210000</v>
      </c>
      <c r="R47" s="7">
        <v>1210000</v>
      </c>
      <c r="S47" s="7">
        <v>1210000</v>
      </c>
      <c r="T47" s="7">
        <v>1210000</v>
      </c>
      <c r="U47" s="7">
        <v>1210000</v>
      </c>
      <c r="V47" s="7">
        <v>1210000</v>
      </c>
      <c r="W47" s="7">
        <v>1210000</v>
      </c>
      <c r="X47" s="7">
        <v>1210000</v>
      </c>
      <c r="Y47" s="7">
        <v>1210000</v>
      </c>
      <c r="Z47" s="7">
        <v>1210000</v>
      </c>
      <c r="AA47" s="7">
        <v>1210000</v>
      </c>
      <c r="AB47" s="9">
        <v>76.589064853848001</v>
      </c>
      <c r="AC47" s="9">
        <v>76.589064853848001</v>
      </c>
      <c r="AD47" s="9">
        <v>76.589064853848001</v>
      </c>
      <c r="AE47" s="9">
        <v>76.589064853848001</v>
      </c>
      <c r="AF47" s="9">
        <v>76.589064853848001</v>
      </c>
      <c r="AG47" s="9">
        <v>76.589064853848001</v>
      </c>
      <c r="AH47" s="9">
        <v>76.589064853848001</v>
      </c>
      <c r="AI47" s="9">
        <v>76.589064853848001</v>
      </c>
      <c r="AJ47" s="9">
        <v>76.589064853848001</v>
      </c>
      <c r="AK47" s="9">
        <v>76.589064853848001</v>
      </c>
      <c r="AL47" s="9">
        <v>76.589064853848001</v>
      </c>
      <c r="AM47" s="9">
        <v>76.589064853848001</v>
      </c>
      <c r="AN47" s="10">
        <v>0</v>
      </c>
      <c r="AO47" s="10">
        <v>1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7">
        <f t="shared" si="0"/>
        <v>1</v>
      </c>
      <c r="BA47" s="11">
        <f t="shared" si="1"/>
        <v>8.3333333333333329E-2</v>
      </c>
      <c r="BC47" s="12">
        <v>0</v>
      </c>
      <c r="BD47" s="12">
        <v>76.589064853848001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f t="shared" si="2"/>
        <v>76.589064853848001</v>
      </c>
      <c r="BP47" s="12">
        <f t="shared" si="3"/>
        <v>6.3824220711540001</v>
      </c>
      <c r="BQ47" s="7"/>
      <c r="BR47" s="7"/>
      <c r="BS47" s="7" t="s">
        <v>51</v>
      </c>
      <c r="BT47" s="7" t="s">
        <v>52</v>
      </c>
      <c r="BU47" s="7">
        <v>15</v>
      </c>
      <c r="BV47" s="7">
        <v>10</v>
      </c>
      <c r="BW47" s="7">
        <v>5</v>
      </c>
      <c r="BX47" s="7">
        <v>20</v>
      </c>
      <c r="BY47" s="7">
        <v>5</v>
      </c>
      <c r="BZ47" s="7"/>
    </row>
    <row r="48" spans="1:78" x14ac:dyDescent="0.35">
      <c r="A48" s="7" t="s">
        <v>41</v>
      </c>
      <c r="B48" s="7"/>
      <c r="C48" s="7" t="s">
        <v>168</v>
      </c>
      <c r="D48" s="7" t="s">
        <v>169</v>
      </c>
      <c r="E48" s="7" t="s">
        <v>169</v>
      </c>
      <c r="F48" s="7" t="s">
        <v>163</v>
      </c>
      <c r="G48" s="7" t="s">
        <v>46</v>
      </c>
      <c r="H48" s="7"/>
      <c r="I48" s="7"/>
      <c r="J48" s="7" t="s">
        <v>155</v>
      </c>
      <c r="K48" s="7" t="s">
        <v>164</v>
      </c>
      <c r="L48" s="7" t="s">
        <v>165</v>
      </c>
      <c r="M48" s="7" t="s">
        <v>166</v>
      </c>
      <c r="N48" s="7" t="s">
        <v>50</v>
      </c>
      <c r="O48" s="7" t="s">
        <v>4</v>
      </c>
      <c r="P48" s="7">
        <v>23063</v>
      </c>
      <c r="Q48" s="7">
        <v>23063</v>
      </c>
      <c r="R48" s="7">
        <v>23063</v>
      </c>
      <c r="S48" s="7">
        <v>23063</v>
      </c>
      <c r="T48" s="7">
        <v>23063</v>
      </c>
      <c r="U48" s="7">
        <v>23063</v>
      </c>
      <c r="V48" s="7">
        <v>23063</v>
      </c>
      <c r="W48" s="7">
        <v>23063</v>
      </c>
      <c r="X48" s="7">
        <v>23063</v>
      </c>
      <c r="Y48" s="7">
        <v>23063</v>
      </c>
      <c r="Z48" s="7">
        <v>23063</v>
      </c>
      <c r="AA48" s="7">
        <v>23063</v>
      </c>
      <c r="AB48" s="9">
        <v>1.4598128948135001</v>
      </c>
      <c r="AC48" s="9">
        <v>1.4598128948135001</v>
      </c>
      <c r="AD48" s="9">
        <v>1.4598128948135001</v>
      </c>
      <c r="AE48" s="9">
        <v>1.4598128948135001</v>
      </c>
      <c r="AF48" s="9">
        <v>1.4598128948135001</v>
      </c>
      <c r="AG48" s="9">
        <v>1.4598128948135001</v>
      </c>
      <c r="AH48" s="9">
        <v>1.4598128948135001</v>
      </c>
      <c r="AI48" s="9">
        <v>1.4598128948135001</v>
      </c>
      <c r="AJ48" s="9">
        <v>1.4598128948135001</v>
      </c>
      <c r="AK48" s="9">
        <v>1.4598128948135001</v>
      </c>
      <c r="AL48" s="9">
        <v>1.4598128948135001</v>
      </c>
      <c r="AM48" s="9">
        <v>1.4598128948135001</v>
      </c>
      <c r="AN48" s="10">
        <v>0</v>
      </c>
      <c r="AO48" s="10">
        <v>2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7">
        <f t="shared" si="0"/>
        <v>2</v>
      </c>
      <c r="BA48" s="11">
        <f t="shared" si="1"/>
        <v>0.16666666666666666</v>
      </c>
      <c r="BC48" s="12">
        <v>0</v>
      </c>
      <c r="BD48" s="12">
        <v>2.9196257896268998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f t="shared" si="2"/>
        <v>2.9196257896268998</v>
      </c>
      <c r="BP48" s="12">
        <f t="shared" si="3"/>
        <v>0.24330214913557499</v>
      </c>
      <c r="BQ48" s="7"/>
      <c r="BR48" s="7"/>
      <c r="BS48" s="7" t="s">
        <v>51</v>
      </c>
      <c r="BT48" s="7" t="s">
        <v>52</v>
      </c>
      <c r="BU48" s="7">
        <v>15</v>
      </c>
      <c r="BV48" s="7">
        <v>10</v>
      </c>
      <c r="BW48" s="7">
        <v>5</v>
      </c>
      <c r="BX48" s="7">
        <v>20</v>
      </c>
      <c r="BY48" s="7">
        <v>5</v>
      </c>
      <c r="BZ48" s="7"/>
    </row>
    <row r="49" spans="1:78" x14ac:dyDescent="0.35">
      <c r="A49" s="7" t="s">
        <v>41</v>
      </c>
      <c r="B49" s="7"/>
      <c r="C49" s="7" t="s">
        <v>152</v>
      </c>
      <c r="D49" s="7" t="s">
        <v>153</v>
      </c>
      <c r="E49" s="7" t="s">
        <v>153</v>
      </c>
      <c r="F49" s="7" t="s">
        <v>170</v>
      </c>
      <c r="G49" s="7" t="s">
        <v>46</v>
      </c>
      <c r="H49" s="7"/>
      <c r="I49" s="7"/>
      <c r="J49" s="7" t="s">
        <v>155</v>
      </c>
      <c r="K49" s="7" t="s">
        <v>170</v>
      </c>
      <c r="L49" s="7" t="s">
        <v>156</v>
      </c>
      <c r="M49" s="7" t="s">
        <v>157</v>
      </c>
      <c r="N49" s="7" t="s">
        <v>50</v>
      </c>
      <c r="O49" s="7" t="s">
        <v>4</v>
      </c>
      <c r="P49" s="7">
        <v>57500</v>
      </c>
      <c r="Q49" s="7">
        <v>57500</v>
      </c>
      <c r="R49" s="7">
        <v>57500</v>
      </c>
      <c r="S49" s="7">
        <v>57500</v>
      </c>
      <c r="T49" s="7">
        <v>57500</v>
      </c>
      <c r="U49" s="7">
        <v>57500</v>
      </c>
      <c r="V49" s="7">
        <v>57500</v>
      </c>
      <c r="W49" s="7">
        <v>57500</v>
      </c>
      <c r="X49" s="7">
        <v>57500</v>
      </c>
      <c r="Y49" s="7">
        <v>57500</v>
      </c>
      <c r="Z49" s="7">
        <v>57500</v>
      </c>
      <c r="AA49" s="7">
        <v>57500</v>
      </c>
      <c r="AB49" s="9">
        <v>3.6395629992531</v>
      </c>
      <c r="AC49" s="9">
        <v>3.6395629992531</v>
      </c>
      <c r="AD49" s="9">
        <v>3.6395629992531</v>
      </c>
      <c r="AE49" s="9">
        <v>3.6395629992531</v>
      </c>
      <c r="AF49" s="9">
        <v>3.6395629992531</v>
      </c>
      <c r="AG49" s="9">
        <v>3.6395629992531</v>
      </c>
      <c r="AH49" s="9">
        <v>3.6395629992531</v>
      </c>
      <c r="AI49" s="9">
        <v>3.6395629992531</v>
      </c>
      <c r="AJ49" s="9">
        <v>3.6395629992531</v>
      </c>
      <c r="AK49" s="9">
        <v>3.6395629992531</v>
      </c>
      <c r="AL49" s="9">
        <v>3.6395629992531</v>
      </c>
      <c r="AM49" s="9">
        <v>3.6395629992531</v>
      </c>
      <c r="AN49" s="10">
        <v>0</v>
      </c>
      <c r="AO49" s="10">
        <v>36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7">
        <f t="shared" si="0"/>
        <v>36</v>
      </c>
      <c r="BA49" s="11">
        <f t="shared" si="1"/>
        <v>3</v>
      </c>
      <c r="BC49" s="12">
        <v>0</v>
      </c>
      <c r="BD49" s="12">
        <v>131.02426797311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f t="shared" si="2"/>
        <v>131.02426797311</v>
      </c>
      <c r="BP49" s="12">
        <f t="shared" si="3"/>
        <v>10.918688997759167</v>
      </c>
      <c r="BQ49" s="7"/>
      <c r="BR49" s="7"/>
      <c r="BS49" s="7" t="s">
        <v>51</v>
      </c>
      <c r="BT49" s="7" t="s">
        <v>52</v>
      </c>
      <c r="BU49" s="7">
        <v>15</v>
      </c>
      <c r="BV49" s="7">
        <v>10</v>
      </c>
      <c r="BW49" s="7">
        <v>5</v>
      </c>
      <c r="BX49" s="7">
        <v>20</v>
      </c>
      <c r="BY49" s="7">
        <v>5</v>
      </c>
      <c r="BZ49" s="7"/>
    </row>
    <row r="50" spans="1:78" x14ac:dyDescent="0.35">
      <c r="A50" s="7" t="s">
        <v>41</v>
      </c>
      <c r="B50" s="7"/>
      <c r="C50" s="7" t="s">
        <v>171</v>
      </c>
      <c r="D50" s="7" t="s">
        <v>172</v>
      </c>
      <c r="E50" s="7" t="s">
        <v>173</v>
      </c>
      <c r="F50" s="7" t="s">
        <v>154</v>
      </c>
      <c r="G50" s="7" t="s">
        <v>46</v>
      </c>
      <c r="H50" s="7"/>
      <c r="I50" s="7"/>
      <c r="J50" s="7" t="s">
        <v>155</v>
      </c>
      <c r="K50" s="7" t="s">
        <v>154</v>
      </c>
      <c r="L50" s="7" t="s">
        <v>156</v>
      </c>
      <c r="M50" s="7" t="s">
        <v>157</v>
      </c>
      <c r="N50" s="7" t="s">
        <v>50</v>
      </c>
      <c r="O50" s="7" t="s">
        <v>4</v>
      </c>
      <c r="P50" s="7">
        <v>116550</v>
      </c>
      <c r="Q50" s="7">
        <v>116550</v>
      </c>
      <c r="R50" s="7">
        <v>116550</v>
      </c>
      <c r="S50" s="7">
        <v>116550</v>
      </c>
      <c r="T50" s="7">
        <v>116550</v>
      </c>
      <c r="U50" s="7">
        <v>116550</v>
      </c>
      <c r="V50" s="7">
        <v>116550</v>
      </c>
      <c r="W50" s="7">
        <v>116550</v>
      </c>
      <c r="X50" s="7">
        <v>116550</v>
      </c>
      <c r="Y50" s="7">
        <v>116550</v>
      </c>
      <c r="Z50" s="7">
        <v>116550</v>
      </c>
      <c r="AA50" s="7">
        <v>116550</v>
      </c>
      <c r="AB50" s="9">
        <v>7.3772359576164996</v>
      </c>
      <c r="AC50" s="9">
        <v>7.3772359576164996</v>
      </c>
      <c r="AD50" s="9">
        <v>7.3772359576164996</v>
      </c>
      <c r="AE50" s="9">
        <v>7.3772359576164996</v>
      </c>
      <c r="AF50" s="9">
        <v>7.3772359576164996</v>
      </c>
      <c r="AG50" s="9">
        <v>7.3772359576164996</v>
      </c>
      <c r="AH50" s="9">
        <v>7.3772359576164996</v>
      </c>
      <c r="AI50" s="9">
        <v>7.3772359576164996</v>
      </c>
      <c r="AJ50" s="9">
        <v>7.3772359576164996</v>
      </c>
      <c r="AK50" s="9">
        <v>7.3772359576164996</v>
      </c>
      <c r="AL50" s="9">
        <v>7.3772359576164996</v>
      </c>
      <c r="AM50" s="9">
        <v>7.3772359576164996</v>
      </c>
      <c r="AN50" s="10">
        <v>0</v>
      </c>
      <c r="AO50" s="10">
        <v>1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0"/>
        <v>1</v>
      </c>
      <c r="BA50" s="11">
        <f t="shared" si="1"/>
        <v>8.3333333333333329E-2</v>
      </c>
      <c r="BC50" s="12">
        <v>0</v>
      </c>
      <c r="BD50" s="12">
        <v>7.3772359576164996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2"/>
        <v>7.3772359576164996</v>
      </c>
      <c r="BP50" s="12">
        <f t="shared" si="3"/>
        <v>0.61476966313470827</v>
      </c>
      <c r="BQ50" s="7"/>
      <c r="BR50" s="7"/>
      <c r="BS50" s="7" t="s">
        <v>51</v>
      </c>
      <c r="BT50" s="7" t="s">
        <v>52</v>
      </c>
      <c r="BU50" s="7">
        <v>15</v>
      </c>
      <c r="BV50" s="7">
        <v>10</v>
      </c>
      <c r="BW50" s="7">
        <v>5</v>
      </c>
      <c r="BX50" s="7">
        <v>20</v>
      </c>
      <c r="BY50" s="7">
        <v>5</v>
      </c>
      <c r="BZ50" s="7"/>
    </row>
    <row r="51" spans="1:78" x14ac:dyDescent="0.35">
      <c r="A51" s="7" t="s">
        <v>41</v>
      </c>
      <c r="B51" s="7"/>
      <c r="C51" s="7" t="s">
        <v>171</v>
      </c>
      <c r="D51" s="7" t="s">
        <v>172</v>
      </c>
      <c r="E51" s="7" t="s">
        <v>173</v>
      </c>
      <c r="F51" s="7" t="s">
        <v>163</v>
      </c>
      <c r="G51" s="7" t="s">
        <v>46</v>
      </c>
      <c r="H51" s="7"/>
      <c r="I51" s="7"/>
      <c r="J51" s="7" t="s">
        <v>155</v>
      </c>
      <c r="K51" s="7" t="s">
        <v>164</v>
      </c>
      <c r="L51" s="7" t="s">
        <v>165</v>
      </c>
      <c r="M51" s="7" t="s">
        <v>166</v>
      </c>
      <c r="N51" s="7" t="s">
        <v>50</v>
      </c>
      <c r="O51" s="7" t="s">
        <v>4</v>
      </c>
      <c r="P51" s="7">
        <v>116550</v>
      </c>
      <c r="Q51" s="7">
        <v>116550</v>
      </c>
      <c r="R51" s="7">
        <v>116550</v>
      </c>
      <c r="S51" s="7">
        <v>116550</v>
      </c>
      <c r="T51" s="7">
        <v>116550</v>
      </c>
      <c r="U51" s="7">
        <v>116550</v>
      </c>
      <c r="V51" s="7">
        <v>116550</v>
      </c>
      <c r="W51" s="7">
        <v>116550</v>
      </c>
      <c r="X51" s="7">
        <v>116550</v>
      </c>
      <c r="Y51" s="7">
        <v>116550</v>
      </c>
      <c r="Z51" s="7">
        <v>116550</v>
      </c>
      <c r="AA51" s="7">
        <v>116550</v>
      </c>
      <c r="AB51" s="9">
        <v>7.3772359576164996</v>
      </c>
      <c r="AC51" s="9">
        <v>7.3772359576164996</v>
      </c>
      <c r="AD51" s="9">
        <v>7.3772359576164996</v>
      </c>
      <c r="AE51" s="9">
        <v>7.3772359576164996</v>
      </c>
      <c r="AF51" s="9">
        <v>7.3772359576164996</v>
      </c>
      <c r="AG51" s="9">
        <v>7.3772359576164996</v>
      </c>
      <c r="AH51" s="9">
        <v>7.3772359576164996</v>
      </c>
      <c r="AI51" s="9">
        <v>7.3772359576164996</v>
      </c>
      <c r="AJ51" s="9">
        <v>7.3772359576164996</v>
      </c>
      <c r="AK51" s="9">
        <v>7.3772359576164996</v>
      </c>
      <c r="AL51" s="9">
        <v>7.3772359576164996</v>
      </c>
      <c r="AM51" s="9">
        <v>7.3772359576164996</v>
      </c>
      <c r="AN51" s="10">
        <v>0</v>
      </c>
      <c r="AO51" s="10">
        <v>1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0"/>
        <v>1</v>
      </c>
      <c r="BA51" s="11">
        <f t="shared" si="1"/>
        <v>8.3333333333333329E-2</v>
      </c>
      <c r="BC51" s="12">
        <v>0</v>
      </c>
      <c r="BD51" s="12">
        <v>7.3772359576164996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2"/>
        <v>7.3772359576164996</v>
      </c>
      <c r="BP51" s="12">
        <f t="shared" si="3"/>
        <v>0.61476966313470827</v>
      </c>
      <c r="BQ51" s="7"/>
      <c r="BR51" s="7"/>
      <c r="BS51" s="7" t="s">
        <v>51</v>
      </c>
      <c r="BT51" s="7" t="s">
        <v>52</v>
      </c>
      <c r="BU51" s="7">
        <v>15</v>
      </c>
      <c r="BV51" s="7">
        <v>10</v>
      </c>
      <c r="BW51" s="7">
        <v>5</v>
      </c>
      <c r="BX51" s="7">
        <v>20</v>
      </c>
      <c r="BY51" s="7">
        <v>5</v>
      </c>
      <c r="BZ51" s="7"/>
    </row>
    <row r="52" spans="1:78" x14ac:dyDescent="0.35">
      <c r="A52" s="7" t="s">
        <v>41</v>
      </c>
      <c r="B52" s="7"/>
      <c r="C52" s="7" t="s">
        <v>171</v>
      </c>
      <c r="D52" s="7" t="s">
        <v>172</v>
      </c>
      <c r="E52" s="7" t="s">
        <v>173</v>
      </c>
      <c r="F52" s="7" t="s">
        <v>170</v>
      </c>
      <c r="G52" s="7" t="s">
        <v>46</v>
      </c>
      <c r="H52" s="7"/>
      <c r="I52" s="7"/>
      <c r="J52" s="7" t="s">
        <v>155</v>
      </c>
      <c r="K52" s="7" t="s">
        <v>170</v>
      </c>
      <c r="L52" s="7" t="s">
        <v>156</v>
      </c>
      <c r="M52" s="7" t="s">
        <v>157</v>
      </c>
      <c r="N52" s="7" t="s">
        <v>50</v>
      </c>
      <c r="O52" s="7" t="s">
        <v>4</v>
      </c>
      <c r="P52" s="7">
        <v>116550</v>
      </c>
      <c r="Q52" s="7">
        <v>116550</v>
      </c>
      <c r="R52" s="7">
        <v>116550</v>
      </c>
      <c r="S52" s="7">
        <v>116550</v>
      </c>
      <c r="T52" s="7">
        <v>116550</v>
      </c>
      <c r="U52" s="7">
        <v>116550</v>
      </c>
      <c r="V52" s="7">
        <v>116550</v>
      </c>
      <c r="W52" s="7">
        <v>116550</v>
      </c>
      <c r="X52" s="7">
        <v>116550</v>
      </c>
      <c r="Y52" s="7">
        <v>116550</v>
      </c>
      <c r="Z52" s="7">
        <v>116550</v>
      </c>
      <c r="AA52" s="7">
        <v>116550</v>
      </c>
      <c r="AB52" s="9">
        <v>7.3772359576164996</v>
      </c>
      <c r="AC52" s="9">
        <v>7.3772359576164996</v>
      </c>
      <c r="AD52" s="9">
        <v>7.3772359576164996</v>
      </c>
      <c r="AE52" s="9">
        <v>7.3772359576164996</v>
      </c>
      <c r="AF52" s="9">
        <v>7.3772359576164996</v>
      </c>
      <c r="AG52" s="9">
        <v>7.3772359576164996</v>
      </c>
      <c r="AH52" s="9">
        <v>7.3772359576164996</v>
      </c>
      <c r="AI52" s="9">
        <v>7.3772359576164996</v>
      </c>
      <c r="AJ52" s="9">
        <v>7.3772359576164996</v>
      </c>
      <c r="AK52" s="9">
        <v>7.3772359576164996</v>
      </c>
      <c r="AL52" s="9">
        <v>7.3772359576164996</v>
      </c>
      <c r="AM52" s="9">
        <v>7.3772359576164996</v>
      </c>
      <c r="AN52" s="10">
        <v>0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0"/>
        <v>1</v>
      </c>
      <c r="BA52" s="11">
        <f t="shared" si="1"/>
        <v>8.3333333333333329E-2</v>
      </c>
      <c r="BC52" s="12">
        <v>0</v>
      </c>
      <c r="BD52" s="12">
        <v>7.3772359576164996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2"/>
        <v>7.3772359576164996</v>
      </c>
      <c r="BP52" s="12">
        <f t="shared" si="3"/>
        <v>0.61476966313470827</v>
      </c>
      <c r="BQ52" s="7"/>
      <c r="BR52" s="7"/>
      <c r="BS52" s="7" t="s">
        <v>51</v>
      </c>
      <c r="BT52" s="7" t="s">
        <v>52</v>
      </c>
      <c r="BU52" s="7">
        <v>15</v>
      </c>
      <c r="BV52" s="7">
        <v>10</v>
      </c>
      <c r="BW52" s="7">
        <v>5</v>
      </c>
      <c r="BX52" s="7">
        <v>20</v>
      </c>
      <c r="BY52" s="7">
        <v>5</v>
      </c>
      <c r="BZ52" s="7"/>
    </row>
    <row r="53" spans="1:78" x14ac:dyDescent="0.35">
      <c r="A53" s="7" t="s">
        <v>41</v>
      </c>
      <c r="B53" s="7"/>
      <c r="C53" s="7" t="s">
        <v>158</v>
      </c>
      <c r="D53" s="7" t="s">
        <v>159</v>
      </c>
      <c r="E53" s="7" t="s">
        <v>159</v>
      </c>
      <c r="F53" s="7" t="s">
        <v>163</v>
      </c>
      <c r="G53" s="7" t="s">
        <v>46</v>
      </c>
      <c r="H53" s="7"/>
      <c r="I53" s="7"/>
      <c r="J53" s="7" t="s">
        <v>155</v>
      </c>
      <c r="K53" s="7" t="s">
        <v>164</v>
      </c>
      <c r="L53" s="7" t="s">
        <v>165</v>
      </c>
      <c r="M53" s="7" t="s">
        <v>166</v>
      </c>
      <c r="N53" s="7" t="s">
        <v>50</v>
      </c>
      <c r="O53" s="7" t="s">
        <v>4</v>
      </c>
      <c r="P53" s="7">
        <v>7500</v>
      </c>
      <c r="Q53" s="7">
        <v>7500</v>
      </c>
      <c r="R53" s="7">
        <v>7500</v>
      </c>
      <c r="S53" s="7">
        <v>7500</v>
      </c>
      <c r="T53" s="7">
        <v>7500</v>
      </c>
      <c r="U53" s="7">
        <v>7500</v>
      </c>
      <c r="V53" s="7">
        <v>7500</v>
      </c>
      <c r="W53" s="7">
        <v>7500</v>
      </c>
      <c r="X53" s="7">
        <v>7500</v>
      </c>
      <c r="Y53" s="7">
        <v>7500</v>
      </c>
      <c r="Z53" s="7">
        <v>7500</v>
      </c>
      <c r="AA53" s="7">
        <v>7500</v>
      </c>
      <c r="AB53" s="9">
        <v>0.47472560859822999</v>
      </c>
      <c r="AC53" s="9">
        <v>0.47472560859822999</v>
      </c>
      <c r="AD53" s="9">
        <v>0.47472560859822999</v>
      </c>
      <c r="AE53" s="9">
        <v>0.47472560859822999</v>
      </c>
      <c r="AF53" s="9">
        <v>0.47472560859822999</v>
      </c>
      <c r="AG53" s="9">
        <v>0.47472560859822999</v>
      </c>
      <c r="AH53" s="9">
        <v>0.47472560859822999</v>
      </c>
      <c r="AI53" s="9">
        <v>0.47472560859822999</v>
      </c>
      <c r="AJ53" s="9">
        <v>0.47472560859822999</v>
      </c>
      <c r="AK53" s="9">
        <v>0.47472560859822999</v>
      </c>
      <c r="AL53" s="9">
        <v>0.47472560859822999</v>
      </c>
      <c r="AM53" s="9">
        <v>0.47472560859822999</v>
      </c>
      <c r="AN53" s="10">
        <v>0</v>
      </c>
      <c r="AO53" s="10">
        <v>6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7">
        <f t="shared" si="0"/>
        <v>6</v>
      </c>
      <c r="BA53" s="11">
        <f t="shared" si="1"/>
        <v>0.5</v>
      </c>
      <c r="BC53" s="12">
        <v>0</v>
      </c>
      <c r="BD53" s="12">
        <v>2.8483536515894001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f t="shared" si="2"/>
        <v>2.8483536515894001</v>
      </c>
      <c r="BP53" s="12">
        <f t="shared" si="3"/>
        <v>0.23736280429911669</v>
      </c>
      <c r="BQ53" s="7"/>
      <c r="BR53" s="7"/>
      <c r="BS53" s="7" t="s">
        <v>51</v>
      </c>
      <c r="BT53" s="7" t="s">
        <v>52</v>
      </c>
      <c r="BU53" s="7">
        <v>15</v>
      </c>
      <c r="BV53" s="7">
        <v>10</v>
      </c>
      <c r="BW53" s="7">
        <v>5</v>
      </c>
      <c r="BX53" s="7">
        <v>20</v>
      </c>
      <c r="BY53" s="7">
        <v>5</v>
      </c>
      <c r="BZ53" s="7"/>
    </row>
    <row r="54" spans="1:78" x14ac:dyDescent="0.35">
      <c r="A54" s="7" t="s">
        <v>41</v>
      </c>
      <c r="B54" s="7"/>
      <c r="C54" s="7" t="s">
        <v>160</v>
      </c>
      <c r="D54" s="7" t="s">
        <v>161</v>
      </c>
      <c r="E54" s="7" t="s">
        <v>162</v>
      </c>
      <c r="F54" s="7" t="s">
        <v>154</v>
      </c>
      <c r="G54" s="7" t="s">
        <v>46</v>
      </c>
      <c r="H54" s="7"/>
      <c r="I54" s="7"/>
      <c r="J54" s="7" t="s">
        <v>155</v>
      </c>
      <c r="K54" s="7" t="s">
        <v>154</v>
      </c>
      <c r="L54" s="7" t="s">
        <v>156</v>
      </c>
      <c r="M54" s="7" t="s">
        <v>157</v>
      </c>
      <c r="N54" s="7" t="s">
        <v>167</v>
      </c>
      <c r="O54" s="7" t="s">
        <v>4</v>
      </c>
      <c r="P54" s="7">
        <v>1210000</v>
      </c>
      <c r="Q54" s="7">
        <v>1210000</v>
      </c>
      <c r="R54" s="7">
        <v>1210000</v>
      </c>
      <c r="S54" s="7">
        <v>1210000</v>
      </c>
      <c r="T54" s="7">
        <v>1210000</v>
      </c>
      <c r="U54" s="7">
        <v>1210000</v>
      </c>
      <c r="V54" s="7">
        <v>1210000</v>
      </c>
      <c r="W54" s="7">
        <v>1210000</v>
      </c>
      <c r="X54" s="7">
        <v>1210000</v>
      </c>
      <c r="Y54" s="7">
        <v>1210000</v>
      </c>
      <c r="Z54" s="7">
        <v>1210000</v>
      </c>
      <c r="AA54" s="7">
        <v>1210000</v>
      </c>
      <c r="AB54" s="9">
        <v>76.589064853848001</v>
      </c>
      <c r="AC54" s="9">
        <v>76.589064853848001</v>
      </c>
      <c r="AD54" s="9">
        <v>76.589064853848001</v>
      </c>
      <c r="AE54" s="9">
        <v>76.589064853848001</v>
      </c>
      <c r="AF54" s="9">
        <v>76.589064853848001</v>
      </c>
      <c r="AG54" s="9">
        <v>76.589064853848001</v>
      </c>
      <c r="AH54" s="9">
        <v>76.589064853848001</v>
      </c>
      <c r="AI54" s="9">
        <v>76.589064853848001</v>
      </c>
      <c r="AJ54" s="9">
        <v>76.589064853848001</v>
      </c>
      <c r="AK54" s="9">
        <v>76.589064853848001</v>
      </c>
      <c r="AL54" s="9">
        <v>76.589064853848001</v>
      </c>
      <c r="AM54" s="9">
        <v>76.589064853848001</v>
      </c>
      <c r="AN54" s="10">
        <v>0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0"/>
        <v>1</v>
      </c>
      <c r="BA54" s="11">
        <f t="shared" si="1"/>
        <v>8.3333333333333329E-2</v>
      </c>
      <c r="BC54" s="12">
        <v>0</v>
      </c>
      <c r="BD54" s="12">
        <v>76.589064853848001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2"/>
        <v>76.589064853848001</v>
      </c>
      <c r="BP54" s="12">
        <f t="shared" si="3"/>
        <v>6.3824220711540001</v>
      </c>
      <c r="BQ54" s="7"/>
      <c r="BR54" s="7"/>
      <c r="BS54" s="7" t="s">
        <v>51</v>
      </c>
      <c r="BT54" s="7" t="s">
        <v>52</v>
      </c>
      <c r="BU54" s="7">
        <v>15</v>
      </c>
      <c r="BV54" s="7">
        <v>10</v>
      </c>
      <c r="BW54" s="7">
        <v>5</v>
      </c>
      <c r="BX54" s="7">
        <v>20</v>
      </c>
      <c r="BY54" s="7">
        <v>5</v>
      </c>
      <c r="BZ54" s="7"/>
    </row>
    <row r="55" spans="1:78" x14ac:dyDescent="0.35">
      <c r="A55" s="7" t="s">
        <v>41</v>
      </c>
      <c r="B55" s="7"/>
      <c r="C55" s="7" t="s">
        <v>152</v>
      </c>
      <c r="D55" s="7" t="s">
        <v>153</v>
      </c>
      <c r="E55" s="7" t="s">
        <v>153</v>
      </c>
      <c r="F55" s="7" t="s">
        <v>163</v>
      </c>
      <c r="G55" s="7" t="s">
        <v>46</v>
      </c>
      <c r="H55" s="7"/>
      <c r="I55" s="7"/>
      <c r="J55" s="7" t="s">
        <v>155</v>
      </c>
      <c r="K55" s="7" t="s">
        <v>164</v>
      </c>
      <c r="L55" s="7" t="s">
        <v>165</v>
      </c>
      <c r="M55" s="7" t="s">
        <v>166</v>
      </c>
      <c r="N55" s="7" t="s">
        <v>50</v>
      </c>
      <c r="O55" s="7" t="s">
        <v>4</v>
      </c>
      <c r="P55" s="7">
        <v>57500</v>
      </c>
      <c r="Q55" s="7">
        <v>57500</v>
      </c>
      <c r="R55" s="7">
        <v>57500</v>
      </c>
      <c r="S55" s="7">
        <v>57500</v>
      </c>
      <c r="T55" s="7">
        <v>57500</v>
      </c>
      <c r="U55" s="7">
        <v>57500</v>
      </c>
      <c r="V55" s="7">
        <v>57500</v>
      </c>
      <c r="W55" s="7">
        <v>57500</v>
      </c>
      <c r="X55" s="7">
        <v>57500</v>
      </c>
      <c r="Y55" s="7">
        <v>57500</v>
      </c>
      <c r="Z55" s="7">
        <v>57500</v>
      </c>
      <c r="AA55" s="7">
        <v>57500</v>
      </c>
      <c r="AB55" s="9">
        <v>3.6395629992531</v>
      </c>
      <c r="AC55" s="9">
        <v>3.6395629992531</v>
      </c>
      <c r="AD55" s="9">
        <v>3.6395629992531</v>
      </c>
      <c r="AE55" s="9">
        <v>3.6395629992531</v>
      </c>
      <c r="AF55" s="9">
        <v>3.6395629992531</v>
      </c>
      <c r="AG55" s="9">
        <v>3.6395629992531</v>
      </c>
      <c r="AH55" s="9">
        <v>3.6395629992531</v>
      </c>
      <c r="AI55" s="9">
        <v>3.6395629992531</v>
      </c>
      <c r="AJ55" s="9">
        <v>3.6395629992531</v>
      </c>
      <c r="AK55" s="9">
        <v>3.6395629992531</v>
      </c>
      <c r="AL55" s="9">
        <v>3.6395629992531</v>
      </c>
      <c r="AM55" s="9">
        <v>3.6395629992531</v>
      </c>
      <c r="AN55" s="10">
        <v>0</v>
      </c>
      <c r="AO55" s="10">
        <v>36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7">
        <f t="shared" si="0"/>
        <v>36</v>
      </c>
      <c r="BA55" s="11">
        <f t="shared" si="1"/>
        <v>3</v>
      </c>
      <c r="BC55" s="12">
        <v>0</v>
      </c>
      <c r="BD55" s="12">
        <v>131.02426797311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f t="shared" si="2"/>
        <v>131.02426797311</v>
      </c>
      <c r="BP55" s="12">
        <f t="shared" si="3"/>
        <v>10.918688997759167</v>
      </c>
      <c r="BQ55" s="7"/>
      <c r="BR55" s="7"/>
      <c r="BS55" s="7" t="s">
        <v>51</v>
      </c>
      <c r="BT55" s="7" t="s">
        <v>52</v>
      </c>
      <c r="BU55" s="7">
        <v>15</v>
      </c>
      <c r="BV55" s="7">
        <v>10</v>
      </c>
      <c r="BW55" s="7">
        <v>5</v>
      </c>
      <c r="BX55" s="7">
        <v>20</v>
      </c>
      <c r="BY55" s="7">
        <v>5</v>
      </c>
      <c r="BZ55" s="7"/>
    </row>
    <row r="56" spans="1:78" x14ac:dyDescent="0.35">
      <c r="A56" s="7" t="s">
        <v>41</v>
      </c>
      <c r="B56" s="7"/>
      <c r="C56" s="7" t="s">
        <v>158</v>
      </c>
      <c r="D56" s="7" t="s">
        <v>159</v>
      </c>
      <c r="E56" s="7" t="s">
        <v>159</v>
      </c>
      <c r="F56" s="7" t="s">
        <v>170</v>
      </c>
      <c r="G56" s="7" t="s">
        <v>46</v>
      </c>
      <c r="H56" s="7"/>
      <c r="I56" s="7"/>
      <c r="J56" s="7" t="s">
        <v>155</v>
      </c>
      <c r="K56" s="7" t="s">
        <v>170</v>
      </c>
      <c r="L56" s="7" t="s">
        <v>156</v>
      </c>
      <c r="M56" s="7" t="s">
        <v>157</v>
      </c>
      <c r="N56" s="7" t="s">
        <v>50</v>
      </c>
      <c r="O56" s="7" t="s">
        <v>4</v>
      </c>
      <c r="P56" s="7">
        <v>7500</v>
      </c>
      <c r="Q56" s="7">
        <v>7500</v>
      </c>
      <c r="R56" s="7">
        <v>7500</v>
      </c>
      <c r="S56" s="7">
        <v>7500</v>
      </c>
      <c r="T56" s="7">
        <v>7500</v>
      </c>
      <c r="U56" s="7">
        <v>7500</v>
      </c>
      <c r="V56" s="7">
        <v>7500</v>
      </c>
      <c r="W56" s="7">
        <v>7500</v>
      </c>
      <c r="X56" s="7">
        <v>7500</v>
      </c>
      <c r="Y56" s="7">
        <v>7500</v>
      </c>
      <c r="Z56" s="7">
        <v>7500</v>
      </c>
      <c r="AA56" s="7">
        <v>7500</v>
      </c>
      <c r="AB56" s="9">
        <v>0.47472560859822999</v>
      </c>
      <c r="AC56" s="9">
        <v>0.47472560859822999</v>
      </c>
      <c r="AD56" s="9">
        <v>0.47472560859822999</v>
      </c>
      <c r="AE56" s="9">
        <v>0.47472560859822999</v>
      </c>
      <c r="AF56" s="9">
        <v>0.47472560859822999</v>
      </c>
      <c r="AG56" s="9">
        <v>0.47472560859822999</v>
      </c>
      <c r="AH56" s="9">
        <v>0.47472560859822999</v>
      </c>
      <c r="AI56" s="9">
        <v>0.47472560859822999</v>
      </c>
      <c r="AJ56" s="9">
        <v>0.47472560859822999</v>
      </c>
      <c r="AK56" s="9">
        <v>0.47472560859822999</v>
      </c>
      <c r="AL56" s="9">
        <v>0.47472560859822999</v>
      </c>
      <c r="AM56" s="9">
        <v>0.47472560859822999</v>
      </c>
      <c r="AN56" s="10">
        <v>0</v>
      </c>
      <c r="AO56" s="10">
        <v>6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7">
        <f t="shared" si="0"/>
        <v>6</v>
      </c>
      <c r="BA56" s="11">
        <f t="shared" si="1"/>
        <v>0.5</v>
      </c>
      <c r="BC56" s="12">
        <v>0</v>
      </c>
      <c r="BD56" s="12">
        <v>2.8483536515894001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f t="shared" si="2"/>
        <v>2.8483536515894001</v>
      </c>
      <c r="BP56" s="12">
        <f t="shared" si="3"/>
        <v>0.23736280429911669</v>
      </c>
      <c r="BQ56" s="7"/>
      <c r="BR56" s="7"/>
      <c r="BS56" s="7" t="s">
        <v>51</v>
      </c>
      <c r="BT56" s="7" t="s">
        <v>52</v>
      </c>
      <c r="BU56" s="7">
        <v>15</v>
      </c>
      <c r="BV56" s="7">
        <v>10</v>
      </c>
      <c r="BW56" s="7">
        <v>5</v>
      </c>
      <c r="BX56" s="7">
        <v>20</v>
      </c>
      <c r="BY56" s="7">
        <v>5</v>
      </c>
      <c r="BZ56" s="7"/>
    </row>
  </sheetData>
  <sheetProtection formatCells="0" formatColumns="0" formatRows="0" insertColumns="0" insertRows="0" insertHyperlinks="0" deleteColumns="0" deleteRows="0" sort="0" autoFilter="0" pivotTables="0"/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J87"/>
  <sheetViews>
    <sheetView topLeftCell="A91" workbookViewId="0">
      <selection activeCell="C11" sqref="C11"/>
    </sheetView>
  </sheetViews>
  <sheetFormatPr defaultRowHeight="14.5" x14ac:dyDescent="0.35"/>
  <cols>
    <col min="1" max="1" width="14.453125" customWidth="1"/>
    <col min="2" max="2" width="10.453125" customWidth="1"/>
    <col min="3" max="3" width="30.26953125" customWidth="1"/>
    <col min="4" max="4" width="40" customWidth="1"/>
    <col min="5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174</v>
      </c>
      <c r="F7" s="14" t="s">
        <v>174</v>
      </c>
      <c r="G7" s="14" t="s">
        <v>174</v>
      </c>
      <c r="H7" s="14" t="s">
        <v>174</v>
      </c>
      <c r="I7" s="14" t="s">
        <v>174</v>
      </c>
      <c r="J7" s="14" t="s">
        <v>174</v>
      </c>
      <c r="K7" s="14" t="s">
        <v>174</v>
      </c>
      <c r="L7" s="14" t="s">
        <v>174</v>
      </c>
      <c r="M7" s="14" t="s">
        <v>174</v>
      </c>
      <c r="N7" s="14" t="s">
        <v>174</v>
      </c>
      <c r="O7" s="14" t="s">
        <v>174</v>
      </c>
      <c r="P7" s="14" t="s">
        <v>174</v>
      </c>
      <c r="Q7" s="15" t="s">
        <v>175</v>
      </c>
      <c r="R7" s="15" t="s">
        <v>175</v>
      </c>
      <c r="S7" s="15" t="s">
        <v>175</v>
      </c>
      <c r="T7" s="15" t="s">
        <v>175</v>
      </c>
      <c r="U7" s="15" t="s">
        <v>175</v>
      </c>
      <c r="V7" s="15" t="s">
        <v>175</v>
      </c>
      <c r="W7" s="15" t="s">
        <v>175</v>
      </c>
      <c r="X7" s="15" t="s">
        <v>175</v>
      </c>
      <c r="Y7" s="15" t="s">
        <v>175</v>
      </c>
      <c r="Z7" s="15" t="s">
        <v>175</v>
      </c>
      <c r="AA7" s="15" t="s">
        <v>175</v>
      </c>
      <c r="AB7" s="15" t="s">
        <v>175</v>
      </c>
      <c r="AC7" s="53" t="s">
        <v>176</v>
      </c>
      <c r="AD7" s="53"/>
      <c r="AE7" s="1"/>
      <c r="AF7" s="53" t="s">
        <v>177</v>
      </c>
      <c r="AG7" s="53"/>
      <c r="AH7" s="53"/>
      <c r="AI7" s="53"/>
      <c r="AJ7" s="53"/>
    </row>
    <row r="8" spans="1:36" x14ac:dyDescent="0.35">
      <c r="A8" s="17" t="s">
        <v>20</v>
      </c>
      <c r="B8" s="17" t="s">
        <v>178</v>
      </c>
      <c r="C8" s="17" t="s">
        <v>179</v>
      </c>
      <c r="D8" s="17" t="s">
        <v>180</v>
      </c>
      <c r="E8" s="18" t="s">
        <v>181</v>
      </c>
      <c r="F8" s="18" t="s">
        <v>182</v>
      </c>
      <c r="G8" s="18" t="s">
        <v>183</v>
      </c>
      <c r="H8" s="18" t="s">
        <v>184</v>
      </c>
      <c r="I8" s="18" t="s">
        <v>185</v>
      </c>
      <c r="J8" s="18" t="s">
        <v>186</v>
      </c>
      <c r="K8" s="18" t="s">
        <v>187</v>
      </c>
      <c r="L8" s="18" t="s">
        <v>188</v>
      </c>
      <c r="M8" s="18" t="s">
        <v>189</v>
      </c>
      <c r="N8" s="18" t="s">
        <v>190</v>
      </c>
      <c r="O8" s="18" t="s">
        <v>191</v>
      </c>
      <c r="P8" s="18" t="s">
        <v>192</v>
      </c>
      <c r="Q8" s="19" t="s">
        <v>181</v>
      </c>
      <c r="R8" s="19" t="s">
        <v>182</v>
      </c>
      <c r="S8" s="19" t="s">
        <v>183</v>
      </c>
      <c r="T8" s="19" t="s">
        <v>184</v>
      </c>
      <c r="U8" s="19" t="s">
        <v>185</v>
      </c>
      <c r="V8" s="19" t="s">
        <v>186</v>
      </c>
      <c r="W8" s="19" t="s">
        <v>187</v>
      </c>
      <c r="X8" s="19" t="s">
        <v>188</v>
      </c>
      <c r="Y8" s="19" t="s">
        <v>189</v>
      </c>
      <c r="Z8" s="19" t="s">
        <v>190</v>
      </c>
      <c r="AA8" s="19" t="s">
        <v>191</v>
      </c>
      <c r="AB8" s="19" t="s">
        <v>192</v>
      </c>
      <c r="AC8" s="17" t="s">
        <v>193</v>
      </c>
      <c r="AD8" s="17" t="s">
        <v>194</v>
      </c>
      <c r="AE8" s="4"/>
      <c r="AF8" s="17" t="s">
        <v>193</v>
      </c>
      <c r="AG8" s="17" t="s">
        <v>194</v>
      </c>
      <c r="AH8" s="17" t="s">
        <v>195</v>
      </c>
      <c r="AI8" s="17" t="s">
        <v>196</v>
      </c>
      <c r="AJ8" s="17" t="s">
        <v>197</v>
      </c>
    </row>
    <row r="9" spans="1:36" x14ac:dyDescent="0.35">
      <c r="A9" s="7" t="s">
        <v>47</v>
      </c>
      <c r="B9" s="7"/>
      <c r="C9" s="7"/>
      <c r="D9" s="7" t="s">
        <v>80</v>
      </c>
      <c r="E9" s="10">
        <f>SUMIFS('PLAN BUDGET SAMI-JF'!AN13:AN100000,'PLAN BUDGET SAMI-JF'!D13:D100000,SUMMARY!D9,'PLAN BUDGET SAMI-JF'!J13:J100000,SUMMARY!A9&amp;"*")</f>
        <v>0</v>
      </c>
      <c r="F9" s="10">
        <f>SUMIFS('PLAN BUDGET SAMI-JF'!AO13:AO100000,'PLAN BUDGET SAMI-JF'!D13:D100000,SUMMARY!D9,'PLAN BUDGET SAMI-JF'!J13:J100000,SUMMARY!A9&amp;"*")</f>
        <v>34</v>
      </c>
      <c r="G9" s="10">
        <f>SUMIFS('PLAN BUDGET SAMI-JF'!AP13:AP100000,'PLAN BUDGET SAMI-JF'!D13:D100000,SUMMARY!D9,'PLAN BUDGET SAMI-JF'!J13:J100000,SUMMARY!A9&amp;"*")</f>
        <v>0</v>
      </c>
      <c r="H9" s="10">
        <f>SUMIFS('PLAN BUDGET SAMI-JF'!AQ13:AQ100000,'PLAN BUDGET SAMI-JF'!D13:D100000,SUMMARY!D9,'PLAN BUDGET SAMI-JF'!J13:J100000,SUMMARY!A9&amp;"*")</f>
        <v>0</v>
      </c>
      <c r="I9" s="10">
        <f>SUMIFS('PLAN BUDGET SAMI-JF'!AR13:AR100000,'PLAN BUDGET SAMI-JF'!D13:D100000,SUMMARY!D9,'PLAN BUDGET SAMI-JF'!J13:J100000,SUMMARY!A9&amp;"*")</f>
        <v>0</v>
      </c>
      <c r="J9" s="10">
        <f>SUMIFS('PLAN BUDGET SAMI-JF'!AS13:AS100000,'PLAN BUDGET SAMI-JF'!D13:D100000,SUMMARY!D9,'PLAN BUDGET SAMI-JF'!J13:J100000,SUMMARY!A9&amp;"*")</f>
        <v>0</v>
      </c>
      <c r="K9" s="10">
        <f>SUMIFS('PLAN BUDGET SAMI-JF'!AT13:AT100000,'PLAN BUDGET SAMI-JF'!D13:D100000,SUMMARY!D9,'PLAN BUDGET SAMI-JF'!J13:J100000,SUMMARY!A9&amp;"*")</f>
        <v>34</v>
      </c>
      <c r="L9" s="10">
        <f>SUMIFS('PLAN BUDGET SAMI-JF'!AU13:AU100000,'PLAN BUDGET SAMI-JF'!D13:D100000,SUMMARY!D9,'PLAN BUDGET SAMI-JF'!J13:J100000,SUMMARY!A9&amp;"*")</f>
        <v>0</v>
      </c>
      <c r="M9" s="10">
        <f>SUMIFS('PLAN BUDGET SAMI-JF'!AV13:AV100000,'PLAN BUDGET SAMI-JF'!D13:D100000,SUMMARY!D9,'PLAN BUDGET SAMI-JF'!J13:J100000,SUMMARY!A9&amp;"*")</f>
        <v>0</v>
      </c>
      <c r="N9" s="10">
        <f>SUMIFS('PLAN BUDGET SAMI-JF'!AW13:AW100000,'PLAN BUDGET SAMI-JF'!D13:D100000,SUMMARY!D9,'PLAN BUDGET SAMI-JF'!J13:J100000,SUMMARY!A9&amp;"*")</f>
        <v>0</v>
      </c>
      <c r="O9" s="10">
        <f>SUMIFS('PLAN BUDGET SAMI-JF'!AX13:AX100000,'PLAN BUDGET SAMI-JF'!D13:D100000,SUMMARY!D9,'PLAN BUDGET SAMI-JF'!J13:J100000,SUMMARY!A9&amp;"*")</f>
        <v>0</v>
      </c>
      <c r="P9" s="10">
        <f>SUMIFS('PLAN BUDGET SAMI-JF'!AY13:AY100000,'PLAN BUDGET SAMI-JF'!D13:D100000,SUMMARY!D9,'PLAN BUDGET SAMI-JF'!J13:J100000,SUMMARY!A9&amp;"*")</f>
        <v>0</v>
      </c>
      <c r="Q9" s="10">
        <f>SUMIFS('PLAN BUDGET SAMI-JF'!BC13:BC100000,'PLAN BUDGET SAMI-JF'!D13:D100000,SUMMARY!D9,'PLAN BUDGET SAMI-JF'!J13:J100000,SUMMARY!A9&amp;"*")</f>
        <v>0</v>
      </c>
      <c r="R9" s="10">
        <f>SUMIFS('PLAN BUDGET SAMI-JF'!BD13:BD100000,'PLAN BUDGET SAMI-JF'!D13:D100000,SUMMARY!D9,'PLAN BUDGET SAMI-JF'!J13:J100000,SUMMARY!A9&amp;"*")</f>
        <v>18.464674085045402</v>
      </c>
      <c r="S9" s="10">
        <f>SUMIFS('PLAN BUDGET SAMI-JF'!BE13:BE100000,'PLAN BUDGET SAMI-JF'!D13:D100000,SUMMARY!D9,'PLAN BUDGET SAMI-JF'!J13:J100000,SUMMARY!A9&amp;"*")</f>
        <v>0</v>
      </c>
      <c r="T9" s="10">
        <f>SUMIFS('PLAN BUDGET SAMI-JF'!BF13:BF100000,'PLAN BUDGET SAMI-JF'!D13:D100000,SUMMARY!D9,'PLAN BUDGET SAMI-JF'!J13:J100000,SUMMARY!A9&amp;"*")</f>
        <v>0</v>
      </c>
      <c r="U9" s="10">
        <f>SUMIFS('PLAN BUDGET SAMI-JF'!BG13:BG100000,'PLAN BUDGET SAMI-JF'!D13:D100000,SUMMARY!D9,'PLAN BUDGET SAMI-JF'!J13:J100000,SUMMARY!A9&amp;"*")</f>
        <v>0</v>
      </c>
      <c r="V9" s="10">
        <f>SUMIFS('PLAN BUDGET SAMI-JF'!BH13:BH100000,'PLAN BUDGET SAMI-JF'!D13:D100000,SUMMARY!D9,'PLAN BUDGET SAMI-JF'!J13:J100000,SUMMARY!A9&amp;"*")</f>
        <v>0</v>
      </c>
      <c r="W9" s="10">
        <f>SUMIFS('PLAN BUDGET SAMI-JF'!BI13:BI100000,'PLAN BUDGET SAMI-JF'!D13:D100000,SUMMARY!D9,'PLAN BUDGET SAMI-JF'!J13:J100000,SUMMARY!A9&amp;"*")</f>
        <v>18.464674085045402</v>
      </c>
      <c r="X9" s="10">
        <f>SUMIFS('PLAN BUDGET SAMI-JF'!BJ13:BJ100000,'PLAN BUDGET SAMI-JF'!D13:D100000,SUMMARY!D9,'PLAN BUDGET SAMI-JF'!J13:J100000,SUMMARY!A9&amp;"*")</f>
        <v>0</v>
      </c>
      <c r="Y9" s="10">
        <f>SUMIFS('PLAN BUDGET SAMI-JF'!BK13:BK100000,'PLAN BUDGET SAMI-JF'!D13:D100000,SUMMARY!D9,'PLAN BUDGET SAMI-JF'!J13:J100000,SUMMARY!A9&amp;"*")</f>
        <v>0</v>
      </c>
      <c r="Z9" s="10">
        <f>SUMIFS('PLAN BUDGET SAMI-JF'!BL13:BL100000,'PLAN BUDGET SAMI-JF'!D13:D100000,SUMMARY!D9,'PLAN BUDGET SAMI-JF'!J13:J100000,SUMMARY!A9&amp;"*")</f>
        <v>0</v>
      </c>
      <c r="AA9" s="10">
        <f>SUMIFS('PLAN BUDGET SAMI-JF'!BM13:BM100000,'PLAN BUDGET SAMI-JF'!D13:D100000,SUMMARY!D9,'PLAN BUDGET SAMI-JF'!J13:J100000,SUMMARY!A9&amp;"*")</f>
        <v>0</v>
      </c>
      <c r="AB9" s="10">
        <f>SUMIFS('PLAN BUDGET SAMI-JF'!BN13:BN100000,'PLAN BUDGET SAMI-JF'!D13:D100000,SUMMARY!D9,'PLAN BUDGET SAMI-JF'!J13:J100000,SUMMARY!A9&amp;"*")</f>
        <v>0</v>
      </c>
      <c r="AC9" s="10">
        <f t="shared" ref="AC9:AC40" si="0">SUM(E9:P9)</f>
        <v>68</v>
      </c>
      <c r="AD9" s="10">
        <f t="shared" ref="AD9:AD40" si="1">SUM(Q9:AB9)</f>
        <v>36.929348170090805</v>
      </c>
      <c r="AE9" s="16"/>
      <c r="AF9" s="10">
        <v>59</v>
      </c>
      <c r="AG9" s="10">
        <v>29.829351967895999</v>
      </c>
      <c r="AH9" s="20">
        <f t="shared" ref="AH9:AH40" si="2">IFERROR((AC9-AF9)/AF9,1)</f>
        <v>0.15254237288135594</v>
      </c>
      <c r="AI9" s="20">
        <f t="shared" ref="AI9:AI40" si="3">IFERROR((AD9-AG9)/AG9,1)</f>
        <v>0.23802046420036932</v>
      </c>
      <c r="AJ9" s="7" t="s">
        <v>288</v>
      </c>
    </row>
    <row r="10" spans="1:36" x14ac:dyDescent="0.35">
      <c r="A10" s="7" t="s">
        <v>47</v>
      </c>
      <c r="B10" s="7"/>
      <c r="C10" s="7"/>
      <c r="D10" s="7" t="s">
        <v>60</v>
      </c>
      <c r="E10" s="10">
        <f>SUMIFS('PLAN BUDGET SAMI-JF'!AN13:AN100000,'PLAN BUDGET SAMI-JF'!D13:D100000,SUMMARY!D10,'PLAN BUDGET SAMI-JF'!J13:J100000,SUMMARY!A10&amp;"*")</f>
        <v>0</v>
      </c>
      <c r="F10" s="10">
        <f>SUMIFS('PLAN BUDGET SAMI-JF'!AO13:AO100000,'PLAN BUDGET SAMI-JF'!D13:D100000,SUMMARY!D10,'PLAN BUDGET SAMI-JF'!J13:J100000,SUMMARY!A10&amp;"*")</f>
        <v>0</v>
      </c>
      <c r="G10" s="10">
        <f>SUMIFS('PLAN BUDGET SAMI-JF'!AP13:AP100000,'PLAN BUDGET SAMI-JF'!D13:D100000,SUMMARY!D10,'PLAN BUDGET SAMI-JF'!J13:J100000,SUMMARY!A10&amp;"*")</f>
        <v>2</v>
      </c>
      <c r="H10" s="10">
        <f>SUMIFS('PLAN BUDGET SAMI-JF'!AQ13:AQ100000,'PLAN BUDGET SAMI-JF'!D13:D100000,SUMMARY!D10,'PLAN BUDGET SAMI-JF'!J13:J100000,SUMMARY!A10&amp;"*")</f>
        <v>0</v>
      </c>
      <c r="I10" s="10">
        <f>SUMIFS('PLAN BUDGET SAMI-JF'!AR13:AR100000,'PLAN BUDGET SAMI-JF'!D13:D100000,SUMMARY!D10,'PLAN BUDGET SAMI-JF'!J13:J100000,SUMMARY!A10&amp;"*")</f>
        <v>0</v>
      </c>
      <c r="J10" s="10">
        <f>SUMIFS('PLAN BUDGET SAMI-JF'!AS13:AS100000,'PLAN BUDGET SAMI-JF'!D13:D100000,SUMMARY!D10,'PLAN BUDGET SAMI-JF'!J13:J100000,SUMMARY!A10&amp;"*")</f>
        <v>0</v>
      </c>
      <c r="K10" s="10">
        <f>SUMIFS('PLAN BUDGET SAMI-JF'!AT13:AT100000,'PLAN BUDGET SAMI-JF'!D13:D100000,SUMMARY!D10,'PLAN BUDGET SAMI-JF'!J13:J100000,SUMMARY!A10&amp;"*")</f>
        <v>0</v>
      </c>
      <c r="L10" s="10">
        <f>SUMIFS('PLAN BUDGET SAMI-JF'!AU13:AU100000,'PLAN BUDGET SAMI-JF'!D13:D100000,SUMMARY!D10,'PLAN BUDGET SAMI-JF'!J13:J100000,SUMMARY!A10&amp;"*")</f>
        <v>0</v>
      </c>
      <c r="M10" s="10">
        <f>SUMIFS('PLAN BUDGET SAMI-JF'!AV13:AV100000,'PLAN BUDGET SAMI-JF'!D13:D100000,SUMMARY!D10,'PLAN BUDGET SAMI-JF'!J13:J100000,SUMMARY!A10&amp;"*")</f>
        <v>0</v>
      </c>
      <c r="N10" s="10">
        <f>SUMIFS('PLAN BUDGET SAMI-JF'!AW13:AW100000,'PLAN BUDGET SAMI-JF'!D13:D100000,SUMMARY!D10,'PLAN BUDGET SAMI-JF'!J13:J100000,SUMMARY!A10&amp;"*")</f>
        <v>0</v>
      </c>
      <c r="O10" s="10">
        <f>SUMIFS('PLAN BUDGET SAMI-JF'!AX13:AX100000,'PLAN BUDGET SAMI-JF'!D13:D100000,SUMMARY!D10,'PLAN BUDGET SAMI-JF'!J13:J100000,SUMMARY!A10&amp;"*")</f>
        <v>0</v>
      </c>
      <c r="P10" s="10">
        <f>SUMIFS('PLAN BUDGET SAMI-JF'!AY13:AY100000,'PLAN BUDGET SAMI-JF'!D13:D100000,SUMMARY!D10,'PLAN BUDGET SAMI-JF'!J13:J100000,SUMMARY!A10&amp;"*")</f>
        <v>0</v>
      </c>
      <c r="Q10" s="10">
        <f>SUMIFS('PLAN BUDGET SAMI-JF'!BC13:BC100000,'PLAN BUDGET SAMI-JF'!D13:D100000,SUMMARY!D10,'PLAN BUDGET SAMI-JF'!J13:J100000,SUMMARY!A10&amp;"*")</f>
        <v>0</v>
      </c>
      <c r="R10" s="10">
        <f>SUMIFS('PLAN BUDGET SAMI-JF'!BD13:BD100000,'PLAN BUDGET SAMI-JF'!D13:D100000,SUMMARY!D10,'PLAN BUDGET SAMI-JF'!J13:J100000,SUMMARY!A10&amp;"*")</f>
        <v>0</v>
      </c>
      <c r="S10" s="10">
        <f>SUMIFS('PLAN BUDGET SAMI-JF'!BE13:BE100000,'PLAN BUDGET SAMI-JF'!D13:D100000,SUMMARY!D10,'PLAN BUDGET SAMI-JF'!J13:J100000,SUMMARY!A10&amp;"*")</f>
        <v>59.979998227690999</v>
      </c>
      <c r="T10" s="10">
        <f>SUMIFS('PLAN BUDGET SAMI-JF'!BF13:BF100000,'PLAN BUDGET SAMI-JF'!D13:D100000,SUMMARY!D10,'PLAN BUDGET SAMI-JF'!J13:J100000,SUMMARY!A10&amp;"*")</f>
        <v>0</v>
      </c>
      <c r="U10" s="10">
        <f>SUMIFS('PLAN BUDGET SAMI-JF'!BG13:BG100000,'PLAN BUDGET SAMI-JF'!D13:D100000,SUMMARY!D10,'PLAN BUDGET SAMI-JF'!J13:J100000,SUMMARY!A10&amp;"*")</f>
        <v>0</v>
      </c>
      <c r="V10" s="10">
        <f>SUMIFS('PLAN BUDGET SAMI-JF'!BH13:BH100000,'PLAN BUDGET SAMI-JF'!D13:D100000,SUMMARY!D10,'PLAN BUDGET SAMI-JF'!J13:J100000,SUMMARY!A10&amp;"*")</f>
        <v>0</v>
      </c>
      <c r="W10" s="10">
        <f>SUMIFS('PLAN BUDGET SAMI-JF'!BI13:BI100000,'PLAN BUDGET SAMI-JF'!D13:D100000,SUMMARY!D10,'PLAN BUDGET SAMI-JF'!J13:J100000,SUMMARY!A10&amp;"*")</f>
        <v>0</v>
      </c>
      <c r="X10" s="10">
        <f>SUMIFS('PLAN BUDGET SAMI-JF'!BJ13:BJ100000,'PLAN BUDGET SAMI-JF'!D13:D100000,SUMMARY!D10,'PLAN BUDGET SAMI-JF'!J13:J100000,SUMMARY!A10&amp;"*")</f>
        <v>0</v>
      </c>
      <c r="Y10" s="10">
        <f>SUMIFS('PLAN BUDGET SAMI-JF'!BK13:BK100000,'PLAN BUDGET SAMI-JF'!D13:D100000,SUMMARY!D10,'PLAN BUDGET SAMI-JF'!J13:J100000,SUMMARY!A10&amp;"*")</f>
        <v>0</v>
      </c>
      <c r="Z10" s="10">
        <f>SUMIFS('PLAN BUDGET SAMI-JF'!BL13:BL100000,'PLAN BUDGET SAMI-JF'!D13:D100000,SUMMARY!D10,'PLAN BUDGET SAMI-JF'!J13:J100000,SUMMARY!A10&amp;"*")</f>
        <v>0</v>
      </c>
      <c r="AA10" s="10">
        <f>SUMIFS('PLAN BUDGET SAMI-JF'!BM13:BM100000,'PLAN BUDGET SAMI-JF'!D13:D100000,SUMMARY!D10,'PLAN BUDGET SAMI-JF'!J13:J100000,SUMMARY!A10&amp;"*")</f>
        <v>0</v>
      </c>
      <c r="AB10" s="10">
        <f>SUMIFS('PLAN BUDGET SAMI-JF'!BN13:BN100000,'PLAN BUDGET SAMI-JF'!D13:D100000,SUMMARY!D10,'PLAN BUDGET SAMI-JF'!J13:J100000,SUMMARY!A10&amp;"*")</f>
        <v>0</v>
      </c>
      <c r="AC10" s="10">
        <f t="shared" si="0"/>
        <v>2</v>
      </c>
      <c r="AD10" s="10">
        <f t="shared" si="1"/>
        <v>59.979998227690999</v>
      </c>
      <c r="AE10" s="16"/>
      <c r="AF10" s="10">
        <v>2</v>
      </c>
      <c r="AG10" s="10">
        <v>58.233007988049998</v>
      </c>
      <c r="AH10" s="20">
        <f t="shared" si="2"/>
        <v>0</v>
      </c>
      <c r="AI10" s="20">
        <f t="shared" si="3"/>
        <v>2.9999999999991426E-2</v>
      </c>
      <c r="AJ10" s="7" t="s">
        <v>289</v>
      </c>
    </row>
    <row r="11" spans="1:36" x14ac:dyDescent="0.35">
      <c r="A11" s="7" t="s">
        <v>47</v>
      </c>
      <c r="B11" s="7"/>
      <c r="C11" s="7"/>
      <c r="D11" s="7" t="s">
        <v>54</v>
      </c>
      <c r="E11" s="10">
        <f>SUMIFS('PLAN BUDGET SAMI-JF'!AN13:AN100000,'PLAN BUDGET SAMI-JF'!D13:D100000,SUMMARY!D11,'PLAN BUDGET SAMI-JF'!J13:J100000,SUMMARY!A11&amp;"*")</f>
        <v>0</v>
      </c>
      <c r="F11" s="10">
        <f>SUMIFS('PLAN BUDGET SAMI-JF'!AO13:AO100000,'PLAN BUDGET SAMI-JF'!D13:D100000,SUMMARY!D11,'PLAN BUDGET SAMI-JF'!J13:J100000,SUMMARY!A11&amp;"*")</f>
        <v>0</v>
      </c>
      <c r="G11" s="10">
        <f>SUMIFS('PLAN BUDGET SAMI-JF'!AP13:AP100000,'PLAN BUDGET SAMI-JF'!D13:D100000,SUMMARY!D11,'PLAN BUDGET SAMI-JF'!J13:J100000,SUMMARY!A11&amp;"*")</f>
        <v>0</v>
      </c>
      <c r="H11" s="10">
        <f>SUMIFS('PLAN BUDGET SAMI-JF'!AQ13:AQ100000,'PLAN BUDGET SAMI-JF'!D13:D100000,SUMMARY!D11,'PLAN BUDGET SAMI-JF'!J13:J100000,SUMMARY!A11&amp;"*")</f>
        <v>0</v>
      </c>
      <c r="I11" s="10">
        <f>SUMIFS('PLAN BUDGET SAMI-JF'!AR13:AR100000,'PLAN BUDGET SAMI-JF'!D13:D100000,SUMMARY!D11,'PLAN BUDGET SAMI-JF'!J13:J100000,SUMMARY!A11&amp;"*")</f>
        <v>24</v>
      </c>
      <c r="J11" s="10">
        <f>SUMIFS('PLAN BUDGET SAMI-JF'!AS13:AS100000,'PLAN BUDGET SAMI-JF'!D13:D100000,SUMMARY!D11,'PLAN BUDGET SAMI-JF'!J13:J100000,SUMMARY!A11&amp;"*")</f>
        <v>0</v>
      </c>
      <c r="K11" s="10">
        <f>SUMIFS('PLAN BUDGET SAMI-JF'!AT13:AT100000,'PLAN BUDGET SAMI-JF'!D13:D100000,SUMMARY!D11,'PLAN BUDGET SAMI-JF'!J13:J100000,SUMMARY!A11&amp;"*")</f>
        <v>0</v>
      </c>
      <c r="L11" s="10">
        <f>SUMIFS('PLAN BUDGET SAMI-JF'!AU13:AU100000,'PLAN BUDGET SAMI-JF'!D13:D100000,SUMMARY!D11,'PLAN BUDGET SAMI-JF'!J13:J100000,SUMMARY!A11&amp;"*")</f>
        <v>0</v>
      </c>
      <c r="M11" s="10">
        <f>SUMIFS('PLAN BUDGET SAMI-JF'!AV13:AV100000,'PLAN BUDGET SAMI-JF'!D13:D100000,SUMMARY!D11,'PLAN BUDGET SAMI-JF'!J13:J100000,SUMMARY!A11&amp;"*")</f>
        <v>0</v>
      </c>
      <c r="N11" s="10">
        <f>SUMIFS('PLAN BUDGET SAMI-JF'!AW13:AW100000,'PLAN BUDGET SAMI-JF'!D13:D100000,SUMMARY!D11,'PLAN BUDGET SAMI-JF'!J13:J100000,SUMMARY!A11&amp;"*")</f>
        <v>0</v>
      </c>
      <c r="O11" s="10">
        <f>SUMIFS('PLAN BUDGET SAMI-JF'!AX13:AX100000,'PLAN BUDGET SAMI-JF'!D13:D100000,SUMMARY!D11,'PLAN BUDGET SAMI-JF'!J13:J100000,SUMMARY!A11&amp;"*")</f>
        <v>0</v>
      </c>
      <c r="P11" s="10">
        <f>SUMIFS('PLAN BUDGET SAMI-JF'!AY13:AY100000,'PLAN BUDGET SAMI-JF'!D13:D100000,SUMMARY!D11,'PLAN BUDGET SAMI-JF'!J13:J100000,SUMMARY!A11&amp;"*")</f>
        <v>0</v>
      </c>
      <c r="Q11" s="10">
        <f>SUMIFS('PLAN BUDGET SAMI-JF'!BC13:BC100000,'PLAN BUDGET SAMI-JF'!D13:D100000,SUMMARY!D11,'PLAN BUDGET SAMI-JF'!J13:J100000,SUMMARY!A11&amp;"*")</f>
        <v>0</v>
      </c>
      <c r="R11" s="10">
        <f>SUMIFS('PLAN BUDGET SAMI-JF'!BD13:BD100000,'PLAN BUDGET SAMI-JF'!D13:D100000,SUMMARY!D11,'PLAN BUDGET SAMI-JF'!J13:J100000,SUMMARY!A11&amp;"*")</f>
        <v>0</v>
      </c>
      <c r="S11" s="10">
        <f>SUMIFS('PLAN BUDGET SAMI-JF'!BE13:BE100000,'PLAN BUDGET SAMI-JF'!D13:D100000,SUMMARY!D11,'PLAN BUDGET SAMI-JF'!J13:J100000,SUMMARY!A11&amp;"*")</f>
        <v>0</v>
      </c>
      <c r="T11" s="10">
        <f>SUMIFS('PLAN BUDGET SAMI-JF'!BF13:BF100000,'PLAN BUDGET SAMI-JF'!D13:D100000,SUMMARY!D11,'PLAN BUDGET SAMI-JF'!J13:J100000,SUMMARY!A11&amp;"*")</f>
        <v>0</v>
      </c>
      <c r="U11" s="10">
        <f>SUMIFS('PLAN BUDGET SAMI-JF'!BG13:BG100000,'PLAN BUDGET SAMI-JF'!D13:D100000,SUMMARY!D11,'PLAN BUDGET SAMI-JF'!J13:J100000,SUMMARY!A11&amp;"*")</f>
        <v>529.16081171749295</v>
      </c>
      <c r="V11" s="10">
        <f>SUMIFS('PLAN BUDGET SAMI-JF'!BH13:BH100000,'PLAN BUDGET SAMI-JF'!D13:D100000,SUMMARY!D11,'PLAN BUDGET SAMI-JF'!J13:J100000,SUMMARY!A11&amp;"*")</f>
        <v>0</v>
      </c>
      <c r="W11" s="10">
        <f>SUMIFS('PLAN BUDGET SAMI-JF'!BI13:BI100000,'PLAN BUDGET SAMI-JF'!D13:D100000,SUMMARY!D11,'PLAN BUDGET SAMI-JF'!J13:J100000,SUMMARY!A11&amp;"*")</f>
        <v>0</v>
      </c>
      <c r="X11" s="10">
        <f>SUMIFS('PLAN BUDGET SAMI-JF'!BJ13:BJ100000,'PLAN BUDGET SAMI-JF'!D13:D100000,SUMMARY!D11,'PLAN BUDGET SAMI-JF'!J13:J100000,SUMMARY!A11&amp;"*")</f>
        <v>0</v>
      </c>
      <c r="Y11" s="10">
        <f>SUMIFS('PLAN BUDGET SAMI-JF'!BK13:BK100000,'PLAN BUDGET SAMI-JF'!D13:D100000,SUMMARY!D11,'PLAN BUDGET SAMI-JF'!J13:J100000,SUMMARY!A11&amp;"*")</f>
        <v>0</v>
      </c>
      <c r="Z11" s="10">
        <f>SUMIFS('PLAN BUDGET SAMI-JF'!BL13:BL100000,'PLAN BUDGET SAMI-JF'!D13:D100000,SUMMARY!D11,'PLAN BUDGET SAMI-JF'!J13:J100000,SUMMARY!A11&amp;"*")</f>
        <v>0</v>
      </c>
      <c r="AA11" s="10">
        <f>SUMIFS('PLAN BUDGET SAMI-JF'!BM13:BM100000,'PLAN BUDGET SAMI-JF'!D13:D100000,SUMMARY!D11,'PLAN BUDGET SAMI-JF'!J13:J100000,SUMMARY!A11&amp;"*")</f>
        <v>0</v>
      </c>
      <c r="AB11" s="10">
        <f>SUMIFS('PLAN BUDGET SAMI-JF'!BN13:BN100000,'PLAN BUDGET SAMI-JF'!D13:D100000,SUMMARY!D11,'PLAN BUDGET SAMI-JF'!J13:J100000,SUMMARY!A11&amp;"*")</f>
        <v>0</v>
      </c>
      <c r="AC11" s="10">
        <f t="shared" si="0"/>
        <v>24</v>
      </c>
      <c r="AD11" s="10">
        <f t="shared" si="1"/>
        <v>529.16081171749295</v>
      </c>
      <c r="AE11" s="16"/>
      <c r="AF11" s="10">
        <v>0</v>
      </c>
      <c r="AG11" s="10">
        <v>0</v>
      </c>
      <c r="AH11" s="20">
        <f t="shared" si="2"/>
        <v>1</v>
      </c>
      <c r="AI11" s="20">
        <f t="shared" si="3"/>
        <v>1</v>
      </c>
      <c r="AJ11" s="7" t="s">
        <v>290</v>
      </c>
    </row>
    <row r="12" spans="1:36" x14ac:dyDescent="0.35">
      <c r="A12" s="7" t="s">
        <v>47</v>
      </c>
      <c r="B12" s="7"/>
      <c r="C12" s="7"/>
      <c r="D12" s="7" t="s">
        <v>97</v>
      </c>
      <c r="E12" s="10">
        <f>SUMIFS('PLAN BUDGET SAMI-JF'!AN13:AN100000,'PLAN BUDGET SAMI-JF'!D13:D100000,SUMMARY!D12,'PLAN BUDGET SAMI-JF'!J13:J100000,SUMMARY!A12&amp;"*")</f>
        <v>1</v>
      </c>
      <c r="F12" s="10">
        <f>SUMIFS('PLAN BUDGET SAMI-JF'!AO13:AO100000,'PLAN BUDGET SAMI-JF'!D13:D100000,SUMMARY!D12,'PLAN BUDGET SAMI-JF'!J13:J100000,SUMMARY!A12&amp;"*")</f>
        <v>0</v>
      </c>
      <c r="G12" s="10">
        <f>SUMIFS('PLAN BUDGET SAMI-JF'!AP13:AP100000,'PLAN BUDGET SAMI-JF'!D13:D100000,SUMMARY!D12,'PLAN BUDGET SAMI-JF'!J13:J100000,SUMMARY!A12&amp;"*")</f>
        <v>0</v>
      </c>
      <c r="H12" s="10">
        <f>SUMIFS('PLAN BUDGET SAMI-JF'!AQ13:AQ100000,'PLAN BUDGET SAMI-JF'!D13:D100000,SUMMARY!D12,'PLAN BUDGET SAMI-JF'!J13:J100000,SUMMARY!A12&amp;"*")</f>
        <v>0</v>
      </c>
      <c r="I12" s="10">
        <f>SUMIFS('PLAN BUDGET SAMI-JF'!AR13:AR100000,'PLAN BUDGET SAMI-JF'!D13:D100000,SUMMARY!D12,'PLAN BUDGET SAMI-JF'!J13:J100000,SUMMARY!A12&amp;"*")</f>
        <v>0</v>
      </c>
      <c r="J12" s="10">
        <f>SUMIFS('PLAN BUDGET SAMI-JF'!AS13:AS100000,'PLAN BUDGET SAMI-JF'!D13:D100000,SUMMARY!D12,'PLAN BUDGET SAMI-JF'!J13:J100000,SUMMARY!A12&amp;"*")</f>
        <v>0</v>
      </c>
      <c r="K12" s="10">
        <f>SUMIFS('PLAN BUDGET SAMI-JF'!AT13:AT100000,'PLAN BUDGET SAMI-JF'!D13:D100000,SUMMARY!D12,'PLAN BUDGET SAMI-JF'!J13:J100000,SUMMARY!A12&amp;"*")</f>
        <v>0</v>
      </c>
      <c r="L12" s="10">
        <f>SUMIFS('PLAN BUDGET SAMI-JF'!AU13:AU100000,'PLAN BUDGET SAMI-JF'!D13:D100000,SUMMARY!D12,'PLAN BUDGET SAMI-JF'!J13:J100000,SUMMARY!A12&amp;"*")</f>
        <v>0</v>
      </c>
      <c r="M12" s="10">
        <f>SUMIFS('PLAN BUDGET SAMI-JF'!AV13:AV100000,'PLAN BUDGET SAMI-JF'!D13:D100000,SUMMARY!D12,'PLAN BUDGET SAMI-JF'!J13:J100000,SUMMARY!A12&amp;"*")</f>
        <v>0</v>
      </c>
      <c r="N12" s="10">
        <f>SUMIFS('PLAN BUDGET SAMI-JF'!AW13:AW100000,'PLAN BUDGET SAMI-JF'!D13:D100000,SUMMARY!D12,'PLAN BUDGET SAMI-JF'!J13:J100000,SUMMARY!A12&amp;"*")</f>
        <v>0</v>
      </c>
      <c r="O12" s="10">
        <f>SUMIFS('PLAN BUDGET SAMI-JF'!AX13:AX100000,'PLAN BUDGET SAMI-JF'!D13:D100000,SUMMARY!D12,'PLAN BUDGET SAMI-JF'!J13:J100000,SUMMARY!A12&amp;"*")</f>
        <v>0</v>
      </c>
      <c r="P12" s="10">
        <f>SUMIFS('PLAN BUDGET SAMI-JF'!AY13:AY100000,'PLAN BUDGET SAMI-JF'!D13:D100000,SUMMARY!D12,'PLAN BUDGET SAMI-JF'!J13:J100000,SUMMARY!A12&amp;"*")</f>
        <v>0</v>
      </c>
      <c r="Q12" s="10">
        <f>SUMIFS('PLAN BUDGET SAMI-JF'!BC13:BC100000,'PLAN BUDGET SAMI-JF'!D13:D100000,SUMMARY!D12,'PLAN BUDGET SAMI-JF'!J13:J100000,SUMMARY!A12&amp;"*")</f>
        <v>2.2786829212714999</v>
      </c>
      <c r="R12" s="10">
        <f>SUMIFS('PLAN BUDGET SAMI-JF'!BD13:BD100000,'PLAN BUDGET SAMI-JF'!D13:D100000,SUMMARY!D12,'PLAN BUDGET SAMI-JF'!J13:J100000,SUMMARY!A12&amp;"*")</f>
        <v>0</v>
      </c>
      <c r="S12" s="10">
        <f>SUMIFS('PLAN BUDGET SAMI-JF'!BE13:BE100000,'PLAN BUDGET SAMI-JF'!D13:D100000,SUMMARY!D12,'PLAN BUDGET SAMI-JF'!J13:J100000,SUMMARY!A12&amp;"*")</f>
        <v>0</v>
      </c>
      <c r="T12" s="10">
        <f>SUMIFS('PLAN BUDGET SAMI-JF'!BF13:BF100000,'PLAN BUDGET SAMI-JF'!D13:D100000,SUMMARY!D12,'PLAN BUDGET SAMI-JF'!J13:J100000,SUMMARY!A12&amp;"*")</f>
        <v>0</v>
      </c>
      <c r="U12" s="10">
        <f>SUMIFS('PLAN BUDGET SAMI-JF'!BG13:BG100000,'PLAN BUDGET SAMI-JF'!D13:D100000,SUMMARY!D12,'PLAN BUDGET SAMI-JF'!J13:J100000,SUMMARY!A12&amp;"*")</f>
        <v>0</v>
      </c>
      <c r="V12" s="10">
        <f>SUMIFS('PLAN BUDGET SAMI-JF'!BH13:BH100000,'PLAN BUDGET SAMI-JF'!D13:D100000,SUMMARY!D12,'PLAN BUDGET SAMI-JF'!J13:J100000,SUMMARY!A12&amp;"*")</f>
        <v>0</v>
      </c>
      <c r="W12" s="10">
        <f>SUMIFS('PLAN BUDGET SAMI-JF'!BI13:BI100000,'PLAN BUDGET SAMI-JF'!D13:D100000,SUMMARY!D12,'PLAN BUDGET SAMI-JF'!J13:J100000,SUMMARY!A12&amp;"*")</f>
        <v>0</v>
      </c>
      <c r="X12" s="10">
        <f>SUMIFS('PLAN BUDGET SAMI-JF'!BJ13:BJ100000,'PLAN BUDGET SAMI-JF'!D13:D100000,SUMMARY!D12,'PLAN BUDGET SAMI-JF'!J13:J100000,SUMMARY!A12&amp;"*")</f>
        <v>0</v>
      </c>
      <c r="Y12" s="10">
        <f>SUMIFS('PLAN BUDGET SAMI-JF'!BK13:BK100000,'PLAN BUDGET SAMI-JF'!D13:D100000,SUMMARY!D12,'PLAN BUDGET SAMI-JF'!J13:J100000,SUMMARY!A12&amp;"*")</f>
        <v>0</v>
      </c>
      <c r="Z12" s="10">
        <f>SUMIFS('PLAN BUDGET SAMI-JF'!BL13:BL100000,'PLAN BUDGET SAMI-JF'!D13:D100000,SUMMARY!D12,'PLAN BUDGET SAMI-JF'!J13:J100000,SUMMARY!A12&amp;"*")</f>
        <v>0</v>
      </c>
      <c r="AA12" s="10">
        <f>SUMIFS('PLAN BUDGET SAMI-JF'!BM13:BM100000,'PLAN BUDGET SAMI-JF'!D13:D100000,SUMMARY!D12,'PLAN BUDGET SAMI-JF'!J13:J100000,SUMMARY!A12&amp;"*")</f>
        <v>0</v>
      </c>
      <c r="AB12" s="10">
        <f>SUMIFS('PLAN BUDGET SAMI-JF'!BN13:BN100000,'PLAN BUDGET SAMI-JF'!D13:D100000,SUMMARY!D12,'PLAN BUDGET SAMI-JF'!J13:J100000,SUMMARY!A12&amp;"*")</f>
        <v>0</v>
      </c>
      <c r="AC12" s="10">
        <f t="shared" si="0"/>
        <v>1</v>
      </c>
      <c r="AD12" s="10">
        <f t="shared" si="1"/>
        <v>2.2786829212714999</v>
      </c>
      <c r="AE12" s="16"/>
      <c r="AF12" s="10">
        <v>0</v>
      </c>
      <c r="AG12" s="10">
        <v>0</v>
      </c>
      <c r="AH12" s="20">
        <f t="shared" si="2"/>
        <v>1</v>
      </c>
      <c r="AI12" s="20">
        <f t="shared" si="3"/>
        <v>1</v>
      </c>
      <c r="AJ12" s="7" t="s">
        <v>290</v>
      </c>
    </row>
    <row r="13" spans="1:36" x14ac:dyDescent="0.35">
      <c r="A13" s="7" t="s">
        <v>47</v>
      </c>
      <c r="B13" s="7"/>
      <c r="C13" s="7"/>
      <c r="D13" s="7" t="s">
        <v>144</v>
      </c>
      <c r="E13" s="10">
        <f>SUMIFS('PLAN BUDGET SAMI-JF'!AN13:AN100000,'PLAN BUDGET SAMI-JF'!D13:D100000,SUMMARY!D13,'PLAN BUDGET SAMI-JF'!J13:J100000,SUMMARY!A13&amp;"*")</f>
        <v>0</v>
      </c>
      <c r="F13" s="10">
        <f>SUMIFS('PLAN BUDGET SAMI-JF'!AO13:AO100000,'PLAN BUDGET SAMI-JF'!D13:D100000,SUMMARY!D13,'PLAN BUDGET SAMI-JF'!J13:J100000,SUMMARY!A13&amp;"*")</f>
        <v>10</v>
      </c>
      <c r="G13" s="10">
        <f>SUMIFS('PLAN BUDGET SAMI-JF'!AP13:AP100000,'PLAN BUDGET SAMI-JF'!D13:D100000,SUMMARY!D13,'PLAN BUDGET SAMI-JF'!J13:J100000,SUMMARY!A13&amp;"*")</f>
        <v>0</v>
      </c>
      <c r="H13" s="10">
        <f>SUMIFS('PLAN BUDGET SAMI-JF'!AQ13:AQ100000,'PLAN BUDGET SAMI-JF'!D13:D100000,SUMMARY!D13,'PLAN BUDGET SAMI-JF'!J13:J100000,SUMMARY!A13&amp;"*")</f>
        <v>0</v>
      </c>
      <c r="I13" s="10">
        <f>SUMIFS('PLAN BUDGET SAMI-JF'!AR13:AR100000,'PLAN BUDGET SAMI-JF'!D13:D100000,SUMMARY!D13,'PLAN BUDGET SAMI-JF'!J13:J100000,SUMMARY!A13&amp;"*")</f>
        <v>0</v>
      </c>
      <c r="J13" s="10">
        <f>SUMIFS('PLAN BUDGET SAMI-JF'!AS13:AS100000,'PLAN BUDGET SAMI-JF'!D13:D100000,SUMMARY!D13,'PLAN BUDGET SAMI-JF'!J13:J100000,SUMMARY!A13&amp;"*")</f>
        <v>0</v>
      </c>
      <c r="K13" s="10">
        <f>SUMIFS('PLAN BUDGET SAMI-JF'!AT13:AT100000,'PLAN BUDGET SAMI-JF'!D13:D100000,SUMMARY!D13,'PLAN BUDGET SAMI-JF'!J13:J100000,SUMMARY!A13&amp;"*")</f>
        <v>0</v>
      </c>
      <c r="L13" s="10">
        <f>SUMIFS('PLAN BUDGET SAMI-JF'!AU13:AU100000,'PLAN BUDGET SAMI-JF'!D13:D100000,SUMMARY!D13,'PLAN BUDGET SAMI-JF'!J13:J100000,SUMMARY!A13&amp;"*")</f>
        <v>0</v>
      </c>
      <c r="M13" s="10">
        <f>SUMIFS('PLAN BUDGET SAMI-JF'!AV13:AV100000,'PLAN BUDGET SAMI-JF'!D13:D100000,SUMMARY!D13,'PLAN BUDGET SAMI-JF'!J13:J100000,SUMMARY!A13&amp;"*")</f>
        <v>0</v>
      </c>
      <c r="N13" s="10">
        <f>SUMIFS('PLAN BUDGET SAMI-JF'!AW13:AW100000,'PLAN BUDGET SAMI-JF'!D13:D100000,SUMMARY!D13,'PLAN BUDGET SAMI-JF'!J13:J100000,SUMMARY!A13&amp;"*")</f>
        <v>0</v>
      </c>
      <c r="O13" s="10">
        <f>SUMIFS('PLAN BUDGET SAMI-JF'!AX13:AX100000,'PLAN BUDGET SAMI-JF'!D13:D100000,SUMMARY!D13,'PLAN BUDGET SAMI-JF'!J13:J100000,SUMMARY!A13&amp;"*")</f>
        <v>0</v>
      </c>
      <c r="P13" s="10">
        <f>SUMIFS('PLAN BUDGET SAMI-JF'!AY13:AY100000,'PLAN BUDGET SAMI-JF'!D13:D100000,SUMMARY!D13,'PLAN BUDGET SAMI-JF'!J13:J100000,SUMMARY!A13&amp;"*")</f>
        <v>0</v>
      </c>
      <c r="Q13" s="10">
        <f>SUMIFS('PLAN BUDGET SAMI-JF'!BC13:BC100000,'PLAN BUDGET SAMI-JF'!D13:D100000,SUMMARY!D13,'PLAN BUDGET SAMI-JF'!J13:J100000,SUMMARY!A13&amp;"*")</f>
        <v>0</v>
      </c>
      <c r="R13" s="10">
        <f>SUMIFS('PLAN BUDGET SAMI-JF'!BD13:BD100000,'PLAN BUDGET SAMI-JF'!D13:D100000,SUMMARY!D13,'PLAN BUDGET SAMI-JF'!J13:J100000,SUMMARY!A13&amp;"*")</f>
        <v>283.60107857657999</v>
      </c>
      <c r="S13" s="10">
        <f>SUMIFS('PLAN BUDGET SAMI-JF'!BE13:BE100000,'PLAN BUDGET SAMI-JF'!D13:D100000,SUMMARY!D13,'PLAN BUDGET SAMI-JF'!J13:J100000,SUMMARY!A13&amp;"*")</f>
        <v>0</v>
      </c>
      <c r="T13" s="10">
        <f>SUMIFS('PLAN BUDGET SAMI-JF'!BF13:BF100000,'PLAN BUDGET SAMI-JF'!D13:D100000,SUMMARY!D13,'PLAN BUDGET SAMI-JF'!J13:J100000,SUMMARY!A13&amp;"*")</f>
        <v>0</v>
      </c>
      <c r="U13" s="10">
        <f>SUMIFS('PLAN BUDGET SAMI-JF'!BG13:BG100000,'PLAN BUDGET SAMI-JF'!D13:D100000,SUMMARY!D13,'PLAN BUDGET SAMI-JF'!J13:J100000,SUMMARY!A13&amp;"*")</f>
        <v>0</v>
      </c>
      <c r="V13" s="10">
        <f>SUMIFS('PLAN BUDGET SAMI-JF'!BH13:BH100000,'PLAN BUDGET SAMI-JF'!D13:D100000,SUMMARY!D13,'PLAN BUDGET SAMI-JF'!J13:J100000,SUMMARY!A13&amp;"*")</f>
        <v>0</v>
      </c>
      <c r="W13" s="10">
        <f>SUMIFS('PLAN BUDGET SAMI-JF'!BI13:BI100000,'PLAN BUDGET SAMI-JF'!D13:D100000,SUMMARY!D13,'PLAN BUDGET SAMI-JF'!J13:J100000,SUMMARY!A13&amp;"*")</f>
        <v>0</v>
      </c>
      <c r="X13" s="10">
        <f>SUMIFS('PLAN BUDGET SAMI-JF'!BJ13:BJ100000,'PLAN BUDGET SAMI-JF'!D13:D100000,SUMMARY!D13,'PLAN BUDGET SAMI-JF'!J13:J100000,SUMMARY!A13&amp;"*")</f>
        <v>0</v>
      </c>
      <c r="Y13" s="10">
        <f>SUMIFS('PLAN BUDGET SAMI-JF'!BK13:BK100000,'PLAN BUDGET SAMI-JF'!D13:D100000,SUMMARY!D13,'PLAN BUDGET SAMI-JF'!J13:J100000,SUMMARY!A13&amp;"*")</f>
        <v>0</v>
      </c>
      <c r="Z13" s="10">
        <f>SUMIFS('PLAN BUDGET SAMI-JF'!BL13:BL100000,'PLAN BUDGET SAMI-JF'!D13:D100000,SUMMARY!D13,'PLAN BUDGET SAMI-JF'!J13:J100000,SUMMARY!A13&amp;"*")</f>
        <v>0</v>
      </c>
      <c r="AA13" s="10">
        <f>SUMIFS('PLAN BUDGET SAMI-JF'!BM13:BM100000,'PLAN BUDGET SAMI-JF'!D13:D100000,SUMMARY!D13,'PLAN BUDGET SAMI-JF'!J13:J100000,SUMMARY!A13&amp;"*")</f>
        <v>0</v>
      </c>
      <c r="AB13" s="10">
        <f>SUMIFS('PLAN BUDGET SAMI-JF'!BN13:BN100000,'PLAN BUDGET SAMI-JF'!D13:D100000,SUMMARY!D13,'PLAN BUDGET SAMI-JF'!J13:J100000,SUMMARY!A13&amp;"*")</f>
        <v>0</v>
      </c>
      <c r="AC13" s="10">
        <f t="shared" si="0"/>
        <v>10</v>
      </c>
      <c r="AD13" s="10">
        <f t="shared" si="1"/>
        <v>283.60107857657999</v>
      </c>
      <c r="AE13" s="16"/>
      <c r="AF13" s="10">
        <v>10</v>
      </c>
      <c r="AG13" s="10">
        <v>265.84634081501002</v>
      </c>
      <c r="AH13" s="20">
        <f t="shared" si="2"/>
        <v>0</v>
      </c>
      <c r="AI13" s="20">
        <f t="shared" si="3"/>
        <v>6.6785714285699571E-2</v>
      </c>
      <c r="AJ13" s="7" t="s">
        <v>289</v>
      </c>
    </row>
    <row r="14" spans="1:36" x14ac:dyDescent="0.35">
      <c r="A14" s="7" t="s">
        <v>47</v>
      </c>
      <c r="B14" s="7"/>
      <c r="C14" s="7"/>
      <c r="D14" s="7" t="s">
        <v>106</v>
      </c>
      <c r="E14" s="10">
        <f>SUMIFS('PLAN BUDGET SAMI-JF'!AN13:AN100000,'PLAN BUDGET SAMI-JF'!D13:D100000,SUMMARY!D14,'PLAN BUDGET SAMI-JF'!J13:J100000,SUMMARY!A14&amp;"*")</f>
        <v>0</v>
      </c>
      <c r="F14" s="10">
        <f>SUMIFS('PLAN BUDGET SAMI-JF'!AO13:AO100000,'PLAN BUDGET SAMI-JF'!D13:D100000,SUMMARY!D14,'PLAN BUDGET SAMI-JF'!J13:J100000,SUMMARY!A14&amp;"*")</f>
        <v>0</v>
      </c>
      <c r="G14" s="10">
        <f>SUMIFS('PLAN BUDGET SAMI-JF'!AP13:AP100000,'PLAN BUDGET SAMI-JF'!D13:D100000,SUMMARY!D14,'PLAN BUDGET SAMI-JF'!J13:J100000,SUMMARY!A14&amp;"*")</f>
        <v>0</v>
      </c>
      <c r="H14" s="10">
        <f>SUMIFS('PLAN BUDGET SAMI-JF'!AQ13:AQ100000,'PLAN BUDGET SAMI-JF'!D13:D100000,SUMMARY!D14,'PLAN BUDGET SAMI-JF'!J13:J100000,SUMMARY!A14&amp;"*")</f>
        <v>0</v>
      </c>
      <c r="I14" s="10">
        <f>SUMIFS('PLAN BUDGET SAMI-JF'!AR13:AR100000,'PLAN BUDGET SAMI-JF'!D13:D100000,SUMMARY!D14,'PLAN BUDGET SAMI-JF'!J13:J100000,SUMMARY!A14&amp;"*")</f>
        <v>0</v>
      </c>
      <c r="J14" s="10">
        <f>SUMIFS('PLAN BUDGET SAMI-JF'!AS13:AS100000,'PLAN BUDGET SAMI-JF'!D13:D100000,SUMMARY!D14,'PLAN BUDGET SAMI-JF'!J13:J100000,SUMMARY!A14&amp;"*")</f>
        <v>0</v>
      </c>
      <c r="K14" s="10">
        <f>SUMIFS('PLAN BUDGET SAMI-JF'!AT13:AT100000,'PLAN BUDGET SAMI-JF'!D13:D100000,SUMMARY!D14,'PLAN BUDGET SAMI-JF'!J13:J100000,SUMMARY!A14&amp;"*")</f>
        <v>0</v>
      </c>
      <c r="L14" s="10">
        <f>SUMIFS('PLAN BUDGET SAMI-JF'!AU13:AU100000,'PLAN BUDGET SAMI-JF'!D13:D100000,SUMMARY!D14,'PLAN BUDGET SAMI-JF'!J13:J100000,SUMMARY!A14&amp;"*")</f>
        <v>0</v>
      </c>
      <c r="M14" s="10">
        <f>SUMIFS('PLAN BUDGET SAMI-JF'!AV13:AV100000,'PLAN BUDGET SAMI-JF'!D13:D100000,SUMMARY!D14,'PLAN BUDGET SAMI-JF'!J13:J100000,SUMMARY!A14&amp;"*")</f>
        <v>0</v>
      </c>
      <c r="N14" s="10">
        <f>SUMIFS('PLAN BUDGET SAMI-JF'!AW13:AW100000,'PLAN BUDGET SAMI-JF'!D13:D100000,SUMMARY!D14,'PLAN BUDGET SAMI-JF'!J13:J100000,SUMMARY!A14&amp;"*")</f>
        <v>0</v>
      </c>
      <c r="O14" s="10">
        <f>SUMIFS('PLAN BUDGET SAMI-JF'!AX13:AX100000,'PLAN BUDGET SAMI-JF'!D13:D100000,SUMMARY!D14,'PLAN BUDGET SAMI-JF'!J13:J100000,SUMMARY!A14&amp;"*")</f>
        <v>10</v>
      </c>
      <c r="P14" s="10">
        <f>SUMIFS('PLAN BUDGET SAMI-JF'!AY13:AY100000,'PLAN BUDGET SAMI-JF'!D13:D100000,SUMMARY!D14,'PLAN BUDGET SAMI-JF'!J13:J100000,SUMMARY!A14&amp;"*")</f>
        <v>0</v>
      </c>
      <c r="Q14" s="10">
        <f>SUMIFS('PLAN BUDGET SAMI-JF'!BC13:BC100000,'PLAN BUDGET SAMI-JF'!D13:D100000,SUMMARY!D14,'PLAN BUDGET SAMI-JF'!J13:J100000,SUMMARY!A14&amp;"*")</f>
        <v>0</v>
      </c>
      <c r="R14" s="10">
        <f>SUMIFS('PLAN BUDGET SAMI-JF'!BD13:BD100000,'PLAN BUDGET SAMI-JF'!D13:D100000,SUMMARY!D14,'PLAN BUDGET SAMI-JF'!J13:J100000,SUMMARY!A14&amp;"*")</f>
        <v>0</v>
      </c>
      <c r="S14" s="10">
        <f>SUMIFS('PLAN BUDGET SAMI-JF'!BE13:BE100000,'PLAN BUDGET SAMI-JF'!D13:D100000,SUMMARY!D14,'PLAN BUDGET SAMI-JF'!J13:J100000,SUMMARY!A14&amp;"*")</f>
        <v>0</v>
      </c>
      <c r="T14" s="10">
        <f>SUMIFS('PLAN BUDGET SAMI-JF'!BF13:BF100000,'PLAN BUDGET SAMI-JF'!D13:D100000,SUMMARY!D14,'PLAN BUDGET SAMI-JF'!J13:J100000,SUMMARY!A14&amp;"*")</f>
        <v>0</v>
      </c>
      <c r="U14" s="10">
        <f>SUMIFS('PLAN BUDGET SAMI-JF'!BG13:BG100000,'PLAN BUDGET SAMI-JF'!D13:D100000,SUMMARY!D14,'PLAN BUDGET SAMI-JF'!J13:J100000,SUMMARY!A14&amp;"*")</f>
        <v>0</v>
      </c>
      <c r="V14" s="10">
        <f>SUMIFS('PLAN BUDGET SAMI-JF'!BH13:BH100000,'PLAN BUDGET SAMI-JF'!D13:D100000,SUMMARY!D14,'PLAN BUDGET SAMI-JF'!J13:J100000,SUMMARY!A14&amp;"*")</f>
        <v>0</v>
      </c>
      <c r="W14" s="10">
        <f>SUMIFS('PLAN BUDGET SAMI-JF'!BI13:BI100000,'PLAN BUDGET SAMI-JF'!D13:D100000,SUMMARY!D14,'PLAN BUDGET SAMI-JF'!J13:J100000,SUMMARY!A14&amp;"*")</f>
        <v>0</v>
      </c>
      <c r="X14" s="10">
        <f>SUMIFS('PLAN BUDGET SAMI-JF'!BJ13:BJ100000,'PLAN BUDGET SAMI-JF'!D13:D100000,SUMMARY!D14,'PLAN BUDGET SAMI-JF'!J13:J100000,SUMMARY!A14&amp;"*")</f>
        <v>0</v>
      </c>
      <c r="Y14" s="10">
        <f>SUMIFS('PLAN BUDGET SAMI-JF'!BK13:BK100000,'PLAN BUDGET SAMI-JF'!D13:D100000,SUMMARY!D14,'PLAN BUDGET SAMI-JF'!J13:J100000,SUMMARY!A14&amp;"*")</f>
        <v>0</v>
      </c>
      <c r="Z14" s="10">
        <f>SUMIFS('PLAN BUDGET SAMI-JF'!BL13:BL100000,'PLAN BUDGET SAMI-JF'!D13:D100000,SUMMARY!D14,'PLAN BUDGET SAMI-JF'!J13:J100000,SUMMARY!A14&amp;"*")</f>
        <v>0</v>
      </c>
      <c r="AA14" s="10">
        <f>SUMIFS('PLAN BUDGET SAMI-JF'!BM13:BM100000,'PLAN BUDGET SAMI-JF'!D13:D100000,SUMMARY!D14,'PLAN BUDGET SAMI-JF'!J13:J100000,SUMMARY!A14&amp;"*")</f>
        <v>94.945121719645996</v>
      </c>
      <c r="AB14" s="10">
        <f>SUMIFS('PLAN BUDGET SAMI-JF'!BN13:BN100000,'PLAN BUDGET SAMI-JF'!D13:D100000,SUMMARY!D14,'PLAN BUDGET SAMI-JF'!J13:J100000,SUMMARY!A14&amp;"*")</f>
        <v>0</v>
      </c>
      <c r="AC14" s="10">
        <f t="shared" si="0"/>
        <v>10</v>
      </c>
      <c r="AD14" s="10">
        <f t="shared" si="1"/>
        <v>94.945121719645996</v>
      </c>
      <c r="AE14" s="16"/>
      <c r="AF14" s="10">
        <v>478</v>
      </c>
      <c r="AG14" s="10">
        <v>2079.2981656602001</v>
      </c>
      <c r="AH14" s="20">
        <f t="shared" si="2"/>
        <v>-0.97907949790794979</v>
      </c>
      <c r="AI14" s="20">
        <f t="shared" si="3"/>
        <v>-0.95433789954337789</v>
      </c>
      <c r="AJ14" s="7" t="s">
        <v>291</v>
      </c>
    </row>
    <row r="15" spans="1:36" x14ac:dyDescent="0.35">
      <c r="A15" s="7" t="s">
        <v>47</v>
      </c>
      <c r="B15" s="7"/>
      <c r="C15" s="7"/>
      <c r="D15" s="7" t="s">
        <v>67</v>
      </c>
      <c r="E15" s="10">
        <f>SUMIFS('PLAN BUDGET SAMI-JF'!AN13:AN100000,'PLAN BUDGET SAMI-JF'!D13:D100000,SUMMARY!D15,'PLAN BUDGET SAMI-JF'!J13:J100000,SUMMARY!A15&amp;"*")</f>
        <v>0</v>
      </c>
      <c r="F15" s="10">
        <f>SUMIFS('PLAN BUDGET SAMI-JF'!AO13:AO100000,'PLAN BUDGET SAMI-JF'!D13:D100000,SUMMARY!D15,'PLAN BUDGET SAMI-JF'!J13:J100000,SUMMARY!A15&amp;"*")</f>
        <v>0</v>
      </c>
      <c r="G15" s="10">
        <f>SUMIFS('PLAN BUDGET SAMI-JF'!AP13:AP100000,'PLAN BUDGET SAMI-JF'!D13:D100000,SUMMARY!D15,'PLAN BUDGET SAMI-JF'!J13:J100000,SUMMARY!A15&amp;"*")</f>
        <v>13</v>
      </c>
      <c r="H15" s="10">
        <f>SUMIFS('PLAN BUDGET SAMI-JF'!AQ13:AQ100000,'PLAN BUDGET SAMI-JF'!D13:D100000,SUMMARY!D15,'PLAN BUDGET SAMI-JF'!J13:J100000,SUMMARY!A15&amp;"*")</f>
        <v>0</v>
      </c>
      <c r="I15" s="10">
        <f>SUMIFS('PLAN BUDGET SAMI-JF'!AR13:AR100000,'PLAN BUDGET SAMI-JF'!D13:D100000,SUMMARY!D15,'PLAN BUDGET SAMI-JF'!J13:J100000,SUMMARY!A15&amp;"*")</f>
        <v>0</v>
      </c>
      <c r="J15" s="10">
        <f>SUMIFS('PLAN BUDGET SAMI-JF'!AS13:AS100000,'PLAN BUDGET SAMI-JF'!D13:D100000,SUMMARY!D15,'PLAN BUDGET SAMI-JF'!J13:J100000,SUMMARY!A15&amp;"*")</f>
        <v>0</v>
      </c>
      <c r="K15" s="10">
        <f>SUMIFS('PLAN BUDGET SAMI-JF'!AT13:AT100000,'PLAN BUDGET SAMI-JF'!D13:D100000,SUMMARY!D15,'PLAN BUDGET SAMI-JF'!J13:J100000,SUMMARY!A15&amp;"*")</f>
        <v>0</v>
      </c>
      <c r="L15" s="10">
        <f>SUMIFS('PLAN BUDGET SAMI-JF'!AU13:AU100000,'PLAN BUDGET SAMI-JF'!D13:D100000,SUMMARY!D15,'PLAN BUDGET SAMI-JF'!J13:J100000,SUMMARY!A15&amp;"*")</f>
        <v>13</v>
      </c>
      <c r="M15" s="10">
        <f>SUMIFS('PLAN BUDGET SAMI-JF'!AV13:AV100000,'PLAN BUDGET SAMI-JF'!D13:D100000,SUMMARY!D15,'PLAN BUDGET SAMI-JF'!J13:J100000,SUMMARY!A15&amp;"*")</f>
        <v>0</v>
      </c>
      <c r="N15" s="10">
        <f>SUMIFS('PLAN BUDGET SAMI-JF'!AW13:AW100000,'PLAN BUDGET SAMI-JF'!D13:D100000,SUMMARY!D15,'PLAN BUDGET SAMI-JF'!J13:J100000,SUMMARY!A15&amp;"*")</f>
        <v>0</v>
      </c>
      <c r="O15" s="10">
        <f>SUMIFS('PLAN BUDGET SAMI-JF'!AX13:AX100000,'PLAN BUDGET SAMI-JF'!D13:D100000,SUMMARY!D15,'PLAN BUDGET SAMI-JF'!J13:J100000,SUMMARY!A15&amp;"*")</f>
        <v>0</v>
      </c>
      <c r="P15" s="10">
        <f>SUMIFS('PLAN BUDGET SAMI-JF'!AY13:AY100000,'PLAN BUDGET SAMI-JF'!D13:D100000,SUMMARY!D15,'PLAN BUDGET SAMI-JF'!J13:J100000,SUMMARY!A15&amp;"*")</f>
        <v>0</v>
      </c>
      <c r="Q15" s="10">
        <f>SUMIFS('PLAN BUDGET SAMI-JF'!BC13:BC100000,'PLAN BUDGET SAMI-JF'!D13:D100000,SUMMARY!D15,'PLAN BUDGET SAMI-JF'!J13:J100000,SUMMARY!A15&amp;"*")</f>
        <v>0</v>
      </c>
      <c r="R15" s="10">
        <f>SUMIFS('PLAN BUDGET SAMI-JF'!BD13:BD100000,'PLAN BUDGET SAMI-JF'!D13:D100000,SUMMARY!D15,'PLAN BUDGET SAMI-JF'!J13:J100000,SUMMARY!A15&amp;"*")</f>
        <v>0</v>
      </c>
      <c r="S15" s="10">
        <f>SUMIFS('PLAN BUDGET SAMI-JF'!BE13:BE100000,'PLAN BUDGET SAMI-JF'!D13:D100000,SUMMARY!D15,'PLAN BUDGET SAMI-JF'!J13:J100000,SUMMARY!A15&amp;"*")</f>
        <v>27.154304811818999</v>
      </c>
      <c r="T15" s="10">
        <f>SUMIFS('PLAN BUDGET SAMI-JF'!BF13:BF100000,'PLAN BUDGET SAMI-JF'!D13:D100000,SUMMARY!D15,'PLAN BUDGET SAMI-JF'!J13:J100000,SUMMARY!A15&amp;"*")</f>
        <v>0</v>
      </c>
      <c r="U15" s="10">
        <f>SUMIFS('PLAN BUDGET SAMI-JF'!BG13:BG100000,'PLAN BUDGET SAMI-JF'!D13:D100000,SUMMARY!D15,'PLAN BUDGET SAMI-JF'!J13:J100000,SUMMARY!A15&amp;"*")</f>
        <v>0</v>
      </c>
      <c r="V15" s="10">
        <f>SUMIFS('PLAN BUDGET SAMI-JF'!BH13:BH100000,'PLAN BUDGET SAMI-JF'!D13:D100000,SUMMARY!D15,'PLAN BUDGET SAMI-JF'!J13:J100000,SUMMARY!A15&amp;"*")</f>
        <v>0</v>
      </c>
      <c r="W15" s="10">
        <f>SUMIFS('PLAN BUDGET SAMI-JF'!BI13:BI100000,'PLAN BUDGET SAMI-JF'!D13:D100000,SUMMARY!D15,'PLAN BUDGET SAMI-JF'!J13:J100000,SUMMARY!A15&amp;"*")</f>
        <v>0</v>
      </c>
      <c r="X15" s="10">
        <f>SUMIFS('PLAN BUDGET SAMI-JF'!BJ13:BJ100000,'PLAN BUDGET SAMI-JF'!D13:D100000,SUMMARY!D15,'PLAN BUDGET SAMI-JF'!J13:J100000,SUMMARY!A15&amp;"*")</f>
        <v>27.154304811818999</v>
      </c>
      <c r="Y15" s="10">
        <f>SUMIFS('PLAN BUDGET SAMI-JF'!BK13:BK100000,'PLAN BUDGET SAMI-JF'!D13:D100000,SUMMARY!D15,'PLAN BUDGET SAMI-JF'!J13:J100000,SUMMARY!A15&amp;"*")</f>
        <v>0</v>
      </c>
      <c r="Z15" s="10">
        <f>SUMIFS('PLAN BUDGET SAMI-JF'!BL13:BL100000,'PLAN BUDGET SAMI-JF'!D13:D100000,SUMMARY!D15,'PLAN BUDGET SAMI-JF'!J13:J100000,SUMMARY!A15&amp;"*")</f>
        <v>0</v>
      </c>
      <c r="AA15" s="10">
        <f>SUMIFS('PLAN BUDGET SAMI-JF'!BM13:BM100000,'PLAN BUDGET SAMI-JF'!D13:D100000,SUMMARY!D15,'PLAN BUDGET SAMI-JF'!J13:J100000,SUMMARY!A15&amp;"*")</f>
        <v>0</v>
      </c>
      <c r="AB15" s="10">
        <f>SUMIFS('PLAN BUDGET SAMI-JF'!BN13:BN100000,'PLAN BUDGET SAMI-JF'!D13:D100000,SUMMARY!D15,'PLAN BUDGET SAMI-JF'!J13:J100000,SUMMARY!A15&amp;"*")</f>
        <v>0</v>
      </c>
      <c r="AC15" s="10">
        <f t="shared" si="0"/>
        <v>26</v>
      </c>
      <c r="AD15" s="10">
        <f t="shared" si="1"/>
        <v>54.308609623637999</v>
      </c>
      <c r="AE15" s="16"/>
      <c r="AF15" s="10">
        <v>12</v>
      </c>
      <c r="AG15" s="10">
        <v>22.027268238958001</v>
      </c>
      <c r="AH15" s="20">
        <f t="shared" si="2"/>
        <v>1.1666666666666667</v>
      </c>
      <c r="AI15" s="20">
        <f t="shared" si="3"/>
        <v>1.465517241379318</v>
      </c>
      <c r="AJ15" s="7" t="s">
        <v>290</v>
      </c>
    </row>
    <row r="16" spans="1:36" x14ac:dyDescent="0.35">
      <c r="A16" s="7" t="s">
        <v>47</v>
      </c>
      <c r="B16" s="7"/>
      <c r="C16" s="7"/>
      <c r="D16" s="7" t="s">
        <v>90</v>
      </c>
      <c r="E16" s="10">
        <f>SUMIFS('PLAN BUDGET SAMI-JF'!AN13:AN100000,'PLAN BUDGET SAMI-JF'!D13:D100000,SUMMARY!D16,'PLAN BUDGET SAMI-JF'!J13:J100000,SUMMARY!A16&amp;"*")</f>
        <v>0</v>
      </c>
      <c r="F16" s="10">
        <f>SUMIFS('PLAN BUDGET SAMI-JF'!AO13:AO100000,'PLAN BUDGET SAMI-JF'!D13:D100000,SUMMARY!D16,'PLAN BUDGET SAMI-JF'!J13:J100000,SUMMARY!A16&amp;"*")</f>
        <v>0</v>
      </c>
      <c r="G16" s="10">
        <f>SUMIFS('PLAN BUDGET SAMI-JF'!AP13:AP100000,'PLAN BUDGET SAMI-JF'!D13:D100000,SUMMARY!D16,'PLAN BUDGET SAMI-JF'!J13:J100000,SUMMARY!A16&amp;"*")</f>
        <v>0</v>
      </c>
      <c r="H16" s="10">
        <f>SUMIFS('PLAN BUDGET SAMI-JF'!AQ13:AQ100000,'PLAN BUDGET SAMI-JF'!D13:D100000,SUMMARY!D16,'PLAN BUDGET SAMI-JF'!J13:J100000,SUMMARY!A16&amp;"*")</f>
        <v>0</v>
      </c>
      <c r="I16" s="10">
        <f>SUMIFS('PLAN BUDGET SAMI-JF'!AR13:AR100000,'PLAN BUDGET SAMI-JF'!D13:D100000,SUMMARY!D16,'PLAN BUDGET SAMI-JF'!J13:J100000,SUMMARY!A16&amp;"*")</f>
        <v>0</v>
      </c>
      <c r="J16" s="10">
        <f>SUMIFS('PLAN BUDGET SAMI-JF'!AS13:AS100000,'PLAN BUDGET SAMI-JF'!D13:D100000,SUMMARY!D16,'PLAN BUDGET SAMI-JF'!J13:J100000,SUMMARY!A16&amp;"*")</f>
        <v>0</v>
      </c>
      <c r="K16" s="10">
        <f>SUMIFS('PLAN BUDGET SAMI-JF'!AT13:AT100000,'PLAN BUDGET SAMI-JF'!D13:D100000,SUMMARY!D16,'PLAN BUDGET SAMI-JF'!J13:J100000,SUMMARY!A16&amp;"*")</f>
        <v>0</v>
      </c>
      <c r="L16" s="10">
        <f>SUMIFS('PLAN BUDGET SAMI-JF'!AU13:AU100000,'PLAN BUDGET SAMI-JF'!D13:D100000,SUMMARY!D16,'PLAN BUDGET SAMI-JF'!J13:J100000,SUMMARY!A16&amp;"*")</f>
        <v>0</v>
      </c>
      <c r="M16" s="10">
        <f>SUMIFS('PLAN BUDGET SAMI-JF'!AV13:AV100000,'PLAN BUDGET SAMI-JF'!D13:D100000,SUMMARY!D16,'PLAN BUDGET SAMI-JF'!J13:J100000,SUMMARY!A16&amp;"*")</f>
        <v>0</v>
      </c>
      <c r="N16" s="10">
        <f>SUMIFS('PLAN BUDGET SAMI-JF'!AW13:AW100000,'PLAN BUDGET SAMI-JF'!D13:D100000,SUMMARY!D16,'PLAN BUDGET SAMI-JF'!J13:J100000,SUMMARY!A16&amp;"*")</f>
        <v>0</v>
      </c>
      <c r="O16" s="10">
        <f>SUMIFS('PLAN BUDGET SAMI-JF'!AX13:AX100000,'PLAN BUDGET SAMI-JF'!D13:D100000,SUMMARY!D16,'PLAN BUDGET SAMI-JF'!J13:J100000,SUMMARY!A16&amp;"*")</f>
        <v>0</v>
      </c>
      <c r="P16" s="10">
        <f>SUMIFS('PLAN BUDGET SAMI-JF'!AY13:AY100000,'PLAN BUDGET SAMI-JF'!D13:D100000,SUMMARY!D16,'PLAN BUDGET SAMI-JF'!J13:J100000,SUMMARY!A16&amp;"*")</f>
        <v>1</v>
      </c>
      <c r="Q16" s="10">
        <f>SUMIFS('PLAN BUDGET SAMI-JF'!BC13:BC100000,'PLAN BUDGET SAMI-JF'!D13:D100000,SUMMARY!D16,'PLAN BUDGET SAMI-JF'!J13:J100000,SUMMARY!A16&amp;"*")</f>
        <v>0</v>
      </c>
      <c r="R16" s="10">
        <f>SUMIFS('PLAN BUDGET SAMI-JF'!BD13:BD100000,'PLAN BUDGET SAMI-JF'!D13:D100000,SUMMARY!D16,'PLAN BUDGET SAMI-JF'!J13:J100000,SUMMARY!A16&amp;"*")</f>
        <v>0</v>
      </c>
      <c r="S16" s="10">
        <f>SUMIFS('PLAN BUDGET SAMI-JF'!BE13:BE100000,'PLAN BUDGET SAMI-JF'!D13:D100000,SUMMARY!D16,'PLAN BUDGET SAMI-JF'!J13:J100000,SUMMARY!A16&amp;"*")</f>
        <v>0</v>
      </c>
      <c r="T16" s="10">
        <f>SUMIFS('PLAN BUDGET SAMI-JF'!BF13:BF100000,'PLAN BUDGET SAMI-JF'!D13:D100000,SUMMARY!D16,'PLAN BUDGET SAMI-JF'!J13:J100000,SUMMARY!A16&amp;"*")</f>
        <v>0</v>
      </c>
      <c r="U16" s="10">
        <f>SUMIFS('PLAN BUDGET SAMI-JF'!BG13:BG100000,'PLAN BUDGET SAMI-JF'!D13:D100000,SUMMARY!D16,'PLAN BUDGET SAMI-JF'!J13:J100000,SUMMARY!A16&amp;"*")</f>
        <v>0</v>
      </c>
      <c r="V16" s="10">
        <f>SUMIFS('PLAN BUDGET SAMI-JF'!BH13:BH100000,'PLAN BUDGET SAMI-JF'!D13:D100000,SUMMARY!D16,'PLAN BUDGET SAMI-JF'!J13:J100000,SUMMARY!A16&amp;"*")</f>
        <v>0</v>
      </c>
      <c r="W16" s="10">
        <f>SUMIFS('PLAN BUDGET SAMI-JF'!BI13:BI100000,'PLAN BUDGET SAMI-JF'!D13:D100000,SUMMARY!D16,'PLAN BUDGET SAMI-JF'!J13:J100000,SUMMARY!A16&amp;"*")</f>
        <v>0</v>
      </c>
      <c r="X16" s="10">
        <f>SUMIFS('PLAN BUDGET SAMI-JF'!BJ13:BJ100000,'PLAN BUDGET SAMI-JF'!D13:D100000,SUMMARY!D16,'PLAN BUDGET SAMI-JF'!J13:J100000,SUMMARY!A16&amp;"*")</f>
        <v>0</v>
      </c>
      <c r="Y16" s="10">
        <f>SUMIFS('PLAN BUDGET SAMI-JF'!BK13:BK100000,'PLAN BUDGET SAMI-JF'!D13:D100000,SUMMARY!D16,'PLAN BUDGET SAMI-JF'!J13:J100000,SUMMARY!A16&amp;"*")</f>
        <v>0</v>
      </c>
      <c r="Z16" s="10">
        <f>SUMIFS('PLAN BUDGET SAMI-JF'!BL13:BL100000,'PLAN BUDGET SAMI-JF'!D13:D100000,SUMMARY!D16,'PLAN BUDGET SAMI-JF'!J13:J100000,SUMMARY!A16&amp;"*")</f>
        <v>0</v>
      </c>
      <c r="AA16" s="10">
        <f>SUMIFS('PLAN BUDGET SAMI-JF'!BM13:BM100000,'PLAN BUDGET SAMI-JF'!D13:D100000,SUMMARY!D16,'PLAN BUDGET SAMI-JF'!J13:J100000,SUMMARY!A16&amp;"*")</f>
        <v>0</v>
      </c>
      <c r="AB16" s="10">
        <f>SUMIFS('PLAN BUDGET SAMI-JF'!BN13:BN100000,'PLAN BUDGET SAMI-JF'!D13:D100000,SUMMARY!D16,'PLAN BUDGET SAMI-JF'!J13:J100000,SUMMARY!A16&amp;"*")</f>
        <v>316.48373906549</v>
      </c>
      <c r="AC16" s="10">
        <f t="shared" si="0"/>
        <v>1</v>
      </c>
      <c r="AD16" s="10">
        <f t="shared" si="1"/>
        <v>316.48373906549</v>
      </c>
      <c r="AE16" s="16"/>
      <c r="AF16" s="10">
        <v>0</v>
      </c>
      <c r="AG16" s="10">
        <v>0</v>
      </c>
      <c r="AH16" s="20">
        <f t="shared" si="2"/>
        <v>1</v>
      </c>
      <c r="AI16" s="20">
        <f t="shared" si="3"/>
        <v>1</v>
      </c>
      <c r="AJ16" s="7" t="s">
        <v>290</v>
      </c>
    </row>
    <row r="17" spans="1:36" x14ac:dyDescent="0.35">
      <c r="A17" s="7" t="s">
        <v>47</v>
      </c>
      <c r="B17" s="7"/>
      <c r="C17" s="7"/>
      <c r="D17" s="7" t="s">
        <v>134</v>
      </c>
      <c r="E17" s="10">
        <f>SUMIFS('PLAN BUDGET SAMI-JF'!AN13:AN100000,'PLAN BUDGET SAMI-JF'!D13:D100000,SUMMARY!D17,'PLAN BUDGET SAMI-JF'!J13:J100000,SUMMARY!A17&amp;"*")</f>
        <v>1</v>
      </c>
      <c r="F17" s="10">
        <f>SUMIFS('PLAN BUDGET SAMI-JF'!AO13:AO100000,'PLAN BUDGET SAMI-JF'!D13:D100000,SUMMARY!D17,'PLAN BUDGET SAMI-JF'!J13:J100000,SUMMARY!A17&amp;"*")</f>
        <v>0</v>
      </c>
      <c r="G17" s="10">
        <f>SUMIFS('PLAN BUDGET SAMI-JF'!AP13:AP100000,'PLAN BUDGET SAMI-JF'!D13:D100000,SUMMARY!D17,'PLAN BUDGET SAMI-JF'!J13:J100000,SUMMARY!A17&amp;"*")</f>
        <v>0</v>
      </c>
      <c r="H17" s="10">
        <f>SUMIFS('PLAN BUDGET SAMI-JF'!AQ13:AQ100000,'PLAN BUDGET SAMI-JF'!D13:D100000,SUMMARY!D17,'PLAN BUDGET SAMI-JF'!J13:J100000,SUMMARY!A17&amp;"*")</f>
        <v>0</v>
      </c>
      <c r="I17" s="10">
        <f>SUMIFS('PLAN BUDGET SAMI-JF'!AR13:AR100000,'PLAN BUDGET SAMI-JF'!D13:D100000,SUMMARY!D17,'PLAN BUDGET SAMI-JF'!J13:J100000,SUMMARY!A17&amp;"*")</f>
        <v>0</v>
      </c>
      <c r="J17" s="10">
        <f>SUMIFS('PLAN BUDGET SAMI-JF'!AS13:AS100000,'PLAN BUDGET SAMI-JF'!D13:D100000,SUMMARY!D17,'PLAN BUDGET SAMI-JF'!J13:J100000,SUMMARY!A17&amp;"*")</f>
        <v>0</v>
      </c>
      <c r="K17" s="10">
        <f>SUMIFS('PLAN BUDGET SAMI-JF'!AT13:AT100000,'PLAN BUDGET SAMI-JF'!D13:D100000,SUMMARY!D17,'PLAN BUDGET SAMI-JF'!J13:J100000,SUMMARY!A17&amp;"*")</f>
        <v>0</v>
      </c>
      <c r="L17" s="10">
        <f>SUMIFS('PLAN BUDGET SAMI-JF'!AU13:AU100000,'PLAN BUDGET SAMI-JF'!D13:D100000,SUMMARY!D17,'PLAN BUDGET SAMI-JF'!J13:J100000,SUMMARY!A17&amp;"*")</f>
        <v>0</v>
      </c>
      <c r="M17" s="10">
        <f>SUMIFS('PLAN BUDGET SAMI-JF'!AV13:AV100000,'PLAN BUDGET SAMI-JF'!D13:D100000,SUMMARY!D17,'PLAN BUDGET SAMI-JF'!J13:J100000,SUMMARY!A17&amp;"*")</f>
        <v>0</v>
      </c>
      <c r="N17" s="10">
        <f>SUMIFS('PLAN BUDGET SAMI-JF'!AW13:AW100000,'PLAN BUDGET SAMI-JF'!D13:D100000,SUMMARY!D17,'PLAN BUDGET SAMI-JF'!J13:J100000,SUMMARY!A17&amp;"*")</f>
        <v>0</v>
      </c>
      <c r="O17" s="10">
        <f>SUMIFS('PLAN BUDGET SAMI-JF'!AX13:AX100000,'PLAN BUDGET SAMI-JF'!D13:D100000,SUMMARY!D17,'PLAN BUDGET SAMI-JF'!J13:J100000,SUMMARY!A17&amp;"*")</f>
        <v>0</v>
      </c>
      <c r="P17" s="10">
        <f>SUMIFS('PLAN BUDGET SAMI-JF'!AY13:AY100000,'PLAN BUDGET SAMI-JF'!D13:D100000,SUMMARY!D17,'PLAN BUDGET SAMI-JF'!J13:J100000,SUMMARY!A17&amp;"*")</f>
        <v>0</v>
      </c>
      <c r="Q17" s="10">
        <f>SUMIFS('PLAN BUDGET SAMI-JF'!BC13:BC100000,'PLAN BUDGET SAMI-JF'!D13:D100000,SUMMARY!D17,'PLAN BUDGET SAMI-JF'!J13:J100000,SUMMARY!A17&amp;"*")</f>
        <v>2.8483536515894001</v>
      </c>
      <c r="R17" s="10">
        <f>SUMIFS('PLAN BUDGET SAMI-JF'!BD13:BD100000,'PLAN BUDGET SAMI-JF'!D13:D100000,SUMMARY!D17,'PLAN BUDGET SAMI-JF'!J13:J100000,SUMMARY!A17&amp;"*")</f>
        <v>0</v>
      </c>
      <c r="S17" s="10">
        <f>SUMIFS('PLAN BUDGET SAMI-JF'!BE13:BE100000,'PLAN BUDGET SAMI-JF'!D13:D100000,SUMMARY!D17,'PLAN BUDGET SAMI-JF'!J13:J100000,SUMMARY!A17&amp;"*")</f>
        <v>0</v>
      </c>
      <c r="T17" s="10">
        <f>SUMIFS('PLAN BUDGET SAMI-JF'!BF13:BF100000,'PLAN BUDGET SAMI-JF'!D13:D100000,SUMMARY!D17,'PLAN BUDGET SAMI-JF'!J13:J100000,SUMMARY!A17&amp;"*")</f>
        <v>0</v>
      </c>
      <c r="U17" s="10">
        <f>SUMIFS('PLAN BUDGET SAMI-JF'!BG13:BG100000,'PLAN BUDGET SAMI-JF'!D13:D100000,SUMMARY!D17,'PLAN BUDGET SAMI-JF'!J13:J100000,SUMMARY!A17&amp;"*")</f>
        <v>0</v>
      </c>
      <c r="V17" s="10">
        <f>SUMIFS('PLAN BUDGET SAMI-JF'!BH13:BH100000,'PLAN BUDGET SAMI-JF'!D13:D100000,SUMMARY!D17,'PLAN BUDGET SAMI-JF'!J13:J100000,SUMMARY!A17&amp;"*")</f>
        <v>0</v>
      </c>
      <c r="W17" s="10">
        <f>SUMIFS('PLAN BUDGET SAMI-JF'!BI13:BI100000,'PLAN BUDGET SAMI-JF'!D13:D100000,SUMMARY!D17,'PLAN BUDGET SAMI-JF'!J13:J100000,SUMMARY!A17&amp;"*")</f>
        <v>0</v>
      </c>
      <c r="X17" s="10">
        <f>SUMIFS('PLAN BUDGET SAMI-JF'!BJ13:BJ100000,'PLAN BUDGET SAMI-JF'!D13:D100000,SUMMARY!D17,'PLAN BUDGET SAMI-JF'!J13:J100000,SUMMARY!A17&amp;"*")</f>
        <v>0</v>
      </c>
      <c r="Y17" s="10">
        <f>SUMIFS('PLAN BUDGET SAMI-JF'!BK13:BK100000,'PLAN BUDGET SAMI-JF'!D13:D100000,SUMMARY!D17,'PLAN BUDGET SAMI-JF'!J13:J100000,SUMMARY!A17&amp;"*")</f>
        <v>0</v>
      </c>
      <c r="Z17" s="10">
        <f>SUMIFS('PLAN BUDGET SAMI-JF'!BL13:BL100000,'PLAN BUDGET SAMI-JF'!D13:D100000,SUMMARY!D17,'PLAN BUDGET SAMI-JF'!J13:J100000,SUMMARY!A17&amp;"*")</f>
        <v>0</v>
      </c>
      <c r="AA17" s="10">
        <f>SUMIFS('PLAN BUDGET SAMI-JF'!BM13:BM100000,'PLAN BUDGET SAMI-JF'!D13:D100000,SUMMARY!D17,'PLAN BUDGET SAMI-JF'!J13:J100000,SUMMARY!A17&amp;"*")</f>
        <v>0</v>
      </c>
      <c r="AB17" s="10">
        <f>SUMIFS('PLAN BUDGET SAMI-JF'!BN13:BN100000,'PLAN BUDGET SAMI-JF'!D13:D100000,SUMMARY!D17,'PLAN BUDGET SAMI-JF'!J13:J100000,SUMMARY!A17&amp;"*")</f>
        <v>0</v>
      </c>
      <c r="AC17" s="10">
        <f t="shared" si="0"/>
        <v>1</v>
      </c>
      <c r="AD17" s="10">
        <f t="shared" si="1"/>
        <v>2.8483536515894001</v>
      </c>
      <c r="AE17" s="16"/>
      <c r="AF17" s="10">
        <v>0</v>
      </c>
      <c r="AG17" s="10">
        <v>0</v>
      </c>
      <c r="AH17" s="20">
        <f t="shared" si="2"/>
        <v>1</v>
      </c>
      <c r="AI17" s="20">
        <f t="shared" si="3"/>
        <v>1</v>
      </c>
      <c r="AJ17" s="7" t="s">
        <v>290</v>
      </c>
    </row>
    <row r="18" spans="1:36" x14ac:dyDescent="0.35">
      <c r="A18" s="7" t="s">
        <v>47</v>
      </c>
      <c r="B18" s="7"/>
      <c r="C18" s="7"/>
      <c r="D18" s="7" t="s">
        <v>84</v>
      </c>
      <c r="E18" s="10">
        <f>SUMIFS('PLAN BUDGET SAMI-JF'!AN13:AN100000,'PLAN BUDGET SAMI-JF'!D13:D100000,SUMMARY!D18,'PLAN BUDGET SAMI-JF'!J13:J100000,SUMMARY!A18&amp;"*")</f>
        <v>0</v>
      </c>
      <c r="F18" s="10">
        <f>SUMIFS('PLAN BUDGET SAMI-JF'!AO13:AO100000,'PLAN BUDGET SAMI-JF'!D13:D100000,SUMMARY!D18,'PLAN BUDGET SAMI-JF'!J13:J100000,SUMMARY!A18&amp;"*")</f>
        <v>0</v>
      </c>
      <c r="G18" s="10">
        <f>SUMIFS('PLAN BUDGET SAMI-JF'!AP13:AP100000,'PLAN BUDGET SAMI-JF'!D13:D100000,SUMMARY!D18,'PLAN BUDGET SAMI-JF'!J13:J100000,SUMMARY!A18&amp;"*")</f>
        <v>0</v>
      </c>
      <c r="H18" s="10">
        <f>SUMIFS('PLAN BUDGET SAMI-JF'!AQ13:AQ100000,'PLAN BUDGET SAMI-JF'!D13:D100000,SUMMARY!D18,'PLAN BUDGET SAMI-JF'!J13:J100000,SUMMARY!A18&amp;"*")</f>
        <v>0</v>
      </c>
      <c r="I18" s="10">
        <f>SUMIFS('PLAN BUDGET SAMI-JF'!AR13:AR100000,'PLAN BUDGET SAMI-JF'!D13:D100000,SUMMARY!D18,'PLAN BUDGET SAMI-JF'!J13:J100000,SUMMARY!A18&amp;"*")</f>
        <v>0</v>
      </c>
      <c r="J18" s="10">
        <f>SUMIFS('PLAN BUDGET SAMI-JF'!AS13:AS100000,'PLAN BUDGET SAMI-JF'!D13:D100000,SUMMARY!D18,'PLAN BUDGET SAMI-JF'!J13:J100000,SUMMARY!A18&amp;"*")</f>
        <v>0</v>
      </c>
      <c r="K18" s="10">
        <f>SUMIFS('PLAN BUDGET SAMI-JF'!AT13:AT100000,'PLAN BUDGET SAMI-JF'!D13:D100000,SUMMARY!D18,'PLAN BUDGET SAMI-JF'!J13:J100000,SUMMARY!A18&amp;"*")</f>
        <v>0</v>
      </c>
      <c r="L18" s="10">
        <f>SUMIFS('PLAN BUDGET SAMI-JF'!AU13:AU100000,'PLAN BUDGET SAMI-JF'!D13:D100000,SUMMARY!D18,'PLAN BUDGET SAMI-JF'!J13:J100000,SUMMARY!A18&amp;"*")</f>
        <v>0</v>
      </c>
      <c r="M18" s="10">
        <f>SUMIFS('PLAN BUDGET SAMI-JF'!AV13:AV100000,'PLAN BUDGET SAMI-JF'!D13:D100000,SUMMARY!D18,'PLAN BUDGET SAMI-JF'!J13:J100000,SUMMARY!A18&amp;"*")</f>
        <v>10</v>
      </c>
      <c r="N18" s="10">
        <f>SUMIFS('PLAN BUDGET SAMI-JF'!AW13:AW100000,'PLAN BUDGET SAMI-JF'!D13:D100000,SUMMARY!D18,'PLAN BUDGET SAMI-JF'!J13:J100000,SUMMARY!A18&amp;"*")</f>
        <v>0</v>
      </c>
      <c r="O18" s="10">
        <f>SUMIFS('PLAN BUDGET SAMI-JF'!AX13:AX100000,'PLAN BUDGET SAMI-JF'!D13:D100000,SUMMARY!D18,'PLAN BUDGET SAMI-JF'!J13:J100000,SUMMARY!A18&amp;"*")</f>
        <v>0</v>
      </c>
      <c r="P18" s="10">
        <f>SUMIFS('PLAN BUDGET SAMI-JF'!AY13:AY100000,'PLAN BUDGET SAMI-JF'!D13:D100000,SUMMARY!D18,'PLAN BUDGET SAMI-JF'!J13:J100000,SUMMARY!A18&amp;"*")</f>
        <v>0</v>
      </c>
      <c r="Q18" s="10">
        <f>SUMIFS('PLAN BUDGET SAMI-JF'!BC13:BC100000,'PLAN BUDGET SAMI-JF'!D13:D100000,SUMMARY!D18,'PLAN BUDGET SAMI-JF'!J13:J100000,SUMMARY!A18&amp;"*")</f>
        <v>0</v>
      </c>
      <c r="R18" s="10">
        <f>SUMIFS('PLAN BUDGET SAMI-JF'!BD13:BD100000,'PLAN BUDGET SAMI-JF'!D13:D100000,SUMMARY!D18,'PLAN BUDGET SAMI-JF'!J13:J100000,SUMMARY!A18&amp;"*")</f>
        <v>0</v>
      </c>
      <c r="S18" s="10">
        <f>SUMIFS('PLAN BUDGET SAMI-JF'!BE13:BE100000,'PLAN BUDGET SAMI-JF'!D13:D100000,SUMMARY!D18,'PLAN BUDGET SAMI-JF'!J13:J100000,SUMMARY!A18&amp;"*")</f>
        <v>0</v>
      </c>
      <c r="T18" s="10">
        <f>SUMIFS('PLAN BUDGET SAMI-JF'!BF13:BF100000,'PLAN BUDGET SAMI-JF'!D13:D100000,SUMMARY!D18,'PLAN BUDGET SAMI-JF'!J13:J100000,SUMMARY!A18&amp;"*")</f>
        <v>0</v>
      </c>
      <c r="U18" s="10">
        <f>SUMIFS('PLAN BUDGET SAMI-JF'!BG13:BG100000,'PLAN BUDGET SAMI-JF'!D13:D100000,SUMMARY!D18,'PLAN BUDGET SAMI-JF'!J13:J100000,SUMMARY!A18&amp;"*")</f>
        <v>0</v>
      </c>
      <c r="V18" s="10">
        <f>SUMIFS('PLAN BUDGET SAMI-JF'!BH13:BH100000,'PLAN BUDGET SAMI-JF'!D13:D100000,SUMMARY!D18,'PLAN BUDGET SAMI-JF'!J13:J100000,SUMMARY!A18&amp;"*")</f>
        <v>0</v>
      </c>
      <c r="W18" s="10">
        <f>SUMIFS('PLAN BUDGET SAMI-JF'!BI13:BI100000,'PLAN BUDGET SAMI-JF'!D13:D100000,SUMMARY!D18,'PLAN BUDGET SAMI-JF'!J13:J100000,SUMMARY!A18&amp;"*")</f>
        <v>0</v>
      </c>
      <c r="X18" s="10">
        <f>SUMIFS('PLAN BUDGET SAMI-JF'!BJ13:BJ100000,'PLAN BUDGET SAMI-JF'!D13:D100000,SUMMARY!D18,'PLAN BUDGET SAMI-JF'!J13:J100000,SUMMARY!A18&amp;"*")</f>
        <v>0</v>
      </c>
      <c r="Y18" s="10">
        <f>SUMIFS('PLAN BUDGET SAMI-JF'!BK13:BK100000,'PLAN BUDGET SAMI-JF'!D13:D100000,SUMMARY!D18,'PLAN BUDGET SAMI-JF'!J13:J100000,SUMMARY!A18&amp;"*")</f>
        <v>88.615446938336007</v>
      </c>
      <c r="Z18" s="10">
        <f>SUMIFS('PLAN BUDGET SAMI-JF'!BL13:BL100000,'PLAN BUDGET SAMI-JF'!D13:D100000,SUMMARY!D18,'PLAN BUDGET SAMI-JF'!J13:J100000,SUMMARY!A18&amp;"*")</f>
        <v>0</v>
      </c>
      <c r="AA18" s="10">
        <f>SUMIFS('PLAN BUDGET SAMI-JF'!BM13:BM100000,'PLAN BUDGET SAMI-JF'!D13:D100000,SUMMARY!D18,'PLAN BUDGET SAMI-JF'!J13:J100000,SUMMARY!A18&amp;"*")</f>
        <v>0</v>
      </c>
      <c r="AB18" s="10">
        <f>SUMIFS('PLAN BUDGET SAMI-JF'!BN13:BN100000,'PLAN BUDGET SAMI-JF'!D13:D100000,SUMMARY!D18,'PLAN BUDGET SAMI-JF'!J13:J100000,SUMMARY!A18&amp;"*")</f>
        <v>0</v>
      </c>
      <c r="AC18" s="10">
        <f t="shared" si="0"/>
        <v>10</v>
      </c>
      <c r="AD18" s="10">
        <f t="shared" si="1"/>
        <v>88.615446938336007</v>
      </c>
      <c r="AE18" s="16"/>
      <c r="AF18" s="10">
        <v>10</v>
      </c>
      <c r="AG18" s="10">
        <v>88.615446938336007</v>
      </c>
      <c r="AH18" s="20">
        <f t="shared" si="2"/>
        <v>0</v>
      </c>
      <c r="AI18" s="20">
        <f t="shared" si="3"/>
        <v>0</v>
      </c>
      <c r="AJ18" s="7"/>
    </row>
    <row r="19" spans="1:36" x14ac:dyDescent="0.35">
      <c r="A19" s="7" t="s">
        <v>47</v>
      </c>
      <c r="B19" s="7"/>
      <c r="C19" s="7"/>
      <c r="D19" s="7" t="s">
        <v>111</v>
      </c>
      <c r="E19" s="10">
        <f>SUMIFS('PLAN BUDGET SAMI-JF'!AN13:AN100000,'PLAN BUDGET SAMI-JF'!D13:D100000,SUMMARY!D19,'PLAN BUDGET SAMI-JF'!J13:J100000,SUMMARY!A19&amp;"*")</f>
        <v>0</v>
      </c>
      <c r="F19" s="10">
        <f>SUMIFS('PLAN BUDGET SAMI-JF'!AO13:AO100000,'PLAN BUDGET SAMI-JF'!D13:D100000,SUMMARY!D19,'PLAN BUDGET SAMI-JF'!J13:J100000,SUMMARY!A19&amp;"*")</f>
        <v>0</v>
      </c>
      <c r="G19" s="10">
        <f>SUMIFS('PLAN BUDGET SAMI-JF'!AP13:AP100000,'PLAN BUDGET SAMI-JF'!D13:D100000,SUMMARY!D19,'PLAN BUDGET SAMI-JF'!J13:J100000,SUMMARY!A19&amp;"*")</f>
        <v>0</v>
      </c>
      <c r="H19" s="10">
        <f>SUMIFS('PLAN BUDGET SAMI-JF'!AQ13:AQ100000,'PLAN BUDGET SAMI-JF'!D13:D100000,SUMMARY!D19,'PLAN BUDGET SAMI-JF'!J13:J100000,SUMMARY!A19&amp;"*")</f>
        <v>0</v>
      </c>
      <c r="I19" s="10">
        <f>SUMIFS('PLAN BUDGET SAMI-JF'!AR13:AR100000,'PLAN BUDGET SAMI-JF'!D13:D100000,SUMMARY!D19,'PLAN BUDGET SAMI-JF'!J13:J100000,SUMMARY!A19&amp;"*")</f>
        <v>2</v>
      </c>
      <c r="J19" s="10">
        <f>SUMIFS('PLAN BUDGET SAMI-JF'!AS13:AS100000,'PLAN BUDGET SAMI-JF'!D13:D100000,SUMMARY!D19,'PLAN BUDGET SAMI-JF'!J13:J100000,SUMMARY!A19&amp;"*")</f>
        <v>0</v>
      </c>
      <c r="K19" s="10">
        <f>SUMIFS('PLAN BUDGET SAMI-JF'!AT13:AT100000,'PLAN BUDGET SAMI-JF'!D13:D100000,SUMMARY!D19,'PLAN BUDGET SAMI-JF'!J13:J100000,SUMMARY!A19&amp;"*")</f>
        <v>0</v>
      </c>
      <c r="L19" s="10">
        <f>SUMIFS('PLAN BUDGET SAMI-JF'!AU13:AU100000,'PLAN BUDGET SAMI-JF'!D13:D100000,SUMMARY!D19,'PLAN BUDGET SAMI-JF'!J13:J100000,SUMMARY!A19&amp;"*")</f>
        <v>0</v>
      </c>
      <c r="M19" s="10">
        <f>SUMIFS('PLAN BUDGET SAMI-JF'!AV13:AV100000,'PLAN BUDGET SAMI-JF'!D13:D100000,SUMMARY!D19,'PLAN BUDGET SAMI-JF'!J13:J100000,SUMMARY!A19&amp;"*")</f>
        <v>0</v>
      </c>
      <c r="N19" s="10">
        <f>SUMIFS('PLAN BUDGET SAMI-JF'!AW13:AW100000,'PLAN BUDGET SAMI-JF'!D13:D100000,SUMMARY!D19,'PLAN BUDGET SAMI-JF'!J13:J100000,SUMMARY!A19&amp;"*")</f>
        <v>0</v>
      </c>
      <c r="O19" s="10">
        <f>SUMIFS('PLAN BUDGET SAMI-JF'!AX13:AX100000,'PLAN BUDGET SAMI-JF'!D13:D100000,SUMMARY!D19,'PLAN BUDGET SAMI-JF'!J13:J100000,SUMMARY!A19&amp;"*")</f>
        <v>0</v>
      </c>
      <c r="P19" s="10">
        <f>SUMIFS('PLAN BUDGET SAMI-JF'!AY13:AY100000,'PLAN BUDGET SAMI-JF'!D13:D100000,SUMMARY!D19,'PLAN BUDGET SAMI-JF'!J13:J100000,SUMMARY!A19&amp;"*")</f>
        <v>0</v>
      </c>
      <c r="Q19" s="10">
        <f>SUMIFS('PLAN BUDGET SAMI-JF'!BC13:BC100000,'PLAN BUDGET SAMI-JF'!D13:D100000,SUMMARY!D19,'PLAN BUDGET SAMI-JF'!J13:J100000,SUMMARY!A19&amp;"*")</f>
        <v>0</v>
      </c>
      <c r="R19" s="10">
        <f>SUMIFS('PLAN BUDGET SAMI-JF'!BD13:BD100000,'PLAN BUDGET SAMI-JF'!D13:D100000,SUMMARY!D19,'PLAN BUDGET SAMI-JF'!J13:J100000,SUMMARY!A19&amp;"*")</f>
        <v>0</v>
      </c>
      <c r="S19" s="10">
        <f>SUMIFS('PLAN BUDGET SAMI-JF'!BE13:BE100000,'PLAN BUDGET SAMI-JF'!D13:D100000,SUMMARY!D19,'PLAN BUDGET SAMI-JF'!J13:J100000,SUMMARY!A19&amp;"*")</f>
        <v>0</v>
      </c>
      <c r="T19" s="10">
        <f>SUMIFS('PLAN BUDGET SAMI-JF'!BF13:BF100000,'PLAN BUDGET SAMI-JF'!D13:D100000,SUMMARY!D19,'PLAN BUDGET SAMI-JF'!J13:J100000,SUMMARY!A19&amp;"*")</f>
        <v>0</v>
      </c>
      <c r="U19" s="10">
        <f>SUMIFS('PLAN BUDGET SAMI-JF'!BG13:BG100000,'PLAN BUDGET SAMI-JF'!D13:D100000,SUMMARY!D19,'PLAN BUDGET SAMI-JF'!J13:J100000,SUMMARY!A19&amp;"*")</f>
        <v>63.296747813096999</v>
      </c>
      <c r="V19" s="10">
        <f>SUMIFS('PLAN BUDGET SAMI-JF'!BH13:BH100000,'PLAN BUDGET SAMI-JF'!D13:D100000,SUMMARY!D19,'PLAN BUDGET SAMI-JF'!J13:J100000,SUMMARY!A19&amp;"*")</f>
        <v>0</v>
      </c>
      <c r="W19" s="10">
        <f>SUMIFS('PLAN BUDGET SAMI-JF'!BI13:BI100000,'PLAN BUDGET SAMI-JF'!D13:D100000,SUMMARY!D19,'PLAN BUDGET SAMI-JF'!J13:J100000,SUMMARY!A19&amp;"*")</f>
        <v>0</v>
      </c>
      <c r="X19" s="10">
        <f>SUMIFS('PLAN BUDGET SAMI-JF'!BJ13:BJ100000,'PLAN BUDGET SAMI-JF'!D13:D100000,SUMMARY!D19,'PLAN BUDGET SAMI-JF'!J13:J100000,SUMMARY!A19&amp;"*")</f>
        <v>0</v>
      </c>
      <c r="Y19" s="10">
        <f>SUMIFS('PLAN BUDGET SAMI-JF'!BK13:BK100000,'PLAN BUDGET SAMI-JF'!D13:D100000,SUMMARY!D19,'PLAN BUDGET SAMI-JF'!J13:J100000,SUMMARY!A19&amp;"*")</f>
        <v>0</v>
      </c>
      <c r="Z19" s="10">
        <f>SUMIFS('PLAN BUDGET SAMI-JF'!BL13:BL100000,'PLAN BUDGET SAMI-JF'!D13:D100000,SUMMARY!D19,'PLAN BUDGET SAMI-JF'!J13:J100000,SUMMARY!A19&amp;"*")</f>
        <v>0</v>
      </c>
      <c r="AA19" s="10">
        <f>SUMIFS('PLAN BUDGET SAMI-JF'!BM13:BM100000,'PLAN BUDGET SAMI-JF'!D13:D100000,SUMMARY!D19,'PLAN BUDGET SAMI-JF'!J13:J100000,SUMMARY!A19&amp;"*")</f>
        <v>0</v>
      </c>
      <c r="AB19" s="10">
        <f>SUMIFS('PLAN BUDGET SAMI-JF'!BN13:BN100000,'PLAN BUDGET SAMI-JF'!D13:D100000,SUMMARY!D19,'PLAN BUDGET SAMI-JF'!J13:J100000,SUMMARY!A19&amp;"*")</f>
        <v>0</v>
      </c>
      <c r="AC19" s="10">
        <f t="shared" si="0"/>
        <v>2</v>
      </c>
      <c r="AD19" s="10">
        <f t="shared" si="1"/>
        <v>63.296747813096999</v>
      </c>
      <c r="AE19" s="16"/>
      <c r="AF19" s="10">
        <v>4</v>
      </c>
      <c r="AG19" s="10">
        <v>88.615446938336007</v>
      </c>
      <c r="AH19" s="20">
        <f t="shared" si="2"/>
        <v>-0.5</v>
      </c>
      <c r="AI19" s="20">
        <f t="shared" si="3"/>
        <v>-0.28571428571428736</v>
      </c>
      <c r="AJ19" s="7" t="s">
        <v>289</v>
      </c>
    </row>
    <row r="20" spans="1:36" x14ac:dyDescent="0.35">
      <c r="A20" s="7" t="s">
        <v>47</v>
      </c>
      <c r="B20" s="7"/>
      <c r="C20" s="7"/>
      <c r="D20" s="7" t="s">
        <v>122</v>
      </c>
      <c r="E20" s="10">
        <f>SUMIFS('PLAN BUDGET SAMI-JF'!AN13:AN100000,'PLAN BUDGET SAMI-JF'!D13:D100000,SUMMARY!D20,'PLAN BUDGET SAMI-JF'!J13:J100000,SUMMARY!A20&amp;"*")</f>
        <v>0</v>
      </c>
      <c r="F20" s="10">
        <f>SUMIFS('PLAN BUDGET SAMI-JF'!AO13:AO100000,'PLAN BUDGET SAMI-JF'!D13:D100000,SUMMARY!D20,'PLAN BUDGET SAMI-JF'!J13:J100000,SUMMARY!A20&amp;"*")</f>
        <v>1</v>
      </c>
      <c r="G20" s="10">
        <f>SUMIFS('PLAN BUDGET SAMI-JF'!AP13:AP100000,'PLAN BUDGET SAMI-JF'!D13:D100000,SUMMARY!D20,'PLAN BUDGET SAMI-JF'!J13:J100000,SUMMARY!A20&amp;"*")</f>
        <v>0</v>
      </c>
      <c r="H20" s="10">
        <f>SUMIFS('PLAN BUDGET SAMI-JF'!AQ13:AQ100000,'PLAN BUDGET SAMI-JF'!D13:D100000,SUMMARY!D20,'PLAN BUDGET SAMI-JF'!J13:J100000,SUMMARY!A20&amp;"*")</f>
        <v>1</v>
      </c>
      <c r="I20" s="10">
        <f>SUMIFS('PLAN BUDGET SAMI-JF'!AR13:AR100000,'PLAN BUDGET SAMI-JF'!D13:D100000,SUMMARY!D20,'PLAN BUDGET SAMI-JF'!J13:J100000,SUMMARY!A20&amp;"*")</f>
        <v>0</v>
      </c>
      <c r="J20" s="10">
        <f>SUMIFS('PLAN BUDGET SAMI-JF'!AS13:AS100000,'PLAN BUDGET SAMI-JF'!D13:D100000,SUMMARY!D20,'PLAN BUDGET SAMI-JF'!J13:J100000,SUMMARY!A20&amp;"*")</f>
        <v>1</v>
      </c>
      <c r="K20" s="10">
        <f>SUMIFS('PLAN BUDGET SAMI-JF'!AT13:AT100000,'PLAN BUDGET SAMI-JF'!D13:D100000,SUMMARY!D20,'PLAN BUDGET SAMI-JF'!J13:J100000,SUMMARY!A20&amp;"*")</f>
        <v>0</v>
      </c>
      <c r="L20" s="10">
        <f>SUMIFS('PLAN BUDGET SAMI-JF'!AU13:AU100000,'PLAN BUDGET SAMI-JF'!D13:D100000,SUMMARY!D20,'PLAN BUDGET SAMI-JF'!J13:J100000,SUMMARY!A20&amp;"*")</f>
        <v>1</v>
      </c>
      <c r="M20" s="10">
        <f>SUMIFS('PLAN BUDGET SAMI-JF'!AV13:AV100000,'PLAN BUDGET SAMI-JF'!D13:D100000,SUMMARY!D20,'PLAN BUDGET SAMI-JF'!J13:J100000,SUMMARY!A20&amp;"*")</f>
        <v>0</v>
      </c>
      <c r="N20" s="10">
        <f>SUMIFS('PLAN BUDGET SAMI-JF'!AW13:AW100000,'PLAN BUDGET SAMI-JF'!D13:D100000,SUMMARY!D20,'PLAN BUDGET SAMI-JF'!J13:J100000,SUMMARY!A20&amp;"*")</f>
        <v>0</v>
      </c>
      <c r="O20" s="10">
        <f>SUMIFS('PLAN BUDGET SAMI-JF'!AX13:AX100000,'PLAN BUDGET SAMI-JF'!D13:D100000,SUMMARY!D20,'PLAN BUDGET SAMI-JF'!J13:J100000,SUMMARY!A20&amp;"*")</f>
        <v>0</v>
      </c>
      <c r="P20" s="10">
        <f>SUMIFS('PLAN BUDGET SAMI-JF'!AY13:AY100000,'PLAN BUDGET SAMI-JF'!D13:D100000,SUMMARY!D20,'PLAN BUDGET SAMI-JF'!J13:J100000,SUMMARY!A20&amp;"*")</f>
        <v>0</v>
      </c>
      <c r="Q20" s="10">
        <f>SUMIFS('PLAN BUDGET SAMI-JF'!BC13:BC100000,'PLAN BUDGET SAMI-JF'!D13:D100000,SUMMARY!D20,'PLAN BUDGET SAMI-JF'!J13:J100000,SUMMARY!A20&amp;"*")</f>
        <v>0</v>
      </c>
      <c r="R20" s="10">
        <f>SUMIFS('PLAN BUDGET SAMI-JF'!BD13:BD100000,'PLAN BUDGET SAMI-JF'!D13:D100000,SUMMARY!D20,'PLAN BUDGET SAMI-JF'!J13:J100000,SUMMARY!A20&amp;"*")</f>
        <v>1251.3767042648999</v>
      </c>
      <c r="S20" s="10">
        <f>SUMIFS('PLAN BUDGET SAMI-JF'!BE13:BE100000,'PLAN BUDGET SAMI-JF'!D13:D100000,SUMMARY!D20,'PLAN BUDGET SAMI-JF'!J13:J100000,SUMMARY!A20&amp;"*")</f>
        <v>0</v>
      </c>
      <c r="T20" s="10">
        <f>SUMIFS('PLAN BUDGET SAMI-JF'!BF13:BF100000,'PLAN BUDGET SAMI-JF'!D13:D100000,SUMMARY!D20,'PLAN BUDGET SAMI-JF'!J13:J100000,SUMMARY!A20&amp;"*")</f>
        <v>1466.5856468295001</v>
      </c>
      <c r="U20" s="10">
        <f>SUMIFS('PLAN BUDGET SAMI-JF'!BG13:BG100000,'PLAN BUDGET SAMI-JF'!D13:D100000,SUMMARY!D20,'PLAN BUDGET SAMI-JF'!J13:J100000,SUMMARY!A20&amp;"*")</f>
        <v>0</v>
      </c>
      <c r="V20" s="10">
        <f>SUMIFS('PLAN BUDGET SAMI-JF'!BH13:BH100000,'PLAN BUDGET SAMI-JF'!D13:D100000,SUMMARY!D20,'PLAN BUDGET SAMI-JF'!J13:J100000,SUMMARY!A20&amp;"*")</f>
        <v>1251.3767042648999</v>
      </c>
      <c r="W20" s="10">
        <f>SUMIFS('PLAN BUDGET SAMI-JF'!BI13:BI100000,'PLAN BUDGET SAMI-JF'!D13:D100000,SUMMARY!D20,'PLAN BUDGET SAMI-JF'!J13:J100000,SUMMARY!A20&amp;"*")</f>
        <v>0</v>
      </c>
      <c r="X20" s="10">
        <f>SUMIFS('PLAN BUDGET SAMI-JF'!BJ13:BJ100000,'PLAN BUDGET SAMI-JF'!D13:D100000,SUMMARY!D20,'PLAN BUDGET SAMI-JF'!J13:J100000,SUMMARY!A20&amp;"*")</f>
        <v>1466.5856468295001</v>
      </c>
      <c r="Y20" s="10">
        <f>SUMIFS('PLAN BUDGET SAMI-JF'!BK13:BK100000,'PLAN BUDGET SAMI-JF'!D13:D100000,SUMMARY!D20,'PLAN BUDGET SAMI-JF'!J13:J100000,SUMMARY!A20&amp;"*")</f>
        <v>0</v>
      </c>
      <c r="Z20" s="10">
        <f>SUMIFS('PLAN BUDGET SAMI-JF'!BL13:BL100000,'PLAN BUDGET SAMI-JF'!D13:D100000,SUMMARY!D20,'PLAN BUDGET SAMI-JF'!J13:J100000,SUMMARY!A20&amp;"*")</f>
        <v>0</v>
      </c>
      <c r="AA20" s="10">
        <f>SUMIFS('PLAN BUDGET SAMI-JF'!BM13:BM100000,'PLAN BUDGET SAMI-JF'!D13:D100000,SUMMARY!D20,'PLAN BUDGET SAMI-JF'!J13:J100000,SUMMARY!A20&amp;"*")</f>
        <v>0</v>
      </c>
      <c r="AB20" s="10">
        <f>SUMIFS('PLAN BUDGET SAMI-JF'!BN13:BN100000,'PLAN BUDGET SAMI-JF'!D13:D100000,SUMMARY!D20,'PLAN BUDGET SAMI-JF'!J13:J100000,SUMMARY!A20&amp;"*")</f>
        <v>0</v>
      </c>
      <c r="AC20" s="10">
        <f t="shared" si="0"/>
        <v>4</v>
      </c>
      <c r="AD20" s="10">
        <f t="shared" si="1"/>
        <v>5435.9247021888004</v>
      </c>
      <c r="AE20" s="16"/>
      <c r="AF20" s="10">
        <v>30</v>
      </c>
      <c r="AG20" s="10">
        <v>35152.442621497998</v>
      </c>
      <c r="AH20" s="20">
        <f t="shared" si="2"/>
        <v>-0.8666666666666667</v>
      </c>
      <c r="AI20" s="20">
        <f t="shared" si="3"/>
        <v>-0.84536139463422721</v>
      </c>
      <c r="AJ20" s="7" t="s">
        <v>291</v>
      </c>
    </row>
    <row r="21" spans="1:36" x14ac:dyDescent="0.35">
      <c r="A21" s="7" t="s">
        <v>47</v>
      </c>
      <c r="B21" s="7"/>
      <c r="C21" s="7"/>
      <c r="D21" s="7" t="s">
        <v>75</v>
      </c>
      <c r="E21" s="10">
        <f>SUMIFS('PLAN BUDGET SAMI-JF'!AN13:AN100000,'PLAN BUDGET SAMI-JF'!D13:D100000,SUMMARY!D21,'PLAN BUDGET SAMI-JF'!J13:J100000,SUMMARY!A21&amp;"*")</f>
        <v>0</v>
      </c>
      <c r="F21" s="10">
        <f>SUMIFS('PLAN BUDGET SAMI-JF'!AO13:AO100000,'PLAN BUDGET SAMI-JF'!D13:D100000,SUMMARY!D21,'PLAN BUDGET SAMI-JF'!J13:J100000,SUMMARY!A21&amp;"*")</f>
        <v>0</v>
      </c>
      <c r="G21" s="10">
        <f>SUMIFS('PLAN BUDGET SAMI-JF'!AP13:AP100000,'PLAN BUDGET SAMI-JF'!D13:D100000,SUMMARY!D21,'PLAN BUDGET SAMI-JF'!J13:J100000,SUMMARY!A21&amp;"*")</f>
        <v>0</v>
      </c>
      <c r="H21" s="10">
        <f>SUMIFS('PLAN BUDGET SAMI-JF'!AQ13:AQ100000,'PLAN BUDGET SAMI-JF'!D13:D100000,SUMMARY!D21,'PLAN BUDGET SAMI-JF'!J13:J100000,SUMMARY!A21&amp;"*")</f>
        <v>1</v>
      </c>
      <c r="I21" s="10">
        <f>SUMIFS('PLAN BUDGET SAMI-JF'!AR13:AR100000,'PLAN BUDGET SAMI-JF'!D13:D100000,SUMMARY!D21,'PLAN BUDGET SAMI-JF'!J13:J100000,SUMMARY!A21&amp;"*")</f>
        <v>0</v>
      </c>
      <c r="J21" s="10">
        <f>SUMIFS('PLAN BUDGET SAMI-JF'!AS13:AS100000,'PLAN BUDGET SAMI-JF'!D13:D100000,SUMMARY!D21,'PLAN BUDGET SAMI-JF'!J13:J100000,SUMMARY!A21&amp;"*")</f>
        <v>0</v>
      </c>
      <c r="K21" s="10">
        <f>SUMIFS('PLAN BUDGET SAMI-JF'!AT13:AT100000,'PLAN BUDGET SAMI-JF'!D13:D100000,SUMMARY!D21,'PLAN BUDGET SAMI-JF'!J13:J100000,SUMMARY!A21&amp;"*")</f>
        <v>0</v>
      </c>
      <c r="L21" s="10">
        <f>SUMIFS('PLAN BUDGET SAMI-JF'!AU13:AU100000,'PLAN BUDGET SAMI-JF'!D13:D100000,SUMMARY!D21,'PLAN BUDGET SAMI-JF'!J13:J100000,SUMMARY!A21&amp;"*")</f>
        <v>0</v>
      </c>
      <c r="M21" s="10">
        <f>SUMIFS('PLAN BUDGET SAMI-JF'!AV13:AV100000,'PLAN BUDGET SAMI-JF'!D13:D100000,SUMMARY!D21,'PLAN BUDGET SAMI-JF'!J13:J100000,SUMMARY!A21&amp;"*")</f>
        <v>0</v>
      </c>
      <c r="N21" s="10">
        <f>SUMIFS('PLAN BUDGET SAMI-JF'!AW13:AW100000,'PLAN BUDGET SAMI-JF'!D13:D100000,SUMMARY!D21,'PLAN BUDGET SAMI-JF'!J13:J100000,SUMMARY!A21&amp;"*")</f>
        <v>1</v>
      </c>
      <c r="O21" s="10">
        <f>SUMIFS('PLAN BUDGET SAMI-JF'!AX13:AX100000,'PLAN BUDGET SAMI-JF'!D13:D100000,SUMMARY!D21,'PLAN BUDGET SAMI-JF'!J13:J100000,SUMMARY!A21&amp;"*")</f>
        <v>0</v>
      </c>
      <c r="P21" s="10">
        <f>SUMIFS('PLAN BUDGET SAMI-JF'!AY13:AY100000,'PLAN BUDGET SAMI-JF'!D13:D100000,SUMMARY!D21,'PLAN BUDGET SAMI-JF'!J13:J100000,SUMMARY!A21&amp;"*")</f>
        <v>0</v>
      </c>
      <c r="Q21" s="10">
        <f>SUMIFS('PLAN BUDGET SAMI-JF'!BC13:BC100000,'PLAN BUDGET SAMI-JF'!D13:D100000,SUMMARY!D21,'PLAN BUDGET SAMI-JF'!J13:J100000,SUMMARY!A21&amp;"*")</f>
        <v>0</v>
      </c>
      <c r="R21" s="10">
        <f>SUMIFS('PLAN BUDGET SAMI-JF'!BD13:BD100000,'PLAN BUDGET SAMI-JF'!D13:D100000,SUMMARY!D21,'PLAN BUDGET SAMI-JF'!J13:J100000,SUMMARY!A21&amp;"*")</f>
        <v>0</v>
      </c>
      <c r="S21" s="10">
        <f>SUMIFS('PLAN BUDGET SAMI-JF'!BE13:BE100000,'PLAN BUDGET SAMI-JF'!D13:D100000,SUMMARY!D21,'PLAN BUDGET SAMI-JF'!J13:J100000,SUMMARY!A21&amp;"*")</f>
        <v>0</v>
      </c>
      <c r="T21" s="10">
        <f>SUMIFS('PLAN BUDGET SAMI-JF'!BF13:BF100000,'PLAN BUDGET SAMI-JF'!D13:D100000,SUMMARY!D21,'PLAN BUDGET SAMI-JF'!J13:J100000,SUMMARY!A21&amp;"*")</f>
        <v>12.659349562618999</v>
      </c>
      <c r="U21" s="10">
        <f>SUMIFS('PLAN BUDGET SAMI-JF'!BG13:BG100000,'PLAN BUDGET SAMI-JF'!D13:D100000,SUMMARY!D21,'PLAN BUDGET SAMI-JF'!J13:J100000,SUMMARY!A21&amp;"*")</f>
        <v>0</v>
      </c>
      <c r="V21" s="10">
        <f>SUMIFS('PLAN BUDGET SAMI-JF'!BH13:BH100000,'PLAN BUDGET SAMI-JF'!D13:D100000,SUMMARY!D21,'PLAN BUDGET SAMI-JF'!J13:J100000,SUMMARY!A21&amp;"*")</f>
        <v>0</v>
      </c>
      <c r="W21" s="10">
        <f>SUMIFS('PLAN BUDGET SAMI-JF'!BI13:BI100000,'PLAN BUDGET SAMI-JF'!D13:D100000,SUMMARY!D21,'PLAN BUDGET SAMI-JF'!J13:J100000,SUMMARY!A21&amp;"*")</f>
        <v>0</v>
      </c>
      <c r="X21" s="10">
        <f>SUMIFS('PLAN BUDGET SAMI-JF'!BJ13:BJ100000,'PLAN BUDGET SAMI-JF'!D13:D100000,SUMMARY!D21,'PLAN BUDGET SAMI-JF'!J13:J100000,SUMMARY!A21&amp;"*")</f>
        <v>0</v>
      </c>
      <c r="Y21" s="10">
        <f>SUMIFS('PLAN BUDGET SAMI-JF'!BK13:BK100000,'PLAN BUDGET SAMI-JF'!D13:D100000,SUMMARY!D21,'PLAN BUDGET SAMI-JF'!J13:J100000,SUMMARY!A21&amp;"*")</f>
        <v>0</v>
      </c>
      <c r="Z21" s="10">
        <f>SUMIFS('PLAN BUDGET SAMI-JF'!BL13:BL100000,'PLAN BUDGET SAMI-JF'!D13:D100000,SUMMARY!D21,'PLAN BUDGET SAMI-JF'!J13:J100000,SUMMARY!A21&amp;"*")</f>
        <v>12.659349562618999</v>
      </c>
      <c r="AA21" s="10">
        <f>SUMIFS('PLAN BUDGET SAMI-JF'!BM13:BM100000,'PLAN BUDGET SAMI-JF'!D13:D100000,SUMMARY!D21,'PLAN BUDGET SAMI-JF'!J13:J100000,SUMMARY!A21&amp;"*")</f>
        <v>0</v>
      </c>
      <c r="AB21" s="10">
        <f>SUMIFS('PLAN BUDGET SAMI-JF'!BN13:BN100000,'PLAN BUDGET SAMI-JF'!D13:D100000,SUMMARY!D21,'PLAN BUDGET SAMI-JF'!J13:J100000,SUMMARY!A21&amp;"*")</f>
        <v>0</v>
      </c>
      <c r="AC21" s="10">
        <f t="shared" si="0"/>
        <v>2</v>
      </c>
      <c r="AD21" s="10">
        <f t="shared" si="1"/>
        <v>25.318699125237998</v>
      </c>
      <c r="AE21" s="16"/>
      <c r="AF21" s="10">
        <v>13</v>
      </c>
      <c r="AG21" s="10">
        <v>94.628637980581004</v>
      </c>
      <c r="AH21" s="20">
        <f t="shared" si="2"/>
        <v>-0.84615384615384615</v>
      </c>
      <c r="AI21" s="20">
        <f t="shared" si="3"/>
        <v>-0.73244147157191763</v>
      </c>
      <c r="AJ21" s="7"/>
    </row>
    <row r="22" spans="1:36" x14ac:dyDescent="0.35">
      <c r="A22" s="7" t="s">
        <v>47</v>
      </c>
      <c r="B22" s="7"/>
      <c r="C22" s="7"/>
      <c r="D22" s="7" t="s">
        <v>139</v>
      </c>
      <c r="E22" s="10">
        <f>SUMIFS('PLAN BUDGET SAMI-JF'!AN13:AN100000,'PLAN BUDGET SAMI-JF'!D13:D100000,SUMMARY!D22,'PLAN BUDGET SAMI-JF'!J13:J100000,SUMMARY!A22&amp;"*")</f>
        <v>0</v>
      </c>
      <c r="F22" s="10">
        <f>SUMIFS('PLAN BUDGET SAMI-JF'!AO13:AO100000,'PLAN BUDGET SAMI-JF'!D13:D100000,SUMMARY!D22,'PLAN BUDGET SAMI-JF'!J13:J100000,SUMMARY!A22&amp;"*")</f>
        <v>20</v>
      </c>
      <c r="G22" s="10">
        <f>SUMIFS('PLAN BUDGET SAMI-JF'!AP13:AP100000,'PLAN BUDGET SAMI-JF'!D13:D100000,SUMMARY!D22,'PLAN BUDGET SAMI-JF'!J13:J100000,SUMMARY!A22&amp;"*")</f>
        <v>0</v>
      </c>
      <c r="H22" s="10">
        <f>SUMIFS('PLAN BUDGET SAMI-JF'!AQ13:AQ100000,'PLAN BUDGET SAMI-JF'!D13:D100000,SUMMARY!D22,'PLAN BUDGET SAMI-JF'!J13:J100000,SUMMARY!A22&amp;"*")</f>
        <v>0</v>
      </c>
      <c r="I22" s="10">
        <f>SUMIFS('PLAN BUDGET SAMI-JF'!AR13:AR100000,'PLAN BUDGET SAMI-JF'!D13:D100000,SUMMARY!D22,'PLAN BUDGET SAMI-JF'!J13:J100000,SUMMARY!A22&amp;"*")</f>
        <v>0</v>
      </c>
      <c r="J22" s="10">
        <f>SUMIFS('PLAN BUDGET SAMI-JF'!AS13:AS100000,'PLAN BUDGET SAMI-JF'!D13:D100000,SUMMARY!D22,'PLAN BUDGET SAMI-JF'!J13:J100000,SUMMARY!A22&amp;"*")</f>
        <v>0</v>
      </c>
      <c r="K22" s="10">
        <f>SUMIFS('PLAN BUDGET SAMI-JF'!AT13:AT100000,'PLAN BUDGET SAMI-JF'!D13:D100000,SUMMARY!D22,'PLAN BUDGET SAMI-JF'!J13:J100000,SUMMARY!A22&amp;"*")</f>
        <v>0</v>
      </c>
      <c r="L22" s="10">
        <f>SUMIFS('PLAN BUDGET SAMI-JF'!AU13:AU100000,'PLAN BUDGET SAMI-JF'!D13:D100000,SUMMARY!D22,'PLAN BUDGET SAMI-JF'!J13:J100000,SUMMARY!A22&amp;"*")</f>
        <v>0</v>
      </c>
      <c r="M22" s="10">
        <f>SUMIFS('PLAN BUDGET SAMI-JF'!AV13:AV100000,'PLAN BUDGET SAMI-JF'!D13:D100000,SUMMARY!D22,'PLAN BUDGET SAMI-JF'!J13:J100000,SUMMARY!A22&amp;"*")</f>
        <v>0</v>
      </c>
      <c r="N22" s="10">
        <f>SUMIFS('PLAN BUDGET SAMI-JF'!AW13:AW100000,'PLAN BUDGET SAMI-JF'!D13:D100000,SUMMARY!D22,'PLAN BUDGET SAMI-JF'!J13:J100000,SUMMARY!A22&amp;"*")</f>
        <v>0</v>
      </c>
      <c r="O22" s="10">
        <f>SUMIFS('PLAN BUDGET SAMI-JF'!AX13:AX100000,'PLAN BUDGET SAMI-JF'!D13:D100000,SUMMARY!D22,'PLAN BUDGET SAMI-JF'!J13:J100000,SUMMARY!A22&amp;"*")</f>
        <v>0</v>
      </c>
      <c r="P22" s="10">
        <f>SUMIFS('PLAN BUDGET SAMI-JF'!AY13:AY100000,'PLAN BUDGET SAMI-JF'!D13:D100000,SUMMARY!D22,'PLAN BUDGET SAMI-JF'!J13:J100000,SUMMARY!A22&amp;"*")</f>
        <v>0</v>
      </c>
      <c r="Q22" s="10">
        <f>SUMIFS('PLAN BUDGET SAMI-JF'!BC13:BC100000,'PLAN BUDGET SAMI-JF'!D13:D100000,SUMMARY!D22,'PLAN BUDGET SAMI-JF'!J13:J100000,SUMMARY!A22&amp;"*")</f>
        <v>0</v>
      </c>
      <c r="R22" s="10">
        <f>SUMIFS('PLAN BUDGET SAMI-JF'!BD13:BD100000,'PLAN BUDGET SAMI-JF'!D13:D100000,SUMMARY!D22,'PLAN BUDGET SAMI-JF'!J13:J100000,SUMMARY!A22&amp;"*")</f>
        <v>1164.6601597609999</v>
      </c>
      <c r="S22" s="10">
        <f>SUMIFS('PLAN BUDGET SAMI-JF'!BE13:BE100000,'PLAN BUDGET SAMI-JF'!D13:D100000,SUMMARY!D22,'PLAN BUDGET SAMI-JF'!J13:J100000,SUMMARY!A22&amp;"*")</f>
        <v>0</v>
      </c>
      <c r="T22" s="10">
        <f>SUMIFS('PLAN BUDGET SAMI-JF'!BF13:BF100000,'PLAN BUDGET SAMI-JF'!D13:D100000,SUMMARY!D22,'PLAN BUDGET SAMI-JF'!J13:J100000,SUMMARY!A22&amp;"*")</f>
        <v>0</v>
      </c>
      <c r="U22" s="10">
        <f>SUMIFS('PLAN BUDGET SAMI-JF'!BG13:BG100000,'PLAN BUDGET SAMI-JF'!D13:D100000,SUMMARY!D22,'PLAN BUDGET SAMI-JF'!J13:J100000,SUMMARY!A22&amp;"*")</f>
        <v>0</v>
      </c>
      <c r="V22" s="10">
        <f>SUMIFS('PLAN BUDGET SAMI-JF'!BH13:BH100000,'PLAN BUDGET SAMI-JF'!D13:D100000,SUMMARY!D22,'PLAN BUDGET SAMI-JF'!J13:J100000,SUMMARY!A22&amp;"*")</f>
        <v>0</v>
      </c>
      <c r="W22" s="10">
        <f>SUMIFS('PLAN BUDGET SAMI-JF'!BI13:BI100000,'PLAN BUDGET SAMI-JF'!D13:D100000,SUMMARY!D22,'PLAN BUDGET SAMI-JF'!J13:J100000,SUMMARY!A22&amp;"*")</f>
        <v>0</v>
      </c>
      <c r="X22" s="10">
        <f>SUMIFS('PLAN BUDGET SAMI-JF'!BJ13:BJ100000,'PLAN BUDGET SAMI-JF'!D13:D100000,SUMMARY!D22,'PLAN BUDGET SAMI-JF'!J13:J100000,SUMMARY!A22&amp;"*")</f>
        <v>0</v>
      </c>
      <c r="Y22" s="10">
        <f>SUMIFS('PLAN BUDGET SAMI-JF'!BK13:BK100000,'PLAN BUDGET SAMI-JF'!D13:D100000,SUMMARY!D22,'PLAN BUDGET SAMI-JF'!J13:J100000,SUMMARY!A22&amp;"*")</f>
        <v>0</v>
      </c>
      <c r="Z22" s="10">
        <f>SUMIFS('PLAN BUDGET SAMI-JF'!BL13:BL100000,'PLAN BUDGET SAMI-JF'!D13:D100000,SUMMARY!D22,'PLAN BUDGET SAMI-JF'!J13:J100000,SUMMARY!A22&amp;"*")</f>
        <v>0</v>
      </c>
      <c r="AA22" s="10">
        <f>SUMIFS('PLAN BUDGET SAMI-JF'!BM13:BM100000,'PLAN BUDGET SAMI-JF'!D13:D100000,SUMMARY!D22,'PLAN BUDGET SAMI-JF'!J13:J100000,SUMMARY!A22&amp;"*")</f>
        <v>0</v>
      </c>
      <c r="AB22" s="10">
        <f>SUMIFS('PLAN BUDGET SAMI-JF'!BN13:BN100000,'PLAN BUDGET SAMI-JF'!D13:D100000,SUMMARY!D22,'PLAN BUDGET SAMI-JF'!J13:J100000,SUMMARY!A22&amp;"*")</f>
        <v>0</v>
      </c>
      <c r="AC22" s="10">
        <f t="shared" si="0"/>
        <v>20</v>
      </c>
      <c r="AD22" s="10">
        <f t="shared" si="1"/>
        <v>1164.6601597609999</v>
      </c>
      <c r="AE22" s="16"/>
      <c r="AF22" s="10">
        <v>0</v>
      </c>
      <c r="AG22" s="10">
        <v>0</v>
      </c>
      <c r="AH22" s="20">
        <f t="shared" si="2"/>
        <v>1</v>
      </c>
      <c r="AI22" s="20">
        <f t="shared" si="3"/>
        <v>1</v>
      </c>
      <c r="AJ22" s="7" t="s">
        <v>290</v>
      </c>
    </row>
    <row r="23" spans="1:36" x14ac:dyDescent="0.35">
      <c r="A23" s="7" t="s">
        <v>47</v>
      </c>
      <c r="B23" s="7"/>
      <c r="C23" s="7"/>
      <c r="D23" s="7" t="s">
        <v>43</v>
      </c>
      <c r="E23" s="10">
        <f>SUMIFS('PLAN BUDGET SAMI-JF'!AN13:AN100000,'PLAN BUDGET SAMI-JF'!D13:D100000,SUMMARY!D23,'PLAN BUDGET SAMI-JF'!J13:J100000,SUMMARY!A23&amp;"*")</f>
        <v>0</v>
      </c>
      <c r="F23" s="10">
        <f>SUMIFS('PLAN BUDGET SAMI-JF'!AO13:AO100000,'PLAN BUDGET SAMI-JF'!D13:D100000,SUMMARY!D23,'PLAN BUDGET SAMI-JF'!J13:J100000,SUMMARY!A23&amp;"*")</f>
        <v>560</v>
      </c>
      <c r="G23" s="10">
        <f>SUMIFS('PLAN BUDGET SAMI-JF'!AP13:AP100000,'PLAN BUDGET SAMI-JF'!D13:D100000,SUMMARY!D23,'PLAN BUDGET SAMI-JF'!J13:J100000,SUMMARY!A23&amp;"*")</f>
        <v>0</v>
      </c>
      <c r="H23" s="10">
        <f>SUMIFS('PLAN BUDGET SAMI-JF'!AQ13:AQ100000,'PLAN BUDGET SAMI-JF'!D13:D100000,SUMMARY!D23,'PLAN BUDGET SAMI-JF'!J13:J100000,SUMMARY!A23&amp;"*")</f>
        <v>0</v>
      </c>
      <c r="I23" s="10">
        <f>SUMIFS('PLAN BUDGET SAMI-JF'!AR13:AR100000,'PLAN BUDGET SAMI-JF'!D13:D100000,SUMMARY!D23,'PLAN BUDGET SAMI-JF'!J13:J100000,SUMMARY!A23&amp;"*")</f>
        <v>552</v>
      </c>
      <c r="J23" s="10">
        <f>SUMIFS('PLAN BUDGET SAMI-JF'!AS13:AS100000,'PLAN BUDGET SAMI-JF'!D13:D100000,SUMMARY!D23,'PLAN BUDGET SAMI-JF'!J13:J100000,SUMMARY!A23&amp;"*")</f>
        <v>0</v>
      </c>
      <c r="K23" s="10">
        <f>SUMIFS('PLAN BUDGET SAMI-JF'!AT13:AT100000,'PLAN BUDGET SAMI-JF'!D13:D100000,SUMMARY!D23,'PLAN BUDGET SAMI-JF'!J13:J100000,SUMMARY!A23&amp;"*")</f>
        <v>0</v>
      </c>
      <c r="L23" s="10">
        <f>SUMIFS('PLAN BUDGET SAMI-JF'!AU13:AU100000,'PLAN BUDGET SAMI-JF'!D13:D100000,SUMMARY!D23,'PLAN BUDGET SAMI-JF'!J13:J100000,SUMMARY!A23&amp;"*")</f>
        <v>0</v>
      </c>
      <c r="M23" s="10">
        <f>SUMIFS('PLAN BUDGET SAMI-JF'!AV13:AV100000,'PLAN BUDGET SAMI-JF'!D13:D100000,SUMMARY!D23,'PLAN BUDGET SAMI-JF'!J13:J100000,SUMMARY!A23&amp;"*")</f>
        <v>300</v>
      </c>
      <c r="N23" s="10">
        <f>SUMIFS('PLAN BUDGET SAMI-JF'!AW13:AW100000,'PLAN BUDGET SAMI-JF'!D13:D100000,SUMMARY!D23,'PLAN BUDGET SAMI-JF'!J13:J100000,SUMMARY!A23&amp;"*")</f>
        <v>0</v>
      </c>
      <c r="O23" s="10">
        <f>SUMIFS('PLAN BUDGET SAMI-JF'!AX13:AX100000,'PLAN BUDGET SAMI-JF'!D13:D100000,SUMMARY!D23,'PLAN BUDGET SAMI-JF'!J13:J100000,SUMMARY!A23&amp;"*")</f>
        <v>0</v>
      </c>
      <c r="P23" s="10">
        <f>SUMIFS('PLAN BUDGET SAMI-JF'!AY13:AY100000,'PLAN BUDGET SAMI-JF'!D13:D100000,SUMMARY!D23,'PLAN BUDGET SAMI-JF'!J13:J100000,SUMMARY!A23&amp;"*")</f>
        <v>300</v>
      </c>
      <c r="Q23" s="10">
        <f>SUMIFS('PLAN BUDGET SAMI-JF'!BC13:BC100000,'PLAN BUDGET SAMI-JF'!D13:D100000,SUMMARY!D23,'PLAN BUDGET SAMI-JF'!J13:J100000,SUMMARY!A23&amp;"*")</f>
        <v>0</v>
      </c>
      <c r="R23" s="10">
        <f>SUMIFS('PLAN BUDGET SAMI-JF'!BD13:BD100000,'PLAN BUDGET SAMI-JF'!D13:D100000,SUMMARY!D23,'PLAN BUDGET SAMI-JF'!J13:J100000,SUMMARY!A23&amp;"*")</f>
        <v>59.195118554809</v>
      </c>
      <c r="S23" s="10">
        <f>SUMIFS('PLAN BUDGET SAMI-JF'!BE13:BE100000,'PLAN BUDGET SAMI-JF'!D13:D100000,SUMMARY!D23,'PLAN BUDGET SAMI-JF'!J13:J100000,SUMMARY!A23&amp;"*")</f>
        <v>0</v>
      </c>
      <c r="T23" s="10">
        <f>SUMIFS('PLAN BUDGET SAMI-JF'!BF13:BF100000,'PLAN BUDGET SAMI-JF'!D13:D100000,SUMMARY!D23,'PLAN BUDGET SAMI-JF'!J13:J100000,SUMMARY!A23&amp;"*")</f>
        <v>0</v>
      </c>
      <c r="U23" s="10">
        <f>SUMIFS('PLAN BUDGET SAMI-JF'!BG13:BG100000,'PLAN BUDGET SAMI-JF'!D13:D100000,SUMMARY!D23,'PLAN BUDGET SAMI-JF'!J13:J100000,SUMMARY!A23&amp;"*")</f>
        <v>58.349474004026</v>
      </c>
      <c r="V23" s="10">
        <f>SUMIFS('PLAN BUDGET SAMI-JF'!BH13:BH100000,'PLAN BUDGET SAMI-JF'!D13:D100000,SUMMARY!D23,'PLAN BUDGET SAMI-JF'!J13:J100000,SUMMARY!A23&amp;"*")</f>
        <v>0</v>
      </c>
      <c r="W23" s="10">
        <f>SUMIFS('PLAN BUDGET SAMI-JF'!BI13:BI100000,'PLAN BUDGET SAMI-JF'!D13:D100000,SUMMARY!D23,'PLAN BUDGET SAMI-JF'!J13:J100000,SUMMARY!A23&amp;"*")</f>
        <v>0</v>
      </c>
      <c r="X23" s="10">
        <f>SUMIFS('PLAN BUDGET SAMI-JF'!BJ13:BJ100000,'PLAN BUDGET SAMI-JF'!D13:D100000,SUMMARY!D23,'PLAN BUDGET SAMI-JF'!J13:J100000,SUMMARY!A23&amp;"*")</f>
        <v>0</v>
      </c>
      <c r="Y23" s="10">
        <f>SUMIFS('PLAN BUDGET SAMI-JF'!BK13:BK100000,'PLAN BUDGET SAMI-JF'!D13:D100000,SUMMARY!D23,'PLAN BUDGET SAMI-JF'!J13:J100000,SUMMARY!A23&amp;"*")</f>
        <v>31.711670654361999</v>
      </c>
      <c r="Z23" s="10">
        <f>SUMIFS('PLAN BUDGET SAMI-JF'!BL13:BL100000,'PLAN BUDGET SAMI-JF'!D13:D100000,SUMMARY!D23,'PLAN BUDGET SAMI-JF'!J13:J100000,SUMMARY!A23&amp;"*")</f>
        <v>0</v>
      </c>
      <c r="AA23" s="10">
        <f>SUMIFS('PLAN BUDGET SAMI-JF'!BM13:BM100000,'PLAN BUDGET SAMI-JF'!D13:D100000,SUMMARY!D23,'PLAN BUDGET SAMI-JF'!J13:J100000,SUMMARY!A23&amp;"*")</f>
        <v>0</v>
      </c>
      <c r="AB23" s="10">
        <f>SUMIFS('PLAN BUDGET SAMI-JF'!BN13:BN100000,'PLAN BUDGET SAMI-JF'!D13:D100000,SUMMARY!D23,'PLAN BUDGET SAMI-JF'!J13:J100000,SUMMARY!A23&amp;"*")</f>
        <v>31.711670654361999</v>
      </c>
      <c r="AC23" s="10">
        <f t="shared" si="0"/>
        <v>1712</v>
      </c>
      <c r="AD23" s="10">
        <f t="shared" si="1"/>
        <v>180.967933867559</v>
      </c>
      <c r="AE23" s="16"/>
      <c r="AF23" s="10">
        <v>1971</v>
      </c>
      <c r="AG23" s="10">
        <v>186.01401389997</v>
      </c>
      <c r="AH23" s="20">
        <f t="shared" si="2"/>
        <v>-0.13140537798072044</v>
      </c>
      <c r="AI23" s="20">
        <f t="shared" si="3"/>
        <v>-2.7127418663867735E-2</v>
      </c>
      <c r="AJ23" s="7"/>
    </row>
    <row r="24" spans="1:36" x14ac:dyDescent="0.35">
      <c r="A24" s="7" t="s">
        <v>47</v>
      </c>
      <c r="B24" s="7"/>
      <c r="C24" s="7"/>
      <c r="D24" s="7" t="s">
        <v>127</v>
      </c>
      <c r="E24" s="10">
        <f>SUMIFS('PLAN BUDGET SAMI-JF'!AN13:AN100000,'PLAN BUDGET SAMI-JF'!D13:D100000,SUMMARY!D24,'PLAN BUDGET SAMI-JF'!J13:J100000,SUMMARY!A24&amp;"*")</f>
        <v>0</v>
      </c>
      <c r="F24" s="10">
        <f>SUMIFS('PLAN BUDGET SAMI-JF'!AO13:AO100000,'PLAN BUDGET SAMI-JF'!D13:D100000,SUMMARY!D24,'PLAN BUDGET SAMI-JF'!J13:J100000,SUMMARY!A24&amp;"*")</f>
        <v>1</v>
      </c>
      <c r="G24" s="10">
        <f>SUMIFS('PLAN BUDGET SAMI-JF'!AP13:AP100000,'PLAN BUDGET SAMI-JF'!D13:D100000,SUMMARY!D24,'PLAN BUDGET SAMI-JF'!J13:J100000,SUMMARY!A24&amp;"*")</f>
        <v>0</v>
      </c>
      <c r="H24" s="10">
        <f>SUMIFS('PLAN BUDGET SAMI-JF'!AQ13:AQ100000,'PLAN BUDGET SAMI-JF'!D13:D100000,SUMMARY!D24,'PLAN BUDGET SAMI-JF'!J13:J100000,SUMMARY!A24&amp;"*")</f>
        <v>0</v>
      </c>
      <c r="I24" s="10">
        <f>SUMIFS('PLAN BUDGET SAMI-JF'!AR13:AR100000,'PLAN BUDGET SAMI-JF'!D13:D100000,SUMMARY!D24,'PLAN BUDGET SAMI-JF'!J13:J100000,SUMMARY!A24&amp;"*")</f>
        <v>1</v>
      </c>
      <c r="J24" s="10">
        <f>SUMIFS('PLAN BUDGET SAMI-JF'!AS13:AS100000,'PLAN BUDGET SAMI-JF'!D13:D100000,SUMMARY!D24,'PLAN BUDGET SAMI-JF'!J13:J100000,SUMMARY!A24&amp;"*")</f>
        <v>0</v>
      </c>
      <c r="K24" s="10">
        <f>SUMIFS('PLAN BUDGET SAMI-JF'!AT13:AT100000,'PLAN BUDGET SAMI-JF'!D13:D100000,SUMMARY!D24,'PLAN BUDGET SAMI-JF'!J13:J100000,SUMMARY!A24&amp;"*")</f>
        <v>0</v>
      </c>
      <c r="L24" s="10">
        <f>SUMIFS('PLAN BUDGET SAMI-JF'!AU13:AU100000,'PLAN BUDGET SAMI-JF'!D13:D100000,SUMMARY!D24,'PLAN BUDGET SAMI-JF'!J13:J100000,SUMMARY!A24&amp;"*")</f>
        <v>1</v>
      </c>
      <c r="M24" s="10">
        <f>SUMIFS('PLAN BUDGET SAMI-JF'!AV13:AV100000,'PLAN BUDGET SAMI-JF'!D13:D100000,SUMMARY!D24,'PLAN BUDGET SAMI-JF'!J13:J100000,SUMMARY!A24&amp;"*")</f>
        <v>0</v>
      </c>
      <c r="N24" s="10">
        <f>SUMIFS('PLAN BUDGET SAMI-JF'!AW13:AW100000,'PLAN BUDGET SAMI-JF'!D13:D100000,SUMMARY!D24,'PLAN BUDGET SAMI-JF'!J13:J100000,SUMMARY!A24&amp;"*")</f>
        <v>0</v>
      </c>
      <c r="O24" s="10">
        <f>SUMIFS('PLAN BUDGET SAMI-JF'!AX13:AX100000,'PLAN BUDGET SAMI-JF'!D13:D100000,SUMMARY!D24,'PLAN BUDGET SAMI-JF'!J13:J100000,SUMMARY!A24&amp;"*")</f>
        <v>1</v>
      </c>
      <c r="P24" s="10">
        <f>SUMIFS('PLAN BUDGET SAMI-JF'!AY13:AY100000,'PLAN BUDGET SAMI-JF'!D13:D100000,SUMMARY!D24,'PLAN BUDGET SAMI-JF'!J13:J100000,SUMMARY!A24&amp;"*")</f>
        <v>0</v>
      </c>
      <c r="Q24" s="10">
        <f>SUMIFS('PLAN BUDGET SAMI-JF'!BC13:BC100000,'PLAN BUDGET SAMI-JF'!D13:D100000,SUMMARY!D24,'PLAN BUDGET SAMI-JF'!J13:J100000,SUMMARY!A24&amp;"*")</f>
        <v>0</v>
      </c>
      <c r="R24" s="10">
        <f>SUMIFS('PLAN BUDGET SAMI-JF'!BD13:BD100000,'PLAN BUDGET SAMI-JF'!D13:D100000,SUMMARY!D24,'PLAN BUDGET SAMI-JF'!J13:J100000,SUMMARY!A24&amp;"*")</f>
        <v>2.2153861734584002</v>
      </c>
      <c r="S24" s="10">
        <f>SUMIFS('PLAN BUDGET SAMI-JF'!BE13:BE100000,'PLAN BUDGET SAMI-JF'!D13:D100000,SUMMARY!D24,'PLAN BUDGET SAMI-JF'!J13:J100000,SUMMARY!A24&amp;"*")</f>
        <v>0</v>
      </c>
      <c r="T24" s="10">
        <f>SUMIFS('PLAN BUDGET SAMI-JF'!BF13:BF100000,'PLAN BUDGET SAMI-JF'!D13:D100000,SUMMARY!D24,'PLAN BUDGET SAMI-JF'!J13:J100000,SUMMARY!A24&amp;"*")</f>
        <v>0</v>
      </c>
      <c r="U24" s="10">
        <f>SUMIFS('PLAN BUDGET SAMI-JF'!BG13:BG100000,'PLAN BUDGET SAMI-JF'!D13:D100000,SUMMARY!D24,'PLAN BUDGET SAMI-JF'!J13:J100000,SUMMARY!A24&amp;"*")</f>
        <v>2.2153861734584002</v>
      </c>
      <c r="V24" s="10">
        <f>SUMIFS('PLAN BUDGET SAMI-JF'!BH13:BH100000,'PLAN BUDGET SAMI-JF'!D13:D100000,SUMMARY!D24,'PLAN BUDGET SAMI-JF'!J13:J100000,SUMMARY!A24&amp;"*")</f>
        <v>0</v>
      </c>
      <c r="W24" s="10">
        <f>SUMIFS('PLAN BUDGET SAMI-JF'!BI13:BI100000,'PLAN BUDGET SAMI-JF'!D13:D100000,SUMMARY!D24,'PLAN BUDGET SAMI-JF'!J13:J100000,SUMMARY!A24&amp;"*")</f>
        <v>0</v>
      </c>
      <c r="X24" s="10">
        <f>SUMIFS('PLAN BUDGET SAMI-JF'!BJ13:BJ100000,'PLAN BUDGET SAMI-JF'!D13:D100000,SUMMARY!D24,'PLAN BUDGET SAMI-JF'!J13:J100000,SUMMARY!A24&amp;"*")</f>
        <v>2.2153861734584002</v>
      </c>
      <c r="Y24" s="10">
        <f>SUMIFS('PLAN BUDGET SAMI-JF'!BK13:BK100000,'PLAN BUDGET SAMI-JF'!D13:D100000,SUMMARY!D24,'PLAN BUDGET SAMI-JF'!J13:J100000,SUMMARY!A24&amp;"*")</f>
        <v>0</v>
      </c>
      <c r="Z24" s="10">
        <f>SUMIFS('PLAN BUDGET SAMI-JF'!BL13:BL100000,'PLAN BUDGET SAMI-JF'!D13:D100000,SUMMARY!D24,'PLAN BUDGET SAMI-JF'!J13:J100000,SUMMARY!A24&amp;"*")</f>
        <v>0</v>
      </c>
      <c r="AA24" s="10">
        <f>SUMIFS('PLAN BUDGET SAMI-JF'!BM13:BM100000,'PLAN BUDGET SAMI-JF'!D13:D100000,SUMMARY!D24,'PLAN BUDGET SAMI-JF'!J13:J100000,SUMMARY!A24&amp;"*")</f>
        <v>2.2153861734584002</v>
      </c>
      <c r="AB24" s="10">
        <f>SUMIFS('PLAN BUDGET SAMI-JF'!BN13:BN100000,'PLAN BUDGET SAMI-JF'!D13:D100000,SUMMARY!D24,'PLAN BUDGET SAMI-JF'!J13:J100000,SUMMARY!A24&amp;"*")</f>
        <v>0</v>
      </c>
      <c r="AC24" s="10">
        <f t="shared" si="0"/>
        <v>4</v>
      </c>
      <c r="AD24" s="10">
        <f t="shared" si="1"/>
        <v>8.8615446938336007</v>
      </c>
      <c r="AE24" s="16"/>
      <c r="AF24" s="10">
        <v>4</v>
      </c>
      <c r="AG24" s="10">
        <v>22.470345473649999</v>
      </c>
      <c r="AH24" s="20">
        <f t="shared" si="2"/>
        <v>0</v>
      </c>
      <c r="AI24" s="20">
        <f t="shared" si="3"/>
        <v>-0.60563380281691037</v>
      </c>
      <c r="AJ24" s="7"/>
    </row>
    <row r="25" spans="1:36" x14ac:dyDescent="0.35">
      <c r="A25" s="7" t="s">
        <v>47</v>
      </c>
      <c r="B25" s="7"/>
      <c r="C25" s="7"/>
      <c r="D25" s="7" t="s">
        <v>118</v>
      </c>
      <c r="E25" s="10">
        <f>SUMIFS('PLAN BUDGET SAMI-JF'!AN13:AN100000,'PLAN BUDGET SAMI-JF'!D13:D100000,SUMMARY!D25,'PLAN BUDGET SAMI-JF'!J13:J100000,SUMMARY!A25&amp;"*")</f>
        <v>1</v>
      </c>
      <c r="F25" s="10">
        <f>SUMIFS('PLAN BUDGET SAMI-JF'!AO13:AO100000,'PLAN BUDGET SAMI-JF'!D13:D100000,SUMMARY!D25,'PLAN BUDGET SAMI-JF'!J13:J100000,SUMMARY!A25&amp;"*")</f>
        <v>0</v>
      </c>
      <c r="G25" s="10">
        <f>SUMIFS('PLAN BUDGET SAMI-JF'!AP13:AP100000,'PLAN BUDGET SAMI-JF'!D13:D100000,SUMMARY!D25,'PLAN BUDGET SAMI-JF'!J13:J100000,SUMMARY!A25&amp;"*")</f>
        <v>0</v>
      </c>
      <c r="H25" s="10">
        <f>SUMIFS('PLAN BUDGET SAMI-JF'!AQ13:AQ100000,'PLAN BUDGET SAMI-JF'!D13:D100000,SUMMARY!D25,'PLAN BUDGET SAMI-JF'!J13:J100000,SUMMARY!A25&amp;"*")</f>
        <v>0</v>
      </c>
      <c r="I25" s="10">
        <f>SUMIFS('PLAN BUDGET SAMI-JF'!AR13:AR100000,'PLAN BUDGET SAMI-JF'!D13:D100000,SUMMARY!D25,'PLAN BUDGET SAMI-JF'!J13:J100000,SUMMARY!A25&amp;"*")</f>
        <v>0</v>
      </c>
      <c r="J25" s="10">
        <f>SUMIFS('PLAN BUDGET SAMI-JF'!AS13:AS100000,'PLAN BUDGET SAMI-JF'!D13:D100000,SUMMARY!D25,'PLAN BUDGET SAMI-JF'!J13:J100000,SUMMARY!A25&amp;"*")</f>
        <v>0</v>
      </c>
      <c r="K25" s="10">
        <f>SUMIFS('PLAN BUDGET SAMI-JF'!AT13:AT100000,'PLAN BUDGET SAMI-JF'!D13:D100000,SUMMARY!D25,'PLAN BUDGET SAMI-JF'!J13:J100000,SUMMARY!A25&amp;"*")</f>
        <v>0</v>
      </c>
      <c r="L25" s="10">
        <f>SUMIFS('PLAN BUDGET SAMI-JF'!AU13:AU100000,'PLAN BUDGET SAMI-JF'!D13:D100000,SUMMARY!D25,'PLAN BUDGET SAMI-JF'!J13:J100000,SUMMARY!A25&amp;"*")</f>
        <v>0</v>
      </c>
      <c r="M25" s="10">
        <f>SUMIFS('PLAN BUDGET SAMI-JF'!AV13:AV100000,'PLAN BUDGET SAMI-JF'!D13:D100000,SUMMARY!D25,'PLAN BUDGET SAMI-JF'!J13:J100000,SUMMARY!A25&amp;"*")</f>
        <v>0</v>
      </c>
      <c r="N25" s="10">
        <f>SUMIFS('PLAN BUDGET SAMI-JF'!AW13:AW100000,'PLAN BUDGET SAMI-JF'!D13:D100000,SUMMARY!D25,'PLAN BUDGET SAMI-JF'!J13:J100000,SUMMARY!A25&amp;"*")</f>
        <v>0</v>
      </c>
      <c r="O25" s="10">
        <f>SUMIFS('PLAN BUDGET SAMI-JF'!AX13:AX100000,'PLAN BUDGET SAMI-JF'!D13:D100000,SUMMARY!D25,'PLAN BUDGET SAMI-JF'!J13:J100000,SUMMARY!A25&amp;"*")</f>
        <v>0</v>
      </c>
      <c r="P25" s="10">
        <f>SUMIFS('PLAN BUDGET SAMI-JF'!AY13:AY100000,'PLAN BUDGET SAMI-JF'!D13:D100000,SUMMARY!D25,'PLAN BUDGET SAMI-JF'!J13:J100000,SUMMARY!A25&amp;"*")</f>
        <v>0</v>
      </c>
      <c r="Q25" s="10">
        <f>SUMIFS('PLAN BUDGET SAMI-JF'!BC13:BC100000,'PLAN BUDGET SAMI-JF'!D13:D100000,SUMMARY!D25,'PLAN BUDGET SAMI-JF'!J13:J100000,SUMMARY!A25&amp;"*")</f>
        <v>110.76930867292</v>
      </c>
      <c r="R25" s="10">
        <f>SUMIFS('PLAN BUDGET SAMI-JF'!BD13:BD100000,'PLAN BUDGET SAMI-JF'!D13:D100000,SUMMARY!D25,'PLAN BUDGET SAMI-JF'!J13:J100000,SUMMARY!A25&amp;"*")</f>
        <v>0</v>
      </c>
      <c r="S25" s="10">
        <f>SUMIFS('PLAN BUDGET SAMI-JF'!BE13:BE100000,'PLAN BUDGET SAMI-JF'!D13:D100000,SUMMARY!D25,'PLAN BUDGET SAMI-JF'!J13:J100000,SUMMARY!A25&amp;"*")</f>
        <v>0</v>
      </c>
      <c r="T25" s="10">
        <f>SUMIFS('PLAN BUDGET SAMI-JF'!BF13:BF100000,'PLAN BUDGET SAMI-JF'!D13:D100000,SUMMARY!D25,'PLAN BUDGET SAMI-JF'!J13:J100000,SUMMARY!A25&amp;"*")</f>
        <v>0</v>
      </c>
      <c r="U25" s="10">
        <f>SUMIFS('PLAN BUDGET SAMI-JF'!BG13:BG100000,'PLAN BUDGET SAMI-JF'!D13:D100000,SUMMARY!D25,'PLAN BUDGET SAMI-JF'!J13:J100000,SUMMARY!A25&amp;"*")</f>
        <v>0</v>
      </c>
      <c r="V25" s="10">
        <f>SUMIFS('PLAN BUDGET SAMI-JF'!BH13:BH100000,'PLAN BUDGET SAMI-JF'!D13:D100000,SUMMARY!D25,'PLAN BUDGET SAMI-JF'!J13:J100000,SUMMARY!A25&amp;"*")</f>
        <v>0</v>
      </c>
      <c r="W25" s="10">
        <f>SUMIFS('PLAN BUDGET SAMI-JF'!BI13:BI100000,'PLAN BUDGET SAMI-JF'!D13:D100000,SUMMARY!D25,'PLAN BUDGET SAMI-JF'!J13:J100000,SUMMARY!A25&amp;"*")</f>
        <v>0</v>
      </c>
      <c r="X25" s="10">
        <f>SUMIFS('PLAN BUDGET SAMI-JF'!BJ13:BJ100000,'PLAN BUDGET SAMI-JF'!D13:D100000,SUMMARY!D25,'PLAN BUDGET SAMI-JF'!J13:J100000,SUMMARY!A25&amp;"*")</f>
        <v>0</v>
      </c>
      <c r="Y25" s="10">
        <f>SUMIFS('PLAN BUDGET SAMI-JF'!BK13:BK100000,'PLAN BUDGET SAMI-JF'!D13:D100000,SUMMARY!D25,'PLAN BUDGET SAMI-JF'!J13:J100000,SUMMARY!A25&amp;"*")</f>
        <v>0</v>
      </c>
      <c r="Z25" s="10">
        <f>SUMIFS('PLAN BUDGET SAMI-JF'!BL13:BL100000,'PLAN BUDGET SAMI-JF'!D13:D100000,SUMMARY!D25,'PLAN BUDGET SAMI-JF'!J13:J100000,SUMMARY!A25&amp;"*")</f>
        <v>0</v>
      </c>
      <c r="AA25" s="10">
        <f>SUMIFS('PLAN BUDGET SAMI-JF'!BM13:BM100000,'PLAN BUDGET SAMI-JF'!D13:D100000,SUMMARY!D25,'PLAN BUDGET SAMI-JF'!J13:J100000,SUMMARY!A25&amp;"*")</f>
        <v>0</v>
      </c>
      <c r="AB25" s="10">
        <f>SUMIFS('PLAN BUDGET SAMI-JF'!BN13:BN100000,'PLAN BUDGET SAMI-JF'!D13:D100000,SUMMARY!D25,'PLAN BUDGET SAMI-JF'!J13:J100000,SUMMARY!A25&amp;"*")</f>
        <v>0</v>
      </c>
      <c r="AC25" s="10">
        <f t="shared" si="0"/>
        <v>1</v>
      </c>
      <c r="AD25" s="10">
        <f t="shared" si="1"/>
        <v>110.76930867292</v>
      </c>
      <c r="AE25" s="16"/>
      <c r="AF25" s="10">
        <v>0</v>
      </c>
      <c r="AG25" s="10">
        <v>0</v>
      </c>
      <c r="AH25" s="20">
        <f t="shared" si="2"/>
        <v>1</v>
      </c>
      <c r="AI25" s="20">
        <f t="shared" si="3"/>
        <v>1</v>
      </c>
      <c r="AJ25" s="7" t="s">
        <v>290</v>
      </c>
    </row>
    <row r="26" spans="1:36" x14ac:dyDescent="0.35">
      <c r="A26" s="7" t="s">
        <v>151</v>
      </c>
      <c r="B26" s="7"/>
      <c r="C26" s="7"/>
      <c r="D26" s="7" t="s">
        <v>148</v>
      </c>
      <c r="E26" s="10">
        <f>SUMIFS('PLAN BUDGET SAMI-JF'!AN13:AN100000,'PLAN BUDGET SAMI-JF'!D13:D100000,SUMMARY!D26,'PLAN BUDGET SAMI-JF'!J13:J100000,SUMMARY!A26&amp;"*")</f>
        <v>0</v>
      </c>
      <c r="F26" s="10">
        <f>SUMIFS('PLAN BUDGET SAMI-JF'!AO13:AO100000,'PLAN BUDGET SAMI-JF'!D13:D100000,SUMMARY!D26,'PLAN BUDGET SAMI-JF'!J13:J100000,SUMMARY!A26&amp;"*")</f>
        <v>0</v>
      </c>
      <c r="G26" s="10">
        <f>SUMIFS('PLAN BUDGET SAMI-JF'!AP13:AP100000,'PLAN BUDGET SAMI-JF'!D13:D100000,SUMMARY!D26,'PLAN BUDGET SAMI-JF'!J13:J100000,SUMMARY!A26&amp;"*")</f>
        <v>0</v>
      </c>
      <c r="H26" s="10">
        <f>SUMIFS('PLAN BUDGET SAMI-JF'!AQ13:AQ100000,'PLAN BUDGET SAMI-JF'!D13:D100000,SUMMARY!D26,'PLAN BUDGET SAMI-JF'!J13:J100000,SUMMARY!A26&amp;"*")</f>
        <v>0</v>
      </c>
      <c r="I26" s="10">
        <f>SUMIFS('PLAN BUDGET SAMI-JF'!AR13:AR100000,'PLAN BUDGET SAMI-JF'!D13:D100000,SUMMARY!D26,'PLAN BUDGET SAMI-JF'!J13:J100000,SUMMARY!A26&amp;"*")</f>
        <v>0</v>
      </c>
      <c r="J26" s="10">
        <f>SUMIFS('PLAN BUDGET SAMI-JF'!AS13:AS100000,'PLAN BUDGET SAMI-JF'!D13:D100000,SUMMARY!D26,'PLAN BUDGET SAMI-JF'!J13:J100000,SUMMARY!A26&amp;"*")</f>
        <v>0</v>
      </c>
      <c r="K26" s="10">
        <f>SUMIFS('PLAN BUDGET SAMI-JF'!AT13:AT100000,'PLAN BUDGET SAMI-JF'!D13:D100000,SUMMARY!D26,'PLAN BUDGET SAMI-JF'!J13:J100000,SUMMARY!A26&amp;"*")</f>
        <v>0</v>
      </c>
      <c r="L26" s="10">
        <f>SUMIFS('PLAN BUDGET SAMI-JF'!AU13:AU100000,'PLAN BUDGET SAMI-JF'!D13:D100000,SUMMARY!D26,'PLAN BUDGET SAMI-JF'!J13:J100000,SUMMARY!A26&amp;"*")</f>
        <v>0</v>
      </c>
      <c r="M26" s="10">
        <f>SUMIFS('PLAN BUDGET SAMI-JF'!AV13:AV100000,'PLAN BUDGET SAMI-JF'!D13:D100000,SUMMARY!D26,'PLAN BUDGET SAMI-JF'!J13:J100000,SUMMARY!A26&amp;"*")</f>
        <v>0</v>
      </c>
      <c r="N26" s="10">
        <f>SUMIFS('PLAN BUDGET SAMI-JF'!AW13:AW100000,'PLAN BUDGET SAMI-JF'!D13:D100000,SUMMARY!D26,'PLAN BUDGET SAMI-JF'!J13:J100000,SUMMARY!A26&amp;"*")</f>
        <v>0</v>
      </c>
      <c r="O26" s="10">
        <f>SUMIFS('PLAN BUDGET SAMI-JF'!AX13:AX100000,'PLAN BUDGET SAMI-JF'!D13:D100000,SUMMARY!D26,'PLAN BUDGET SAMI-JF'!J13:J100000,SUMMARY!A26&amp;"*")</f>
        <v>0</v>
      </c>
      <c r="P26" s="10">
        <f>SUMIFS('PLAN BUDGET SAMI-JF'!AY13:AY100000,'PLAN BUDGET SAMI-JF'!D13:D100000,SUMMARY!D26,'PLAN BUDGET SAMI-JF'!J13:J100000,SUMMARY!A26&amp;"*")</f>
        <v>0</v>
      </c>
      <c r="Q26" s="10">
        <f>SUMIFS('PLAN BUDGET SAMI-JF'!BC13:BC100000,'PLAN BUDGET SAMI-JF'!D13:D100000,SUMMARY!D26,'PLAN BUDGET SAMI-JF'!J13:J100000,SUMMARY!A26&amp;"*")</f>
        <v>0</v>
      </c>
      <c r="R26" s="10">
        <f>SUMIFS('PLAN BUDGET SAMI-JF'!BD13:BD100000,'PLAN BUDGET SAMI-JF'!D13:D100000,SUMMARY!D26,'PLAN BUDGET SAMI-JF'!J13:J100000,SUMMARY!A26&amp;"*")</f>
        <v>0</v>
      </c>
      <c r="S26" s="10">
        <f>SUMIFS('PLAN BUDGET SAMI-JF'!BE13:BE100000,'PLAN BUDGET SAMI-JF'!D13:D100000,SUMMARY!D26,'PLAN BUDGET SAMI-JF'!J13:J100000,SUMMARY!A26&amp;"*")</f>
        <v>0</v>
      </c>
      <c r="T26" s="10">
        <f>SUMIFS('PLAN BUDGET SAMI-JF'!BF13:BF100000,'PLAN BUDGET SAMI-JF'!D13:D100000,SUMMARY!D26,'PLAN BUDGET SAMI-JF'!J13:J100000,SUMMARY!A26&amp;"*")</f>
        <v>0</v>
      </c>
      <c r="U26" s="10">
        <f>SUMIFS('PLAN BUDGET SAMI-JF'!BG13:BG100000,'PLAN BUDGET SAMI-JF'!D13:D100000,SUMMARY!D26,'PLAN BUDGET SAMI-JF'!J13:J100000,SUMMARY!A26&amp;"*")</f>
        <v>0</v>
      </c>
      <c r="V26" s="10">
        <f>SUMIFS('PLAN BUDGET SAMI-JF'!BH13:BH100000,'PLAN BUDGET SAMI-JF'!D13:D100000,SUMMARY!D26,'PLAN BUDGET SAMI-JF'!J13:J100000,SUMMARY!A26&amp;"*")</f>
        <v>0</v>
      </c>
      <c r="W26" s="10">
        <f>SUMIFS('PLAN BUDGET SAMI-JF'!BI13:BI100000,'PLAN BUDGET SAMI-JF'!D13:D100000,SUMMARY!D26,'PLAN BUDGET SAMI-JF'!J13:J100000,SUMMARY!A26&amp;"*")</f>
        <v>0</v>
      </c>
      <c r="X26" s="10">
        <f>SUMIFS('PLAN BUDGET SAMI-JF'!BJ13:BJ100000,'PLAN BUDGET SAMI-JF'!D13:D100000,SUMMARY!D26,'PLAN BUDGET SAMI-JF'!J13:J100000,SUMMARY!A26&amp;"*")</f>
        <v>0</v>
      </c>
      <c r="Y26" s="10">
        <f>SUMIFS('PLAN BUDGET SAMI-JF'!BK13:BK100000,'PLAN BUDGET SAMI-JF'!D13:D100000,SUMMARY!D26,'PLAN BUDGET SAMI-JF'!J13:J100000,SUMMARY!A26&amp;"*")</f>
        <v>0</v>
      </c>
      <c r="Z26" s="10">
        <f>SUMIFS('PLAN BUDGET SAMI-JF'!BL13:BL100000,'PLAN BUDGET SAMI-JF'!D13:D100000,SUMMARY!D26,'PLAN BUDGET SAMI-JF'!J13:J100000,SUMMARY!A26&amp;"*")</f>
        <v>0</v>
      </c>
      <c r="AA26" s="10">
        <f>SUMIFS('PLAN BUDGET SAMI-JF'!BM13:BM100000,'PLAN BUDGET SAMI-JF'!D13:D100000,SUMMARY!D26,'PLAN BUDGET SAMI-JF'!J13:J100000,SUMMARY!A26&amp;"*")</f>
        <v>0</v>
      </c>
      <c r="AB26" s="10">
        <f>SUMIFS('PLAN BUDGET SAMI-JF'!BN13:BN100000,'PLAN BUDGET SAMI-JF'!D13:D100000,SUMMARY!D26,'PLAN BUDGET SAMI-JF'!J13:J100000,SUMMARY!A26&amp;"*")</f>
        <v>0</v>
      </c>
      <c r="AC26" s="10">
        <f t="shared" si="0"/>
        <v>0</v>
      </c>
      <c r="AD26" s="10">
        <f t="shared" si="1"/>
        <v>0</v>
      </c>
      <c r="AE26" s="16"/>
      <c r="AF26" s="10">
        <v>0</v>
      </c>
      <c r="AG26" s="10">
        <v>0</v>
      </c>
      <c r="AH26" s="20">
        <f t="shared" si="2"/>
        <v>1</v>
      </c>
      <c r="AI26" s="20">
        <f t="shared" si="3"/>
        <v>1</v>
      </c>
      <c r="AJ26" s="7" t="s">
        <v>290</v>
      </c>
    </row>
    <row r="27" spans="1:36" x14ac:dyDescent="0.35">
      <c r="A27" s="7" t="s">
        <v>198</v>
      </c>
      <c r="B27" s="7"/>
      <c r="C27" s="7"/>
      <c r="D27" s="7" t="s">
        <v>159</v>
      </c>
      <c r="E27" s="10">
        <f>SUMIFS('PLAN BUDGET SAMI-JF'!AN13:AN100000,'PLAN BUDGET SAMI-JF'!D13:D100000,SUMMARY!D27,'PLAN BUDGET SAMI-JF'!J13:J100000,SUMMARY!A27&amp;"*")</f>
        <v>0</v>
      </c>
      <c r="F27" s="10">
        <f>SUMIFS('PLAN BUDGET SAMI-JF'!AO13:AO100000,'PLAN BUDGET SAMI-JF'!D13:D100000,SUMMARY!D27,'PLAN BUDGET SAMI-JF'!J13:J100000,SUMMARY!A27&amp;"*")</f>
        <v>18</v>
      </c>
      <c r="G27" s="10">
        <f>SUMIFS('PLAN BUDGET SAMI-JF'!AP13:AP100000,'PLAN BUDGET SAMI-JF'!D13:D100000,SUMMARY!D27,'PLAN BUDGET SAMI-JF'!J13:J100000,SUMMARY!A27&amp;"*")</f>
        <v>0</v>
      </c>
      <c r="H27" s="10">
        <f>SUMIFS('PLAN BUDGET SAMI-JF'!AQ13:AQ100000,'PLAN BUDGET SAMI-JF'!D13:D100000,SUMMARY!D27,'PLAN BUDGET SAMI-JF'!J13:J100000,SUMMARY!A27&amp;"*")</f>
        <v>0</v>
      </c>
      <c r="I27" s="10">
        <f>SUMIFS('PLAN BUDGET SAMI-JF'!AR13:AR100000,'PLAN BUDGET SAMI-JF'!D13:D100000,SUMMARY!D27,'PLAN BUDGET SAMI-JF'!J13:J100000,SUMMARY!A27&amp;"*")</f>
        <v>0</v>
      </c>
      <c r="J27" s="10">
        <f>SUMIFS('PLAN BUDGET SAMI-JF'!AS13:AS100000,'PLAN BUDGET SAMI-JF'!D13:D100000,SUMMARY!D27,'PLAN BUDGET SAMI-JF'!J13:J100000,SUMMARY!A27&amp;"*")</f>
        <v>0</v>
      </c>
      <c r="K27" s="10">
        <f>SUMIFS('PLAN BUDGET SAMI-JF'!AT13:AT100000,'PLAN BUDGET SAMI-JF'!D13:D100000,SUMMARY!D27,'PLAN BUDGET SAMI-JF'!J13:J100000,SUMMARY!A27&amp;"*")</f>
        <v>0</v>
      </c>
      <c r="L27" s="10">
        <f>SUMIFS('PLAN BUDGET SAMI-JF'!AU13:AU100000,'PLAN BUDGET SAMI-JF'!D13:D100000,SUMMARY!D27,'PLAN BUDGET SAMI-JF'!J13:J100000,SUMMARY!A27&amp;"*")</f>
        <v>0</v>
      </c>
      <c r="M27" s="10">
        <f>SUMIFS('PLAN BUDGET SAMI-JF'!AV13:AV100000,'PLAN BUDGET SAMI-JF'!D13:D100000,SUMMARY!D27,'PLAN BUDGET SAMI-JF'!J13:J100000,SUMMARY!A27&amp;"*")</f>
        <v>0</v>
      </c>
      <c r="N27" s="10">
        <f>SUMIFS('PLAN BUDGET SAMI-JF'!AW13:AW100000,'PLAN BUDGET SAMI-JF'!D13:D100000,SUMMARY!D27,'PLAN BUDGET SAMI-JF'!J13:J100000,SUMMARY!A27&amp;"*")</f>
        <v>0</v>
      </c>
      <c r="O27" s="10">
        <f>SUMIFS('PLAN BUDGET SAMI-JF'!AX13:AX100000,'PLAN BUDGET SAMI-JF'!D13:D100000,SUMMARY!D27,'PLAN BUDGET SAMI-JF'!J13:J100000,SUMMARY!A27&amp;"*")</f>
        <v>0</v>
      </c>
      <c r="P27" s="10">
        <f>SUMIFS('PLAN BUDGET SAMI-JF'!AY13:AY100000,'PLAN BUDGET SAMI-JF'!D13:D100000,SUMMARY!D27,'PLAN BUDGET SAMI-JF'!J13:J100000,SUMMARY!A27&amp;"*")</f>
        <v>0</v>
      </c>
      <c r="Q27" s="10">
        <f>SUMIFS('PLAN BUDGET SAMI-JF'!BC13:BC100000,'PLAN BUDGET SAMI-JF'!D13:D100000,SUMMARY!D27,'PLAN BUDGET SAMI-JF'!J13:J100000,SUMMARY!A27&amp;"*")</f>
        <v>0</v>
      </c>
      <c r="R27" s="10">
        <f>SUMIFS('PLAN BUDGET SAMI-JF'!BD13:BD100000,'PLAN BUDGET SAMI-JF'!D13:D100000,SUMMARY!D27,'PLAN BUDGET SAMI-JF'!J13:J100000,SUMMARY!A27&amp;"*")</f>
        <v>8.5450609547681999</v>
      </c>
      <c r="S27" s="10">
        <f>SUMIFS('PLAN BUDGET SAMI-JF'!BE13:BE100000,'PLAN BUDGET SAMI-JF'!D13:D100000,SUMMARY!D27,'PLAN BUDGET SAMI-JF'!J13:J100000,SUMMARY!A27&amp;"*")</f>
        <v>0</v>
      </c>
      <c r="T27" s="10">
        <f>SUMIFS('PLAN BUDGET SAMI-JF'!BF13:BF100000,'PLAN BUDGET SAMI-JF'!D13:D100000,SUMMARY!D27,'PLAN BUDGET SAMI-JF'!J13:J100000,SUMMARY!A27&amp;"*")</f>
        <v>0</v>
      </c>
      <c r="U27" s="10">
        <f>SUMIFS('PLAN BUDGET SAMI-JF'!BG13:BG100000,'PLAN BUDGET SAMI-JF'!D13:D100000,SUMMARY!D27,'PLAN BUDGET SAMI-JF'!J13:J100000,SUMMARY!A27&amp;"*")</f>
        <v>0</v>
      </c>
      <c r="V27" s="10">
        <f>SUMIFS('PLAN BUDGET SAMI-JF'!BH13:BH100000,'PLAN BUDGET SAMI-JF'!D13:D100000,SUMMARY!D27,'PLAN BUDGET SAMI-JF'!J13:J100000,SUMMARY!A27&amp;"*")</f>
        <v>0</v>
      </c>
      <c r="W27" s="10">
        <f>SUMIFS('PLAN BUDGET SAMI-JF'!BI13:BI100000,'PLAN BUDGET SAMI-JF'!D13:D100000,SUMMARY!D27,'PLAN BUDGET SAMI-JF'!J13:J100000,SUMMARY!A27&amp;"*")</f>
        <v>0</v>
      </c>
      <c r="X27" s="10">
        <f>SUMIFS('PLAN BUDGET SAMI-JF'!BJ13:BJ100000,'PLAN BUDGET SAMI-JF'!D13:D100000,SUMMARY!D27,'PLAN BUDGET SAMI-JF'!J13:J100000,SUMMARY!A27&amp;"*")</f>
        <v>0</v>
      </c>
      <c r="Y27" s="10">
        <f>SUMIFS('PLAN BUDGET SAMI-JF'!BK13:BK100000,'PLAN BUDGET SAMI-JF'!D13:D100000,SUMMARY!D27,'PLAN BUDGET SAMI-JF'!J13:J100000,SUMMARY!A27&amp;"*")</f>
        <v>0</v>
      </c>
      <c r="Z27" s="10">
        <f>SUMIFS('PLAN BUDGET SAMI-JF'!BL13:BL100000,'PLAN BUDGET SAMI-JF'!D13:D100000,SUMMARY!D27,'PLAN BUDGET SAMI-JF'!J13:J100000,SUMMARY!A27&amp;"*")</f>
        <v>0</v>
      </c>
      <c r="AA27" s="10">
        <f>SUMIFS('PLAN BUDGET SAMI-JF'!BM13:BM100000,'PLAN BUDGET SAMI-JF'!D13:D100000,SUMMARY!D27,'PLAN BUDGET SAMI-JF'!J13:J100000,SUMMARY!A27&amp;"*")</f>
        <v>0</v>
      </c>
      <c r="AB27" s="10">
        <f>SUMIFS('PLAN BUDGET SAMI-JF'!BN13:BN100000,'PLAN BUDGET SAMI-JF'!D13:D100000,SUMMARY!D27,'PLAN BUDGET SAMI-JF'!J13:J100000,SUMMARY!A27&amp;"*")</f>
        <v>0</v>
      </c>
      <c r="AC27" s="10">
        <f t="shared" si="0"/>
        <v>18</v>
      </c>
      <c r="AD27" s="10">
        <f t="shared" si="1"/>
        <v>8.5450609547681999</v>
      </c>
      <c r="AE27" s="16"/>
      <c r="AF27" s="10">
        <v>0</v>
      </c>
      <c r="AG27" s="10">
        <v>0</v>
      </c>
      <c r="AH27" s="20">
        <f t="shared" si="2"/>
        <v>1</v>
      </c>
      <c r="AI27" s="20">
        <f t="shared" si="3"/>
        <v>1</v>
      </c>
      <c r="AJ27" s="7" t="s">
        <v>290</v>
      </c>
    </row>
    <row r="28" spans="1:36" x14ac:dyDescent="0.35">
      <c r="A28" s="7" t="s">
        <v>198</v>
      </c>
      <c r="B28" s="7"/>
      <c r="C28" s="7"/>
      <c r="D28" s="7" t="s">
        <v>153</v>
      </c>
      <c r="E28" s="10">
        <f>SUMIFS('PLAN BUDGET SAMI-JF'!AN13:AN100000,'PLAN BUDGET SAMI-JF'!D13:D100000,SUMMARY!D28,'PLAN BUDGET SAMI-JF'!J13:J100000,SUMMARY!A28&amp;"*")</f>
        <v>0</v>
      </c>
      <c r="F28" s="10">
        <f>SUMIFS('PLAN BUDGET SAMI-JF'!AO13:AO100000,'PLAN BUDGET SAMI-JF'!D13:D100000,SUMMARY!D28,'PLAN BUDGET SAMI-JF'!J13:J100000,SUMMARY!A28&amp;"*")</f>
        <v>108</v>
      </c>
      <c r="G28" s="10">
        <f>SUMIFS('PLAN BUDGET SAMI-JF'!AP13:AP100000,'PLAN BUDGET SAMI-JF'!D13:D100000,SUMMARY!D28,'PLAN BUDGET SAMI-JF'!J13:J100000,SUMMARY!A28&amp;"*")</f>
        <v>0</v>
      </c>
      <c r="H28" s="10">
        <f>SUMIFS('PLAN BUDGET SAMI-JF'!AQ13:AQ100000,'PLAN BUDGET SAMI-JF'!D13:D100000,SUMMARY!D28,'PLAN BUDGET SAMI-JF'!J13:J100000,SUMMARY!A28&amp;"*")</f>
        <v>0</v>
      </c>
      <c r="I28" s="10">
        <f>SUMIFS('PLAN BUDGET SAMI-JF'!AR13:AR100000,'PLAN BUDGET SAMI-JF'!D13:D100000,SUMMARY!D28,'PLAN BUDGET SAMI-JF'!J13:J100000,SUMMARY!A28&amp;"*")</f>
        <v>0</v>
      </c>
      <c r="J28" s="10">
        <f>SUMIFS('PLAN BUDGET SAMI-JF'!AS13:AS100000,'PLAN BUDGET SAMI-JF'!D13:D100000,SUMMARY!D28,'PLAN BUDGET SAMI-JF'!J13:J100000,SUMMARY!A28&amp;"*")</f>
        <v>0</v>
      </c>
      <c r="K28" s="10">
        <f>SUMIFS('PLAN BUDGET SAMI-JF'!AT13:AT100000,'PLAN BUDGET SAMI-JF'!D13:D100000,SUMMARY!D28,'PLAN BUDGET SAMI-JF'!J13:J100000,SUMMARY!A28&amp;"*")</f>
        <v>0</v>
      </c>
      <c r="L28" s="10">
        <f>SUMIFS('PLAN BUDGET SAMI-JF'!AU13:AU100000,'PLAN BUDGET SAMI-JF'!D13:D100000,SUMMARY!D28,'PLAN BUDGET SAMI-JF'!J13:J100000,SUMMARY!A28&amp;"*")</f>
        <v>0</v>
      </c>
      <c r="M28" s="10">
        <f>SUMIFS('PLAN BUDGET SAMI-JF'!AV13:AV100000,'PLAN BUDGET SAMI-JF'!D13:D100000,SUMMARY!D28,'PLAN BUDGET SAMI-JF'!J13:J100000,SUMMARY!A28&amp;"*")</f>
        <v>0</v>
      </c>
      <c r="N28" s="10">
        <f>SUMIFS('PLAN BUDGET SAMI-JF'!AW13:AW100000,'PLAN BUDGET SAMI-JF'!D13:D100000,SUMMARY!D28,'PLAN BUDGET SAMI-JF'!J13:J100000,SUMMARY!A28&amp;"*")</f>
        <v>0</v>
      </c>
      <c r="O28" s="10">
        <f>SUMIFS('PLAN BUDGET SAMI-JF'!AX13:AX100000,'PLAN BUDGET SAMI-JF'!D13:D100000,SUMMARY!D28,'PLAN BUDGET SAMI-JF'!J13:J100000,SUMMARY!A28&amp;"*")</f>
        <v>0</v>
      </c>
      <c r="P28" s="10">
        <f>SUMIFS('PLAN BUDGET SAMI-JF'!AY13:AY100000,'PLAN BUDGET SAMI-JF'!D13:D100000,SUMMARY!D28,'PLAN BUDGET SAMI-JF'!J13:J100000,SUMMARY!A28&amp;"*")</f>
        <v>0</v>
      </c>
      <c r="Q28" s="10">
        <f>SUMIFS('PLAN BUDGET SAMI-JF'!BC13:BC100000,'PLAN BUDGET SAMI-JF'!D13:D100000,SUMMARY!D28,'PLAN BUDGET SAMI-JF'!J13:J100000,SUMMARY!A28&amp;"*")</f>
        <v>0</v>
      </c>
      <c r="R28" s="10">
        <f>SUMIFS('PLAN BUDGET SAMI-JF'!BD13:BD100000,'PLAN BUDGET SAMI-JF'!D13:D100000,SUMMARY!D28,'PLAN BUDGET SAMI-JF'!J13:J100000,SUMMARY!A28&amp;"*")</f>
        <v>393.07280391933</v>
      </c>
      <c r="S28" s="10">
        <f>SUMIFS('PLAN BUDGET SAMI-JF'!BE13:BE100000,'PLAN BUDGET SAMI-JF'!D13:D100000,SUMMARY!D28,'PLAN BUDGET SAMI-JF'!J13:J100000,SUMMARY!A28&amp;"*")</f>
        <v>0</v>
      </c>
      <c r="T28" s="10">
        <f>SUMIFS('PLAN BUDGET SAMI-JF'!BF13:BF100000,'PLAN BUDGET SAMI-JF'!D13:D100000,SUMMARY!D28,'PLAN BUDGET SAMI-JF'!J13:J100000,SUMMARY!A28&amp;"*")</f>
        <v>0</v>
      </c>
      <c r="U28" s="10">
        <f>SUMIFS('PLAN BUDGET SAMI-JF'!BG13:BG100000,'PLAN BUDGET SAMI-JF'!D13:D100000,SUMMARY!D28,'PLAN BUDGET SAMI-JF'!J13:J100000,SUMMARY!A28&amp;"*")</f>
        <v>0</v>
      </c>
      <c r="V28" s="10">
        <f>SUMIFS('PLAN BUDGET SAMI-JF'!BH13:BH100000,'PLAN BUDGET SAMI-JF'!D13:D100000,SUMMARY!D28,'PLAN BUDGET SAMI-JF'!J13:J100000,SUMMARY!A28&amp;"*")</f>
        <v>0</v>
      </c>
      <c r="W28" s="10">
        <f>SUMIFS('PLAN BUDGET SAMI-JF'!BI13:BI100000,'PLAN BUDGET SAMI-JF'!D13:D100000,SUMMARY!D28,'PLAN BUDGET SAMI-JF'!J13:J100000,SUMMARY!A28&amp;"*")</f>
        <v>0</v>
      </c>
      <c r="X28" s="10">
        <f>SUMIFS('PLAN BUDGET SAMI-JF'!BJ13:BJ100000,'PLAN BUDGET SAMI-JF'!D13:D100000,SUMMARY!D28,'PLAN BUDGET SAMI-JF'!J13:J100000,SUMMARY!A28&amp;"*")</f>
        <v>0</v>
      </c>
      <c r="Y28" s="10">
        <f>SUMIFS('PLAN BUDGET SAMI-JF'!BK13:BK100000,'PLAN BUDGET SAMI-JF'!D13:D100000,SUMMARY!D28,'PLAN BUDGET SAMI-JF'!J13:J100000,SUMMARY!A28&amp;"*")</f>
        <v>0</v>
      </c>
      <c r="Z28" s="10">
        <f>SUMIFS('PLAN BUDGET SAMI-JF'!BL13:BL100000,'PLAN BUDGET SAMI-JF'!D13:D100000,SUMMARY!D28,'PLAN BUDGET SAMI-JF'!J13:J100000,SUMMARY!A28&amp;"*")</f>
        <v>0</v>
      </c>
      <c r="AA28" s="10">
        <f>SUMIFS('PLAN BUDGET SAMI-JF'!BM13:BM100000,'PLAN BUDGET SAMI-JF'!D13:D100000,SUMMARY!D28,'PLAN BUDGET SAMI-JF'!J13:J100000,SUMMARY!A28&amp;"*")</f>
        <v>0</v>
      </c>
      <c r="AB28" s="10">
        <f>SUMIFS('PLAN BUDGET SAMI-JF'!BN13:BN100000,'PLAN BUDGET SAMI-JF'!D13:D100000,SUMMARY!D28,'PLAN BUDGET SAMI-JF'!J13:J100000,SUMMARY!A28&amp;"*")</f>
        <v>0</v>
      </c>
      <c r="AC28" s="10">
        <f t="shared" si="0"/>
        <v>108</v>
      </c>
      <c r="AD28" s="10">
        <f t="shared" si="1"/>
        <v>393.07280391933</v>
      </c>
      <c r="AE28" s="16"/>
      <c r="AF28" s="10">
        <v>72</v>
      </c>
      <c r="AG28" s="10">
        <v>120.01063385363</v>
      </c>
      <c r="AH28" s="20">
        <f t="shared" si="2"/>
        <v>0.5</v>
      </c>
      <c r="AI28" s="20">
        <f t="shared" si="3"/>
        <v>2.2753164556962351</v>
      </c>
      <c r="AJ28" s="7" t="s">
        <v>290</v>
      </c>
    </row>
    <row r="29" spans="1:36" x14ac:dyDescent="0.35">
      <c r="A29" s="7" t="s">
        <v>198</v>
      </c>
      <c r="B29" s="7"/>
      <c r="C29" s="7"/>
      <c r="D29" s="7" t="s">
        <v>161</v>
      </c>
      <c r="E29" s="10">
        <f>SUMIFS('PLAN BUDGET SAMI-JF'!AN13:AN100000,'PLAN BUDGET SAMI-JF'!D13:D100000,SUMMARY!D29,'PLAN BUDGET SAMI-JF'!J13:J100000,SUMMARY!A29&amp;"*")</f>
        <v>0</v>
      </c>
      <c r="F29" s="10">
        <f>SUMIFS('PLAN BUDGET SAMI-JF'!AO13:AO100000,'PLAN BUDGET SAMI-JF'!D13:D100000,SUMMARY!D29,'PLAN BUDGET SAMI-JF'!J13:J100000,SUMMARY!A29&amp;"*")</f>
        <v>3</v>
      </c>
      <c r="G29" s="10">
        <f>SUMIFS('PLAN BUDGET SAMI-JF'!AP13:AP100000,'PLAN BUDGET SAMI-JF'!D13:D100000,SUMMARY!D29,'PLAN BUDGET SAMI-JF'!J13:J100000,SUMMARY!A29&amp;"*")</f>
        <v>0</v>
      </c>
      <c r="H29" s="10">
        <f>SUMIFS('PLAN BUDGET SAMI-JF'!AQ13:AQ100000,'PLAN BUDGET SAMI-JF'!D13:D100000,SUMMARY!D29,'PLAN BUDGET SAMI-JF'!J13:J100000,SUMMARY!A29&amp;"*")</f>
        <v>0</v>
      </c>
      <c r="I29" s="10">
        <f>SUMIFS('PLAN BUDGET SAMI-JF'!AR13:AR100000,'PLAN BUDGET SAMI-JF'!D13:D100000,SUMMARY!D29,'PLAN BUDGET SAMI-JF'!J13:J100000,SUMMARY!A29&amp;"*")</f>
        <v>0</v>
      </c>
      <c r="J29" s="10">
        <f>SUMIFS('PLAN BUDGET SAMI-JF'!AS13:AS100000,'PLAN BUDGET SAMI-JF'!D13:D100000,SUMMARY!D29,'PLAN BUDGET SAMI-JF'!J13:J100000,SUMMARY!A29&amp;"*")</f>
        <v>0</v>
      </c>
      <c r="K29" s="10">
        <f>SUMIFS('PLAN BUDGET SAMI-JF'!AT13:AT100000,'PLAN BUDGET SAMI-JF'!D13:D100000,SUMMARY!D29,'PLAN BUDGET SAMI-JF'!J13:J100000,SUMMARY!A29&amp;"*")</f>
        <v>0</v>
      </c>
      <c r="L29" s="10">
        <f>SUMIFS('PLAN BUDGET SAMI-JF'!AU13:AU100000,'PLAN BUDGET SAMI-JF'!D13:D100000,SUMMARY!D29,'PLAN BUDGET SAMI-JF'!J13:J100000,SUMMARY!A29&amp;"*")</f>
        <v>0</v>
      </c>
      <c r="M29" s="10">
        <f>SUMIFS('PLAN BUDGET SAMI-JF'!AV13:AV100000,'PLAN BUDGET SAMI-JF'!D13:D100000,SUMMARY!D29,'PLAN BUDGET SAMI-JF'!J13:J100000,SUMMARY!A29&amp;"*")</f>
        <v>0</v>
      </c>
      <c r="N29" s="10">
        <f>SUMIFS('PLAN BUDGET SAMI-JF'!AW13:AW100000,'PLAN BUDGET SAMI-JF'!D13:D100000,SUMMARY!D29,'PLAN BUDGET SAMI-JF'!J13:J100000,SUMMARY!A29&amp;"*")</f>
        <v>0</v>
      </c>
      <c r="O29" s="10">
        <f>SUMIFS('PLAN BUDGET SAMI-JF'!AX13:AX100000,'PLAN BUDGET SAMI-JF'!D13:D100000,SUMMARY!D29,'PLAN BUDGET SAMI-JF'!J13:J100000,SUMMARY!A29&amp;"*")</f>
        <v>0</v>
      </c>
      <c r="P29" s="10">
        <f>SUMIFS('PLAN BUDGET SAMI-JF'!AY13:AY100000,'PLAN BUDGET SAMI-JF'!D13:D100000,SUMMARY!D29,'PLAN BUDGET SAMI-JF'!J13:J100000,SUMMARY!A29&amp;"*")</f>
        <v>0</v>
      </c>
      <c r="Q29" s="10">
        <f>SUMIFS('PLAN BUDGET SAMI-JF'!BC13:BC100000,'PLAN BUDGET SAMI-JF'!D13:D100000,SUMMARY!D29,'PLAN BUDGET SAMI-JF'!J13:J100000,SUMMARY!A29&amp;"*")</f>
        <v>0</v>
      </c>
      <c r="R29" s="10">
        <f>SUMIFS('PLAN BUDGET SAMI-JF'!BD13:BD100000,'PLAN BUDGET SAMI-JF'!D13:D100000,SUMMARY!D29,'PLAN BUDGET SAMI-JF'!J13:J100000,SUMMARY!A29&amp;"*")</f>
        <v>229.76719456154399</v>
      </c>
      <c r="S29" s="10">
        <f>SUMIFS('PLAN BUDGET SAMI-JF'!BE13:BE100000,'PLAN BUDGET SAMI-JF'!D13:D100000,SUMMARY!D29,'PLAN BUDGET SAMI-JF'!J13:J100000,SUMMARY!A29&amp;"*")</f>
        <v>0</v>
      </c>
      <c r="T29" s="10">
        <f>SUMIFS('PLAN BUDGET SAMI-JF'!BF13:BF100000,'PLAN BUDGET SAMI-JF'!D13:D100000,SUMMARY!D29,'PLAN BUDGET SAMI-JF'!J13:J100000,SUMMARY!A29&amp;"*")</f>
        <v>0</v>
      </c>
      <c r="U29" s="10">
        <f>SUMIFS('PLAN BUDGET SAMI-JF'!BG13:BG100000,'PLAN BUDGET SAMI-JF'!D13:D100000,SUMMARY!D29,'PLAN BUDGET SAMI-JF'!J13:J100000,SUMMARY!A29&amp;"*")</f>
        <v>0</v>
      </c>
      <c r="V29" s="10">
        <f>SUMIFS('PLAN BUDGET SAMI-JF'!BH13:BH100000,'PLAN BUDGET SAMI-JF'!D13:D100000,SUMMARY!D29,'PLAN BUDGET SAMI-JF'!J13:J100000,SUMMARY!A29&amp;"*")</f>
        <v>0</v>
      </c>
      <c r="W29" s="10">
        <f>SUMIFS('PLAN BUDGET SAMI-JF'!BI13:BI100000,'PLAN BUDGET SAMI-JF'!D13:D100000,SUMMARY!D29,'PLAN BUDGET SAMI-JF'!J13:J100000,SUMMARY!A29&amp;"*")</f>
        <v>0</v>
      </c>
      <c r="X29" s="10">
        <f>SUMIFS('PLAN BUDGET SAMI-JF'!BJ13:BJ100000,'PLAN BUDGET SAMI-JF'!D13:D100000,SUMMARY!D29,'PLAN BUDGET SAMI-JF'!J13:J100000,SUMMARY!A29&amp;"*")</f>
        <v>0</v>
      </c>
      <c r="Y29" s="10">
        <f>SUMIFS('PLAN BUDGET SAMI-JF'!BK13:BK100000,'PLAN BUDGET SAMI-JF'!D13:D100000,SUMMARY!D29,'PLAN BUDGET SAMI-JF'!J13:J100000,SUMMARY!A29&amp;"*")</f>
        <v>0</v>
      </c>
      <c r="Z29" s="10">
        <f>SUMIFS('PLAN BUDGET SAMI-JF'!BL13:BL100000,'PLAN BUDGET SAMI-JF'!D13:D100000,SUMMARY!D29,'PLAN BUDGET SAMI-JF'!J13:J100000,SUMMARY!A29&amp;"*")</f>
        <v>0</v>
      </c>
      <c r="AA29" s="10">
        <f>SUMIFS('PLAN BUDGET SAMI-JF'!BM13:BM100000,'PLAN BUDGET SAMI-JF'!D13:D100000,SUMMARY!D29,'PLAN BUDGET SAMI-JF'!J13:J100000,SUMMARY!A29&amp;"*")</f>
        <v>0</v>
      </c>
      <c r="AB29" s="10">
        <f>SUMIFS('PLAN BUDGET SAMI-JF'!BN13:BN100000,'PLAN BUDGET SAMI-JF'!D13:D100000,SUMMARY!D29,'PLAN BUDGET SAMI-JF'!J13:J100000,SUMMARY!A29&amp;"*")</f>
        <v>0</v>
      </c>
      <c r="AC29" s="10">
        <f t="shared" si="0"/>
        <v>3</v>
      </c>
      <c r="AD29" s="10">
        <f t="shared" si="1"/>
        <v>229.76719456154399</v>
      </c>
      <c r="AE29" s="16"/>
      <c r="AF29" s="10">
        <v>3</v>
      </c>
      <c r="AG29" s="10">
        <v>255.46567417366001</v>
      </c>
      <c r="AH29" s="20">
        <f t="shared" si="2"/>
        <v>0</v>
      </c>
      <c r="AI29" s="20">
        <f t="shared" si="3"/>
        <v>-0.10059464816649594</v>
      </c>
      <c r="AJ29" s="7"/>
    </row>
    <row r="30" spans="1:36" x14ac:dyDescent="0.35">
      <c r="A30" s="7" t="s">
        <v>198</v>
      </c>
      <c r="B30" s="7"/>
      <c r="C30" s="7"/>
      <c r="D30" s="7" t="s">
        <v>172</v>
      </c>
      <c r="E30" s="10">
        <f>SUMIFS('PLAN BUDGET SAMI-JF'!AN13:AN100000,'PLAN BUDGET SAMI-JF'!D13:D100000,SUMMARY!D30,'PLAN BUDGET SAMI-JF'!J13:J100000,SUMMARY!A30&amp;"*")</f>
        <v>0</v>
      </c>
      <c r="F30" s="10">
        <f>SUMIFS('PLAN BUDGET SAMI-JF'!AO13:AO100000,'PLAN BUDGET SAMI-JF'!D13:D100000,SUMMARY!D30,'PLAN BUDGET SAMI-JF'!J13:J100000,SUMMARY!A30&amp;"*")</f>
        <v>3</v>
      </c>
      <c r="G30" s="10">
        <f>SUMIFS('PLAN BUDGET SAMI-JF'!AP13:AP100000,'PLAN BUDGET SAMI-JF'!D13:D100000,SUMMARY!D30,'PLAN BUDGET SAMI-JF'!J13:J100000,SUMMARY!A30&amp;"*")</f>
        <v>0</v>
      </c>
      <c r="H30" s="10">
        <f>SUMIFS('PLAN BUDGET SAMI-JF'!AQ13:AQ100000,'PLAN BUDGET SAMI-JF'!D13:D100000,SUMMARY!D30,'PLAN BUDGET SAMI-JF'!J13:J100000,SUMMARY!A30&amp;"*")</f>
        <v>0</v>
      </c>
      <c r="I30" s="10">
        <f>SUMIFS('PLAN BUDGET SAMI-JF'!AR13:AR100000,'PLAN BUDGET SAMI-JF'!D13:D100000,SUMMARY!D30,'PLAN BUDGET SAMI-JF'!J13:J100000,SUMMARY!A30&amp;"*")</f>
        <v>0</v>
      </c>
      <c r="J30" s="10">
        <f>SUMIFS('PLAN BUDGET SAMI-JF'!AS13:AS100000,'PLAN BUDGET SAMI-JF'!D13:D100000,SUMMARY!D30,'PLAN BUDGET SAMI-JF'!J13:J100000,SUMMARY!A30&amp;"*")</f>
        <v>0</v>
      </c>
      <c r="K30" s="10">
        <f>SUMIFS('PLAN BUDGET SAMI-JF'!AT13:AT100000,'PLAN BUDGET SAMI-JF'!D13:D100000,SUMMARY!D30,'PLAN BUDGET SAMI-JF'!J13:J100000,SUMMARY!A30&amp;"*")</f>
        <v>0</v>
      </c>
      <c r="L30" s="10">
        <f>SUMIFS('PLAN BUDGET SAMI-JF'!AU13:AU100000,'PLAN BUDGET SAMI-JF'!D13:D100000,SUMMARY!D30,'PLAN BUDGET SAMI-JF'!J13:J100000,SUMMARY!A30&amp;"*")</f>
        <v>0</v>
      </c>
      <c r="M30" s="10">
        <f>SUMIFS('PLAN BUDGET SAMI-JF'!AV13:AV100000,'PLAN BUDGET SAMI-JF'!D13:D100000,SUMMARY!D30,'PLAN BUDGET SAMI-JF'!J13:J100000,SUMMARY!A30&amp;"*")</f>
        <v>0</v>
      </c>
      <c r="N30" s="10">
        <f>SUMIFS('PLAN BUDGET SAMI-JF'!AW13:AW100000,'PLAN BUDGET SAMI-JF'!D13:D100000,SUMMARY!D30,'PLAN BUDGET SAMI-JF'!J13:J100000,SUMMARY!A30&amp;"*")</f>
        <v>0</v>
      </c>
      <c r="O30" s="10">
        <f>SUMIFS('PLAN BUDGET SAMI-JF'!AX13:AX100000,'PLAN BUDGET SAMI-JF'!D13:D100000,SUMMARY!D30,'PLAN BUDGET SAMI-JF'!J13:J100000,SUMMARY!A30&amp;"*")</f>
        <v>0</v>
      </c>
      <c r="P30" s="10">
        <f>SUMIFS('PLAN BUDGET SAMI-JF'!AY13:AY100000,'PLAN BUDGET SAMI-JF'!D13:D100000,SUMMARY!D30,'PLAN BUDGET SAMI-JF'!J13:J100000,SUMMARY!A30&amp;"*")</f>
        <v>0</v>
      </c>
      <c r="Q30" s="10">
        <f>SUMIFS('PLAN BUDGET SAMI-JF'!BC13:BC100000,'PLAN BUDGET SAMI-JF'!D13:D100000,SUMMARY!D30,'PLAN BUDGET SAMI-JF'!J13:J100000,SUMMARY!A30&amp;"*")</f>
        <v>0</v>
      </c>
      <c r="R30" s="10">
        <f>SUMIFS('PLAN BUDGET SAMI-JF'!BD13:BD100000,'PLAN BUDGET SAMI-JF'!D13:D100000,SUMMARY!D30,'PLAN BUDGET SAMI-JF'!J13:J100000,SUMMARY!A30&amp;"*")</f>
        <v>22.1317078728495</v>
      </c>
      <c r="S30" s="10">
        <f>SUMIFS('PLAN BUDGET SAMI-JF'!BE13:BE100000,'PLAN BUDGET SAMI-JF'!D13:D100000,SUMMARY!D30,'PLAN BUDGET SAMI-JF'!J13:J100000,SUMMARY!A30&amp;"*")</f>
        <v>0</v>
      </c>
      <c r="T30" s="10">
        <f>SUMIFS('PLAN BUDGET SAMI-JF'!BF13:BF100000,'PLAN BUDGET SAMI-JF'!D13:D100000,SUMMARY!D30,'PLAN BUDGET SAMI-JF'!J13:J100000,SUMMARY!A30&amp;"*")</f>
        <v>0</v>
      </c>
      <c r="U30" s="10">
        <f>SUMIFS('PLAN BUDGET SAMI-JF'!BG13:BG100000,'PLAN BUDGET SAMI-JF'!D13:D100000,SUMMARY!D30,'PLAN BUDGET SAMI-JF'!J13:J100000,SUMMARY!A30&amp;"*")</f>
        <v>0</v>
      </c>
      <c r="V30" s="10">
        <f>SUMIFS('PLAN BUDGET SAMI-JF'!BH13:BH100000,'PLAN BUDGET SAMI-JF'!D13:D100000,SUMMARY!D30,'PLAN BUDGET SAMI-JF'!J13:J100000,SUMMARY!A30&amp;"*")</f>
        <v>0</v>
      </c>
      <c r="W30" s="10">
        <f>SUMIFS('PLAN BUDGET SAMI-JF'!BI13:BI100000,'PLAN BUDGET SAMI-JF'!D13:D100000,SUMMARY!D30,'PLAN BUDGET SAMI-JF'!J13:J100000,SUMMARY!A30&amp;"*")</f>
        <v>0</v>
      </c>
      <c r="X30" s="10">
        <f>SUMIFS('PLAN BUDGET SAMI-JF'!BJ13:BJ100000,'PLAN BUDGET SAMI-JF'!D13:D100000,SUMMARY!D30,'PLAN BUDGET SAMI-JF'!J13:J100000,SUMMARY!A30&amp;"*")</f>
        <v>0</v>
      </c>
      <c r="Y30" s="10">
        <f>SUMIFS('PLAN BUDGET SAMI-JF'!BK13:BK100000,'PLAN BUDGET SAMI-JF'!D13:D100000,SUMMARY!D30,'PLAN BUDGET SAMI-JF'!J13:J100000,SUMMARY!A30&amp;"*")</f>
        <v>0</v>
      </c>
      <c r="Z30" s="10">
        <f>SUMIFS('PLAN BUDGET SAMI-JF'!BL13:BL100000,'PLAN BUDGET SAMI-JF'!D13:D100000,SUMMARY!D30,'PLAN BUDGET SAMI-JF'!J13:J100000,SUMMARY!A30&amp;"*")</f>
        <v>0</v>
      </c>
      <c r="AA30" s="10">
        <f>SUMIFS('PLAN BUDGET SAMI-JF'!BM13:BM100000,'PLAN BUDGET SAMI-JF'!D13:D100000,SUMMARY!D30,'PLAN BUDGET SAMI-JF'!J13:J100000,SUMMARY!A30&amp;"*")</f>
        <v>0</v>
      </c>
      <c r="AB30" s="10">
        <f>SUMIFS('PLAN BUDGET SAMI-JF'!BN13:BN100000,'PLAN BUDGET SAMI-JF'!D13:D100000,SUMMARY!D30,'PLAN BUDGET SAMI-JF'!J13:J100000,SUMMARY!A30&amp;"*")</f>
        <v>0</v>
      </c>
      <c r="AC30" s="10">
        <f t="shared" si="0"/>
        <v>3</v>
      </c>
      <c r="AD30" s="10">
        <f t="shared" si="1"/>
        <v>22.1317078728495</v>
      </c>
      <c r="AE30" s="16"/>
      <c r="AF30" s="10">
        <v>17</v>
      </c>
      <c r="AG30" s="10">
        <v>68.676971377211004</v>
      </c>
      <c r="AH30" s="20">
        <f t="shared" si="2"/>
        <v>-0.82352941176470584</v>
      </c>
      <c r="AI30" s="20">
        <f t="shared" si="3"/>
        <v>-0.67774193548387252</v>
      </c>
      <c r="AJ30" s="7"/>
    </row>
    <row r="31" spans="1:36" x14ac:dyDescent="0.35">
      <c r="A31" s="7" t="s">
        <v>198</v>
      </c>
      <c r="B31" s="7"/>
      <c r="C31" s="7"/>
      <c r="D31" s="7" t="s">
        <v>169</v>
      </c>
      <c r="E31" s="10">
        <f>SUMIFS('PLAN BUDGET SAMI-JF'!AN13:AN100000,'PLAN BUDGET SAMI-JF'!D13:D100000,SUMMARY!D31,'PLAN BUDGET SAMI-JF'!J13:J100000,SUMMARY!A31&amp;"*")</f>
        <v>0</v>
      </c>
      <c r="F31" s="10">
        <f>SUMIFS('PLAN BUDGET SAMI-JF'!AO13:AO100000,'PLAN BUDGET SAMI-JF'!D13:D100000,SUMMARY!D31,'PLAN BUDGET SAMI-JF'!J13:J100000,SUMMARY!A31&amp;"*")</f>
        <v>6</v>
      </c>
      <c r="G31" s="10">
        <f>SUMIFS('PLAN BUDGET SAMI-JF'!AP13:AP100000,'PLAN BUDGET SAMI-JF'!D13:D100000,SUMMARY!D31,'PLAN BUDGET SAMI-JF'!J13:J100000,SUMMARY!A31&amp;"*")</f>
        <v>0</v>
      </c>
      <c r="H31" s="10">
        <f>SUMIFS('PLAN BUDGET SAMI-JF'!AQ13:AQ100000,'PLAN BUDGET SAMI-JF'!D13:D100000,SUMMARY!D31,'PLAN BUDGET SAMI-JF'!J13:J100000,SUMMARY!A31&amp;"*")</f>
        <v>0</v>
      </c>
      <c r="I31" s="10">
        <f>SUMIFS('PLAN BUDGET SAMI-JF'!AR13:AR100000,'PLAN BUDGET SAMI-JF'!D13:D100000,SUMMARY!D31,'PLAN BUDGET SAMI-JF'!J13:J100000,SUMMARY!A31&amp;"*")</f>
        <v>0</v>
      </c>
      <c r="J31" s="10">
        <f>SUMIFS('PLAN BUDGET SAMI-JF'!AS13:AS100000,'PLAN BUDGET SAMI-JF'!D13:D100000,SUMMARY!D31,'PLAN BUDGET SAMI-JF'!J13:J100000,SUMMARY!A31&amp;"*")</f>
        <v>0</v>
      </c>
      <c r="K31" s="10">
        <f>SUMIFS('PLAN BUDGET SAMI-JF'!AT13:AT100000,'PLAN BUDGET SAMI-JF'!D13:D100000,SUMMARY!D31,'PLAN BUDGET SAMI-JF'!J13:J100000,SUMMARY!A31&amp;"*")</f>
        <v>0</v>
      </c>
      <c r="L31" s="10">
        <f>SUMIFS('PLAN BUDGET SAMI-JF'!AU13:AU100000,'PLAN BUDGET SAMI-JF'!D13:D100000,SUMMARY!D31,'PLAN BUDGET SAMI-JF'!J13:J100000,SUMMARY!A31&amp;"*")</f>
        <v>0</v>
      </c>
      <c r="M31" s="10">
        <f>SUMIFS('PLAN BUDGET SAMI-JF'!AV13:AV100000,'PLAN BUDGET SAMI-JF'!D13:D100000,SUMMARY!D31,'PLAN BUDGET SAMI-JF'!J13:J100000,SUMMARY!A31&amp;"*")</f>
        <v>0</v>
      </c>
      <c r="N31" s="10">
        <f>SUMIFS('PLAN BUDGET SAMI-JF'!AW13:AW100000,'PLAN BUDGET SAMI-JF'!D13:D100000,SUMMARY!D31,'PLAN BUDGET SAMI-JF'!J13:J100000,SUMMARY!A31&amp;"*")</f>
        <v>0</v>
      </c>
      <c r="O31" s="10">
        <f>SUMIFS('PLAN BUDGET SAMI-JF'!AX13:AX100000,'PLAN BUDGET SAMI-JF'!D13:D100000,SUMMARY!D31,'PLAN BUDGET SAMI-JF'!J13:J100000,SUMMARY!A31&amp;"*")</f>
        <v>0</v>
      </c>
      <c r="P31" s="10">
        <f>SUMIFS('PLAN BUDGET SAMI-JF'!AY13:AY100000,'PLAN BUDGET SAMI-JF'!D13:D100000,SUMMARY!D31,'PLAN BUDGET SAMI-JF'!J13:J100000,SUMMARY!A31&amp;"*")</f>
        <v>0</v>
      </c>
      <c r="Q31" s="10">
        <f>SUMIFS('PLAN BUDGET SAMI-JF'!BC13:BC100000,'PLAN BUDGET SAMI-JF'!D13:D100000,SUMMARY!D31,'PLAN BUDGET SAMI-JF'!J13:J100000,SUMMARY!A31&amp;"*")</f>
        <v>0</v>
      </c>
      <c r="R31" s="10">
        <f>SUMIFS('PLAN BUDGET SAMI-JF'!BD13:BD100000,'PLAN BUDGET SAMI-JF'!D13:D100000,SUMMARY!D31,'PLAN BUDGET SAMI-JF'!J13:J100000,SUMMARY!A31&amp;"*")</f>
        <v>8.7588773688807002</v>
      </c>
      <c r="S31" s="10">
        <f>SUMIFS('PLAN BUDGET SAMI-JF'!BE13:BE100000,'PLAN BUDGET SAMI-JF'!D13:D100000,SUMMARY!D31,'PLAN BUDGET SAMI-JF'!J13:J100000,SUMMARY!A31&amp;"*")</f>
        <v>0</v>
      </c>
      <c r="T31" s="10">
        <f>SUMIFS('PLAN BUDGET SAMI-JF'!BF13:BF100000,'PLAN BUDGET SAMI-JF'!D13:D100000,SUMMARY!D31,'PLAN BUDGET SAMI-JF'!J13:J100000,SUMMARY!A31&amp;"*")</f>
        <v>0</v>
      </c>
      <c r="U31" s="10">
        <f>SUMIFS('PLAN BUDGET SAMI-JF'!BG13:BG100000,'PLAN BUDGET SAMI-JF'!D13:D100000,SUMMARY!D31,'PLAN BUDGET SAMI-JF'!J13:J100000,SUMMARY!A31&amp;"*")</f>
        <v>0</v>
      </c>
      <c r="V31" s="10">
        <f>SUMIFS('PLAN BUDGET SAMI-JF'!BH13:BH100000,'PLAN BUDGET SAMI-JF'!D13:D100000,SUMMARY!D31,'PLAN BUDGET SAMI-JF'!J13:J100000,SUMMARY!A31&amp;"*")</f>
        <v>0</v>
      </c>
      <c r="W31" s="10">
        <f>SUMIFS('PLAN BUDGET SAMI-JF'!BI13:BI100000,'PLAN BUDGET SAMI-JF'!D13:D100000,SUMMARY!D31,'PLAN BUDGET SAMI-JF'!J13:J100000,SUMMARY!A31&amp;"*")</f>
        <v>0</v>
      </c>
      <c r="X31" s="10">
        <f>SUMIFS('PLAN BUDGET SAMI-JF'!BJ13:BJ100000,'PLAN BUDGET SAMI-JF'!D13:D100000,SUMMARY!D31,'PLAN BUDGET SAMI-JF'!J13:J100000,SUMMARY!A31&amp;"*")</f>
        <v>0</v>
      </c>
      <c r="Y31" s="10">
        <f>SUMIFS('PLAN BUDGET SAMI-JF'!BK13:BK100000,'PLAN BUDGET SAMI-JF'!D13:D100000,SUMMARY!D31,'PLAN BUDGET SAMI-JF'!J13:J100000,SUMMARY!A31&amp;"*")</f>
        <v>0</v>
      </c>
      <c r="Z31" s="10">
        <f>SUMIFS('PLAN BUDGET SAMI-JF'!BL13:BL100000,'PLAN BUDGET SAMI-JF'!D13:D100000,SUMMARY!D31,'PLAN BUDGET SAMI-JF'!J13:J100000,SUMMARY!A31&amp;"*")</f>
        <v>0</v>
      </c>
      <c r="AA31" s="10">
        <f>SUMIFS('PLAN BUDGET SAMI-JF'!BM13:BM100000,'PLAN BUDGET SAMI-JF'!D13:D100000,SUMMARY!D31,'PLAN BUDGET SAMI-JF'!J13:J100000,SUMMARY!A31&amp;"*")</f>
        <v>0</v>
      </c>
      <c r="AB31" s="10">
        <f>SUMIFS('PLAN BUDGET SAMI-JF'!BN13:BN100000,'PLAN BUDGET SAMI-JF'!D13:D100000,SUMMARY!D31,'PLAN BUDGET SAMI-JF'!J13:J100000,SUMMARY!A31&amp;"*")</f>
        <v>0</v>
      </c>
      <c r="AC31" s="10">
        <f t="shared" si="0"/>
        <v>6</v>
      </c>
      <c r="AD31" s="10">
        <f t="shared" si="1"/>
        <v>8.7588773688807002</v>
      </c>
      <c r="AE31" s="16"/>
      <c r="AF31" s="10">
        <v>14</v>
      </c>
      <c r="AG31" s="10">
        <v>24.685731647108</v>
      </c>
      <c r="AH31" s="20">
        <f t="shared" si="2"/>
        <v>-0.5714285714285714</v>
      </c>
      <c r="AI31" s="20">
        <f t="shared" si="3"/>
        <v>-0.64518461538461935</v>
      </c>
      <c r="AJ31" s="7"/>
    </row>
    <row r="32" spans="1:36" x14ac:dyDescent="0.35">
      <c r="A32" s="7" t="s">
        <v>199</v>
      </c>
      <c r="B32" s="7"/>
      <c r="C32" s="7"/>
      <c r="D32" s="7" t="s">
        <v>200</v>
      </c>
      <c r="E32" s="10">
        <f>SUMIFS('PLAN BUDGET SAMI-JF'!AN13:AN100000,'PLAN BUDGET SAMI-JF'!D13:D100000,SUMMARY!D32,'PLAN BUDGET SAMI-JF'!J13:J100000,SUMMARY!A32&amp;"*")</f>
        <v>0</v>
      </c>
      <c r="F32" s="10">
        <f>SUMIFS('PLAN BUDGET SAMI-JF'!AO13:AO100000,'PLAN BUDGET SAMI-JF'!D13:D100000,SUMMARY!D32,'PLAN BUDGET SAMI-JF'!J13:J100000,SUMMARY!A32&amp;"*")</f>
        <v>0</v>
      </c>
      <c r="G32" s="10">
        <f>SUMIFS('PLAN BUDGET SAMI-JF'!AP13:AP100000,'PLAN BUDGET SAMI-JF'!D13:D100000,SUMMARY!D32,'PLAN BUDGET SAMI-JF'!J13:J100000,SUMMARY!A32&amp;"*")</f>
        <v>0</v>
      </c>
      <c r="H32" s="10">
        <f>SUMIFS('PLAN BUDGET SAMI-JF'!AQ13:AQ100000,'PLAN BUDGET SAMI-JF'!D13:D100000,SUMMARY!D32,'PLAN BUDGET SAMI-JF'!J13:J100000,SUMMARY!A32&amp;"*")</f>
        <v>0</v>
      </c>
      <c r="I32" s="10">
        <f>SUMIFS('PLAN BUDGET SAMI-JF'!AR13:AR100000,'PLAN BUDGET SAMI-JF'!D13:D100000,SUMMARY!D32,'PLAN BUDGET SAMI-JF'!J13:J100000,SUMMARY!A32&amp;"*")</f>
        <v>0</v>
      </c>
      <c r="J32" s="10">
        <f>SUMIFS('PLAN BUDGET SAMI-JF'!AS13:AS100000,'PLAN BUDGET SAMI-JF'!D13:D100000,SUMMARY!D32,'PLAN BUDGET SAMI-JF'!J13:J100000,SUMMARY!A32&amp;"*")</f>
        <v>0</v>
      </c>
      <c r="K32" s="10">
        <f>SUMIFS('PLAN BUDGET SAMI-JF'!AT13:AT100000,'PLAN BUDGET SAMI-JF'!D13:D100000,SUMMARY!D32,'PLAN BUDGET SAMI-JF'!J13:J100000,SUMMARY!A32&amp;"*")</f>
        <v>0</v>
      </c>
      <c r="L32" s="10">
        <f>SUMIFS('PLAN BUDGET SAMI-JF'!AU13:AU100000,'PLAN BUDGET SAMI-JF'!D13:D100000,SUMMARY!D32,'PLAN BUDGET SAMI-JF'!J13:J100000,SUMMARY!A32&amp;"*")</f>
        <v>0</v>
      </c>
      <c r="M32" s="10">
        <f>SUMIFS('PLAN BUDGET SAMI-JF'!AV13:AV100000,'PLAN BUDGET SAMI-JF'!D13:D100000,SUMMARY!D32,'PLAN BUDGET SAMI-JF'!J13:J100000,SUMMARY!A32&amp;"*")</f>
        <v>0</v>
      </c>
      <c r="N32" s="10">
        <f>SUMIFS('PLAN BUDGET SAMI-JF'!AW13:AW100000,'PLAN BUDGET SAMI-JF'!D13:D100000,SUMMARY!D32,'PLAN BUDGET SAMI-JF'!J13:J100000,SUMMARY!A32&amp;"*")</f>
        <v>0</v>
      </c>
      <c r="O32" s="10">
        <f>SUMIFS('PLAN BUDGET SAMI-JF'!AX13:AX100000,'PLAN BUDGET SAMI-JF'!D13:D100000,SUMMARY!D32,'PLAN BUDGET SAMI-JF'!J13:J100000,SUMMARY!A32&amp;"*")</f>
        <v>0</v>
      </c>
      <c r="P32" s="10">
        <f>SUMIFS('PLAN BUDGET SAMI-JF'!AY13:AY100000,'PLAN BUDGET SAMI-JF'!D13:D100000,SUMMARY!D32,'PLAN BUDGET SAMI-JF'!J13:J100000,SUMMARY!A32&amp;"*")</f>
        <v>0</v>
      </c>
      <c r="Q32" s="10">
        <f>SUMIFS('PLAN BUDGET SAMI-JF'!BC13:BC100000,'PLAN BUDGET SAMI-JF'!D13:D100000,SUMMARY!D32,'PLAN BUDGET SAMI-JF'!J13:J100000,SUMMARY!A32&amp;"*")</f>
        <v>0</v>
      </c>
      <c r="R32" s="10">
        <f>SUMIFS('PLAN BUDGET SAMI-JF'!BD13:BD100000,'PLAN BUDGET SAMI-JF'!D13:D100000,SUMMARY!D32,'PLAN BUDGET SAMI-JF'!J13:J100000,SUMMARY!A32&amp;"*")</f>
        <v>0</v>
      </c>
      <c r="S32" s="10">
        <f>SUMIFS('PLAN BUDGET SAMI-JF'!BE13:BE100000,'PLAN BUDGET SAMI-JF'!D13:D100000,SUMMARY!D32,'PLAN BUDGET SAMI-JF'!J13:J100000,SUMMARY!A32&amp;"*")</f>
        <v>0</v>
      </c>
      <c r="T32" s="10">
        <f>SUMIFS('PLAN BUDGET SAMI-JF'!BF13:BF100000,'PLAN BUDGET SAMI-JF'!D13:D100000,SUMMARY!D32,'PLAN BUDGET SAMI-JF'!J13:J100000,SUMMARY!A32&amp;"*")</f>
        <v>0</v>
      </c>
      <c r="U32" s="10">
        <f>SUMIFS('PLAN BUDGET SAMI-JF'!BG13:BG100000,'PLAN BUDGET SAMI-JF'!D13:D100000,SUMMARY!D32,'PLAN BUDGET SAMI-JF'!J13:J100000,SUMMARY!A32&amp;"*")</f>
        <v>0</v>
      </c>
      <c r="V32" s="10">
        <f>SUMIFS('PLAN BUDGET SAMI-JF'!BH13:BH100000,'PLAN BUDGET SAMI-JF'!D13:D100000,SUMMARY!D32,'PLAN BUDGET SAMI-JF'!J13:J100000,SUMMARY!A32&amp;"*")</f>
        <v>0</v>
      </c>
      <c r="W32" s="10">
        <f>SUMIFS('PLAN BUDGET SAMI-JF'!BI13:BI100000,'PLAN BUDGET SAMI-JF'!D13:D100000,SUMMARY!D32,'PLAN BUDGET SAMI-JF'!J13:J100000,SUMMARY!A32&amp;"*")</f>
        <v>0</v>
      </c>
      <c r="X32" s="10">
        <f>SUMIFS('PLAN BUDGET SAMI-JF'!BJ13:BJ100000,'PLAN BUDGET SAMI-JF'!D13:D100000,SUMMARY!D32,'PLAN BUDGET SAMI-JF'!J13:J100000,SUMMARY!A32&amp;"*")</f>
        <v>0</v>
      </c>
      <c r="Y32" s="10">
        <f>SUMIFS('PLAN BUDGET SAMI-JF'!BK13:BK100000,'PLAN BUDGET SAMI-JF'!D13:D100000,SUMMARY!D32,'PLAN BUDGET SAMI-JF'!J13:J100000,SUMMARY!A32&amp;"*")</f>
        <v>0</v>
      </c>
      <c r="Z32" s="10">
        <f>SUMIFS('PLAN BUDGET SAMI-JF'!BL13:BL100000,'PLAN BUDGET SAMI-JF'!D13:D100000,SUMMARY!D32,'PLAN BUDGET SAMI-JF'!J13:J100000,SUMMARY!A32&amp;"*")</f>
        <v>0</v>
      </c>
      <c r="AA32" s="10">
        <f>SUMIFS('PLAN BUDGET SAMI-JF'!BM13:BM100000,'PLAN BUDGET SAMI-JF'!D13:D100000,SUMMARY!D32,'PLAN BUDGET SAMI-JF'!J13:J100000,SUMMARY!A32&amp;"*")</f>
        <v>0</v>
      </c>
      <c r="AB32" s="10">
        <f>SUMIFS('PLAN BUDGET SAMI-JF'!BN13:BN100000,'PLAN BUDGET SAMI-JF'!D13:D100000,SUMMARY!D32,'PLAN BUDGET SAMI-JF'!J13:J100000,SUMMARY!A32&amp;"*")</f>
        <v>0</v>
      </c>
      <c r="AC32" s="10">
        <f t="shared" si="0"/>
        <v>0</v>
      </c>
      <c r="AD32" s="10">
        <f t="shared" si="1"/>
        <v>0</v>
      </c>
      <c r="AE32" s="16"/>
      <c r="AF32" s="10">
        <v>45</v>
      </c>
      <c r="AG32" s="10">
        <v>24524.324940185001</v>
      </c>
      <c r="AH32" s="20">
        <f t="shared" si="2"/>
        <v>-1</v>
      </c>
      <c r="AI32" s="20">
        <f t="shared" si="3"/>
        <v>-1</v>
      </c>
      <c r="AJ32" s="7" t="s">
        <v>201</v>
      </c>
    </row>
    <row r="33" spans="1:36" x14ac:dyDescent="0.35">
      <c r="A33" s="7" t="s">
        <v>151</v>
      </c>
      <c r="B33" s="7"/>
      <c r="C33" s="7"/>
      <c r="D33" s="7" t="s">
        <v>202</v>
      </c>
      <c r="E33" s="10">
        <f>SUMIFS('PLAN BUDGET SAMI-JF'!AN13:AN100000,'PLAN BUDGET SAMI-JF'!D13:D100000,SUMMARY!D33,'PLAN BUDGET SAMI-JF'!J13:J100000,SUMMARY!A33&amp;"*")</f>
        <v>0</v>
      </c>
      <c r="F33" s="10">
        <f>SUMIFS('PLAN BUDGET SAMI-JF'!AO13:AO100000,'PLAN BUDGET SAMI-JF'!D13:D100000,SUMMARY!D33,'PLAN BUDGET SAMI-JF'!J13:J100000,SUMMARY!A33&amp;"*")</f>
        <v>0</v>
      </c>
      <c r="G33" s="10">
        <f>SUMIFS('PLAN BUDGET SAMI-JF'!AP13:AP100000,'PLAN BUDGET SAMI-JF'!D13:D100000,SUMMARY!D33,'PLAN BUDGET SAMI-JF'!J13:J100000,SUMMARY!A33&amp;"*")</f>
        <v>0</v>
      </c>
      <c r="H33" s="10">
        <f>SUMIFS('PLAN BUDGET SAMI-JF'!AQ13:AQ100000,'PLAN BUDGET SAMI-JF'!D13:D100000,SUMMARY!D33,'PLAN BUDGET SAMI-JF'!J13:J100000,SUMMARY!A33&amp;"*")</f>
        <v>0</v>
      </c>
      <c r="I33" s="10">
        <f>SUMIFS('PLAN BUDGET SAMI-JF'!AR13:AR100000,'PLAN BUDGET SAMI-JF'!D13:D100000,SUMMARY!D33,'PLAN BUDGET SAMI-JF'!J13:J100000,SUMMARY!A33&amp;"*")</f>
        <v>0</v>
      </c>
      <c r="J33" s="10">
        <f>SUMIFS('PLAN BUDGET SAMI-JF'!AS13:AS100000,'PLAN BUDGET SAMI-JF'!D13:D100000,SUMMARY!D33,'PLAN BUDGET SAMI-JF'!J13:J100000,SUMMARY!A33&amp;"*")</f>
        <v>0</v>
      </c>
      <c r="K33" s="10">
        <f>SUMIFS('PLAN BUDGET SAMI-JF'!AT13:AT100000,'PLAN BUDGET SAMI-JF'!D13:D100000,SUMMARY!D33,'PLAN BUDGET SAMI-JF'!J13:J100000,SUMMARY!A33&amp;"*")</f>
        <v>0</v>
      </c>
      <c r="L33" s="10">
        <f>SUMIFS('PLAN BUDGET SAMI-JF'!AU13:AU100000,'PLAN BUDGET SAMI-JF'!D13:D100000,SUMMARY!D33,'PLAN BUDGET SAMI-JF'!J13:J100000,SUMMARY!A33&amp;"*")</f>
        <v>0</v>
      </c>
      <c r="M33" s="10">
        <f>SUMIFS('PLAN BUDGET SAMI-JF'!AV13:AV100000,'PLAN BUDGET SAMI-JF'!D13:D100000,SUMMARY!D33,'PLAN BUDGET SAMI-JF'!J13:J100000,SUMMARY!A33&amp;"*")</f>
        <v>0</v>
      </c>
      <c r="N33" s="10">
        <f>SUMIFS('PLAN BUDGET SAMI-JF'!AW13:AW100000,'PLAN BUDGET SAMI-JF'!D13:D100000,SUMMARY!D33,'PLAN BUDGET SAMI-JF'!J13:J100000,SUMMARY!A33&amp;"*")</f>
        <v>0</v>
      </c>
      <c r="O33" s="10">
        <f>SUMIFS('PLAN BUDGET SAMI-JF'!AX13:AX100000,'PLAN BUDGET SAMI-JF'!D13:D100000,SUMMARY!D33,'PLAN BUDGET SAMI-JF'!J13:J100000,SUMMARY!A33&amp;"*")</f>
        <v>0</v>
      </c>
      <c r="P33" s="10">
        <f>SUMIFS('PLAN BUDGET SAMI-JF'!AY13:AY100000,'PLAN BUDGET SAMI-JF'!D13:D100000,SUMMARY!D33,'PLAN BUDGET SAMI-JF'!J13:J100000,SUMMARY!A33&amp;"*")</f>
        <v>0</v>
      </c>
      <c r="Q33" s="10">
        <f>SUMIFS('PLAN BUDGET SAMI-JF'!BC13:BC100000,'PLAN BUDGET SAMI-JF'!D13:D100000,SUMMARY!D33,'PLAN BUDGET SAMI-JF'!J13:J100000,SUMMARY!A33&amp;"*")</f>
        <v>0</v>
      </c>
      <c r="R33" s="10">
        <f>SUMIFS('PLAN BUDGET SAMI-JF'!BD13:BD100000,'PLAN BUDGET SAMI-JF'!D13:D100000,SUMMARY!D33,'PLAN BUDGET SAMI-JF'!J13:J100000,SUMMARY!A33&amp;"*")</f>
        <v>0</v>
      </c>
      <c r="S33" s="10">
        <f>SUMIFS('PLAN BUDGET SAMI-JF'!BE13:BE100000,'PLAN BUDGET SAMI-JF'!D13:D100000,SUMMARY!D33,'PLAN BUDGET SAMI-JF'!J13:J100000,SUMMARY!A33&amp;"*")</f>
        <v>0</v>
      </c>
      <c r="T33" s="10">
        <f>SUMIFS('PLAN BUDGET SAMI-JF'!BF13:BF100000,'PLAN BUDGET SAMI-JF'!D13:D100000,SUMMARY!D33,'PLAN BUDGET SAMI-JF'!J13:J100000,SUMMARY!A33&amp;"*")</f>
        <v>0</v>
      </c>
      <c r="U33" s="10">
        <f>SUMIFS('PLAN BUDGET SAMI-JF'!BG13:BG100000,'PLAN BUDGET SAMI-JF'!D13:D100000,SUMMARY!D33,'PLAN BUDGET SAMI-JF'!J13:J100000,SUMMARY!A33&amp;"*")</f>
        <v>0</v>
      </c>
      <c r="V33" s="10">
        <f>SUMIFS('PLAN BUDGET SAMI-JF'!BH13:BH100000,'PLAN BUDGET SAMI-JF'!D13:D100000,SUMMARY!D33,'PLAN BUDGET SAMI-JF'!J13:J100000,SUMMARY!A33&amp;"*")</f>
        <v>0</v>
      </c>
      <c r="W33" s="10">
        <f>SUMIFS('PLAN BUDGET SAMI-JF'!BI13:BI100000,'PLAN BUDGET SAMI-JF'!D13:D100000,SUMMARY!D33,'PLAN BUDGET SAMI-JF'!J13:J100000,SUMMARY!A33&amp;"*")</f>
        <v>0</v>
      </c>
      <c r="X33" s="10">
        <f>SUMIFS('PLAN BUDGET SAMI-JF'!BJ13:BJ100000,'PLAN BUDGET SAMI-JF'!D13:D100000,SUMMARY!D33,'PLAN BUDGET SAMI-JF'!J13:J100000,SUMMARY!A33&amp;"*")</f>
        <v>0</v>
      </c>
      <c r="Y33" s="10">
        <f>SUMIFS('PLAN BUDGET SAMI-JF'!BK13:BK100000,'PLAN BUDGET SAMI-JF'!D13:D100000,SUMMARY!D33,'PLAN BUDGET SAMI-JF'!J13:J100000,SUMMARY!A33&amp;"*")</f>
        <v>0</v>
      </c>
      <c r="Z33" s="10">
        <f>SUMIFS('PLAN BUDGET SAMI-JF'!BL13:BL100000,'PLAN BUDGET SAMI-JF'!D13:D100000,SUMMARY!D33,'PLAN BUDGET SAMI-JF'!J13:J100000,SUMMARY!A33&amp;"*")</f>
        <v>0</v>
      </c>
      <c r="AA33" s="10">
        <f>SUMIFS('PLAN BUDGET SAMI-JF'!BM13:BM100000,'PLAN BUDGET SAMI-JF'!D13:D100000,SUMMARY!D33,'PLAN BUDGET SAMI-JF'!J13:J100000,SUMMARY!A33&amp;"*")</f>
        <v>0</v>
      </c>
      <c r="AB33" s="10">
        <f>SUMIFS('PLAN BUDGET SAMI-JF'!BN13:BN100000,'PLAN BUDGET SAMI-JF'!D13:D100000,SUMMARY!D33,'PLAN BUDGET SAMI-JF'!J13:J100000,SUMMARY!A33&amp;"*")</f>
        <v>0</v>
      </c>
      <c r="AC33" s="10">
        <f t="shared" si="0"/>
        <v>0</v>
      </c>
      <c r="AD33" s="10">
        <f t="shared" si="1"/>
        <v>0</v>
      </c>
      <c r="AE33" s="16"/>
      <c r="AF33" s="10">
        <v>4</v>
      </c>
      <c r="AG33" s="10">
        <v>124.06162571367</v>
      </c>
      <c r="AH33" s="20">
        <f t="shared" si="2"/>
        <v>-1</v>
      </c>
      <c r="AI33" s="20">
        <f t="shared" si="3"/>
        <v>-1</v>
      </c>
      <c r="AJ33" s="7" t="s">
        <v>201</v>
      </c>
    </row>
    <row r="34" spans="1:36" x14ac:dyDescent="0.35">
      <c r="A34" s="7" t="s">
        <v>151</v>
      </c>
      <c r="B34" s="7"/>
      <c r="C34" s="7"/>
      <c r="D34" s="7" t="s">
        <v>203</v>
      </c>
      <c r="E34" s="10">
        <f>SUMIFS('PLAN BUDGET SAMI-JF'!AN13:AN100000,'PLAN BUDGET SAMI-JF'!D13:D100000,SUMMARY!D34,'PLAN BUDGET SAMI-JF'!J13:J100000,SUMMARY!A34&amp;"*")</f>
        <v>0</v>
      </c>
      <c r="F34" s="10">
        <f>SUMIFS('PLAN BUDGET SAMI-JF'!AO13:AO100000,'PLAN BUDGET SAMI-JF'!D13:D100000,SUMMARY!D34,'PLAN BUDGET SAMI-JF'!J13:J100000,SUMMARY!A34&amp;"*")</f>
        <v>0</v>
      </c>
      <c r="G34" s="10">
        <f>SUMIFS('PLAN BUDGET SAMI-JF'!AP13:AP100000,'PLAN BUDGET SAMI-JF'!D13:D100000,SUMMARY!D34,'PLAN BUDGET SAMI-JF'!J13:J100000,SUMMARY!A34&amp;"*")</f>
        <v>0</v>
      </c>
      <c r="H34" s="10">
        <f>SUMIFS('PLAN BUDGET SAMI-JF'!AQ13:AQ100000,'PLAN BUDGET SAMI-JF'!D13:D100000,SUMMARY!D34,'PLAN BUDGET SAMI-JF'!J13:J100000,SUMMARY!A34&amp;"*")</f>
        <v>0</v>
      </c>
      <c r="I34" s="10">
        <f>SUMIFS('PLAN BUDGET SAMI-JF'!AR13:AR100000,'PLAN BUDGET SAMI-JF'!D13:D100000,SUMMARY!D34,'PLAN BUDGET SAMI-JF'!J13:J100000,SUMMARY!A34&amp;"*")</f>
        <v>0</v>
      </c>
      <c r="J34" s="10">
        <f>SUMIFS('PLAN BUDGET SAMI-JF'!AS13:AS100000,'PLAN BUDGET SAMI-JF'!D13:D100000,SUMMARY!D34,'PLAN BUDGET SAMI-JF'!J13:J100000,SUMMARY!A34&amp;"*")</f>
        <v>0</v>
      </c>
      <c r="K34" s="10">
        <f>SUMIFS('PLAN BUDGET SAMI-JF'!AT13:AT100000,'PLAN BUDGET SAMI-JF'!D13:D100000,SUMMARY!D34,'PLAN BUDGET SAMI-JF'!J13:J100000,SUMMARY!A34&amp;"*")</f>
        <v>0</v>
      </c>
      <c r="L34" s="10">
        <f>SUMIFS('PLAN BUDGET SAMI-JF'!AU13:AU100000,'PLAN BUDGET SAMI-JF'!D13:D100000,SUMMARY!D34,'PLAN BUDGET SAMI-JF'!J13:J100000,SUMMARY!A34&amp;"*")</f>
        <v>0</v>
      </c>
      <c r="M34" s="10">
        <f>SUMIFS('PLAN BUDGET SAMI-JF'!AV13:AV100000,'PLAN BUDGET SAMI-JF'!D13:D100000,SUMMARY!D34,'PLAN BUDGET SAMI-JF'!J13:J100000,SUMMARY!A34&amp;"*")</f>
        <v>0</v>
      </c>
      <c r="N34" s="10">
        <f>SUMIFS('PLAN BUDGET SAMI-JF'!AW13:AW100000,'PLAN BUDGET SAMI-JF'!D13:D100000,SUMMARY!D34,'PLAN BUDGET SAMI-JF'!J13:J100000,SUMMARY!A34&amp;"*")</f>
        <v>0</v>
      </c>
      <c r="O34" s="10">
        <f>SUMIFS('PLAN BUDGET SAMI-JF'!AX13:AX100000,'PLAN BUDGET SAMI-JF'!D13:D100000,SUMMARY!D34,'PLAN BUDGET SAMI-JF'!J13:J100000,SUMMARY!A34&amp;"*")</f>
        <v>0</v>
      </c>
      <c r="P34" s="10">
        <f>SUMIFS('PLAN BUDGET SAMI-JF'!AY13:AY100000,'PLAN BUDGET SAMI-JF'!D13:D100000,SUMMARY!D34,'PLAN BUDGET SAMI-JF'!J13:J100000,SUMMARY!A34&amp;"*")</f>
        <v>0</v>
      </c>
      <c r="Q34" s="10">
        <f>SUMIFS('PLAN BUDGET SAMI-JF'!BC13:BC100000,'PLAN BUDGET SAMI-JF'!D13:D100000,SUMMARY!D34,'PLAN BUDGET SAMI-JF'!J13:J100000,SUMMARY!A34&amp;"*")</f>
        <v>0</v>
      </c>
      <c r="R34" s="10">
        <f>SUMIFS('PLAN BUDGET SAMI-JF'!BD13:BD100000,'PLAN BUDGET SAMI-JF'!D13:D100000,SUMMARY!D34,'PLAN BUDGET SAMI-JF'!J13:J100000,SUMMARY!A34&amp;"*")</f>
        <v>0</v>
      </c>
      <c r="S34" s="10">
        <f>SUMIFS('PLAN BUDGET SAMI-JF'!BE13:BE100000,'PLAN BUDGET SAMI-JF'!D13:D100000,SUMMARY!D34,'PLAN BUDGET SAMI-JF'!J13:J100000,SUMMARY!A34&amp;"*")</f>
        <v>0</v>
      </c>
      <c r="T34" s="10">
        <f>SUMIFS('PLAN BUDGET SAMI-JF'!BF13:BF100000,'PLAN BUDGET SAMI-JF'!D13:D100000,SUMMARY!D34,'PLAN BUDGET SAMI-JF'!J13:J100000,SUMMARY!A34&amp;"*")</f>
        <v>0</v>
      </c>
      <c r="U34" s="10">
        <f>SUMIFS('PLAN BUDGET SAMI-JF'!BG13:BG100000,'PLAN BUDGET SAMI-JF'!D13:D100000,SUMMARY!D34,'PLAN BUDGET SAMI-JF'!J13:J100000,SUMMARY!A34&amp;"*")</f>
        <v>0</v>
      </c>
      <c r="V34" s="10">
        <f>SUMIFS('PLAN BUDGET SAMI-JF'!BH13:BH100000,'PLAN BUDGET SAMI-JF'!D13:D100000,SUMMARY!D34,'PLAN BUDGET SAMI-JF'!J13:J100000,SUMMARY!A34&amp;"*")</f>
        <v>0</v>
      </c>
      <c r="W34" s="10">
        <f>SUMIFS('PLAN BUDGET SAMI-JF'!BI13:BI100000,'PLAN BUDGET SAMI-JF'!D13:D100000,SUMMARY!D34,'PLAN BUDGET SAMI-JF'!J13:J100000,SUMMARY!A34&amp;"*")</f>
        <v>0</v>
      </c>
      <c r="X34" s="10">
        <f>SUMIFS('PLAN BUDGET SAMI-JF'!BJ13:BJ100000,'PLAN BUDGET SAMI-JF'!D13:D100000,SUMMARY!D34,'PLAN BUDGET SAMI-JF'!J13:J100000,SUMMARY!A34&amp;"*")</f>
        <v>0</v>
      </c>
      <c r="Y34" s="10">
        <f>SUMIFS('PLAN BUDGET SAMI-JF'!BK13:BK100000,'PLAN BUDGET SAMI-JF'!D13:D100000,SUMMARY!D34,'PLAN BUDGET SAMI-JF'!J13:J100000,SUMMARY!A34&amp;"*")</f>
        <v>0</v>
      </c>
      <c r="Z34" s="10">
        <f>SUMIFS('PLAN BUDGET SAMI-JF'!BL13:BL100000,'PLAN BUDGET SAMI-JF'!D13:D100000,SUMMARY!D34,'PLAN BUDGET SAMI-JF'!J13:J100000,SUMMARY!A34&amp;"*")</f>
        <v>0</v>
      </c>
      <c r="AA34" s="10">
        <f>SUMIFS('PLAN BUDGET SAMI-JF'!BM13:BM100000,'PLAN BUDGET SAMI-JF'!D13:D100000,SUMMARY!D34,'PLAN BUDGET SAMI-JF'!J13:J100000,SUMMARY!A34&amp;"*")</f>
        <v>0</v>
      </c>
      <c r="AB34" s="10">
        <f>SUMIFS('PLAN BUDGET SAMI-JF'!BN13:BN100000,'PLAN BUDGET SAMI-JF'!D13:D100000,SUMMARY!D34,'PLAN BUDGET SAMI-JF'!J13:J100000,SUMMARY!A34&amp;"*")</f>
        <v>0</v>
      </c>
      <c r="AC34" s="10">
        <f t="shared" si="0"/>
        <v>0</v>
      </c>
      <c r="AD34" s="10">
        <f t="shared" si="1"/>
        <v>0</v>
      </c>
      <c r="AE34" s="16"/>
      <c r="AF34" s="10">
        <v>1</v>
      </c>
      <c r="AG34" s="10">
        <v>46.523109642626999</v>
      </c>
      <c r="AH34" s="20">
        <f t="shared" si="2"/>
        <v>-1</v>
      </c>
      <c r="AI34" s="20">
        <f t="shared" si="3"/>
        <v>-1</v>
      </c>
      <c r="AJ34" s="7" t="s">
        <v>201</v>
      </c>
    </row>
    <row r="35" spans="1:36" x14ac:dyDescent="0.35">
      <c r="A35" s="7" t="s">
        <v>151</v>
      </c>
      <c r="B35" s="7"/>
      <c r="C35" s="7"/>
      <c r="D35" s="7" t="s">
        <v>204</v>
      </c>
      <c r="E35" s="10">
        <f>SUMIFS('PLAN BUDGET SAMI-JF'!AN13:AN100000,'PLAN BUDGET SAMI-JF'!D13:D100000,SUMMARY!D35,'PLAN BUDGET SAMI-JF'!J13:J100000,SUMMARY!A35&amp;"*")</f>
        <v>0</v>
      </c>
      <c r="F35" s="10">
        <f>SUMIFS('PLAN BUDGET SAMI-JF'!AO13:AO100000,'PLAN BUDGET SAMI-JF'!D13:D100000,SUMMARY!D35,'PLAN BUDGET SAMI-JF'!J13:J100000,SUMMARY!A35&amp;"*")</f>
        <v>0</v>
      </c>
      <c r="G35" s="10">
        <f>SUMIFS('PLAN BUDGET SAMI-JF'!AP13:AP100000,'PLAN BUDGET SAMI-JF'!D13:D100000,SUMMARY!D35,'PLAN BUDGET SAMI-JF'!J13:J100000,SUMMARY!A35&amp;"*")</f>
        <v>0</v>
      </c>
      <c r="H35" s="10">
        <f>SUMIFS('PLAN BUDGET SAMI-JF'!AQ13:AQ100000,'PLAN BUDGET SAMI-JF'!D13:D100000,SUMMARY!D35,'PLAN BUDGET SAMI-JF'!J13:J100000,SUMMARY!A35&amp;"*")</f>
        <v>0</v>
      </c>
      <c r="I35" s="10">
        <f>SUMIFS('PLAN BUDGET SAMI-JF'!AR13:AR100000,'PLAN BUDGET SAMI-JF'!D13:D100000,SUMMARY!D35,'PLAN BUDGET SAMI-JF'!J13:J100000,SUMMARY!A35&amp;"*")</f>
        <v>0</v>
      </c>
      <c r="J35" s="10">
        <f>SUMIFS('PLAN BUDGET SAMI-JF'!AS13:AS100000,'PLAN BUDGET SAMI-JF'!D13:D100000,SUMMARY!D35,'PLAN BUDGET SAMI-JF'!J13:J100000,SUMMARY!A35&amp;"*")</f>
        <v>0</v>
      </c>
      <c r="K35" s="10">
        <f>SUMIFS('PLAN BUDGET SAMI-JF'!AT13:AT100000,'PLAN BUDGET SAMI-JF'!D13:D100000,SUMMARY!D35,'PLAN BUDGET SAMI-JF'!J13:J100000,SUMMARY!A35&amp;"*")</f>
        <v>0</v>
      </c>
      <c r="L35" s="10">
        <f>SUMIFS('PLAN BUDGET SAMI-JF'!AU13:AU100000,'PLAN BUDGET SAMI-JF'!D13:D100000,SUMMARY!D35,'PLAN BUDGET SAMI-JF'!J13:J100000,SUMMARY!A35&amp;"*")</f>
        <v>0</v>
      </c>
      <c r="M35" s="10">
        <f>SUMIFS('PLAN BUDGET SAMI-JF'!AV13:AV100000,'PLAN BUDGET SAMI-JF'!D13:D100000,SUMMARY!D35,'PLAN BUDGET SAMI-JF'!J13:J100000,SUMMARY!A35&amp;"*")</f>
        <v>0</v>
      </c>
      <c r="N35" s="10">
        <f>SUMIFS('PLAN BUDGET SAMI-JF'!AW13:AW100000,'PLAN BUDGET SAMI-JF'!D13:D100000,SUMMARY!D35,'PLAN BUDGET SAMI-JF'!J13:J100000,SUMMARY!A35&amp;"*")</f>
        <v>0</v>
      </c>
      <c r="O35" s="10">
        <f>SUMIFS('PLAN BUDGET SAMI-JF'!AX13:AX100000,'PLAN BUDGET SAMI-JF'!D13:D100000,SUMMARY!D35,'PLAN BUDGET SAMI-JF'!J13:J100000,SUMMARY!A35&amp;"*")</f>
        <v>0</v>
      </c>
      <c r="P35" s="10">
        <f>SUMIFS('PLAN BUDGET SAMI-JF'!AY13:AY100000,'PLAN BUDGET SAMI-JF'!D13:D100000,SUMMARY!D35,'PLAN BUDGET SAMI-JF'!J13:J100000,SUMMARY!A35&amp;"*")</f>
        <v>0</v>
      </c>
      <c r="Q35" s="10">
        <f>SUMIFS('PLAN BUDGET SAMI-JF'!BC13:BC100000,'PLAN BUDGET SAMI-JF'!D13:D100000,SUMMARY!D35,'PLAN BUDGET SAMI-JF'!J13:J100000,SUMMARY!A35&amp;"*")</f>
        <v>0</v>
      </c>
      <c r="R35" s="10">
        <f>SUMIFS('PLAN BUDGET SAMI-JF'!BD13:BD100000,'PLAN BUDGET SAMI-JF'!D13:D100000,SUMMARY!D35,'PLAN BUDGET SAMI-JF'!J13:J100000,SUMMARY!A35&amp;"*")</f>
        <v>0</v>
      </c>
      <c r="S35" s="10">
        <f>SUMIFS('PLAN BUDGET SAMI-JF'!BE13:BE100000,'PLAN BUDGET SAMI-JF'!D13:D100000,SUMMARY!D35,'PLAN BUDGET SAMI-JF'!J13:J100000,SUMMARY!A35&amp;"*")</f>
        <v>0</v>
      </c>
      <c r="T35" s="10">
        <f>SUMIFS('PLAN BUDGET SAMI-JF'!BF13:BF100000,'PLAN BUDGET SAMI-JF'!D13:D100000,SUMMARY!D35,'PLAN BUDGET SAMI-JF'!J13:J100000,SUMMARY!A35&amp;"*")</f>
        <v>0</v>
      </c>
      <c r="U35" s="10">
        <f>SUMIFS('PLAN BUDGET SAMI-JF'!BG13:BG100000,'PLAN BUDGET SAMI-JF'!D13:D100000,SUMMARY!D35,'PLAN BUDGET SAMI-JF'!J13:J100000,SUMMARY!A35&amp;"*")</f>
        <v>0</v>
      </c>
      <c r="V35" s="10">
        <f>SUMIFS('PLAN BUDGET SAMI-JF'!BH13:BH100000,'PLAN BUDGET SAMI-JF'!D13:D100000,SUMMARY!D35,'PLAN BUDGET SAMI-JF'!J13:J100000,SUMMARY!A35&amp;"*")</f>
        <v>0</v>
      </c>
      <c r="W35" s="10">
        <f>SUMIFS('PLAN BUDGET SAMI-JF'!BI13:BI100000,'PLAN BUDGET SAMI-JF'!D13:D100000,SUMMARY!D35,'PLAN BUDGET SAMI-JF'!J13:J100000,SUMMARY!A35&amp;"*")</f>
        <v>0</v>
      </c>
      <c r="X35" s="10">
        <f>SUMIFS('PLAN BUDGET SAMI-JF'!BJ13:BJ100000,'PLAN BUDGET SAMI-JF'!D13:D100000,SUMMARY!D35,'PLAN BUDGET SAMI-JF'!J13:J100000,SUMMARY!A35&amp;"*")</f>
        <v>0</v>
      </c>
      <c r="Y35" s="10">
        <f>SUMIFS('PLAN BUDGET SAMI-JF'!BK13:BK100000,'PLAN BUDGET SAMI-JF'!D13:D100000,SUMMARY!D35,'PLAN BUDGET SAMI-JF'!J13:J100000,SUMMARY!A35&amp;"*")</f>
        <v>0</v>
      </c>
      <c r="Z35" s="10">
        <f>SUMIFS('PLAN BUDGET SAMI-JF'!BL13:BL100000,'PLAN BUDGET SAMI-JF'!D13:D100000,SUMMARY!D35,'PLAN BUDGET SAMI-JF'!J13:J100000,SUMMARY!A35&amp;"*")</f>
        <v>0</v>
      </c>
      <c r="AA35" s="10">
        <f>SUMIFS('PLAN BUDGET SAMI-JF'!BM13:BM100000,'PLAN BUDGET SAMI-JF'!D13:D100000,SUMMARY!D35,'PLAN BUDGET SAMI-JF'!J13:J100000,SUMMARY!A35&amp;"*")</f>
        <v>0</v>
      </c>
      <c r="AB35" s="10">
        <f>SUMIFS('PLAN BUDGET SAMI-JF'!BN13:BN100000,'PLAN BUDGET SAMI-JF'!D13:D100000,SUMMARY!D35,'PLAN BUDGET SAMI-JF'!J13:J100000,SUMMARY!A35&amp;"*")</f>
        <v>0</v>
      </c>
      <c r="AC35" s="10">
        <f t="shared" si="0"/>
        <v>0</v>
      </c>
      <c r="AD35" s="10">
        <f t="shared" si="1"/>
        <v>0</v>
      </c>
      <c r="AE35" s="16"/>
      <c r="AF35" s="10">
        <v>1</v>
      </c>
      <c r="AG35" s="10">
        <v>28.483536515893999</v>
      </c>
      <c r="AH35" s="20">
        <f t="shared" si="2"/>
        <v>-1</v>
      </c>
      <c r="AI35" s="20">
        <f t="shared" si="3"/>
        <v>-1</v>
      </c>
      <c r="AJ35" s="7" t="s">
        <v>201</v>
      </c>
    </row>
    <row r="36" spans="1:36" x14ac:dyDescent="0.35">
      <c r="A36" s="7" t="s">
        <v>151</v>
      </c>
      <c r="B36" s="7"/>
      <c r="C36" s="7"/>
      <c r="D36" s="7" t="s">
        <v>205</v>
      </c>
      <c r="E36" s="10">
        <f>SUMIFS('PLAN BUDGET SAMI-JF'!AN13:AN100000,'PLAN BUDGET SAMI-JF'!D13:D100000,SUMMARY!D36,'PLAN BUDGET SAMI-JF'!J13:J100000,SUMMARY!A36&amp;"*")</f>
        <v>0</v>
      </c>
      <c r="F36" s="10">
        <f>SUMIFS('PLAN BUDGET SAMI-JF'!AO13:AO100000,'PLAN BUDGET SAMI-JF'!D13:D100000,SUMMARY!D36,'PLAN BUDGET SAMI-JF'!J13:J100000,SUMMARY!A36&amp;"*")</f>
        <v>0</v>
      </c>
      <c r="G36" s="10">
        <f>SUMIFS('PLAN BUDGET SAMI-JF'!AP13:AP100000,'PLAN BUDGET SAMI-JF'!D13:D100000,SUMMARY!D36,'PLAN BUDGET SAMI-JF'!J13:J100000,SUMMARY!A36&amp;"*")</f>
        <v>0</v>
      </c>
      <c r="H36" s="10">
        <f>SUMIFS('PLAN BUDGET SAMI-JF'!AQ13:AQ100000,'PLAN BUDGET SAMI-JF'!D13:D100000,SUMMARY!D36,'PLAN BUDGET SAMI-JF'!J13:J100000,SUMMARY!A36&amp;"*")</f>
        <v>0</v>
      </c>
      <c r="I36" s="10">
        <f>SUMIFS('PLAN BUDGET SAMI-JF'!AR13:AR100000,'PLAN BUDGET SAMI-JF'!D13:D100000,SUMMARY!D36,'PLAN BUDGET SAMI-JF'!J13:J100000,SUMMARY!A36&amp;"*")</f>
        <v>0</v>
      </c>
      <c r="J36" s="10">
        <f>SUMIFS('PLAN BUDGET SAMI-JF'!AS13:AS100000,'PLAN BUDGET SAMI-JF'!D13:D100000,SUMMARY!D36,'PLAN BUDGET SAMI-JF'!J13:J100000,SUMMARY!A36&amp;"*")</f>
        <v>0</v>
      </c>
      <c r="K36" s="10">
        <f>SUMIFS('PLAN BUDGET SAMI-JF'!AT13:AT100000,'PLAN BUDGET SAMI-JF'!D13:D100000,SUMMARY!D36,'PLAN BUDGET SAMI-JF'!J13:J100000,SUMMARY!A36&amp;"*")</f>
        <v>0</v>
      </c>
      <c r="L36" s="10">
        <f>SUMIFS('PLAN BUDGET SAMI-JF'!AU13:AU100000,'PLAN BUDGET SAMI-JF'!D13:D100000,SUMMARY!D36,'PLAN BUDGET SAMI-JF'!J13:J100000,SUMMARY!A36&amp;"*")</f>
        <v>0</v>
      </c>
      <c r="M36" s="10">
        <f>SUMIFS('PLAN BUDGET SAMI-JF'!AV13:AV100000,'PLAN BUDGET SAMI-JF'!D13:D100000,SUMMARY!D36,'PLAN BUDGET SAMI-JF'!J13:J100000,SUMMARY!A36&amp;"*")</f>
        <v>0</v>
      </c>
      <c r="N36" s="10">
        <f>SUMIFS('PLAN BUDGET SAMI-JF'!AW13:AW100000,'PLAN BUDGET SAMI-JF'!D13:D100000,SUMMARY!D36,'PLAN BUDGET SAMI-JF'!J13:J100000,SUMMARY!A36&amp;"*")</f>
        <v>0</v>
      </c>
      <c r="O36" s="10">
        <f>SUMIFS('PLAN BUDGET SAMI-JF'!AX13:AX100000,'PLAN BUDGET SAMI-JF'!D13:D100000,SUMMARY!D36,'PLAN BUDGET SAMI-JF'!J13:J100000,SUMMARY!A36&amp;"*")</f>
        <v>0</v>
      </c>
      <c r="P36" s="10">
        <f>SUMIFS('PLAN BUDGET SAMI-JF'!AY13:AY100000,'PLAN BUDGET SAMI-JF'!D13:D100000,SUMMARY!D36,'PLAN BUDGET SAMI-JF'!J13:J100000,SUMMARY!A36&amp;"*")</f>
        <v>0</v>
      </c>
      <c r="Q36" s="10">
        <f>SUMIFS('PLAN BUDGET SAMI-JF'!BC13:BC100000,'PLAN BUDGET SAMI-JF'!D13:D100000,SUMMARY!D36,'PLAN BUDGET SAMI-JF'!J13:J100000,SUMMARY!A36&amp;"*")</f>
        <v>0</v>
      </c>
      <c r="R36" s="10">
        <f>SUMIFS('PLAN BUDGET SAMI-JF'!BD13:BD100000,'PLAN BUDGET SAMI-JF'!D13:D100000,SUMMARY!D36,'PLAN BUDGET SAMI-JF'!J13:J100000,SUMMARY!A36&amp;"*")</f>
        <v>0</v>
      </c>
      <c r="S36" s="10">
        <f>SUMIFS('PLAN BUDGET SAMI-JF'!BE13:BE100000,'PLAN BUDGET SAMI-JF'!D13:D100000,SUMMARY!D36,'PLAN BUDGET SAMI-JF'!J13:J100000,SUMMARY!A36&amp;"*")</f>
        <v>0</v>
      </c>
      <c r="T36" s="10">
        <f>SUMIFS('PLAN BUDGET SAMI-JF'!BF13:BF100000,'PLAN BUDGET SAMI-JF'!D13:D100000,SUMMARY!D36,'PLAN BUDGET SAMI-JF'!J13:J100000,SUMMARY!A36&amp;"*")</f>
        <v>0</v>
      </c>
      <c r="U36" s="10">
        <f>SUMIFS('PLAN BUDGET SAMI-JF'!BG13:BG100000,'PLAN BUDGET SAMI-JF'!D13:D100000,SUMMARY!D36,'PLAN BUDGET SAMI-JF'!J13:J100000,SUMMARY!A36&amp;"*")</f>
        <v>0</v>
      </c>
      <c r="V36" s="10">
        <f>SUMIFS('PLAN BUDGET SAMI-JF'!BH13:BH100000,'PLAN BUDGET SAMI-JF'!D13:D100000,SUMMARY!D36,'PLAN BUDGET SAMI-JF'!J13:J100000,SUMMARY!A36&amp;"*")</f>
        <v>0</v>
      </c>
      <c r="W36" s="10">
        <f>SUMIFS('PLAN BUDGET SAMI-JF'!BI13:BI100000,'PLAN BUDGET SAMI-JF'!D13:D100000,SUMMARY!D36,'PLAN BUDGET SAMI-JF'!J13:J100000,SUMMARY!A36&amp;"*")</f>
        <v>0</v>
      </c>
      <c r="X36" s="10">
        <f>SUMIFS('PLAN BUDGET SAMI-JF'!BJ13:BJ100000,'PLAN BUDGET SAMI-JF'!D13:D100000,SUMMARY!D36,'PLAN BUDGET SAMI-JF'!J13:J100000,SUMMARY!A36&amp;"*")</f>
        <v>0</v>
      </c>
      <c r="Y36" s="10">
        <f>SUMIFS('PLAN BUDGET SAMI-JF'!BK13:BK100000,'PLAN BUDGET SAMI-JF'!D13:D100000,SUMMARY!D36,'PLAN BUDGET SAMI-JF'!J13:J100000,SUMMARY!A36&amp;"*")</f>
        <v>0</v>
      </c>
      <c r="Z36" s="10">
        <f>SUMIFS('PLAN BUDGET SAMI-JF'!BL13:BL100000,'PLAN BUDGET SAMI-JF'!D13:D100000,SUMMARY!D36,'PLAN BUDGET SAMI-JF'!J13:J100000,SUMMARY!A36&amp;"*")</f>
        <v>0</v>
      </c>
      <c r="AA36" s="10">
        <f>SUMIFS('PLAN BUDGET SAMI-JF'!BM13:BM100000,'PLAN BUDGET SAMI-JF'!D13:D100000,SUMMARY!D36,'PLAN BUDGET SAMI-JF'!J13:J100000,SUMMARY!A36&amp;"*")</f>
        <v>0</v>
      </c>
      <c r="AB36" s="10">
        <f>SUMIFS('PLAN BUDGET SAMI-JF'!BN13:BN100000,'PLAN BUDGET SAMI-JF'!D13:D100000,SUMMARY!D36,'PLAN BUDGET SAMI-JF'!J13:J100000,SUMMARY!A36&amp;"*")</f>
        <v>0</v>
      </c>
      <c r="AC36" s="10">
        <f t="shared" si="0"/>
        <v>0</v>
      </c>
      <c r="AD36" s="10">
        <f t="shared" si="1"/>
        <v>0</v>
      </c>
      <c r="AE36" s="16"/>
      <c r="AF36" s="10">
        <v>1</v>
      </c>
      <c r="AG36" s="10">
        <v>2.8103756029014999</v>
      </c>
      <c r="AH36" s="20">
        <f t="shared" si="2"/>
        <v>-1</v>
      </c>
      <c r="AI36" s="20">
        <f t="shared" si="3"/>
        <v>-1</v>
      </c>
      <c r="AJ36" s="7" t="s">
        <v>201</v>
      </c>
    </row>
    <row r="37" spans="1:36" x14ac:dyDescent="0.35">
      <c r="A37" s="7" t="s">
        <v>151</v>
      </c>
      <c r="B37" s="7"/>
      <c r="C37" s="7"/>
      <c r="D37" s="7" t="s">
        <v>206</v>
      </c>
      <c r="E37" s="10">
        <f>SUMIFS('PLAN BUDGET SAMI-JF'!AN13:AN100000,'PLAN BUDGET SAMI-JF'!D13:D100000,SUMMARY!D37,'PLAN BUDGET SAMI-JF'!J13:J100000,SUMMARY!A37&amp;"*")</f>
        <v>0</v>
      </c>
      <c r="F37" s="10">
        <f>SUMIFS('PLAN BUDGET SAMI-JF'!AO13:AO100000,'PLAN BUDGET SAMI-JF'!D13:D100000,SUMMARY!D37,'PLAN BUDGET SAMI-JF'!J13:J100000,SUMMARY!A37&amp;"*")</f>
        <v>0</v>
      </c>
      <c r="G37" s="10">
        <f>SUMIFS('PLAN BUDGET SAMI-JF'!AP13:AP100000,'PLAN BUDGET SAMI-JF'!D13:D100000,SUMMARY!D37,'PLAN BUDGET SAMI-JF'!J13:J100000,SUMMARY!A37&amp;"*")</f>
        <v>0</v>
      </c>
      <c r="H37" s="10">
        <f>SUMIFS('PLAN BUDGET SAMI-JF'!AQ13:AQ100000,'PLAN BUDGET SAMI-JF'!D13:D100000,SUMMARY!D37,'PLAN BUDGET SAMI-JF'!J13:J100000,SUMMARY!A37&amp;"*")</f>
        <v>0</v>
      </c>
      <c r="I37" s="10">
        <f>SUMIFS('PLAN BUDGET SAMI-JF'!AR13:AR100000,'PLAN BUDGET SAMI-JF'!D13:D100000,SUMMARY!D37,'PLAN BUDGET SAMI-JF'!J13:J100000,SUMMARY!A37&amp;"*")</f>
        <v>0</v>
      </c>
      <c r="J37" s="10">
        <f>SUMIFS('PLAN BUDGET SAMI-JF'!AS13:AS100000,'PLAN BUDGET SAMI-JF'!D13:D100000,SUMMARY!D37,'PLAN BUDGET SAMI-JF'!J13:J100000,SUMMARY!A37&amp;"*")</f>
        <v>0</v>
      </c>
      <c r="K37" s="10">
        <f>SUMIFS('PLAN BUDGET SAMI-JF'!AT13:AT100000,'PLAN BUDGET SAMI-JF'!D13:D100000,SUMMARY!D37,'PLAN BUDGET SAMI-JF'!J13:J100000,SUMMARY!A37&amp;"*")</f>
        <v>0</v>
      </c>
      <c r="L37" s="10">
        <f>SUMIFS('PLAN BUDGET SAMI-JF'!AU13:AU100000,'PLAN BUDGET SAMI-JF'!D13:D100000,SUMMARY!D37,'PLAN BUDGET SAMI-JF'!J13:J100000,SUMMARY!A37&amp;"*")</f>
        <v>0</v>
      </c>
      <c r="M37" s="10">
        <f>SUMIFS('PLAN BUDGET SAMI-JF'!AV13:AV100000,'PLAN BUDGET SAMI-JF'!D13:D100000,SUMMARY!D37,'PLAN BUDGET SAMI-JF'!J13:J100000,SUMMARY!A37&amp;"*")</f>
        <v>0</v>
      </c>
      <c r="N37" s="10">
        <f>SUMIFS('PLAN BUDGET SAMI-JF'!AW13:AW100000,'PLAN BUDGET SAMI-JF'!D13:D100000,SUMMARY!D37,'PLAN BUDGET SAMI-JF'!J13:J100000,SUMMARY!A37&amp;"*")</f>
        <v>0</v>
      </c>
      <c r="O37" s="10">
        <f>SUMIFS('PLAN BUDGET SAMI-JF'!AX13:AX100000,'PLAN BUDGET SAMI-JF'!D13:D100000,SUMMARY!D37,'PLAN BUDGET SAMI-JF'!J13:J100000,SUMMARY!A37&amp;"*")</f>
        <v>0</v>
      </c>
      <c r="P37" s="10">
        <f>SUMIFS('PLAN BUDGET SAMI-JF'!AY13:AY100000,'PLAN BUDGET SAMI-JF'!D13:D100000,SUMMARY!D37,'PLAN BUDGET SAMI-JF'!J13:J100000,SUMMARY!A37&amp;"*")</f>
        <v>0</v>
      </c>
      <c r="Q37" s="10">
        <f>SUMIFS('PLAN BUDGET SAMI-JF'!BC13:BC100000,'PLAN BUDGET SAMI-JF'!D13:D100000,SUMMARY!D37,'PLAN BUDGET SAMI-JF'!J13:J100000,SUMMARY!A37&amp;"*")</f>
        <v>0</v>
      </c>
      <c r="R37" s="10">
        <f>SUMIFS('PLAN BUDGET SAMI-JF'!BD13:BD100000,'PLAN BUDGET SAMI-JF'!D13:D100000,SUMMARY!D37,'PLAN BUDGET SAMI-JF'!J13:J100000,SUMMARY!A37&amp;"*")</f>
        <v>0</v>
      </c>
      <c r="S37" s="10">
        <f>SUMIFS('PLAN BUDGET SAMI-JF'!BE13:BE100000,'PLAN BUDGET SAMI-JF'!D13:D100000,SUMMARY!D37,'PLAN BUDGET SAMI-JF'!J13:J100000,SUMMARY!A37&amp;"*")</f>
        <v>0</v>
      </c>
      <c r="T37" s="10">
        <f>SUMIFS('PLAN BUDGET SAMI-JF'!BF13:BF100000,'PLAN BUDGET SAMI-JF'!D13:D100000,SUMMARY!D37,'PLAN BUDGET SAMI-JF'!J13:J100000,SUMMARY!A37&amp;"*")</f>
        <v>0</v>
      </c>
      <c r="U37" s="10">
        <f>SUMIFS('PLAN BUDGET SAMI-JF'!BG13:BG100000,'PLAN BUDGET SAMI-JF'!D13:D100000,SUMMARY!D37,'PLAN BUDGET SAMI-JF'!J13:J100000,SUMMARY!A37&amp;"*")</f>
        <v>0</v>
      </c>
      <c r="V37" s="10">
        <f>SUMIFS('PLAN BUDGET SAMI-JF'!BH13:BH100000,'PLAN BUDGET SAMI-JF'!D13:D100000,SUMMARY!D37,'PLAN BUDGET SAMI-JF'!J13:J100000,SUMMARY!A37&amp;"*")</f>
        <v>0</v>
      </c>
      <c r="W37" s="10">
        <f>SUMIFS('PLAN BUDGET SAMI-JF'!BI13:BI100000,'PLAN BUDGET SAMI-JF'!D13:D100000,SUMMARY!D37,'PLAN BUDGET SAMI-JF'!J13:J100000,SUMMARY!A37&amp;"*")</f>
        <v>0</v>
      </c>
      <c r="X37" s="10">
        <f>SUMIFS('PLAN BUDGET SAMI-JF'!BJ13:BJ100000,'PLAN BUDGET SAMI-JF'!D13:D100000,SUMMARY!D37,'PLAN BUDGET SAMI-JF'!J13:J100000,SUMMARY!A37&amp;"*")</f>
        <v>0</v>
      </c>
      <c r="Y37" s="10">
        <f>SUMIFS('PLAN BUDGET SAMI-JF'!BK13:BK100000,'PLAN BUDGET SAMI-JF'!D13:D100000,SUMMARY!D37,'PLAN BUDGET SAMI-JF'!J13:J100000,SUMMARY!A37&amp;"*")</f>
        <v>0</v>
      </c>
      <c r="Z37" s="10">
        <f>SUMIFS('PLAN BUDGET SAMI-JF'!BL13:BL100000,'PLAN BUDGET SAMI-JF'!D13:D100000,SUMMARY!D37,'PLAN BUDGET SAMI-JF'!J13:J100000,SUMMARY!A37&amp;"*")</f>
        <v>0</v>
      </c>
      <c r="AA37" s="10">
        <f>SUMIFS('PLAN BUDGET SAMI-JF'!BM13:BM100000,'PLAN BUDGET SAMI-JF'!D13:D100000,SUMMARY!D37,'PLAN BUDGET SAMI-JF'!J13:J100000,SUMMARY!A37&amp;"*")</f>
        <v>0</v>
      </c>
      <c r="AB37" s="10">
        <f>SUMIFS('PLAN BUDGET SAMI-JF'!BN13:BN100000,'PLAN BUDGET SAMI-JF'!D13:D100000,SUMMARY!D37,'PLAN BUDGET SAMI-JF'!J13:J100000,SUMMARY!A37&amp;"*")</f>
        <v>0</v>
      </c>
      <c r="AC37" s="10">
        <f t="shared" si="0"/>
        <v>0</v>
      </c>
      <c r="AD37" s="10">
        <f t="shared" si="1"/>
        <v>0</v>
      </c>
      <c r="AE37" s="16"/>
      <c r="AF37" s="10">
        <v>10</v>
      </c>
      <c r="AG37" s="10">
        <v>8.3551707113289009</v>
      </c>
      <c r="AH37" s="20">
        <f t="shared" si="2"/>
        <v>-1</v>
      </c>
      <c r="AI37" s="20">
        <f t="shared" si="3"/>
        <v>-1</v>
      </c>
      <c r="AJ37" s="7" t="s">
        <v>201</v>
      </c>
    </row>
    <row r="38" spans="1:36" x14ac:dyDescent="0.35">
      <c r="A38" s="7" t="s">
        <v>151</v>
      </c>
      <c r="B38" s="7"/>
      <c r="C38" s="7"/>
      <c r="D38" s="7" t="s">
        <v>207</v>
      </c>
      <c r="E38" s="10">
        <f>SUMIFS('PLAN BUDGET SAMI-JF'!AN13:AN100000,'PLAN BUDGET SAMI-JF'!D13:D100000,SUMMARY!D38,'PLAN BUDGET SAMI-JF'!J13:J100000,SUMMARY!A38&amp;"*")</f>
        <v>0</v>
      </c>
      <c r="F38" s="10">
        <f>SUMIFS('PLAN BUDGET SAMI-JF'!AO13:AO100000,'PLAN BUDGET SAMI-JF'!D13:D100000,SUMMARY!D38,'PLAN BUDGET SAMI-JF'!J13:J100000,SUMMARY!A38&amp;"*")</f>
        <v>0</v>
      </c>
      <c r="G38" s="10">
        <f>SUMIFS('PLAN BUDGET SAMI-JF'!AP13:AP100000,'PLAN BUDGET SAMI-JF'!D13:D100000,SUMMARY!D38,'PLAN BUDGET SAMI-JF'!J13:J100000,SUMMARY!A38&amp;"*")</f>
        <v>0</v>
      </c>
      <c r="H38" s="10">
        <f>SUMIFS('PLAN BUDGET SAMI-JF'!AQ13:AQ100000,'PLAN BUDGET SAMI-JF'!D13:D100000,SUMMARY!D38,'PLAN BUDGET SAMI-JF'!J13:J100000,SUMMARY!A38&amp;"*")</f>
        <v>0</v>
      </c>
      <c r="I38" s="10">
        <f>SUMIFS('PLAN BUDGET SAMI-JF'!AR13:AR100000,'PLAN BUDGET SAMI-JF'!D13:D100000,SUMMARY!D38,'PLAN BUDGET SAMI-JF'!J13:J100000,SUMMARY!A38&amp;"*")</f>
        <v>0</v>
      </c>
      <c r="J38" s="10">
        <f>SUMIFS('PLAN BUDGET SAMI-JF'!AS13:AS100000,'PLAN BUDGET SAMI-JF'!D13:D100000,SUMMARY!D38,'PLAN BUDGET SAMI-JF'!J13:J100000,SUMMARY!A38&amp;"*")</f>
        <v>0</v>
      </c>
      <c r="K38" s="10">
        <f>SUMIFS('PLAN BUDGET SAMI-JF'!AT13:AT100000,'PLAN BUDGET SAMI-JF'!D13:D100000,SUMMARY!D38,'PLAN BUDGET SAMI-JF'!J13:J100000,SUMMARY!A38&amp;"*")</f>
        <v>0</v>
      </c>
      <c r="L38" s="10">
        <f>SUMIFS('PLAN BUDGET SAMI-JF'!AU13:AU100000,'PLAN BUDGET SAMI-JF'!D13:D100000,SUMMARY!D38,'PLAN BUDGET SAMI-JF'!J13:J100000,SUMMARY!A38&amp;"*")</f>
        <v>0</v>
      </c>
      <c r="M38" s="10">
        <f>SUMIFS('PLAN BUDGET SAMI-JF'!AV13:AV100000,'PLAN BUDGET SAMI-JF'!D13:D100000,SUMMARY!D38,'PLAN BUDGET SAMI-JF'!J13:J100000,SUMMARY!A38&amp;"*")</f>
        <v>0</v>
      </c>
      <c r="N38" s="10">
        <f>SUMIFS('PLAN BUDGET SAMI-JF'!AW13:AW100000,'PLAN BUDGET SAMI-JF'!D13:D100000,SUMMARY!D38,'PLAN BUDGET SAMI-JF'!J13:J100000,SUMMARY!A38&amp;"*")</f>
        <v>0</v>
      </c>
      <c r="O38" s="10">
        <f>SUMIFS('PLAN BUDGET SAMI-JF'!AX13:AX100000,'PLAN BUDGET SAMI-JF'!D13:D100000,SUMMARY!D38,'PLAN BUDGET SAMI-JF'!J13:J100000,SUMMARY!A38&amp;"*")</f>
        <v>0</v>
      </c>
      <c r="P38" s="10">
        <f>SUMIFS('PLAN BUDGET SAMI-JF'!AY13:AY100000,'PLAN BUDGET SAMI-JF'!D13:D100000,SUMMARY!D38,'PLAN BUDGET SAMI-JF'!J13:J100000,SUMMARY!A38&amp;"*")</f>
        <v>0</v>
      </c>
      <c r="Q38" s="10">
        <f>SUMIFS('PLAN BUDGET SAMI-JF'!BC13:BC100000,'PLAN BUDGET SAMI-JF'!D13:D100000,SUMMARY!D38,'PLAN BUDGET SAMI-JF'!J13:J100000,SUMMARY!A38&amp;"*")</f>
        <v>0</v>
      </c>
      <c r="R38" s="10">
        <f>SUMIFS('PLAN BUDGET SAMI-JF'!BD13:BD100000,'PLAN BUDGET SAMI-JF'!D13:D100000,SUMMARY!D38,'PLAN BUDGET SAMI-JF'!J13:J100000,SUMMARY!A38&amp;"*")</f>
        <v>0</v>
      </c>
      <c r="S38" s="10">
        <f>SUMIFS('PLAN BUDGET SAMI-JF'!BE13:BE100000,'PLAN BUDGET SAMI-JF'!D13:D100000,SUMMARY!D38,'PLAN BUDGET SAMI-JF'!J13:J100000,SUMMARY!A38&amp;"*")</f>
        <v>0</v>
      </c>
      <c r="T38" s="10">
        <f>SUMIFS('PLAN BUDGET SAMI-JF'!BF13:BF100000,'PLAN BUDGET SAMI-JF'!D13:D100000,SUMMARY!D38,'PLAN BUDGET SAMI-JF'!J13:J100000,SUMMARY!A38&amp;"*")</f>
        <v>0</v>
      </c>
      <c r="U38" s="10">
        <f>SUMIFS('PLAN BUDGET SAMI-JF'!BG13:BG100000,'PLAN BUDGET SAMI-JF'!D13:D100000,SUMMARY!D38,'PLAN BUDGET SAMI-JF'!J13:J100000,SUMMARY!A38&amp;"*")</f>
        <v>0</v>
      </c>
      <c r="V38" s="10">
        <f>SUMIFS('PLAN BUDGET SAMI-JF'!BH13:BH100000,'PLAN BUDGET SAMI-JF'!D13:D100000,SUMMARY!D38,'PLAN BUDGET SAMI-JF'!J13:J100000,SUMMARY!A38&amp;"*")</f>
        <v>0</v>
      </c>
      <c r="W38" s="10">
        <f>SUMIFS('PLAN BUDGET SAMI-JF'!BI13:BI100000,'PLAN BUDGET SAMI-JF'!D13:D100000,SUMMARY!D38,'PLAN BUDGET SAMI-JF'!J13:J100000,SUMMARY!A38&amp;"*")</f>
        <v>0</v>
      </c>
      <c r="X38" s="10">
        <f>SUMIFS('PLAN BUDGET SAMI-JF'!BJ13:BJ100000,'PLAN BUDGET SAMI-JF'!D13:D100000,SUMMARY!D38,'PLAN BUDGET SAMI-JF'!J13:J100000,SUMMARY!A38&amp;"*")</f>
        <v>0</v>
      </c>
      <c r="Y38" s="10">
        <f>SUMIFS('PLAN BUDGET SAMI-JF'!BK13:BK100000,'PLAN BUDGET SAMI-JF'!D13:D100000,SUMMARY!D38,'PLAN BUDGET SAMI-JF'!J13:J100000,SUMMARY!A38&amp;"*")</f>
        <v>0</v>
      </c>
      <c r="Z38" s="10">
        <f>SUMIFS('PLAN BUDGET SAMI-JF'!BL13:BL100000,'PLAN BUDGET SAMI-JF'!D13:D100000,SUMMARY!D38,'PLAN BUDGET SAMI-JF'!J13:J100000,SUMMARY!A38&amp;"*")</f>
        <v>0</v>
      </c>
      <c r="AA38" s="10">
        <f>SUMIFS('PLAN BUDGET SAMI-JF'!BM13:BM100000,'PLAN BUDGET SAMI-JF'!D13:D100000,SUMMARY!D38,'PLAN BUDGET SAMI-JF'!J13:J100000,SUMMARY!A38&amp;"*")</f>
        <v>0</v>
      </c>
      <c r="AB38" s="10">
        <f>SUMIFS('PLAN BUDGET SAMI-JF'!BN13:BN100000,'PLAN BUDGET SAMI-JF'!D13:D100000,SUMMARY!D38,'PLAN BUDGET SAMI-JF'!J13:J100000,SUMMARY!A38&amp;"*")</f>
        <v>0</v>
      </c>
      <c r="AC38" s="10">
        <f t="shared" si="0"/>
        <v>0</v>
      </c>
      <c r="AD38" s="10">
        <f t="shared" si="1"/>
        <v>0</v>
      </c>
      <c r="AE38" s="16"/>
      <c r="AF38" s="10">
        <v>2</v>
      </c>
      <c r="AG38" s="10">
        <v>1170.9898345423001</v>
      </c>
      <c r="AH38" s="20">
        <f t="shared" si="2"/>
        <v>-1</v>
      </c>
      <c r="AI38" s="20">
        <f t="shared" si="3"/>
        <v>-1</v>
      </c>
      <c r="AJ38" s="7" t="s">
        <v>201</v>
      </c>
    </row>
    <row r="39" spans="1:36" x14ac:dyDescent="0.35">
      <c r="A39" s="7" t="s">
        <v>151</v>
      </c>
      <c r="B39" s="7"/>
      <c r="C39" s="7"/>
      <c r="D39" s="7" t="s">
        <v>208</v>
      </c>
      <c r="E39" s="10">
        <f>SUMIFS('PLAN BUDGET SAMI-JF'!AN13:AN100000,'PLAN BUDGET SAMI-JF'!D13:D100000,SUMMARY!D39,'PLAN BUDGET SAMI-JF'!J13:J100000,SUMMARY!A39&amp;"*")</f>
        <v>0</v>
      </c>
      <c r="F39" s="10">
        <f>SUMIFS('PLAN BUDGET SAMI-JF'!AO13:AO100000,'PLAN BUDGET SAMI-JF'!D13:D100000,SUMMARY!D39,'PLAN BUDGET SAMI-JF'!J13:J100000,SUMMARY!A39&amp;"*")</f>
        <v>0</v>
      </c>
      <c r="G39" s="10">
        <f>SUMIFS('PLAN BUDGET SAMI-JF'!AP13:AP100000,'PLAN BUDGET SAMI-JF'!D13:D100000,SUMMARY!D39,'PLAN BUDGET SAMI-JF'!J13:J100000,SUMMARY!A39&amp;"*")</f>
        <v>0</v>
      </c>
      <c r="H39" s="10">
        <f>SUMIFS('PLAN BUDGET SAMI-JF'!AQ13:AQ100000,'PLAN BUDGET SAMI-JF'!D13:D100000,SUMMARY!D39,'PLAN BUDGET SAMI-JF'!J13:J100000,SUMMARY!A39&amp;"*")</f>
        <v>0</v>
      </c>
      <c r="I39" s="10">
        <f>SUMIFS('PLAN BUDGET SAMI-JF'!AR13:AR100000,'PLAN BUDGET SAMI-JF'!D13:D100000,SUMMARY!D39,'PLAN BUDGET SAMI-JF'!J13:J100000,SUMMARY!A39&amp;"*")</f>
        <v>0</v>
      </c>
      <c r="J39" s="10">
        <f>SUMIFS('PLAN BUDGET SAMI-JF'!AS13:AS100000,'PLAN BUDGET SAMI-JF'!D13:D100000,SUMMARY!D39,'PLAN BUDGET SAMI-JF'!J13:J100000,SUMMARY!A39&amp;"*")</f>
        <v>0</v>
      </c>
      <c r="K39" s="10">
        <f>SUMIFS('PLAN BUDGET SAMI-JF'!AT13:AT100000,'PLAN BUDGET SAMI-JF'!D13:D100000,SUMMARY!D39,'PLAN BUDGET SAMI-JF'!J13:J100000,SUMMARY!A39&amp;"*")</f>
        <v>0</v>
      </c>
      <c r="L39" s="10">
        <f>SUMIFS('PLAN BUDGET SAMI-JF'!AU13:AU100000,'PLAN BUDGET SAMI-JF'!D13:D100000,SUMMARY!D39,'PLAN BUDGET SAMI-JF'!J13:J100000,SUMMARY!A39&amp;"*")</f>
        <v>0</v>
      </c>
      <c r="M39" s="10">
        <f>SUMIFS('PLAN BUDGET SAMI-JF'!AV13:AV100000,'PLAN BUDGET SAMI-JF'!D13:D100000,SUMMARY!D39,'PLAN BUDGET SAMI-JF'!J13:J100000,SUMMARY!A39&amp;"*")</f>
        <v>0</v>
      </c>
      <c r="N39" s="10">
        <f>SUMIFS('PLAN BUDGET SAMI-JF'!AW13:AW100000,'PLAN BUDGET SAMI-JF'!D13:D100000,SUMMARY!D39,'PLAN BUDGET SAMI-JF'!J13:J100000,SUMMARY!A39&amp;"*")</f>
        <v>0</v>
      </c>
      <c r="O39" s="10">
        <f>SUMIFS('PLAN BUDGET SAMI-JF'!AX13:AX100000,'PLAN BUDGET SAMI-JF'!D13:D100000,SUMMARY!D39,'PLAN BUDGET SAMI-JF'!J13:J100000,SUMMARY!A39&amp;"*")</f>
        <v>0</v>
      </c>
      <c r="P39" s="10">
        <f>SUMIFS('PLAN BUDGET SAMI-JF'!AY13:AY100000,'PLAN BUDGET SAMI-JF'!D13:D100000,SUMMARY!D39,'PLAN BUDGET SAMI-JF'!J13:J100000,SUMMARY!A39&amp;"*")</f>
        <v>0</v>
      </c>
      <c r="Q39" s="10">
        <f>SUMIFS('PLAN BUDGET SAMI-JF'!BC13:BC100000,'PLAN BUDGET SAMI-JF'!D13:D100000,SUMMARY!D39,'PLAN BUDGET SAMI-JF'!J13:J100000,SUMMARY!A39&amp;"*")</f>
        <v>0</v>
      </c>
      <c r="R39" s="10">
        <f>SUMIFS('PLAN BUDGET SAMI-JF'!BD13:BD100000,'PLAN BUDGET SAMI-JF'!D13:D100000,SUMMARY!D39,'PLAN BUDGET SAMI-JF'!J13:J100000,SUMMARY!A39&amp;"*")</f>
        <v>0</v>
      </c>
      <c r="S39" s="10">
        <f>SUMIFS('PLAN BUDGET SAMI-JF'!BE13:BE100000,'PLAN BUDGET SAMI-JF'!D13:D100000,SUMMARY!D39,'PLAN BUDGET SAMI-JF'!J13:J100000,SUMMARY!A39&amp;"*")</f>
        <v>0</v>
      </c>
      <c r="T39" s="10">
        <f>SUMIFS('PLAN BUDGET SAMI-JF'!BF13:BF100000,'PLAN BUDGET SAMI-JF'!D13:D100000,SUMMARY!D39,'PLAN BUDGET SAMI-JF'!J13:J100000,SUMMARY!A39&amp;"*")</f>
        <v>0</v>
      </c>
      <c r="U39" s="10">
        <f>SUMIFS('PLAN BUDGET SAMI-JF'!BG13:BG100000,'PLAN BUDGET SAMI-JF'!D13:D100000,SUMMARY!D39,'PLAN BUDGET SAMI-JF'!J13:J100000,SUMMARY!A39&amp;"*")</f>
        <v>0</v>
      </c>
      <c r="V39" s="10">
        <f>SUMIFS('PLAN BUDGET SAMI-JF'!BH13:BH100000,'PLAN BUDGET SAMI-JF'!D13:D100000,SUMMARY!D39,'PLAN BUDGET SAMI-JF'!J13:J100000,SUMMARY!A39&amp;"*")</f>
        <v>0</v>
      </c>
      <c r="W39" s="10">
        <f>SUMIFS('PLAN BUDGET SAMI-JF'!BI13:BI100000,'PLAN BUDGET SAMI-JF'!D13:D100000,SUMMARY!D39,'PLAN BUDGET SAMI-JF'!J13:J100000,SUMMARY!A39&amp;"*")</f>
        <v>0</v>
      </c>
      <c r="X39" s="10">
        <f>SUMIFS('PLAN BUDGET SAMI-JF'!BJ13:BJ100000,'PLAN BUDGET SAMI-JF'!D13:D100000,SUMMARY!D39,'PLAN BUDGET SAMI-JF'!J13:J100000,SUMMARY!A39&amp;"*")</f>
        <v>0</v>
      </c>
      <c r="Y39" s="10">
        <f>SUMIFS('PLAN BUDGET SAMI-JF'!BK13:BK100000,'PLAN BUDGET SAMI-JF'!D13:D100000,SUMMARY!D39,'PLAN BUDGET SAMI-JF'!J13:J100000,SUMMARY!A39&amp;"*")</f>
        <v>0</v>
      </c>
      <c r="Z39" s="10">
        <f>SUMIFS('PLAN BUDGET SAMI-JF'!BL13:BL100000,'PLAN BUDGET SAMI-JF'!D13:D100000,SUMMARY!D39,'PLAN BUDGET SAMI-JF'!J13:J100000,SUMMARY!A39&amp;"*")</f>
        <v>0</v>
      </c>
      <c r="AA39" s="10">
        <f>SUMIFS('PLAN BUDGET SAMI-JF'!BM13:BM100000,'PLAN BUDGET SAMI-JF'!D13:D100000,SUMMARY!D39,'PLAN BUDGET SAMI-JF'!J13:J100000,SUMMARY!A39&amp;"*")</f>
        <v>0</v>
      </c>
      <c r="AB39" s="10">
        <f>SUMIFS('PLAN BUDGET SAMI-JF'!BN13:BN100000,'PLAN BUDGET SAMI-JF'!D13:D100000,SUMMARY!D39,'PLAN BUDGET SAMI-JF'!J13:J100000,SUMMARY!A39&amp;"*")</f>
        <v>0</v>
      </c>
      <c r="AC39" s="10">
        <f t="shared" si="0"/>
        <v>0</v>
      </c>
      <c r="AD39" s="10">
        <f t="shared" si="1"/>
        <v>0</v>
      </c>
      <c r="AE39" s="16"/>
      <c r="AF39" s="10">
        <v>1</v>
      </c>
      <c r="AG39" s="10">
        <v>50.637398250478</v>
      </c>
      <c r="AH39" s="20">
        <f t="shared" si="2"/>
        <v>-1</v>
      </c>
      <c r="AI39" s="20">
        <f t="shared" si="3"/>
        <v>-1</v>
      </c>
      <c r="AJ39" s="7" t="s">
        <v>201</v>
      </c>
    </row>
    <row r="40" spans="1:36" x14ac:dyDescent="0.35">
      <c r="A40" s="7" t="s">
        <v>151</v>
      </c>
      <c r="B40" s="7"/>
      <c r="C40" s="7"/>
      <c r="D40" s="7" t="s">
        <v>209</v>
      </c>
      <c r="E40" s="10">
        <f>SUMIFS('PLAN BUDGET SAMI-JF'!AN13:AN100000,'PLAN BUDGET SAMI-JF'!D13:D100000,SUMMARY!D40,'PLAN BUDGET SAMI-JF'!J13:J100000,SUMMARY!A40&amp;"*")</f>
        <v>0</v>
      </c>
      <c r="F40" s="10">
        <f>SUMIFS('PLAN BUDGET SAMI-JF'!AO13:AO100000,'PLAN BUDGET SAMI-JF'!D13:D100000,SUMMARY!D40,'PLAN BUDGET SAMI-JF'!J13:J100000,SUMMARY!A40&amp;"*")</f>
        <v>0</v>
      </c>
      <c r="G40" s="10">
        <f>SUMIFS('PLAN BUDGET SAMI-JF'!AP13:AP100000,'PLAN BUDGET SAMI-JF'!D13:D100000,SUMMARY!D40,'PLAN BUDGET SAMI-JF'!J13:J100000,SUMMARY!A40&amp;"*")</f>
        <v>0</v>
      </c>
      <c r="H40" s="10">
        <f>SUMIFS('PLAN BUDGET SAMI-JF'!AQ13:AQ100000,'PLAN BUDGET SAMI-JF'!D13:D100000,SUMMARY!D40,'PLAN BUDGET SAMI-JF'!J13:J100000,SUMMARY!A40&amp;"*")</f>
        <v>0</v>
      </c>
      <c r="I40" s="10">
        <f>SUMIFS('PLAN BUDGET SAMI-JF'!AR13:AR100000,'PLAN BUDGET SAMI-JF'!D13:D100000,SUMMARY!D40,'PLAN BUDGET SAMI-JF'!J13:J100000,SUMMARY!A40&amp;"*")</f>
        <v>0</v>
      </c>
      <c r="J40" s="10">
        <f>SUMIFS('PLAN BUDGET SAMI-JF'!AS13:AS100000,'PLAN BUDGET SAMI-JF'!D13:D100000,SUMMARY!D40,'PLAN BUDGET SAMI-JF'!J13:J100000,SUMMARY!A40&amp;"*")</f>
        <v>0</v>
      </c>
      <c r="K40" s="10">
        <f>SUMIFS('PLAN BUDGET SAMI-JF'!AT13:AT100000,'PLAN BUDGET SAMI-JF'!D13:D100000,SUMMARY!D40,'PLAN BUDGET SAMI-JF'!J13:J100000,SUMMARY!A40&amp;"*")</f>
        <v>0</v>
      </c>
      <c r="L40" s="10">
        <f>SUMIFS('PLAN BUDGET SAMI-JF'!AU13:AU100000,'PLAN BUDGET SAMI-JF'!D13:D100000,SUMMARY!D40,'PLAN BUDGET SAMI-JF'!J13:J100000,SUMMARY!A40&amp;"*")</f>
        <v>0</v>
      </c>
      <c r="M40" s="10">
        <f>SUMIFS('PLAN BUDGET SAMI-JF'!AV13:AV100000,'PLAN BUDGET SAMI-JF'!D13:D100000,SUMMARY!D40,'PLAN BUDGET SAMI-JF'!J13:J100000,SUMMARY!A40&amp;"*")</f>
        <v>0</v>
      </c>
      <c r="N40" s="10">
        <f>SUMIFS('PLAN BUDGET SAMI-JF'!AW13:AW100000,'PLAN BUDGET SAMI-JF'!D13:D100000,SUMMARY!D40,'PLAN BUDGET SAMI-JF'!J13:J100000,SUMMARY!A40&amp;"*")</f>
        <v>0</v>
      </c>
      <c r="O40" s="10">
        <f>SUMIFS('PLAN BUDGET SAMI-JF'!AX13:AX100000,'PLAN BUDGET SAMI-JF'!D13:D100000,SUMMARY!D40,'PLAN BUDGET SAMI-JF'!J13:J100000,SUMMARY!A40&amp;"*")</f>
        <v>0</v>
      </c>
      <c r="P40" s="10">
        <f>SUMIFS('PLAN BUDGET SAMI-JF'!AY13:AY100000,'PLAN BUDGET SAMI-JF'!D13:D100000,SUMMARY!D40,'PLAN BUDGET SAMI-JF'!J13:J100000,SUMMARY!A40&amp;"*")</f>
        <v>0</v>
      </c>
      <c r="Q40" s="10">
        <f>SUMIFS('PLAN BUDGET SAMI-JF'!BC13:BC100000,'PLAN BUDGET SAMI-JF'!D13:D100000,SUMMARY!D40,'PLAN BUDGET SAMI-JF'!J13:J100000,SUMMARY!A40&amp;"*")</f>
        <v>0</v>
      </c>
      <c r="R40" s="10">
        <f>SUMIFS('PLAN BUDGET SAMI-JF'!BD13:BD100000,'PLAN BUDGET SAMI-JF'!D13:D100000,SUMMARY!D40,'PLAN BUDGET SAMI-JF'!J13:J100000,SUMMARY!A40&amp;"*")</f>
        <v>0</v>
      </c>
      <c r="S40" s="10">
        <f>SUMIFS('PLAN BUDGET SAMI-JF'!BE13:BE100000,'PLAN BUDGET SAMI-JF'!D13:D100000,SUMMARY!D40,'PLAN BUDGET SAMI-JF'!J13:J100000,SUMMARY!A40&amp;"*")</f>
        <v>0</v>
      </c>
      <c r="T40" s="10">
        <f>SUMIFS('PLAN BUDGET SAMI-JF'!BF13:BF100000,'PLAN BUDGET SAMI-JF'!D13:D100000,SUMMARY!D40,'PLAN BUDGET SAMI-JF'!J13:J100000,SUMMARY!A40&amp;"*")</f>
        <v>0</v>
      </c>
      <c r="U40" s="10">
        <f>SUMIFS('PLAN BUDGET SAMI-JF'!BG13:BG100000,'PLAN BUDGET SAMI-JF'!D13:D100000,SUMMARY!D40,'PLAN BUDGET SAMI-JF'!J13:J100000,SUMMARY!A40&amp;"*")</f>
        <v>0</v>
      </c>
      <c r="V40" s="10">
        <f>SUMIFS('PLAN BUDGET SAMI-JF'!BH13:BH100000,'PLAN BUDGET SAMI-JF'!D13:D100000,SUMMARY!D40,'PLAN BUDGET SAMI-JF'!J13:J100000,SUMMARY!A40&amp;"*")</f>
        <v>0</v>
      </c>
      <c r="W40" s="10">
        <f>SUMIFS('PLAN BUDGET SAMI-JF'!BI13:BI100000,'PLAN BUDGET SAMI-JF'!D13:D100000,SUMMARY!D40,'PLAN BUDGET SAMI-JF'!J13:J100000,SUMMARY!A40&amp;"*")</f>
        <v>0</v>
      </c>
      <c r="X40" s="10">
        <f>SUMIFS('PLAN BUDGET SAMI-JF'!BJ13:BJ100000,'PLAN BUDGET SAMI-JF'!D13:D100000,SUMMARY!D40,'PLAN BUDGET SAMI-JF'!J13:J100000,SUMMARY!A40&amp;"*")</f>
        <v>0</v>
      </c>
      <c r="Y40" s="10">
        <f>SUMIFS('PLAN BUDGET SAMI-JF'!BK13:BK100000,'PLAN BUDGET SAMI-JF'!D13:D100000,SUMMARY!D40,'PLAN BUDGET SAMI-JF'!J13:J100000,SUMMARY!A40&amp;"*")</f>
        <v>0</v>
      </c>
      <c r="Z40" s="10">
        <f>SUMIFS('PLAN BUDGET SAMI-JF'!BL13:BL100000,'PLAN BUDGET SAMI-JF'!D13:D100000,SUMMARY!D40,'PLAN BUDGET SAMI-JF'!J13:J100000,SUMMARY!A40&amp;"*")</f>
        <v>0</v>
      </c>
      <c r="AA40" s="10">
        <f>SUMIFS('PLAN BUDGET SAMI-JF'!BM13:BM100000,'PLAN BUDGET SAMI-JF'!D13:D100000,SUMMARY!D40,'PLAN BUDGET SAMI-JF'!J13:J100000,SUMMARY!A40&amp;"*")</f>
        <v>0</v>
      </c>
      <c r="AB40" s="10">
        <f>SUMIFS('PLAN BUDGET SAMI-JF'!BN13:BN100000,'PLAN BUDGET SAMI-JF'!D13:D100000,SUMMARY!D40,'PLAN BUDGET SAMI-JF'!J13:J100000,SUMMARY!A40&amp;"*")</f>
        <v>0</v>
      </c>
      <c r="AC40" s="10">
        <f t="shared" si="0"/>
        <v>0</v>
      </c>
      <c r="AD40" s="10">
        <f t="shared" si="1"/>
        <v>0</v>
      </c>
      <c r="AE40" s="16"/>
      <c r="AF40" s="10">
        <v>1</v>
      </c>
      <c r="AG40" s="10">
        <v>11.393414606358</v>
      </c>
      <c r="AH40" s="20">
        <f t="shared" si="2"/>
        <v>-1</v>
      </c>
      <c r="AI40" s="20">
        <f t="shared" si="3"/>
        <v>-1</v>
      </c>
      <c r="AJ40" s="7" t="s">
        <v>201</v>
      </c>
    </row>
    <row r="41" spans="1:36" x14ac:dyDescent="0.35">
      <c r="A41" s="7" t="s">
        <v>151</v>
      </c>
      <c r="B41" s="7"/>
      <c r="C41" s="7"/>
      <c r="D41" s="7" t="s">
        <v>210</v>
      </c>
      <c r="E41" s="10">
        <f>SUMIFS('PLAN BUDGET SAMI-JF'!AN13:AN100000,'PLAN BUDGET SAMI-JF'!D13:D100000,SUMMARY!D41,'PLAN BUDGET SAMI-JF'!J13:J100000,SUMMARY!A41&amp;"*")</f>
        <v>0</v>
      </c>
      <c r="F41" s="10">
        <f>SUMIFS('PLAN BUDGET SAMI-JF'!AO13:AO100000,'PLAN BUDGET SAMI-JF'!D13:D100000,SUMMARY!D41,'PLAN BUDGET SAMI-JF'!J13:J100000,SUMMARY!A41&amp;"*")</f>
        <v>0</v>
      </c>
      <c r="G41" s="10">
        <f>SUMIFS('PLAN BUDGET SAMI-JF'!AP13:AP100000,'PLAN BUDGET SAMI-JF'!D13:D100000,SUMMARY!D41,'PLAN BUDGET SAMI-JF'!J13:J100000,SUMMARY!A41&amp;"*")</f>
        <v>0</v>
      </c>
      <c r="H41" s="10">
        <f>SUMIFS('PLAN BUDGET SAMI-JF'!AQ13:AQ100000,'PLAN BUDGET SAMI-JF'!D13:D100000,SUMMARY!D41,'PLAN BUDGET SAMI-JF'!J13:J100000,SUMMARY!A41&amp;"*")</f>
        <v>0</v>
      </c>
      <c r="I41" s="10">
        <f>SUMIFS('PLAN BUDGET SAMI-JF'!AR13:AR100000,'PLAN BUDGET SAMI-JF'!D13:D100000,SUMMARY!D41,'PLAN BUDGET SAMI-JF'!J13:J100000,SUMMARY!A41&amp;"*")</f>
        <v>0</v>
      </c>
      <c r="J41" s="10">
        <f>SUMIFS('PLAN BUDGET SAMI-JF'!AS13:AS100000,'PLAN BUDGET SAMI-JF'!D13:D100000,SUMMARY!D41,'PLAN BUDGET SAMI-JF'!J13:J100000,SUMMARY!A41&amp;"*")</f>
        <v>0</v>
      </c>
      <c r="K41" s="10">
        <f>SUMIFS('PLAN BUDGET SAMI-JF'!AT13:AT100000,'PLAN BUDGET SAMI-JF'!D13:D100000,SUMMARY!D41,'PLAN BUDGET SAMI-JF'!J13:J100000,SUMMARY!A41&amp;"*")</f>
        <v>0</v>
      </c>
      <c r="L41" s="10">
        <f>SUMIFS('PLAN BUDGET SAMI-JF'!AU13:AU100000,'PLAN BUDGET SAMI-JF'!D13:D100000,SUMMARY!D41,'PLAN BUDGET SAMI-JF'!J13:J100000,SUMMARY!A41&amp;"*")</f>
        <v>0</v>
      </c>
      <c r="M41" s="10">
        <f>SUMIFS('PLAN BUDGET SAMI-JF'!AV13:AV100000,'PLAN BUDGET SAMI-JF'!D13:D100000,SUMMARY!D41,'PLAN BUDGET SAMI-JF'!J13:J100000,SUMMARY!A41&amp;"*")</f>
        <v>0</v>
      </c>
      <c r="N41" s="10">
        <f>SUMIFS('PLAN BUDGET SAMI-JF'!AW13:AW100000,'PLAN BUDGET SAMI-JF'!D13:D100000,SUMMARY!D41,'PLAN BUDGET SAMI-JF'!J13:J100000,SUMMARY!A41&amp;"*")</f>
        <v>0</v>
      </c>
      <c r="O41" s="10">
        <f>SUMIFS('PLAN BUDGET SAMI-JF'!AX13:AX100000,'PLAN BUDGET SAMI-JF'!D13:D100000,SUMMARY!D41,'PLAN BUDGET SAMI-JF'!J13:J100000,SUMMARY!A41&amp;"*")</f>
        <v>0</v>
      </c>
      <c r="P41" s="10">
        <f>SUMIFS('PLAN BUDGET SAMI-JF'!AY13:AY100000,'PLAN BUDGET SAMI-JF'!D13:D100000,SUMMARY!D41,'PLAN BUDGET SAMI-JF'!J13:J100000,SUMMARY!A41&amp;"*")</f>
        <v>0</v>
      </c>
      <c r="Q41" s="10">
        <f>SUMIFS('PLAN BUDGET SAMI-JF'!BC13:BC100000,'PLAN BUDGET SAMI-JF'!D13:D100000,SUMMARY!D41,'PLAN BUDGET SAMI-JF'!J13:J100000,SUMMARY!A41&amp;"*")</f>
        <v>0</v>
      </c>
      <c r="R41" s="10">
        <f>SUMIFS('PLAN BUDGET SAMI-JF'!BD13:BD100000,'PLAN BUDGET SAMI-JF'!D13:D100000,SUMMARY!D41,'PLAN BUDGET SAMI-JF'!J13:J100000,SUMMARY!A41&amp;"*")</f>
        <v>0</v>
      </c>
      <c r="S41" s="10">
        <f>SUMIFS('PLAN BUDGET SAMI-JF'!BE13:BE100000,'PLAN BUDGET SAMI-JF'!D13:D100000,SUMMARY!D41,'PLAN BUDGET SAMI-JF'!J13:J100000,SUMMARY!A41&amp;"*")</f>
        <v>0</v>
      </c>
      <c r="T41" s="10">
        <f>SUMIFS('PLAN BUDGET SAMI-JF'!BF13:BF100000,'PLAN BUDGET SAMI-JF'!D13:D100000,SUMMARY!D41,'PLAN BUDGET SAMI-JF'!J13:J100000,SUMMARY!A41&amp;"*")</f>
        <v>0</v>
      </c>
      <c r="U41" s="10">
        <f>SUMIFS('PLAN BUDGET SAMI-JF'!BG13:BG100000,'PLAN BUDGET SAMI-JF'!D13:D100000,SUMMARY!D41,'PLAN BUDGET SAMI-JF'!J13:J100000,SUMMARY!A41&amp;"*")</f>
        <v>0</v>
      </c>
      <c r="V41" s="10">
        <f>SUMIFS('PLAN BUDGET SAMI-JF'!BH13:BH100000,'PLAN BUDGET SAMI-JF'!D13:D100000,SUMMARY!D41,'PLAN BUDGET SAMI-JF'!J13:J100000,SUMMARY!A41&amp;"*")</f>
        <v>0</v>
      </c>
      <c r="W41" s="10">
        <f>SUMIFS('PLAN BUDGET SAMI-JF'!BI13:BI100000,'PLAN BUDGET SAMI-JF'!D13:D100000,SUMMARY!D41,'PLAN BUDGET SAMI-JF'!J13:J100000,SUMMARY!A41&amp;"*")</f>
        <v>0</v>
      </c>
      <c r="X41" s="10">
        <f>SUMIFS('PLAN BUDGET SAMI-JF'!BJ13:BJ100000,'PLAN BUDGET SAMI-JF'!D13:D100000,SUMMARY!D41,'PLAN BUDGET SAMI-JF'!J13:J100000,SUMMARY!A41&amp;"*")</f>
        <v>0</v>
      </c>
      <c r="Y41" s="10">
        <f>SUMIFS('PLAN BUDGET SAMI-JF'!BK13:BK100000,'PLAN BUDGET SAMI-JF'!D13:D100000,SUMMARY!D41,'PLAN BUDGET SAMI-JF'!J13:J100000,SUMMARY!A41&amp;"*")</f>
        <v>0</v>
      </c>
      <c r="Z41" s="10">
        <f>SUMIFS('PLAN BUDGET SAMI-JF'!BL13:BL100000,'PLAN BUDGET SAMI-JF'!D13:D100000,SUMMARY!D41,'PLAN BUDGET SAMI-JF'!J13:J100000,SUMMARY!A41&amp;"*")</f>
        <v>0</v>
      </c>
      <c r="AA41" s="10">
        <f>SUMIFS('PLAN BUDGET SAMI-JF'!BM13:BM100000,'PLAN BUDGET SAMI-JF'!D13:D100000,SUMMARY!D41,'PLAN BUDGET SAMI-JF'!J13:J100000,SUMMARY!A41&amp;"*")</f>
        <v>0</v>
      </c>
      <c r="AB41" s="10">
        <f>SUMIFS('PLAN BUDGET SAMI-JF'!BN13:BN100000,'PLAN BUDGET SAMI-JF'!D13:D100000,SUMMARY!D41,'PLAN BUDGET SAMI-JF'!J13:J100000,SUMMARY!A41&amp;"*")</f>
        <v>0</v>
      </c>
      <c r="AC41" s="10">
        <f t="shared" ref="AC41:AC72" si="4">SUM(E41:P41)</f>
        <v>0</v>
      </c>
      <c r="AD41" s="10">
        <f t="shared" ref="AD41:AD72" si="5">SUM(Q41:AB41)</f>
        <v>0</v>
      </c>
      <c r="AE41" s="16"/>
      <c r="AF41" s="10">
        <v>5</v>
      </c>
      <c r="AG41" s="10">
        <v>303.82438950287002</v>
      </c>
      <c r="AH41" s="20">
        <f t="shared" ref="AH41:AH72" si="6">IFERROR((AC41-AF41)/AF41,1)</f>
        <v>-1</v>
      </c>
      <c r="AI41" s="20">
        <f t="shared" ref="AI41:AI72" si="7">IFERROR((AD41-AG41)/AG41,1)</f>
        <v>-1</v>
      </c>
      <c r="AJ41" s="7" t="s">
        <v>201</v>
      </c>
    </row>
    <row r="42" spans="1:36" x14ac:dyDescent="0.35">
      <c r="A42" s="7" t="s">
        <v>151</v>
      </c>
      <c r="B42" s="7"/>
      <c r="C42" s="7"/>
      <c r="D42" s="7" t="s">
        <v>211</v>
      </c>
      <c r="E42" s="10">
        <f>SUMIFS('PLAN BUDGET SAMI-JF'!AN13:AN100000,'PLAN BUDGET SAMI-JF'!D13:D100000,SUMMARY!D42,'PLAN BUDGET SAMI-JF'!J13:J100000,SUMMARY!A42&amp;"*")</f>
        <v>0</v>
      </c>
      <c r="F42" s="10">
        <f>SUMIFS('PLAN BUDGET SAMI-JF'!AO13:AO100000,'PLAN BUDGET SAMI-JF'!D13:D100000,SUMMARY!D42,'PLAN BUDGET SAMI-JF'!J13:J100000,SUMMARY!A42&amp;"*")</f>
        <v>0</v>
      </c>
      <c r="G42" s="10">
        <f>SUMIFS('PLAN BUDGET SAMI-JF'!AP13:AP100000,'PLAN BUDGET SAMI-JF'!D13:D100000,SUMMARY!D42,'PLAN BUDGET SAMI-JF'!J13:J100000,SUMMARY!A42&amp;"*")</f>
        <v>0</v>
      </c>
      <c r="H42" s="10">
        <f>SUMIFS('PLAN BUDGET SAMI-JF'!AQ13:AQ100000,'PLAN BUDGET SAMI-JF'!D13:D100000,SUMMARY!D42,'PLAN BUDGET SAMI-JF'!J13:J100000,SUMMARY!A42&amp;"*")</f>
        <v>0</v>
      </c>
      <c r="I42" s="10">
        <f>SUMIFS('PLAN BUDGET SAMI-JF'!AR13:AR100000,'PLAN BUDGET SAMI-JF'!D13:D100000,SUMMARY!D42,'PLAN BUDGET SAMI-JF'!J13:J100000,SUMMARY!A42&amp;"*")</f>
        <v>0</v>
      </c>
      <c r="J42" s="10">
        <f>SUMIFS('PLAN BUDGET SAMI-JF'!AS13:AS100000,'PLAN BUDGET SAMI-JF'!D13:D100000,SUMMARY!D42,'PLAN BUDGET SAMI-JF'!J13:J100000,SUMMARY!A42&amp;"*")</f>
        <v>0</v>
      </c>
      <c r="K42" s="10">
        <f>SUMIFS('PLAN BUDGET SAMI-JF'!AT13:AT100000,'PLAN BUDGET SAMI-JF'!D13:D100000,SUMMARY!D42,'PLAN BUDGET SAMI-JF'!J13:J100000,SUMMARY!A42&amp;"*")</f>
        <v>0</v>
      </c>
      <c r="L42" s="10">
        <f>SUMIFS('PLAN BUDGET SAMI-JF'!AU13:AU100000,'PLAN BUDGET SAMI-JF'!D13:D100000,SUMMARY!D42,'PLAN BUDGET SAMI-JF'!J13:J100000,SUMMARY!A42&amp;"*")</f>
        <v>0</v>
      </c>
      <c r="M42" s="10">
        <f>SUMIFS('PLAN BUDGET SAMI-JF'!AV13:AV100000,'PLAN BUDGET SAMI-JF'!D13:D100000,SUMMARY!D42,'PLAN BUDGET SAMI-JF'!J13:J100000,SUMMARY!A42&amp;"*")</f>
        <v>0</v>
      </c>
      <c r="N42" s="10">
        <f>SUMIFS('PLAN BUDGET SAMI-JF'!AW13:AW100000,'PLAN BUDGET SAMI-JF'!D13:D100000,SUMMARY!D42,'PLAN BUDGET SAMI-JF'!J13:J100000,SUMMARY!A42&amp;"*")</f>
        <v>0</v>
      </c>
      <c r="O42" s="10">
        <f>SUMIFS('PLAN BUDGET SAMI-JF'!AX13:AX100000,'PLAN BUDGET SAMI-JF'!D13:D100000,SUMMARY!D42,'PLAN BUDGET SAMI-JF'!J13:J100000,SUMMARY!A42&amp;"*")</f>
        <v>0</v>
      </c>
      <c r="P42" s="10">
        <f>SUMIFS('PLAN BUDGET SAMI-JF'!AY13:AY100000,'PLAN BUDGET SAMI-JF'!D13:D100000,SUMMARY!D42,'PLAN BUDGET SAMI-JF'!J13:J100000,SUMMARY!A42&amp;"*")</f>
        <v>0</v>
      </c>
      <c r="Q42" s="10">
        <f>SUMIFS('PLAN BUDGET SAMI-JF'!BC13:BC100000,'PLAN BUDGET SAMI-JF'!D13:D100000,SUMMARY!D42,'PLAN BUDGET SAMI-JF'!J13:J100000,SUMMARY!A42&amp;"*")</f>
        <v>0</v>
      </c>
      <c r="R42" s="10">
        <f>SUMIFS('PLAN BUDGET SAMI-JF'!BD13:BD100000,'PLAN BUDGET SAMI-JF'!D13:D100000,SUMMARY!D42,'PLAN BUDGET SAMI-JF'!J13:J100000,SUMMARY!A42&amp;"*")</f>
        <v>0</v>
      </c>
      <c r="S42" s="10">
        <f>SUMIFS('PLAN BUDGET SAMI-JF'!BE13:BE100000,'PLAN BUDGET SAMI-JF'!D13:D100000,SUMMARY!D42,'PLAN BUDGET SAMI-JF'!J13:J100000,SUMMARY!A42&amp;"*")</f>
        <v>0</v>
      </c>
      <c r="T42" s="10">
        <f>SUMIFS('PLAN BUDGET SAMI-JF'!BF13:BF100000,'PLAN BUDGET SAMI-JF'!D13:D100000,SUMMARY!D42,'PLAN BUDGET SAMI-JF'!J13:J100000,SUMMARY!A42&amp;"*")</f>
        <v>0</v>
      </c>
      <c r="U42" s="10">
        <f>SUMIFS('PLAN BUDGET SAMI-JF'!BG13:BG100000,'PLAN BUDGET SAMI-JF'!D13:D100000,SUMMARY!D42,'PLAN BUDGET SAMI-JF'!J13:J100000,SUMMARY!A42&amp;"*")</f>
        <v>0</v>
      </c>
      <c r="V42" s="10">
        <f>SUMIFS('PLAN BUDGET SAMI-JF'!BH13:BH100000,'PLAN BUDGET SAMI-JF'!D13:D100000,SUMMARY!D42,'PLAN BUDGET SAMI-JF'!J13:J100000,SUMMARY!A42&amp;"*")</f>
        <v>0</v>
      </c>
      <c r="W42" s="10">
        <f>SUMIFS('PLAN BUDGET SAMI-JF'!BI13:BI100000,'PLAN BUDGET SAMI-JF'!D13:D100000,SUMMARY!D42,'PLAN BUDGET SAMI-JF'!J13:J100000,SUMMARY!A42&amp;"*")</f>
        <v>0</v>
      </c>
      <c r="X42" s="10">
        <f>SUMIFS('PLAN BUDGET SAMI-JF'!BJ13:BJ100000,'PLAN BUDGET SAMI-JF'!D13:D100000,SUMMARY!D42,'PLAN BUDGET SAMI-JF'!J13:J100000,SUMMARY!A42&amp;"*")</f>
        <v>0</v>
      </c>
      <c r="Y42" s="10">
        <f>SUMIFS('PLAN BUDGET SAMI-JF'!BK13:BK100000,'PLAN BUDGET SAMI-JF'!D13:D100000,SUMMARY!D42,'PLAN BUDGET SAMI-JF'!J13:J100000,SUMMARY!A42&amp;"*")</f>
        <v>0</v>
      </c>
      <c r="Z42" s="10">
        <f>SUMIFS('PLAN BUDGET SAMI-JF'!BL13:BL100000,'PLAN BUDGET SAMI-JF'!D13:D100000,SUMMARY!D42,'PLAN BUDGET SAMI-JF'!J13:J100000,SUMMARY!A42&amp;"*")</f>
        <v>0</v>
      </c>
      <c r="AA42" s="10">
        <f>SUMIFS('PLAN BUDGET SAMI-JF'!BM13:BM100000,'PLAN BUDGET SAMI-JF'!D13:D100000,SUMMARY!D42,'PLAN BUDGET SAMI-JF'!J13:J100000,SUMMARY!A42&amp;"*")</f>
        <v>0</v>
      </c>
      <c r="AB42" s="10">
        <f>SUMIFS('PLAN BUDGET SAMI-JF'!BN13:BN100000,'PLAN BUDGET SAMI-JF'!D13:D100000,SUMMARY!D42,'PLAN BUDGET SAMI-JF'!J13:J100000,SUMMARY!A42&amp;"*")</f>
        <v>0</v>
      </c>
      <c r="AC42" s="10">
        <f t="shared" si="4"/>
        <v>0</v>
      </c>
      <c r="AD42" s="10">
        <f t="shared" si="5"/>
        <v>0</v>
      </c>
      <c r="AE42" s="16"/>
      <c r="AF42" s="10">
        <v>50</v>
      </c>
      <c r="AG42" s="10">
        <v>1788.13312572</v>
      </c>
      <c r="AH42" s="20">
        <f t="shared" si="6"/>
        <v>-1</v>
      </c>
      <c r="AI42" s="20">
        <f t="shared" si="7"/>
        <v>-1</v>
      </c>
      <c r="AJ42" s="7" t="s">
        <v>201</v>
      </c>
    </row>
    <row r="43" spans="1:36" x14ac:dyDescent="0.35">
      <c r="A43" s="7" t="s">
        <v>151</v>
      </c>
      <c r="B43" s="7"/>
      <c r="C43" s="7"/>
      <c r="D43" s="7" t="s">
        <v>212</v>
      </c>
      <c r="E43" s="10">
        <f>SUMIFS('PLAN BUDGET SAMI-JF'!AN13:AN100000,'PLAN BUDGET SAMI-JF'!D13:D100000,SUMMARY!D43,'PLAN BUDGET SAMI-JF'!J13:J100000,SUMMARY!A43&amp;"*")</f>
        <v>0</v>
      </c>
      <c r="F43" s="10">
        <f>SUMIFS('PLAN BUDGET SAMI-JF'!AO13:AO100000,'PLAN BUDGET SAMI-JF'!D13:D100000,SUMMARY!D43,'PLAN BUDGET SAMI-JF'!J13:J100000,SUMMARY!A43&amp;"*")</f>
        <v>0</v>
      </c>
      <c r="G43" s="10">
        <f>SUMIFS('PLAN BUDGET SAMI-JF'!AP13:AP100000,'PLAN BUDGET SAMI-JF'!D13:D100000,SUMMARY!D43,'PLAN BUDGET SAMI-JF'!J13:J100000,SUMMARY!A43&amp;"*")</f>
        <v>0</v>
      </c>
      <c r="H43" s="10">
        <f>SUMIFS('PLAN BUDGET SAMI-JF'!AQ13:AQ100000,'PLAN BUDGET SAMI-JF'!D13:D100000,SUMMARY!D43,'PLAN BUDGET SAMI-JF'!J13:J100000,SUMMARY!A43&amp;"*")</f>
        <v>0</v>
      </c>
      <c r="I43" s="10">
        <f>SUMIFS('PLAN BUDGET SAMI-JF'!AR13:AR100000,'PLAN BUDGET SAMI-JF'!D13:D100000,SUMMARY!D43,'PLAN BUDGET SAMI-JF'!J13:J100000,SUMMARY!A43&amp;"*")</f>
        <v>0</v>
      </c>
      <c r="J43" s="10">
        <f>SUMIFS('PLAN BUDGET SAMI-JF'!AS13:AS100000,'PLAN BUDGET SAMI-JF'!D13:D100000,SUMMARY!D43,'PLAN BUDGET SAMI-JF'!J13:J100000,SUMMARY!A43&amp;"*")</f>
        <v>0</v>
      </c>
      <c r="K43" s="10">
        <f>SUMIFS('PLAN BUDGET SAMI-JF'!AT13:AT100000,'PLAN BUDGET SAMI-JF'!D13:D100000,SUMMARY!D43,'PLAN BUDGET SAMI-JF'!J13:J100000,SUMMARY!A43&amp;"*")</f>
        <v>0</v>
      </c>
      <c r="L43" s="10">
        <f>SUMIFS('PLAN BUDGET SAMI-JF'!AU13:AU100000,'PLAN BUDGET SAMI-JF'!D13:D100000,SUMMARY!D43,'PLAN BUDGET SAMI-JF'!J13:J100000,SUMMARY!A43&amp;"*")</f>
        <v>0</v>
      </c>
      <c r="M43" s="10">
        <f>SUMIFS('PLAN BUDGET SAMI-JF'!AV13:AV100000,'PLAN BUDGET SAMI-JF'!D13:D100000,SUMMARY!D43,'PLAN BUDGET SAMI-JF'!J13:J100000,SUMMARY!A43&amp;"*")</f>
        <v>0</v>
      </c>
      <c r="N43" s="10">
        <f>SUMIFS('PLAN BUDGET SAMI-JF'!AW13:AW100000,'PLAN BUDGET SAMI-JF'!D13:D100000,SUMMARY!D43,'PLAN BUDGET SAMI-JF'!J13:J100000,SUMMARY!A43&amp;"*")</f>
        <v>0</v>
      </c>
      <c r="O43" s="10">
        <f>SUMIFS('PLAN BUDGET SAMI-JF'!AX13:AX100000,'PLAN BUDGET SAMI-JF'!D13:D100000,SUMMARY!D43,'PLAN BUDGET SAMI-JF'!J13:J100000,SUMMARY!A43&amp;"*")</f>
        <v>0</v>
      </c>
      <c r="P43" s="10">
        <f>SUMIFS('PLAN BUDGET SAMI-JF'!AY13:AY100000,'PLAN BUDGET SAMI-JF'!D13:D100000,SUMMARY!D43,'PLAN BUDGET SAMI-JF'!J13:J100000,SUMMARY!A43&amp;"*")</f>
        <v>0</v>
      </c>
      <c r="Q43" s="10">
        <f>SUMIFS('PLAN BUDGET SAMI-JF'!BC13:BC100000,'PLAN BUDGET SAMI-JF'!D13:D100000,SUMMARY!D43,'PLAN BUDGET SAMI-JF'!J13:J100000,SUMMARY!A43&amp;"*")</f>
        <v>0</v>
      </c>
      <c r="R43" s="10">
        <f>SUMIFS('PLAN BUDGET SAMI-JF'!BD13:BD100000,'PLAN BUDGET SAMI-JF'!D13:D100000,SUMMARY!D43,'PLAN BUDGET SAMI-JF'!J13:J100000,SUMMARY!A43&amp;"*")</f>
        <v>0</v>
      </c>
      <c r="S43" s="10">
        <f>SUMIFS('PLAN BUDGET SAMI-JF'!BE13:BE100000,'PLAN BUDGET SAMI-JF'!D13:D100000,SUMMARY!D43,'PLAN BUDGET SAMI-JF'!J13:J100000,SUMMARY!A43&amp;"*")</f>
        <v>0</v>
      </c>
      <c r="T43" s="10">
        <f>SUMIFS('PLAN BUDGET SAMI-JF'!BF13:BF100000,'PLAN BUDGET SAMI-JF'!D13:D100000,SUMMARY!D43,'PLAN BUDGET SAMI-JF'!J13:J100000,SUMMARY!A43&amp;"*")</f>
        <v>0</v>
      </c>
      <c r="U43" s="10">
        <f>SUMIFS('PLAN BUDGET SAMI-JF'!BG13:BG100000,'PLAN BUDGET SAMI-JF'!D13:D100000,SUMMARY!D43,'PLAN BUDGET SAMI-JF'!J13:J100000,SUMMARY!A43&amp;"*")</f>
        <v>0</v>
      </c>
      <c r="V43" s="10">
        <f>SUMIFS('PLAN BUDGET SAMI-JF'!BH13:BH100000,'PLAN BUDGET SAMI-JF'!D13:D100000,SUMMARY!D43,'PLAN BUDGET SAMI-JF'!J13:J100000,SUMMARY!A43&amp;"*")</f>
        <v>0</v>
      </c>
      <c r="W43" s="10">
        <f>SUMIFS('PLAN BUDGET SAMI-JF'!BI13:BI100000,'PLAN BUDGET SAMI-JF'!D13:D100000,SUMMARY!D43,'PLAN BUDGET SAMI-JF'!J13:J100000,SUMMARY!A43&amp;"*")</f>
        <v>0</v>
      </c>
      <c r="X43" s="10">
        <f>SUMIFS('PLAN BUDGET SAMI-JF'!BJ13:BJ100000,'PLAN BUDGET SAMI-JF'!D13:D100000,SUMMARY!D43,'PLAN BUDGET SAMI-JF'!J13:J100000,SUMMARY!A43&amp;"*")</f>
        <v>0</v>
      </c>
      <c r="Y43" s="10">
        <f>SUMIFS('PLAN BUDGET SAMI-JF'!BK13:BK100000,'PLAN BUDGET SAMI-JF'!D13:D100000,SUMMARY!D43,'PLAN BUDGET SAMI-JF'!J13:J100000,SUMMARY!A43&amp;"*")</f>
        <v>0</v>
      </c>
      <c r="Z43" s="10">
        <f>SUMIFS('PLAN BUDGET SAMI-JF'!BL13:BL100000,'PLAN BUDGET SAMI-JF'!D13:D100000,SUMMARY!D43,'PLAN BUDGET SAMI-JF'!J13:J100000,SUMMARY!A43&amp;"*")</f>
        <v>0</v>
      </c>
      <c r="AA43" s="10">
        <f>SUMIFS('PLAN BUDGET SAMI-JF'!BM13:BM100000,'PLAN BUDGET SAMI-JF'!D13:D100000,SUMMARY!D43,'PLAN BUDGET SAMI-JF'!J13:J100000,SUMMARY!A43&amp;"*")</f>
        <v>0</v>
      </c>
      <c r="AB43" s="10">
        <f>SUMIFS('PLAN BUDGET SAMI-JF'!BN13:BN100000,'PLAN BUDGET SAMI-JF'!D13:D100000,SUMMARY!D43,'PLAN BUDGET SAMI-JF'!J13:J100000,SUMMARY!A43&amp;"*")</f>
        <v>0</v>
      </c>
      <c r="AC43" s="10">
        <f t="shared" si="4"/>
        <v>0</v>
      </c>
      <c r="AD43" s="10">
        <f t="shared" si="5"/>
        <v>0</v>
      </c>
      <c r="AE43" s="16"/>
      <c r="AF43" s="10">
        <v>1</v>
      </c>
      <c r="AG43" s="10">
        <v>175.96495892041</v>
      </c>
      <c r="AH43" s="20">
        <f t="shared" si="6"/>
        <v>-1</v>
      </c>
      <c r="AI43" s="20">
        <f t="shared" si="7"/>
        <v>-1</v>
      </c>
      <c r="AJ43" s="7" t="s">
        <v>201</v>
      </c>
    </row>
    <row r="44" spans="1:36" x14ac:dyDescent="0.35">
      <c r="A44" s="7" t="s">
        <v>151</v>
      </c>
      <c r="B44" s="7"/>
      <c r="C44" s="7"/>
      <c r="D44" s="7" t="s">
        <v>213</v>
      </c>
      <c r="E44" s="10">
        <f>SUMIFS('PLAN BUDGET SAMI-JF'!AN13:AN100000,'PLAN BUDGET SAMI-JF'!D13:D100000,SUMMARY!D44,'PLAN BUDGET SAMI-JF'!J13:J100000,SUMMARY!A44&amp;"*")</f>
        <v>0</v>
      </c>
      <c r="F44" s="10">
        <f>SUMIFS('PLAN BUDGET SAMI-JF'!AO13:AO100000,'PLAN BUDGET SAMI-JF'!D13:D100000,SUMMARY!D44,'PLAN BUDGET SAMI-JF'!J13:J100000,SUMMARY!A44&amp;"*")</f>
        <v>0</v>
      </c>
      <c r="G44" s="10">
        <f>SUMIFS('PLAN BUDGET SAMI-JF'!AP13:AP100000,'PLAN BUDGET SAMI-JF'!D13:D100000,SUMMARY!D44,'PLAN BUDGET SAMI-JF'!J13:J100000,SUMMARY!A44&amp;"*")</f>
        <v>0</v>
      </c>
      <c r="H44" s="10">
        <f>SUMIFS('PLAN BUDGET SAMI-JF'!AQ13:AQ100000,'PLAN BUDGET SAMI-JF'!D13:D100000,SUMMARY!D44,'PLAN BUDGET SAMI-JF'!J13:J100000,SUMMARY!A44&amp;"*")</f>
        <v>0</v>
      </c>
      <c r="I44" s="10">
        <f>SUMIFS('PLAN BUDGET SAMI-JF'!AR13:AR100000,'PLAN BUDGET SAMI-JF'!D13:D100000,SUMMARY!D44,'PLAN BUDGET SAMI-JF'!J13:J100000,SUMMARY!A44&amp;"*")</f>
        <v>0</v>
      </c>
      <c r="J44" s="10">
        <f>SUMIFS('PLAN BUDGET SAMI-JF'!AS13:AS100000,'PLAN BUDGET SAMI-JF'!D13:D100000,SUMMARY!D44,'PLAN BUDGET SAMI-JF'!J13:J100000,SUMMARY!A44&amp;"*")</f>
        <v>0</v>
      </c>
      <c r="K44" s="10">
        <f>SUMIFS('PLAN BUDGET SAMI-JF'!AT13:AT100000,'PLAN BUDGET SAMI-JF'!D13:D100000,SUMMARY!D44,'PLAN BUDGET SAMI-JF'!J13:J100000,SUMMARY!A44&amp;"*")</f>
        <v>0</v>
      </c>
      <c r="L44" s="10">
        <f>SUMIFS('PLAN BUDGET SAMI-JF'!AU13:AU100000,'PLAN BUDGET SAMI-JF'!D13:D100000,SUMMARY!D44,'PLAN BUDGET SAMI-JF'!J13:J100000,SUMMARY!A44&amp;"*")</f>
        <v>0</v>
      </c>
      <c r="M44" s="10">
        <f>SUMIFS('PLAN BUDGET SAMI-JF'!AV13:AV100000,'PLAN BUDGET SAMI-JF'!D13:D100000,SUMMARY!D44,'PLAN BUDGET SAMI-JF'!J13:J100000,SUMMARY!A44&amp;"*")</f>
        <v>0</v>
      </c>
      <c r="N44" s="10">
        <f>SUMIFS('PLAN BUDGET SAMI-JF'!AW13:AW100000,'PLAN BUDGET SAMI-JF'!D13:D100000,SUMMARY!D44,'PLAN BUDGET SAMI-JF'!J13:J100000,SUMMARY!A44&amp;"*")</f>
        <v>0</v>
      </c>
      <c r="O44" s="10">
        <f>SUMIFS('PLAN BUDGET SAMI-JF'!AX13:AX100000,'PLAN BUDGET SAMI-JF'!D13:D100000,SUMMARY!D44,'PLAN BUDGET SAMI-JF'!J13:J100000,SUMMARY!A44&amp;"*")</f>
        <v>0</v>
      </c>
      <c r="P44" s="10">
        <f>SUMIFS('PLAN BUDGET SAMI-JF'!AY13:AY100000,'PLAN BUDGET SAMI-JF'!D13:D100000,SUMMARY!D44,'PLAN BUDGET SAMI-JF'!J13:J100000,SUMMARY!A44&amp;"*")</f>
        <v>0</v>
      </c>
      <c r="Q44" s="10">
        <f>SUMIFS('PLAN BUDGET SAMI-JF'!BC13:BC100000,'PLAN BUDGET SAMI-JF'!D13:D100000,SUMMARY!D44,'PLAN BUDGET SAMI-JF'!J13:J100000,SUMMARY!A44&amp;"*")</f>
        <v>0</v>
      </c>
      <c r="R44" s="10">
        <f>SUMIFS('PLAN BUDGET SAMI-JF'!BD13:BD100000,'PLAN BUDGET SAMI-JF'!D13:D100000,SUMMARY!D44,'PLAN BUDGET SAMI-JF'!J13:J100000,SUMMARY!A44&amp;"*")</f>
        <v>0</v>
      </c>
      <c r="S44" s="10">
        <f>SUMIFS('PLAN BUDGET SAMI-JF'!BE13:BE100000,'PLAN BUDGET SAMI-JF'!D13:D100000,SUMMARY!D44,'PLAN BUDGET SAMI-JF'!J13:J100000,SUMMARY!A44&amp;"*")</f>
        <v>0</v>
      </c>
      <c r="T44" s="10">
        <f>SUMIFS('PLAN BUDGET SAMI-JF'!BF13:BF100000,'PLAN BUDGET SAMI-JF'!D13:D100000,SUMMARY!D44,'PLAN BUDGET SAMI-JF'!J13:J100000,SUMMARY!A44&amp;"*")</f>
        <v>0</v>
      </c>
      <c r="U44" s="10">
        <f>SUMIFS('PLAN BUDGET SAMI-JF'!BG13:BG100000,'PLAN BUDGET SAMI-JF'!D13:D100000,SUMMARY!D44,'PLAN BUDGET SAMI-JF'!J13:J100000,SUMMARY!A44&amp;"*")</f>
        <v>0</v>
      </c>
      <c r="V44" s="10">
        <f>SUMIFS('PLAN BUDGET SAMI-JF'!BH13:BH100000,'PLAN BUDGET SAMI-JF'!D13:D100000,SUMMARY!D44,'PLAN BUDGET SAMI-JF'!J13:J100000,SUMMARY!A44&amp;"*")</f>
        <v>0</v>
      </c>
      <c r="W44" s="10">
        <f>SUMIFS('PLAN BUDGET SAMI-JF'!BI13:BI100000,'PLAN BUDGET SAMI-JF'!D13:D100000,SUMMARY!D44,'PLAN BUDGET SAMI-JF'!J13:J100000,SUMMARY!A44&amp;"*")</f>
        <v>0</v>
      </c>
      <c r="X44" s="10">
        <f>SUMIFS('PLAN BUDGET SAMI-JF'!BJ13:BJ100000,'PLAN BUDGET SAMI-JF'!D13:D100000,SUMMARY!D44,'PLAN BUDGET SAMI-JF'!J13:J100000,SUMMARY!A44&amp;"*")</f>
        <v>0</v>
      </c>
      <c r="Y44" s="10">
        <f>SUMIFS('PLAN BUDGET SAMI-JF'!BK13:BK100000,'PLAN BUDGET SAMI-JF'!D13:D100000,SUMMARY!D44,'PLAN BUDGET SAMI-JF'!J13:J100000,SUMMARY!A44&amp;"*")</f>
        <v>0</v>
      </c>
      <c r="Z44" s="10">
        <f>SUMIFS('PLAN BUDGET SAMI-JF'!BL13:BL100000,'PLAN BUDGET SAMI-JF'!D13:D100000,SUMMARY!D44,'PLAN BUDGET SAMI-JF'!J13:J100000,SUMMARY!A44&amp;"*")</f>
        <v>0</v>
      </c>
      <c r="AA44" s="10">
        <f>SUMIFS('PLAN BUDGET SAMI-JF'!BM13:BM100000,'PLAN BUDGET SAMI-JF'!D13:D100000,SUMMARY!D44,'PLAN BUDGET SAMI-JF'!J13:J100000,SUMMARY!A44&amp;"*")</f>
        <v>0</v>
      </c>
      <c r="AB44" s="10">
        <f>SUMIFS('PLAN BUDGET SAMI-JF'!BN13:BN100000,'PLAN BUDGET SAMI-JF'!D13:D100000,SUMMARY!D44,'PLAN BUDGET SAMI-JF'!J13:J100000,SUMMARY!A44&amp;"*")</f>
        <v>0</v>
      </c>
      <c r="AC44" s="10">
        <f t="shared" si="4"/>
        <v>0</v>
      </c>
      <c r="AD44" s="10">
        <f t="shared" si="5"/>
        <v>0</v>
      </c>
      <c r="AE44" s="16"/>
      <c r="AF44" s="10">
        <v>1</v>
      </c>
      <c r="AG44" s="10">
        <v>696.26422594406995</v>
      </c>
      <c r="AH44" s="20">
        <f t="shared" si="6"/>
        <v>-1</v>
      </c>
      <c r="AI44" s="20">
        <f t="shared" si="7"/>
        <v>-1</v>
      </c>
      <c r="AJ44" s="7" t="s">
        <v>201</v>
      </c>
    </row>
    <row r="45" spans="1:36" x14ac:dyDescent="0.35">
      <c r="A45" s="7" t="s">
        <v>151</v>
      </c>
      <c r="B45" s="7"/>
      <c r="C45" s="7"/>
      <c r="D45" s="7" t="s">
        <v>214</v>
      </c>
      <c r="E45" s="10">
        <f>SUMIFS('PLAN BUDGET SAMI-JF'!AN13:AN100000,'PLAN BUDGET SAMI-JF'!D13:D100000,SUMMARY!D45,'PLAN BUDGET SAMI-JF'!J13:J100000,SUMMARY!A45&amp;"*")</f>
        <v>0</v>
      </c>
      <c r="F45" s="10">
        <f>SUMIFS('PLAN BUDGET SAMI-JF'!AO13:AO100000,'PLAN BUDGET SAMI-JF'!D13:D100000,SUMMARY!D45,'PLAN BUDGET SAMI-JF'!J13:J100000,SUMMARY!A45&amp;"*")</f>
        <v>0</v>
      </c>
      <c r="G45" s="10">
        <f>SUMIFS('PLAN BUDGET SAMI-JF'!AP13:AP100000,'PLAN BUDGET SAMI-JF'!D13:D100000,SUMMARY!D45,'PLAN BUDGET SAMI-JF'!J13:J100000,SUMMARY!A45&amp;"*")</f>
        <v>0</v>
      </c>
      <c r="H45" s="10">
        <f>SUMIFS('PLAN BUDGET SAMI-JF'!AQ13:AQ100000,'PLAN BUDGET SAMI-JF'!D13:D100000,SUMMARY!D45,'PLAN BUDGET SAMI-JF'!J13:J100000,SUMMARY!A45&amp;"*")</f>
        <v>0</v>
      </c>
      <c r="I45" s="10">
        <f>SUMIFS('PLAN BUDGET SAMI-JF'!AR13:AR100000,'PLAN BUDGET SAMI-JF'!D13:D100000,SUMMARY!D45,'PLAN BUDGET SAMI-JF'!J13:J100000,SUMMARY!A45&amp;"*")</f>
        <v>0</v>
      </c>
      <c r="J45" s="10">
        <f>SUMIFS('PLAN BUDGET SAMI-JF'!AS13:AS100000,'PLAN BUDGET SAMI-JF'!D13:D100000,SUMMARY!D45,'PLAN BUDGET SAMI-JF'!J13:J100000,SUMMARY!A45&amp;"*")</f>
        <v>0</v>
      </c>
      <c r="K45" s="10">
        <f>SUMIFS('PLAN BUDGET SAMI-JF'!AT13:AT100000,'PLAN BUDGET SAMI-JF'!D13:D100000,SUMMARY!D45,'PLAN BUDGET SAMI-JF'!J13:J100000,SUMMARY!A45&amp;"*")</f>
        <v>0</v>
      </c>
      <c r="L45" s="10">
        <f>SUMIFS('PLAN BUDGET SAMI-JF'!AU13:AU100000,'PLAN BUDGET SAMI-JF'!D13:D100000,SUMMARY!D45,'PLAN BUDGET SAMI-JF'!J13:J100000,SUMMARY!A45&amp;"*")</f>
        <v>0</v>
      </c>
      <c r="M45" s="10">
        <f>SUMIFS('PLAN BUDGET SAMI-JF'!AV13:AV100000,'PLAN BUDGET SAMI-JF'!D13:D100000,SUMMARY!D45,'PLAN BUDGET SAMI-JF'!J13:J100000,SUMMARY!A45&amp;"*")</f>
        <v>0</v>
      </c>
      <c r="N45" s="10">
        <f>SUMIFS('PLAN BUDGET SAMI-JF'!AW13:AW100000,'PLAN BUDGET SAMI-JF'!D13:D100000,SUMMARY!D45,'PLAN BUDGET SAMI-JF'!J13:J100000,SUMMARY!A45&amp;"*")</f>
        <v>0</v>
      </c>
      <c r="O45" s="10">
        <f>SUMIFS('PLAN BUDGET SAMI-JF'!AX13:AX100000,'PLAN BUDGET SAMI-JF'!D13:D100000,SUMMARY!D45,'PLAN BUDGET SAMI-JF'!J13:J100000,SUMMARY!A45&amp;"*")</f>
        <v>0</v>
      </c>
      <c r="P45" s="10">
        <f>SUMIFS('PLAN BUDGET SAMI-JF'!AY13:AY100000,'PLAN BUDGET SAMI-JF'!D13:D100000,SUMMARY!D45,'PLAN BUDGET SAMI-JF'!J13:J100000,SUMMARY!A45&amp;"*")</f>
        <v>0</v>
      </c>
      <c r="Q45" s="10">
        <f>SUMIFS('PLAN BUDGET SAMI-JF'!BC13:BC100000,'PLAN BUDGET SAMI-JF'!D13:D100000,SUMMARY!D45,'PLAN BUDGET SAMI-JF'!J13:J100000,SUMMARY!A45&amp;"*")</f>
        <v>0</v>
      </c>
      <c r="R45" s="10">
        <f>SUMIFS('PLAN BUDGET SAMI-JF'!BD13:BD100000,'PLAN BUDGET SAMI-JF'!D13:D100000,SUMMARY!D45,'PLAN BUDGET SAMI-JF'!J13:J100000,SUMMARY!A45&amp;"*")</f>
        <v>0</v>
      </c>
      <c r="S45" s="10">
        <f>SUMIFS('PLAN BUDGET SAMI-JF'!BE13:BE100000,'PLAN BUDGET SAMI-JF'!D13:D100000,SUMMARY!D45,'PLAN BUDGET SAMI-JF'!J13:J100000,SUMMARY!A45&amp;"*")</f>
        <v>0</v>
      </c>
      <c r="T45" s="10">
        <f>SUMIFS('PLAN BUDGET SAMI-JF'!BF13:BF100000,'PLAN BUDGET SAMI-JF'!D13:D100000,SUMMARY!D45,'PLAN BUDGET SAMI-JF'!J13:J100000,SUMMARY!A45&amp;"*")</f>
        <v>0</v>
      </c>
      <c r="U45" s="10">
        <f>SUMIFS('PLAN BUDGET SAMI-JF'!BG13:BG100000,'PLAN BUDGET SAMI-JF'!D13:D100000,SUMMARY!D45,'PLAN BUDGET SAMI-JF'!J13:J100000,SUMMARY!A45&amp;"*")</f>
        <v>0</v>
      </c>
      <c r="V45" s="10">
        <f>SUMIFS('PLAN BUDGET SAMI-JF'!BH13:BH100000,'PLAN BUDGET SAMI-JF'!D13:D100000,SUMMARY!D45,'PLAN BUDGET SAMI-JF'!J13:J100000,SUMMARY!A45&amp;"*")</f>
        <v>0</v>
      </c>
      <c r="W45" s="10">
        <f>SUMIFS('PLAN BUDGET SAMI-JF'!BI13:BI100000,'PLAN BUDGET SAMI-JF'!D13:D100000,SUMMARY!D45,'PLAN BUDGET SAMI-JF'!J13:J100000,SUMMARY!A45&amp;"*")</f>
        <v>0</v>
      </c>
      <c r="X45" s="10">
        <f>SUMIFS('PLAN BUDGET SAMI-JF'!BJ13:BJ100000,'PLAN BUDGET SAMI-JF'!D13:D100000,SUMMARY!D45,'PLAN BUDGET SAMI-JF'!J13:J100000,SUMMARY!A45&amp;"*")</f>
        <v>0</v>
      </c>
      <c r="Y45" s="10">
        <f>SUMIFS('PLAN BUDGET SAMI-JF'!BK13:BK100000,'PLAN BUDGET SAMI-JF'!D13:D100000,SUMMARY!D45,'PLAN BUDGET SAMI-JF'!J13:J100000,SUMMARY!A45&amp;"*")</f>
        <v>0</v>
      </c>
      <c r="Z45" s="10">
        <f>SUMIFS('PLAN BUDGET SAMI-JF'!BL13:BL100000,'PLAN BUDGET SAMI-JF'!D13:D100000,SUMMARY!D45,'PLAN BUDGET SAMI-JF'!J13:J100000,SUMMARY!A45&amp;"*")</f>
        <v>0</v>
      </c>
      <c r="AA45" s="10">
        <f>SUMIFS('PLAN BUDGET SAMI-JF'!BM13:BM100000,'PLAN BUDGET SAMI-JF'!D13:D100000,SUMMARY!D45,'PLAN BUDGET SAMI-JF'!J13:J100000,SUMMARY!A45&amp;"*")</f>
        <v>0</v>
      </c>
      <c r="AB45" s="10">
        <f>SUMIFS('PLAN BUDGET SAMI-JF'!BN13:BN100000,'PLAN BUDGET SAMI-JF'!D13:D100000,SUMMARY!D45,'PLAN BUDGET SAMI-JF'!J13:J100000,SUMMARY!A45&amp;"*")</f>
        <v>0</v>
      </c>
      <c r="AC45" s="10">
        <f t="shared" si="4"/>
        <v>0</v>
      </c>
      <c r="AD45" s="10">
        <f t="shared" si="5"/>
        <v>0</v>
      </c>
      <c r="AE45" s="16"/>
      <c r="AF45" s="10">
        <v>30</v>
      </c>
      <c r="AG45" s="10">
        <v>1784.9682883293001</v>
      </c>
      <c r="AH45" s="20">
        <f t="shared" si="6"/>
        <v>-1</v>
      </c>
      <c r="AI45" s="20">
        <f t="shared" si="7"/>
        <v>-1</v>
      </c>
      <c r="AJ45" s="7" t="s">
        <v>201</v>
      </c>
    </row>
    <row r="46" spans="1:36" x14ac:dyDescent="0.35">
      <c r="A46" s="7" t="s">
        <v>151</v>
      </c>
      <c r="B46" s="7"/>
      <c r="C46" s="7"/>
      <c r="D46" s="7" t="s">
        <v>215</v>
      </c>
      <c r="E46" s="10">
        <f>SUMIFS('PLAN BUDGET SAMI-JF'!AN13:AN100000,'PLAN BUDGET SAMI-JF'!D13:D100000,SUMMARY!D46,'PLAN BUDGET SAMI-JF'!J13:J100000,SUMMARY!A46&amp;"*")</f>
        <v>0</v>
      </c>
      <c r="F46" s="10">
        <f>SUMIFS('PLAN BUDGET SAMI-JF'!AO13:AO100000,'PLAN BUDGET SAMI-JF'!D13:D100000,SUMMARY!D46,'PLAN BUDGET SAMI-JF'!J13:J100000,SUMMARY!A46&amp;"*")</f>
        <v>0</v>
      </c>
      <c r="G46" s="10">
        <f>SUMIFS('PLAN BUDGET SAMI-JF'!AP13:AP100000,'PLAN BUDGET SAMI-JF'!D13:D100000,SUMMARY!D46,'PLAN BUDGET SAMI-JF'!J13:J100000,SUMMARY!A46&amp;"*")</f>
        <v>0</v>
      </c>
      <c r="H46" s="10">
        <f>SUMIFS('PLAN BUDGET SAMI-JF'!AQ13:AQ100000,'PLAN BUDGET SAMI-JF'!D13:D100000,SUMMARY!D46,'PLAN BUDGET SAMI-JF'!J13:J100000,SUMMARY!A46&amp;"*")</f>
        <v>0</v>
      </c>
      <c r="I46" s="10">
        <f>SUMIFS('PLAN BUDGET SAMI-JF'!AR13:AR100000,'PLAN BUDGET SAMI-JF'!D13:D100000,SUMMARY!D46,'PLAN BUDGET SAMI-JF'!J13:J100000,SUMMARY!A46&amp;"*")</f>
        <v>0</v>
      </c>
      <c r="J46" s="10">
        <f>SUMIFS('PLAN BUDGET SAMI-JF'!AS13:AS100000,'PLAN BUDGET SAMI-JF'!D13:D100000,SUMMARY!D46,'PLAN BUDGET SAMI-JF'!J13:J100000,SUMMARY!A46&amp;"*")</f>
        <v>0</v>
      </c>
      <c r="K46" s="10">
        <f>SUMIFS('PLAN BUDGET SAMI-JF'!AT13:AT100000,'PLAN BUDGET SAMI-JF'!D13:D100000,SUMMARY!D46,'PLAN BUDGET SAMI-JF'!J13:J100000,SUMMARY!A46&amp;"*")</f>
        <v>0</v>
      </c>
      <c r="L46" s="10">
        <f>SUMIFS('PLAN BUDGET SAMI-JF'!AU13:AU100000,'PLAN BUDGET SAMI-JF'!D13:D100000,SUMMARY!D46,'PLAN BUDGET SAMI-JF'!J13:J100000,SUMMARY!A46&amp;"*")</f>
        <v>0</v>
      </c>
      <c r="M46" s="10">
        <f>SUMIFS('PLAN BUDGET SAMI-JF'!AV13:AV100000,'PLAN BUDGET SAMI-JF'!D13:D100000,SUMMARY!D46,'PLAN BUDGET SAMI-JF'!J13:J100000,SUMMARY!A46&amp;"*")</f>
        <v>0</v>
      </c>
      <c r="N46" s="10">
        <f>SUMIFS('PLAN BUDGET SAMI-JF'!AW13:AW100000,'PLAN BUDGET SAMI-JF'!D13:D100000,SUMMARY!D46,'PLAN BUDGET SAMI-JF'!J13:J100000,SUMMARY!A46&amp;"*")</f>
        <v>0</v>
      </c>
      <c r="O46" s="10">
        <f>SUMIFS('PLAN BUDGET SAMI-JF'!AX13:AX100000,'PLAN BUDGET SAMI-JF'!D13:D100000,SUMMARY!D46,'PLAN BUDGET SAMI-JF'!J13:J100000,SUMMARY!A46&amp;"*")</f>
        <v>0</v>
      </c>
      <c r="P46" s="10">
        <f>SUMIFS('PLAN BUDGET SAMI-JF'!AY13:AY100000,'PLAN BUDGET SAMI-JF'!D13:D100000,SUMMARY!D46,'PLAN BUDGET SAMI-JF'!J13:J100000,SUMMARY!A46&amp;"*")</f>
        <v>0</v>
      </c>
      <c r="Q46" s="10">
        <f>SUMIFS('PLAN BUDGET SAMI-JF'!BC13:BC100000,'PLAN BUDGET SAMI-JF'!D13:D100000,SUMMARY!D46,'PLAN BUDGET SAMI-JF'!J13:J100000,SUMMARY!A46&amp;"*")</f>
        <v>0</v>
      </c>
      <c r="R46" s="10">
        <f>SUMIFS('PLAN BUDGET SAMI-JF'!BD13:BD100000,'PLAN BUDGET SAMI-JF'!D13:D100000,SUMMARY!D46,'PLAN BUDGET SAMI-JF'!J13:J100000,SUMMARY!A46&amp;"*")</f>
        <v>0</v>
      </c>
      <c r="S46" s="10">
        <f>SUMIFS('PLAN BUDGET SAMI-JF'!BE13:BE100000,'PLAN BUDGET SAMI-JF'!D13:D100000,SUMMARY!D46,'PLAN BUDGET SAMI-JF'!J13:J100000,SUMMARY!A46&amp;"*")</f>
        <v>0</v>
      </c>
      <c r="T46" s="10">
        <f>SUMIFS('PLAN BUDGET SAMI-JF'!BF13:BF100000,'PLAN BUDGET SAMI-JF'!D13:D100000,SUMMARY!D46,'PLAN BUDGET SAMI-JF'!J13:J100000,SUMMARY!A46&amp;"*")</f>
        <v>0</v>
      </c>
      <c r="U46" s="10">
        <f>SUMIFS('PLAN BUDGET SAMI-JF'!BG13:BG100000,'PLAN BUDGET SAMI-JF'!D13:D100000,SUMMARY!D46,'PLAN BUDGET SAMI-JF'!J13:J100000,SUMMARY!A46&amp;"*")</f>
        <v>0</v>
      </c>
      <c r="V46" s="10">
        <f>SUMIFS('PLAN BUDGET SAMI-JF'!BH13:BH100000,'PLAN BUDGET SAMI-JF'!D13:D100000,SUMMARY!D46,'PLAN BUDGET SAMI-JF'!J13:J100000,SUMMARY!A46&amp;"*")</f>
        <v>0</v>
      </c>
      <c r="W46" s="10">
        <f>SUMIFS('PLAN BUDGET SAMI-JF'!BI13:BI100000,'PLAN BUDGET SAMI-JF'!D13:D100000,SUMMARY!D46,'PLAN BUDGET SAMI-JF'!J13:J100000,SUMMARY!A46&amp;"*")</f>
        <v>0</v>
      </c>
      <c r="X46" s="10">
        <f>SUMIFS('PLAN BUDGET SAMI-JF'!BJ13:BJ100000,'PLAN BUDGET SAMI-JF'!D13:D100000,SUMMARY!D46,'PLAN BUDGET SAMI-JF'!J13:J100000,SUMMARY!A46&amp;"*")</f>
        <v>0</v>
      </c>
      <c r="Y46" s="10">
        <f>SUMIFS('PLAN BUDGET SAMI-JF'!BK13:BK100000,'PLAN BUDGET SAMI-JF'!D13:D100000,SUMMARY!D46,'PLAN BUDGET SAMI-JF'!J13:J100000,SUMMARY!A46&amp;"*")</f>
        <v>0</v>
      </c>
      <c r="Z46" s="10">
        <f>SUMIFS('PLAN BUDGET SAMI-JF'!BL13:BL100000,'PLAN BUDGET SAMI-JF'!D13:D100000,SUMMARY!D46,'PLAN BUDGET SAMI-JF'!J13:J100000,SUMMARY!A46&amp;"*")</f>
        <v>0</v>
      </c>
      <c r="AA46" s="10">
        <f>SUMIFS('PLAN BUDGET SAMI-JF'!BM13:BM100000,'PLAN BUDGET SAMI-JF'!D13:D100000,SUMMARY!D46,'PLAN BUDGET SAMI-JF'!J13:J100000,SUMMARY!A46&amp;"*")</f>
        <v>0</v>
      </c>
      <c r="AB46" s="10">
        <f>SUMIFS('PLAN BUDGET SAMI-JF'!BN13:BN100000,'PLAN BUDGET SAMI-JF'!D13:D100000,SUMMARY!D46,'PLAN BUDGET SAMI-JF'!J13:J100000,SUMMARY!A46&amp;"*")</f>
        <v>0</v>
      </c>
      <c r="AC46" s="10">
        <f t="shared" si="4"/>
        <v>0</v>
      </c>
      <c r="AD46" s="10">
        <f t="shared" si="5"/>
        <v>0</v>
      </c>
      <c r="AE46" s="16"/>
      <c r="AF46" s="10">
        <v>1</v>
      </c>
      <c r="AG46" s="10">
        <v>224.70345473649999</v>
      </c>
      <c r="AH46" s="20">
        <f t="shared" si="6"/>
        <v>-1</v>
      </c>
      <c r="AI46" s="20">
        <f t="shared" si="7"/>
        <v>-1</v>
      </c>
      <c r="AJ46" s="7" t="s">
        <v>201</v>
      </c>
    </row>
    <row r="47" spans="1:36" x14ac:dyDescent="0.35">
      <c r="A47" s="7" t="s">
        <v>151</v>
      </c>
      <c r="B47" s="7"/>
      <c r="C47" s="7"/>
      <c r="D47" s="7" t="s">
        <v>139</v>
      </c>
      <c r="E47" s="10">
        <f>SUMIFS('PLAN BUDGET SAMI-JF'!AN13:AN100000,'PLAN BUDGET SAMI-JF'!D13:D100000,SUMMARY!D47,'PLAN BUDGET SAMI-JF'!J13:J100000,SUMMARY!A47&amp;"*")</f>
        <v>0</v>
      </c>
      <c r="F47" s="10">
        <f>SUMIFS('PLAN BUDGET SAMI-JF'!AO13:AO100000,'PLAN BUDGET SAMI-JF'!D13:D100000,SUMMARY!D47,'PLAN BUDGET SAMI-JF'!J13:J100000,SUMMARY!A47&amp;"*")</f>
        <v>0</v>
      </c>
      <c r="G47" s="10">
        <f>SUMIFS('PLAN BUDGET SAMI-JF'!AP13:AP100000,'PLAN BUDGET SAMI-JF'!D13:D100000,SUMMARY!D47,'PLAN BUDGET SAMI-JF'!J13:J100000,SUMMARY!A47&amp;"*")</f>
        <v>0</v>
      </c>
      <c r="H47" s="10">
        <f>SUMIFS('PLAN BUDGET SAMI-JF'!AQ13:AQ100000,'PLAN BUDGET SAMI-JF'!D13:D100000,SUMMARY!D47,'PLAN BUDGET SAMI-JF'!J13:J100000,SUMMARY!A47&amp;"*")</f>
        <v>0</v>
      </c>
      <c r="I47" s="10">
        <f>SUMIFS('PLAN BUDGET SAMI-JF'!AR13:AR100000,'PLAN BUDGET SAMI-JF'!D13:D100000,SUMMARY!D47,'PLAN BUDGET SAMI-JF'!J13:J100000,SUMMARY!A47&amp;"*")</f>
        <v>0</v>
      </c>
      <c r="J47" s="10">
        <f>SUMIFS('PLAN BUDGET SAMI-JF'!AS13:AS100000,'PLAN BUDGET SAMI-JF'!D13:D100000,SUMMARY!D47,'PLAN BUDGET SAMI-JF'!J13:J100000,SUMMARY!A47&amp;"*")</f>
        <v>0</v>
      </c>
      <c r="K47" s="10">
        <f>SUMIFS('PLAN BUDGET SAMI-JF'!AT13:AT100000,'PLAN BUDGET SAMI-JF'!D13:D100000,SUMMARY!D47,'PLAN BUDGET SAMI-JF'!J13:J100000,SUMMARY!A47&amp;"*")</f>
        <v>0</v>
      </c>
      <c r="L47" s="10">
        <f>SUMIFS('PLAN BUDGET SAMI-JF'!AU13:AU100000,'PLAN BUDGET SAMI-JF'!D13:D100000,SUMMARY!D47,'PLAN BUDGET SAMI-JF'!J13:J100000,SUMMARY!A47&amp;"*")</f>
        <v>0</v>
      </c>
      <c r="M47" s="10">
        <f>SUMIFS('PLAN BUDGET SAMI-JF'!AV13:AV100000,'PLAN BUDGET SAMI-JF'!D13:D100000,SUMMARY!D47,'PLAN BUDGET SAMI-JF'!J13:J100000,SUMMARY!A47&amp;"*")</f>
        <v>0</v>
      </c>
      <c r="N47" s="10">
        <f>SUMIFS('PLAN BUDGET SAMI-JF'!AW13:AW100000,'PLAN BUDGET SAMI-JF'!D13:D100000,SUMMARY!D47,'PLAN BUDGET SAMI-JF'!J13:J100000,SUMMARY!A47&amp;"*")</f>
        <v>0</v>
      </c>
      <c r="O47" s="10">
        <f>SUMIFS('PLAN BUDGET SAMI-JF'!AX13:AX100000,'PLAN BUDGET SAMI-JF'!D13:D100000,SUMMARY!D47,'PLAN BUDGET SAMI-JF'!J13:J100000,SUMMARY!A47&amp;"*")</f>
        <v>0</v>
      </c>
      <c r="P47" s="10">
        <f>SUMIFS('PLAN BUDGET SAMI-JF'!AY13:AY100000,'PLAN BUDGET SAMI-JF'!D13:D100000,SUMMARY!D47,'PLAN BUDGET SAMI-JF'!J13:J100000,SUMMARY!A47&amp;"*")</f>
        <v>0</v>
      </c>
      <c r="Q47" s="10">
        <f>SUMIFS('PLAN BUDGET SAMI-JF'!BC13:BC100000,'PLAN BUDGET SAMI-JF'!D13:D100000,SUMMARY!D47,'PLAN BUDGET SAMI-JF'!J13:J100000,SUMMARY!A47&amp;"*")</f>
        <v>0</v>
      </c>
      <c r="R47" s="10">
        <f>SUMIFS('PLAN BUDGET SAMI-JF'!BD13:BD100000,'PLAN BUDGET SAMI-JF'!D13:D100000,SUMMARY!D47,'PLAN BUDGET SAMI-JF'!J13:J100000,SUMMARY!A47&amp;"*")</f>
        <v>0</v>
      </c>
      <c r="S47" s="10">
        <f>SUMIFS('PLAN BUDGET SAMI-JF'!BE13:BE100000,'PLAN BUDGET SAMI-JF'!D13:D100000,SUMMARY!D47,'PLAN BUDGET SAMI-JF'!J13:J100000,SUMMARY!A47&amp;"*")</f>
        <v>0</v>
      </c>
      <c r="T47" s="10">
        <f>SUMIFS('PLAN BUDGET SAMI-JF'!BF13:BF100000,'PLAN BUDGET SAMI-JF'!D13:D100000,SUMMARY!D47,'PLAN BUDGET SAMI-JF'!J13:J100000,SUMMARY!A47&amp;"*")</f>
        <v>0</v>
      </c>
      <c r="U47" s="10">
        <f>SUMIFS('PLAN BUDGET SAMI-JF'!BG13:BG100000,'PLAN BUDGET SAMI-JF'!D13:D100000,SUMMARY!D47,'PLAN BUDGET SAMI-JF'!J13:J100000,SUMMARY!A47&amp;"*")</f>
        <v>0</v>
      </c>
      <c r="V47" s="10">
        <f>SUMIFS('PLAN BUDGET SAMI-JF'!BH13:BH100000,'PLAN BUDGET SAMI-JF'!D13:D100000,SUMMARY!D47,'PLAN BUDGET SAMI-JF'!J13:J100000,SUMMARY!A47&amp;"*")</f>
        <v>0</v>
      </c>
      <c r="W47" s="10">
        <f>SUMIFS('PLAN BUDGET SAMI-JF'!BI13:BI100000,'PLAN BUDGET SAMI-JF'!D13:D100000,SUMMARY!D47,'PLAN BUDGET SAMI-JF'!J13:J100000,SUMMARY!A47&amp;"*")</f>
        <v>0</v>
      </c>
      <c r="X47" s="10">
        <f>SUMIFS('PLAN BUDGET SAMI-JF'!BJ13:BJ100000,'PLAN BUDGET SAMI-JF'!D13:D100000,SUMMARY!D47,'PLAN BUDGET SAMI-JF'!J13:J100000,SUMMARY!A47&amp;"*")</f>
        <v>0</v>
      </c>
      <c r="Y47" s="10">
        <f>SUMIFS('PLAN BUDGET SAMI-JF'!BK13:BK100000,'PLAN BUDGET SAMI-JF'!D13:D100000,SUMMARY!D47,'PLAN BUDGET SAMI-JF'!J13:J100000,SUMMARY!A47&amp;"*")</f>
        <v>0</v>
      </c>
      <c r="Z47" s="10">
        <f>SUMIFS('PLAN BUDGET SAMI-JF'!BL13:BL100000,'PLAN BUDGET SAMI-JF'!D13:D100000,SUMMARY!D47,'PLAN BUDGET SAMI-JF'!J13:J100000,SUMMARY!A47&amp;"*")</f>
        <v>0</v>
      </c>
      <c r="AA47" s="10">
        <f>SUMIFS('PLAN BUDGET SAMI-JF'!BM13:BM100000,'PLAN BUDGET SAMI-JF'!D13:D100000,SUMMARY!D47,'PLAN BUDGET SAMI-JF'!J13:J100000,SUMMARY!A47&amp;"*")</f>
        <v>0</v>
      </c>
      <c r="AB47" s="10">
        <f>SUMIFS('PLAN BUDGET SAMI-JF'!BN13:BN100000,'PLAN BUDGET SAMI-JF'!D13:D100000,SUMMARY!D47,'PLAN BUDGET SAMI-JF'!J13:J100000,SUMMARY!A47&amp;"*")</f>
        <v>0</v>
      </c>
      <c r="AC47" s="10">
        <f t="shared" si="4"/>
        <v>0</v>
      </c>
      <c r="AD47" s="10">
        <f t="shared" si="5"/>
        <v>0</v>
      </c>
      <c r="AE47" s="16"/>
      <c r="AF47" s="10">
        <v>30</v>
      </c>
      <c r="AG47" s="10">
        <v>1746.9902396415</v>
      </c>
      <c r="AH47" s="20">
        <f t="shared" si="6"/>
        <v>-1</v>
      </c>
      <c r="AI47" s="20">
        <f t="shared" si="7"/>
        <v>-1</v>
      </c>
      <c r="AJ47" s="7" t="s">
        <v>201</v>
      </c>
    </row>
    <row r="48" spans="1:36" x14ac:dyDescent="0.35">
      <c r="A48" s="7" t="s">
        <v>151</v>
      </c>
      <c r="B48" s="7"/>
      <c r="C48" s="7"/>
      <c r="D48" s="7" t="s">
        <v>216</v>
      </c>
      <c r="E48" s="10">
        <f>SUMIFS('PLAN BUDGET SAMI-JF'!AN13:AN100000,'PLAN BUDGET SAMI-JF'!D13:D100000,SUMMARY!D48,'PLAN BUDGET SAMI-JF'!J13:J100000,SUMMARY!A48&amp;"*")</f>
        <v>0</v>
      </c>
      <c r="F48" s="10">
        <f>SUMIFS('PLAN BUDGET SAMI-JF'!AO13:AO100000,'PLAN BUDGET SAMI-JF'!D13:D100000,SUMMARY!D48,'PLAN BUDGET SAMI-JF'!J13:J100000,SUMMARY!A48&amp;"*")</f>
        <v>0</v>
      </c>
      <c r="G48" s="10">
        <f>SUMIFS('PLAN BUDGET SAMI-JF'!AP13:AP100000,'PLAN BUDGET SAMI-JF'!D13:D100000,SUMMARY!D48,'PLAN BUDGET SAMI-JF'!J13:J100000,SUMMARY!A48&amp;"*")</f>
        <v>0</v>
      </c>
      <c r="H48" s="10">
        <f>SUMIFS('PLAN BUDGET SAMI-JF'!AQ13:AQ100000,'PLAN BUDGET SAMI-JF'!D13:D100000,SUMMARY!D48,'PLAN BUDGET SAMI-JF'!J13:J100000,SUMMARY!A48&amp;"*")</f>
        <v>0</v>
      </c>
      <c r="I48" s="10">
        <f>SUMIFS('PLAN BUDGET SAMI-JF'!AR13:AR100000,'PLAN BUDGET SAMI-JF'!D13:D100000,SUMMARY!D48,'PLAN BUDGET SAMI-JF'!J13:J100000,SUMMARY!A48&amp;"*")</f>
        <v>0</v>
      </c>
      <c r="J48" s="10">
        <f>SUMIFS('PLAN BUDGET SAMI-JF'!AS13:AS100000,'PLAN BUDGET SAMI-JF'!D13:D100000,SUMMARY!D48,'PLAN BUDGET SAMI-JF'!J13:J100000,SUMMARY!A48&amp;"*")</f>
        <v>0</v>
      </c>
      <c r="K48" s="10">
        <f>SUMIFS('PLAN BUDGET SAMI-JF'!AT13:AT100000,'PLAN BUDGET SAMI-JF'!D13:D100000,SUMMARY!D48,'PLAN BUDGET SAMI-JF'!J13:J100000,SUMMARY!A48&amp;"*")</f>
        <v>0</v>
      </c>
      <c r="L48" s="10">
        <f>SUMIFS('PLAN BUDGET SAMI-JF'!AU13:AU100000,'PLAN BUDGET SAMI-JF'!D13:D100000,SUMMARY!D48,'PLAN BUDGET SAMI-JF'!J13:J100000,SUMMARY!A48&amp;"*")</f>
        <v>0</v>
      </c>
      <c r="M48" s="10">
        <f>SUMIFS('PLAN BUDGET SAMI-JF'!AV13:AV100000,'PLAN BUDGET SAMI-JF'!D13:D100000,SUMMARY!D48,'PLAN BUDGET SAMI-JF'!J13:J100000,SUMMARY!A48&amp;"*")</f>
        <v>0</v>
      </c>
      <c r="N48" s="10">
        <f>SUMIFS('PLAN BUDGET SAMI-JF'!AW13:AW100000,'PLAN BUDGET SAMI-JF'!D13:D100000,SUMMARY!D48,'PLAN BUDGET SAMI-JF'!J13:J100000,SUMMARY!A48&amp;"*")</f>
        <v>0</v>
      </c>
      <c r="O48" s="10">
        <f>SUMIFS('PLAN BUDGET SAMI-JF'!AX13:AX100000,'PLAN BUDGET SAMI-JF'!D13:D100000,SUMMARY!D48,'PLAN BUDGET SAMI-JF'!J13:J100000,SUMMARY!A48&amp;"*")</f>
        <v>0</v>
      </c>
      <c r="P48" s="10">
        <f>SUMIFS('PLAN BUDGET SAMI-JF'!AY13:AY100000,'PLAN BUDGET SAMI-JF'!D13:D100000,SUMMARY!D48,'PLAN BUDGET SAMI-JF'!J13:J100000,SUMMARY!A48&amp;"*")</f>
        <v>0</v>
      </c>
      <c r="Q48" s="10">
        <f>SUMIFS('PLAN BUDGET SAMI-JF'!BC13:BC100000,'PLAN BUDGET SAMI-JF'!D13:D100000,SUMMARY!D48,'PLAN BUDGET SAMI-JF'!J13:J100000,SUMMARY!A48&amp;"*")</f>
        <v>0</v>
      </c>
      <c r="R48" s="10">
        <f>SUMIFS('PLAN BUDGET SAMI-JF'!BD13:BD100000,'PLAN BUDGET SAMI-JF'!D13:D100000,SUMMARY!D48,'PLAN BUDGET SAMI-JF'!J13:J100000,SUMMARY!A48&amp;"*")</f>
        <v>0</v>
      </c>
      <c r="S48" s="10">
        <f>SUMIFS('PLAN BUDGET SAMI-JF'!BE13:BE100000,'PLAN BUDGET SAMI-JF'!D13:D100000,SUMMARY!D48,'PLAN BUDGET SAMI-JF'!J13:J100000,SUMMARY!A48&amp;"*")</f>
        <v>0</v>
      </c>
      <c r="T48" s="10">
        <f>SUMIFS('PLAN BUDGET SAMI-JF'!BF13:BF100000,'PLAN BUDGET SAMI-JF'!D13:D100000,SUMMARY!D48,'PLAN BUDGET SAMI-JF'!J13:J100000,SUMMARY!A48&amp;"*")</f>
        <v>0</v>
      </c>
      <c r="U48" s="10">
        <f>SUMIFS('PLAN BUDGET SAMI-JF'!BG13:BG100000,'PLAN BUDGET SAMI-JF'!D13:D100000,SUMMARY!D48,'PLAN BUDGET SAMI-JF'!J13:J100000,SUMMARY!A48&amp;"*")</f>
        <v>0</v>
      </c>
      <c r="V48" s="10">
        <f>SUMIFS('PLAN BUDGET SAMI-JF'!BH13:BH100000,'PLAN BUDGET SAMI-JF'!D13:D100000,SUMMARY!D48,'PLAN BUDGET SAMI-JF'!J13:J100000,SUMMARY!A48&amp;"*")</f>
        <v>0</v>
      </c>
      <c r="W48" s="10">
        <f>SUMIFS('PLAN BUDGET SAMI-JF'!BI13:BI100000,'PLAN BUDGET SAMI-JF'!D13:D100000,SUMMARY!D48,'PLAN BUDGET SAMI-JF'!J13:J100000,SUMMARY!A48&amp;"*")</f>
        <v>0</v>
      </c>
      <c r="X48" s="10">
        <f>SUMIFS('PLAN BUDGET SAMI-JF'!BJ13:BJ100000,'PLAN BUDGET SAMI-JF'!D13:D100000,SUMMARY!D48,'PLAN BUDGET SAMI-JF'!J13:J100000,SUMMARY!A48&amp;"*")</f>
        <v>0</v>
      </c>
      <c r="Y48" s="10">
        <f>SUMIFS('PLAN BUDGET SAMI-JF'!BK13:BK100000,'PLAN BUDGET SAMI-JF'!D13:D100000,SUMMARY!D48,'PLAN BUDGET SAMI-JF'!J13:J100000,SUMMARY!A48&amp;"*")</f>
        <v>0</v>
      </c>
      <c r="Z48" s="10">
        <f>SUMIFS('PLAN BUDGET SAMI-JF'!BL13:BL100000,'PLAN BUDGET SAMI-JF'!D13:D100000,SUMMARY!D48,'PLAN BUDGET SAMI-JF'!J13:J100000,SUMMARY!A48&amp;"*")</f>
        <v>0</v>
      </c>
      <c r="AA48" s="10">
        <f>SUMIFS('PLAN BUDGET SAMI-JF'!BM13:BM100000,'PLAN BUDGET SAMI-JF'!D13:D100000,SUMMARY!D48,'PLAN BUDGET SAMI-JF'!J13:J100000,SUMMARY!A48&amp;"*")</f>
        <v>0</v>
      </c>
      <c r="AB48" s="10">
        <f>SUMIFS('PLAN BUDGET SAMI-JF'!BN13:BN100000,'PLAN BUDGET SAMI-JF'!D13:D100000,SUMMARY!D48,'PLAN BUDGET SAMI-JF'!J13:J100000,SUMMARY!A48&amp;"*")</f>
        <v>0</v>
      </c>
      <c r="AC48" s="10">
        <f t="shared" si="4"/>
        <v>0</v>
      </c>
      <c r="AD48" s="10">
        <f t="shared" si="5"/>
        <v>0</v>
      </c>
      <c r="AE48" s="16"/>
      <c r="AF48" s="10">
        <v>1</v>
      </c>
      <c r="AG48" s="10">
        <v>39.598445431873998</v>
      </c>
      <c r="AH48" s="20">
        <f t="shared" si="6"/>
        <v>-1</v>
      </c>
      <c r="AI48" s="20">
        <f t="shared" si="7"/>
        <v>-1</v>
      </c>
      <c r="AJ48" s="7" t="s">
        <v>201</v>
      </c>
    </row>
    <row r="49" spans="1:36" x14ac:dyDescent="0.35">
      <c r="A49" s="7" t="s">
        <v>151</v>
      </c>
      <c r="B49" s="7"/>
      <c r="C49" s="7"/>
      <c r="D49" s="7" t="s">
        <v>217</v>
      </c>
      <c r="E49" s="10">
        <f>SUMIFS('PLAN BUDGET SAMI-JF'!AN13:AN100000,'PLAN BUDGET SAMI-JF'!D13:D100000,SUMMARY!D49,'PLAN BUDGET SAMI-JF'!J13:J100000,SUMMARY!A49&amp;"*")</f>
        <v>0</v>
      </c>
      <c r="F49" s="10">
        <f>SUMIFS('PLAN BUDGET SAMI-JF'!AO13:AO100000,'PLAN BUDGET SAMI-JF'!D13:D100000,SUMMARY!D49,'PLAN BUDGET SAMI-JF'!J13:J100000,SUMMARY!A49&amp;"*")</f>
        <v>0</v>
      </c>
      <c r="G49" s="10">
        <f>SUMIFS('PLAN BUDGET SAMI-JF'!AP13:AP100000,'PLAN BUDGET SAMI-JF'!D13:D100000,SUMMARY!D49,'PLAN BUDGET SAMI-JF'!J13:J100000,SUMMARY!A49&amp;"*")</f>
        <v>0</v>
      </c>
      <c r="H49" s="10">
        <f>SUMIFS('PLAN BUDGET SAMI-JF'!AQ13:AQ100000,'PLAN BUDGET SAMI-JF'!D13:D100000,SUMMARY!D49,'PLAN BUDGET SAMI-JF'!J13:J100000,SUMMARY!A49&amp;"*")</f>
        <v>0</v>
      </c>
      <c r="I49" s="10">
        <f>SUMIFS('PLAN BUDGET SAMI-JF'!AR13:AR100000,'PLAN BUDGET SAMI-JF'!D13:D100000,SUMMARY!D49,'PLAN BUDGET SAMI-JF'!J13:J100000,SUMMARY!A49&amp;"*")</f>
        <v>0</v>
      </c>
      <c r="J49" s="10">
        <f>SUMIFS('PLAN BUDGET SAMI-JF'!AS13:AS100000,'PLAN BUDGET SAMI-JF'!D13:D100000,SUMMARY!D49,'PLAN BUDGET SAMI-JF'!J13:J100000,SUMMARY!A49&amp;"*")</f>
        <v>0</v>
      </c>
      <c r="K49" s="10">
        <f>SUMIFS('PLAN BUDGET SAMI-JF'!AT13:AT100000,'PLAN BUDGET SAMI-JF'!D13:D100000,SUMMARY!D49,'PLAN BUDGET SAMI-JF'!J13:J100000,SUMMARY!A49&amp;"*")</f>
        <v>0</v>
      </c>
      <c r="L49" s="10">
        <f>SUMIFS('PLAN BUDGET SAMI-JF'!AU13:AU100000,'PLAN BUDGET SAMI-JF'!D13:D100000,SUMMARY!D49,'PLAN BUDGET SAMI-JF'!J13:J100000,SUMMARY!A49&amp;"*")</f>
        <v>0</v>
      </c>
      <c r="M49" s="10">
        <f>SUMIFS('PLAN BUDGET SAMI-JF'!AV13:AV100000,'PLAN BUDGET SAMI-JF'!D13:D100000,SUMMARY!D49,'PLAN BUDGET SAMI-JF'!J13:J100000,SUMMARY!A49&amp;"*")</f>
        <v>0</v>
      </c>
      <c r="N49" s="10">
        <f>SUMIFS('PLAN BUDGET SAMI-JF'!AW13:AW100000,'PLAN BUDGET SAMI-JF'!D13:D100000,SUMMARY!D49,'PLAN BUDGET SAMI-JF'!J13:J100000,SUMMARY!A49&amp;"*")</f>
        <v>0</v>
      </c>
      <c r="O49" s="10">
        <f>SUMIFS('PLAN BUDGET SAMI-JF'!AX13:AX100000,'PLAN BUDGET SAMI-JF'!D13:D100000,SUMMARY!D49,'PLAN BUDGET SAMI-JF'!J13:J100000,SUMMARY!A49&amp;"*")</f>
        <v>0</v>
      </c>
      <c r="P49" s="10">
        <f>SUMIFS('PLAN BUDGET SAMI-JF'!AY13:AY100000,'PLAN BUDGET SAMI-JF'!D13:D100000,SUMMARY!D49,'PLAN BUDGET SAMI-JF'!J13:J100000,SUMMARY!A49&amp;"*")</f>
        <v>0</v>
      </c>
      <c r="Q49" s="10">
        <f>SUMIFS('PLAN BUDGET SAMI-JF'!BC13:BC100000,'PLAN BUDGET SAMI-JF'!D13:D100000,SUMMARY!D49,'PLAN BUDGET SAMI-JF'!J13:J100000,SUMMARY!A49&amp;"*")</f>
        <v>0</v>
      </c>
      <c r="R49" s="10">
        <f>SUMIFS('PLAN BUDGET SAMI-JF'!BD13:BD100000,'PLAN BUDGET SAMI-JF'!D13:D100000,SUMMARY!D49,'PLAN BUDGET SAMI-JF'!J13:J100000,SUMMARY!A49&amp;"*")</f>
        <v>0</v>
      </c>
      <c r="S49" s="10">
        <f>SUMIFS('PLAN BUDGET SAMI-JF'!BE13:BE100000,'PLAN BUDGET SAMI-JF'!D13:D100000,SUMMARY!D49,'PLAN BUDGET SAMI-JF'!J13:J100000,SUMMARY!A49&amp;"*")</f>
        <v>0</v>
      </c>
      <c r="T49" s="10">
        <f>SUMIFS('PLAN BUDGET SAMI-JF'!BF13:BF100000,'PLAN BUDGET SAMI-JF'!D13:D100000,SUMMARY!D49,'PLAN BUDGET SAMI-JF'!J13:J100000,SUMMARY!A49&amp;"*")</f>
        <v>0</v>
      </c>
      <c r="U49" s="10">
        <f>SUMIFS('PLAN BUDGET SAMI-JF'!BG13:BG100000,'PLAN BUDGET SAMI-JF'!D13:D100000,SUMMARY!D49,'PLAN BUDGET SAMI-JF'!J13:J100000,SUMMARY!A49&amp;"*")</f>
        <v>0</v>
      </c>
      <c r="V49" s="10">
        <f>SUMIFS('PLAN BUDGET SAMI-JF'!BH13:BH100000,'PLAN BUDGET SAMI-JF'!D13:D100000,SUMMARY!D49,'PLAN BUDGET SAMI-JF'!J13:J100000,SUMMARY!A49&amp;"*")</f>
        <v>0</v>
      </c>
      <c r="W49" s="10">
        <f>SUMIFS('PLAN BUDGET SAMI-JF'!BI13:BI100000,'PLAN BUDGET SAMI-JF'!D13:D100000,SUMMARY!D49,'PLAN BUDGET SAMI-JF'!J13:J100000,SUMMARY!A49&amp;"*")</f>
        <v>0</v>
      </c>
      <c r="X49" s="10">
        <f>SUMIFS('PLAN BUDGET SAMI-JF'!BJ13:BJ100000,'PLAN BUDGET SAMI-JF'!D13:D100000,SUMMARY!D49,'PLAN BUDGET SAMI-JF'!J13:J100000,SUMMARY!A49&amp;"*")</f>
        <v>0</v>
      </c>
      <c r="Y49" s="10">
        <f>SUMIFS('PLAN BUDGET SAMI-JF'!BK13:BK100000,'PLAN BUDGET SAMI-JF'!D13:D100000,SUMMARY!D49,'PLAN BUDGET SAMI-JF'!J13:J100000,SUMMARY!A49&amp;"*")</f>
        <v>0</v>
      </c>
      <c r="Z49" s="10">
        <f>SUMIFS('PLAN BUDGET SAMI-JF'!BL13:BL100000,'PLAN BUDGET SAMI-JF'!D13:D100000,SUMMARY!D49,'PLAN BUDGET SAMI-JF'!J13:J100000,SUMMARY!A49&amp;"*")</f>
        <v>0</v>
      </c>
      <c r="AA49" s="10">
        <f>SUMIFS('PLAN BUDGET SAMI-JF'!BM13:BM100000,'PLAN BUDGET SAMI-JF'!D13:D100000,SUMMARY!D49,'PLAN BUDGET SAMI-JF'!J13:J100000,SUMMARY!A49&amp;"*")</f>
        <v>0</v>
      </c>
      <c r="AB49" s="10">
        <f>SUMIFS('PLAN BUDGET SAMI-JF'!BN13:BN100000,'PLAN BUDGET SAMI-JF'!D13:D100000,SUMMARY!D49,'PLAN BUDGET SAMI-JF'!J13:J100000,SUMMARY!A49&amp;"*")</f>
        <v>0</v>
      </c>
      <c r="AC49" s="10">
        <f t="shared" si="4"/>
        <v>0</v>
      </c>
      <c r="AD49" s="10">
        <f t="shared" si="5"/>
        <v>0</v>
      </c>
      <c r="AE49" s="16"/>
      <c r="AF49" s="10">
        <v>1</v>
      </c>
      <c r="AG49" s="10">
        <v>104.43963389161</v>
      </c>
      <c r="AH49" s="20">
        <f t="shared" si="6"/>
        <v>-1</v>
      </c>
      <c r="AI49" s="20">
        <f t="shared" si="7"/>
        <v>-1</v>
      </c>
      <c r="AJ49" s="7" t="s">
        <v>201</v>
      </c>
    </row>
    <row r="50" spans="1:36" x14ac:dyDescent="0.35">
      <c r="A50" s="7" t="s">
        <v>151</v>
      </c>
      <c r="B50" s="7"/>
      <c r="C50" s="7"/>
      <c r="D50" s="7" t="s">
        <v>218</v>
      </c>
      <c r="E50" s="10">
        <f>SUMIFS('PLAN BUDGET SAMI-JF'!AN13:AN100000,'PLAN BUDGET SAMI-JF'!D13:D100000,SUMMARY!D50,'PLAN BUDGET SAMI-JF'!J13:J100000,SUMMARY!A50&amp;"*")</f>
        <v>0</v>
      </c>
      <c r="F50" s="10">
        <f>SUMIFS('PLAN BUDGET SAMI-JF'!AO13:AO100000,'PLAN BUDGET SAMI-JF'!D13:D100000,SUMMARY!D50,'PLAN BUDGET SAMI-JF'!J13:J100000,SUMMARY!A50&amp;"*")</f>
        <v>0</v>
      </c>
      <c r="G50" s="10">
        <f>SUMIFS('PLAN BUDGET SAMI-JF'!AP13:AP100000,'PLAN BUDGET SAMI-JF'!D13:D100000,SUMMARY!D50,'PLAN BUDGET SAMI-JF'!J13:J100000,SUMMARY!A50&amp;"*")</f>
        <v>0</v>
      </c>
      <c r="H50" s="10">
        <f>SUMIFS('PLAN BUDGET SAMI-JF'!AQ13:AQ100000,'PLAN BUDGET SAMI-JF'!D13:D100000,SUMMARY!D50,'PLAN BUDGET SAMI-JF'!J13:J100000,SUMMARY!A50&amp;"*")</f>
        <v>0</v>
      </c>
      <c r="I50" s="10">
        <f>SUMIFS('PLAN BUDGET SAMI-JF'!AR13:AR100000,'PLAN BUDGET SAMI-JF'!D13:D100000,SUMMARY!D50,'PLAN BUDGET SAMI-JF'!J13:J100000,SUMMARY!A50&amp;"*")</f>
        <v>0</v>
      </c>
      <c r="J50" s="10">
        <f>SUMIFS('PLAN BUDGET SAMI-JF'!AS13:AS100000,'PLAN BUDGET SAMI-JF'!D13:D100000,SUMMARY!D50,'PLAN BUDGET SAMI-JF'!J13:J100000,SUMMARY!A50&amp;"*")</f>
        <v>0</v>
      </c>
      <c r="K50" s="10">
        <f>SUMIFS('PLAN BUDGET SAMI-JF'!AT13:AT100000,'PLAN BUDGET SAMI-JF'!D13:D100000,SUMMARY!D50,'PLAN BUDGET SAMI-JF'!J13:J100000,SUMMARY!A50&amp;"*")</f>
        <v>0</v>
      </c>
      <c r="L50" s="10">
        <f>SUMIFS('PLAN BUDGET SAMI-JF'!AU13:AU100000,'PLAN BUDGET SAMI-JF'!D13:D100000,SUMMARY!D50,'PLAN BUDGET SAMI-JF'!J13:J100000,SUMMARY!A50&amp;"*")</f>
        <v>0</v>
      </c>
      <c r="M50" s="10">
        <f>SUMIFS('PLAN BUDGET SAMI-JF'!AV13:AV100000,'PLAN BUDGET SAMI-JF'!D13:D100000,SUMMARY!D50,'PLAN BUDGET SAMI-JF'!J13:J100000,SUMMARY!A50&amp;"*")</f>
        <v>0</v>
      </c>
      <c r="N50" s="10">
        <f>SUMIFS('PLAN BUDGET SAMI-JF'!AW13:AW100000,'PLAN BUDGET SAMI-JF'!D13:D100000,SUMMARY!D50,'PLAN BUDGET SAMI-JF'!J13:J100000,SUMMARY!A50&amp;"*")</f>
        <v>0</v>
      </c>
      <c r="O50" s="10">
        <f>SUMIFS('PLAN BUDGET SAMI-JF'!AX13:AX100000,'PLAN BUDGET SAMI-JF'!D13:D100000,SUMMARY!D50,'PLAN BUDGET SAMI-JF'!J13:J100000,SUMMARY!A50&amp;"*")</f>
        <v>0</v>
      </c>
      <c r="P50" s="10">
        <f>SUMIFS('PLAN BUDGET SAMI-JF'!AY13:AY100000,'PLAN BUDGET SAMI-JF'!D13:D100000,SUMMARY!D50,'PLAN BUDGET SAMI-JF'!J13:J100000,SUMMARY!A50&amp;"*")</f>
        <v>0</v>
      </c>
      <c r="Q50" s="10">
        <f>SUMIFS('PLAN BUDGET SAMI-JF'!BC13:BC100000,'PLAN BUDGET SAMI-JF'!D13:D100000,SUMMARY!D50,'PLAN BUDGET SAMI-JF'!J13:J100000,SUMMARY!A50&amp;"*")</f>
        <v>0</v>
      </c>
      <c r="R50" s="10">
        <f>SUMIFS('PLAN BUDGET SAMI-JF'!BD13:BD100000,'PLAN BUDGET SAMI-JF'!D13:D100000,SUMMARY!D50,'PLAN BUDGET SAMI-JF'!J13:J100000,SUMMARY!A50&amp;"*")</f>
        <v>0</v>
      </c>
      <c r="S50" s="10">
        <f>SUMIFS('PLAN BUDGET SAMI-JF'!BE13:BE100000,'PLAN BUDGET SAMI-JF'!D13:D100000,SUMMARY!D50,'PLAN BUDGET SAMI-JF'!J13:J100000,SUMMARY!A50&amp;"*")</f>
        <v>0</v>
      </c>
      <c r="T50" s="10">
        <f>SUMIFS('PLAN BUDGET SAMI-JF'!BF13:BF100000,'PLAN BUDGET SAMI-JF'!D13:D100000,SUMMARY!D50,'PLAN BUDGET SAMI-JF'!J13:J100000,SUMMARY!A50&amp;"*")</f>
        <v>0</v>
      </c>
      <c r="U50" s="10">
        <f>SUMIFS('PLAN BUDGET SAMI-JF'!BG13:BG100000,'PLAN BUDGET SAMI-JF'!D13:D100000,SUMMARY!D50,'PLAN BUDGET SAMI-JF'!J13:J100000,SUMMARY!A50&amp;"*")</f>
        <v>0</v>
      </c>
      <c r="V50" s="10">
        <f>SUMIFS('PLAN BUDGET SAMI-JF'!BH13:BH100000,'PLAN BUDGET SAMI-JF'!D13:D100000,SUMMARY!D50,'PLAN BUDGET SAMI-JF'!J13:J100000,SUMMARY!A50&amp;"*")</f>
        <v>0</v>
      </c>
      <c r="W50" s="10">
        <f>SUMIFS('PLAN BUDGET SAMI-JF'!BI13:BI100000,'PLAN BUDGET SAMI-JF'!D13:D100000,SUMMARY!D50,'PLAN BUDGET SAMI-JF'!J13:J100000,SUMMARY!A50&amp;"*")</f>
        <v>0</v>
      </c>
      <c r="X50" s="10">
        <f>SUMIFS('PLAN BUDGET SAMI-JF'!BJ13:BJ100000,'PLAN BUDGET SAMI-JF'!D13:D100000,SUMMARY!D50,'PLAN BUDGET SAMI-JF'!J13:J100000,SUMMARY!A50&amp;"*")</f>
        <v>0</v>
      </c>
      <c r="Y50" s="10">
        <f>SUMIFS('PLAN BUDGET SAMI-JF'!BK13:BK100000,'PLAN BUDGET SAMI-JF'!D13:D100000,SUMMARY!D50,'PLAN BUDGET SAMI-JF'!J13:J100000,SUMMARY!A50&amp;"*")</f>
        <v>0</v>
      </c>
      <c r="Z50" s="10">
        <f>SUMIFS('PLAN BUDGET SAMI-JF'!BL13:BL100000,'PLAN BUDGET SAMI-JF'!D13:D100000,SUMMARY!D50,'PLAN BUDGET SAMI-JF'!J13:J100000,SUMMARY!A50&amp;"*")</f>
        <v>0</v>
      </c>
      <c r="AA50" s="10">
        <f>SUMIFS('PLAN BUDGET SAMI-JF'!BM13:BM100000,'PLAN BUDGET SAMI-JF'!D13:D100000,SUMMARY!D50,'PLAN BUDGET SAMI-JF'!J13:J100000,SUMMARY!A50&amp;"*")</f>
        <v>0</v>
      </c>
      <c r="AB50" s="10">
        <f>SUMIFS('PLAN BUDGET SAMI-JF'!BN13:BN100000,'PLAN BUDGET SAMI-JF'!D13:D100000,SUMMARY!D50,'PLAN BUDGET SAMI-JF'!J13:J100000,SUMMARY!A50&amp;"*")</f>
        <v>0</v>
      </c>
      <c r="AC50" s="10">
        <f t="shared" si="4"/>
        <v>0</v>
      </c>
      <c r="AD50" s="10">
        <f t="shared" si="5"/>
        <v>0</v>
      </c>
      <c r="AE50" s="16"/>
      <c r="AF50" s="10">
        <v>57</v>
      </c>
      <c r="AG50" s="10">
        <v>345.63189143341998</v>
      </c>
      <c r="AH50" s="20">
        <f t="shared" si="6"/>
        <v>-1</v>
      </c>
      <c r="AI50" s="20">
        <f t="shared" si="7"/>
        <v>-1</v>
      </c>
      <c r="AJ50" s="7" t="s">
        <v>201</v>
      </c>
    </row>
    <row r="51" spans="1:36" x14ac:dyDescent="0.35">
      <c r="A51" s="7" t="s">
        <v>198</v>
      </c>
      <c r="B51" s="7"/>
      <c r="C51" s="7"/>
      <c r="D51" s="7" t="s">
        <v>219</v>
      </c>
      <c r="E51" s="10">
        <f>SUMIFS('PLAN BUDGET SAMI-JF'!AN13:AN100000,'PLAN BUDGET SAMI-JF'!D13:D100000,SUMMARY!D51,'PLAN BUDGET SAMI-JF'!J13:J100000,SUMMARY!A51&amp;"*")</f>
        <v>0</v>
      </c>
      <c r="F51" s="10">
        <f>SUMIFS('PLAN BUDGET SAMI-JF'!AO13:AO100000,'PLAN BUDGET SAMI-JF'!D13:D100000,SUMMARY!D51,'PLAN BUDGET SAMI-JF'!J13:J100000,SUMMARY!A51&amp;"*")</f>
        <v>0</v>
      </c>
      <c r="G51" s="10">
        <f>SUMIFS('PLAN BUDGET SAMI-JF'!AP13:AP100000,'PLAN BUDGET SAMI-JF'!D13:D100000,SUMMARY!D51,'PLAN BUDGET SAMI-JF'!J13:J100000,SUMMARY!A51&amp;"*")</f>
        <v>0</v>
      </c>
      <c r="H51" s="10">
        <f>SUMIFS('PLAN BUDGET SAMI-JF'!AQ13:AQ100000,'PLAN BUDGET SAMI-JF'!D13:D100000,SUMMARY!D51,'PLAN BUDGET SAMI-JF'!J13:J100000,SUMMARY!A51&amp;"*")</f>
        <v>0</v>
      </c>
      <c r="I51" s="10">
        <f>SUMIFS('PLAN BUDGET SAMI-JF'!AR13:AR100000,'PLAN BUDGET SAMI-JF'!D13:D100000,SUMMARY!D51,'PLAN BUDGET SAMI-JF'!J13:J100000,SUMMARY!A51&amp;"*")</f>
        <v>0</v>
      </c>
      <c r="J51" s="10">
        <f>SUMIFS('PLAN BUDGET SAMI-JF'!AS13:AS100000,'PLAN BUDGET SAMI-JF'!D13:D100000,SUMMARY!D51,'PLAN BUDGET SAMI-JF'!J13:J100000,SUMMARY!A51&amp;"*")</f>
        <v>0</v>
      </c>
      <c r="K51" s="10">
        <f>SUMIFS('PLAN BUDGET SAMI-JF'!AT13:AT100000,'PLAN BUDGET SAMI-JF'!D13:D100000,SUMMARY!D51,'PLAN BUDGET SAMI-JF'!J13:J100000,SUMMARY!A51&amp;"*")</f>
        <v>0</v>
      </c>
      <c r="L51" s="10">
        <f>SUMIFS('PLAN BUDGET SAMI-JF'!AU13:AU100000,'PLAN BUDGET SAMI-JF'!D13:D100000,SUMMARY!D51,'PLAN BUDGET SAMI-JF'!J13:J100000,SUMMARY!A51&amp;"*")</f>
        <v>0</v>
      </c>
      <c r="M51" s="10">
        <f>SUMIFS('PLAN BUDGET SAMI-JF'!AV13:AV100000,'PLAN BUDGET SAMI-JF'!D13:D100000,SUMMARY!D51,'PLAN BUDGET SAMI-JF'!J13:J100000,SUMMARY!A51&amp;"*")</f>
        <v>0</v>
      </c>
      <c r="N51" s="10">
        <f>SUMIFS('PLAN BUDGET SAMI-JF'!AW13:AW100000,'PLAN BUDGET SAMI-JF'!D13:D100000,SUMMARY!D51,'PLAN BUDGET SAMI-JF'!J13:J100000,SUMMARY!A51&amp;"*")</f>
        <v>0</v>
      </c>
      <c r="O51" s="10">
        <f>SUMIFS('PLAN BUDGET SAMI-JF'!AX13:AX100000,'PLAN BUDGET SAMI-JF'!D13:D100000,SUMMARY!D51,'PLAN BUDGET SAMI-JF'!J13:J100000,SUMMARY!A51&amp;"*")</f>
        <v>0</v>
      </c>
      <c r="P51" s="10">
        <f>SUMIFS('PLAN BUDGET SAMI-JF'!AY13:AY100000,'PLAN BUDGET SAMI-JF'!D13:D100000,SUMMARY!D51,'PLAN BUDGET SAMI-JF'!J13:J100000,SUMMARY!A51&amp;"*")</f>
        <v>0</v>
      </c>
      <c r="Q51" s="10">
        <f>SUMIFS('PLAN BUDGET SAMI-JF'!BC13:BC100000,'PLAN BUDGET SAMI-JF'!D13:D100000,SUMMARY!D51,'PLAN BUDGET SAMI-JF'!J13:J100000,SUMMARY!A51&amp;"*")</f>
        <v>0</v>
      </c>
      <c r="R51" s="10">
        <f>SUMIFS('PLAN BUDGET SAMI-JF'!BD13:BD100000,'PLAN BUDGET SAMI-JF'!D13:D100000,SUMMARY!D51,'PLAN BUDGET SAMI-JF'!J13:J100000,SUMMARY!A51&amp;"*")</f>
        <v>0</v>
      </c>
      <c r="S51" s="10">
        <f>SUMIFS('PLAN BUDGET SAMI-JF'!BE13:BE100000,'PLAN BUDGET SAMI-JF'!D13:D100000,SUMMARY!D51,'PLAN BUDGET SAMI-JF'!J13:J100000,SUMMARY!A51&amp;"*")</f>
        <v>0</v>
      </c>
      <c r="T51" s="10">
        <f>SUMIFS('PLAN BUDGET SAMI-JF'!BF13:BF100000,'PLAN BUDGET SAMI-JF'!D13:D100000,SUMMARY!D51,'PLAN BUDGET SAMI-JF'!J13:J100000,SUMMARY!A51&amp;"*")</f>
        <v>0</v>
      </c>
      <c r="U51" s="10">
        <f>SUMIFS('PLAN BUDGET SAMI-JF'!BG13:BG100000,'PLAN BUDGET SAMI-JF'!D13:D100000,SUMMARY!D51,'PLAN BUDGET SAMI-JF'!J13:J100000,SUMMARY!A51&amp;"*")</f>
        <v>0</v>
      </c>
      <c r="V51" s="10">
        <f>SUMIFS('PLAN BUDGET SAMI-JF'!BH13:BH100000,'PLAN BUDGET SAMI-JF'!D13:D100000,SUMMARY!D51,'PLAN BUDGET SAMI-JF'!J13:J100000,SUMMARY!A51&amp;"*")</f>
        <v>0</v>
      </c>
      <c r="W51" s="10">
        <f>SUMIFS('PLAN BUDGET SAMI-JF'!BI13:BI100000,'PLAN BUDGET SAMI-JF'!D13:D100000,SUMMARY!D51,'PLAN BUDGET SAMI-JF'!J13:J100000,SUMMARY!A51&amp;"*")</f>
        <v>0</v>
      </c>
      <c r="X51" s="10">
        <f>SUMIFS('PLAN BUDGET SAMI-JF'!BJ13:BJ100000,'PLAN BUDGET SAMI-JF'!D13:D100000,SUMMARY!D51,'PLAN BUDGET SAMI-JF'!J13:J100000,SUMMARY!A51&amp;"*")</f>
        <v>0</v>
      </c>
      <c r="Y51" s="10">
        <f>SUMIFS('PLAN BUDGET SAMI-JF'!BK13:BK100000,'PLAN BUDGET SAMI-JF'!D13:D100000,SUMMARY!D51,'PLAN BUDGET SAMI-JF'!J13:J100000,SUMMARY!A51&amp;"*")</f>
        <v>0</v>
      </c>
      <c r="Z51" s="10">
        <f>SUMIFS('PLAN BUDGET SAMI-JF'!BL13:BL100000,'PLAN BUDGET SAMI-JF'!D13:D100000,SUMMARY!D51,'PLAN BUDGET SAMI-JF'!J13:J100000,SUMMARY!A51&amp;"*")</f>
        <v>0</v>
      </c>
      <c r="AA51" s="10">
        <f>SUMIFS('PLAN BUDGET SAMI-JF'!BM13:BM100000,'PLAN BUDGET SAMI-JF'!D13:D100000,SUMMARY!D51,'PLAN BUDGET SAMI-JF'!J13:J100000,SUMMARY!A51&amp;"*")</f>
        <v>0</v>
      </c>
      <c r="AB51" s="10">
        <f>SUMIFS('PLAN BUDGET SAMI-JF'!BN13:BN100000,'PLAN BUDGET SAMI-JF'!D13:D100000,SUMMARY!D51,'PLAN BUDGET SAMI-JF'!J13:J100000,SUMMARY!A51&amp;"*")</f>
        <v>0</v>
      </c>
      <c r="AC51" s="10">
        <f t="shared" si="4"/>
        <v>0</v>
      </c>
      <c r="AD51" s="10">
        <f t="shared" si="5"/>
        <v>0</v>
      </c>
      <c r="AE51" s="16"/>
      <c r="AF51" s="10">
        <v>351</v>
      </c>
      <c r="AG51" s="10">
        <v>99.831757244312996</v>
      </c>
      <c r="AH51" s="20">
        <f t="shared" si="6"/>
        <v>-1</v>
      </c>
      <c r="AI51" s="20">
        <f t="shared" si="7"/>
        <v>-1</v>
      </c>
      <c r="AJ51" s="7" t="s">
        <v>201</v>
      </c>
    </row>
    <row r="52" spans="1:36" x14ac:dyDescent="0.35">
      <c r="A52" s="7" t="s">
        <v>47</v>
      </c>
      <c r="B52" s="7"/>
      <c r="C52" s="7"/>
      <c r="D52" s="7" t="s">
        <v>202</v>
      </c>
      <c r="E52" s="10">
        <f>SUMIFS('PLAN BUDGET SAMI-JF'!AN13:AN100000,'PLAN BUDGET SAMI-JF'!D13:D100000,SUMMARY!D52,'PLAN BUDGET SAMI-JF'!J13:J100000,SUMMARY!A52&amp;"*")</f>
        <v>0</v>
      </c>
      <c r="F52" s="10">
        <f>SUMIFS('PLAN BUDGET SAMI-JF'!AO13:AO100000,'PLAN BUDGET SAMI-JF'!D13:D100000,SUMMARY!D52,'PLAN BUDGET SAMI-JF'!J13:J100000,SUMMARY!A52&amp;"*")</f>
        <v>0</v>
      </c>
      <c r="G52" s="10">
        <f>SUMIFS('PLAN BUDGET SAMI-JF'!AP13:AP100000,'PLAN BUDGET SAMI-JF'!D13:D100000,SUMMARY!D52,'PLAN BUDGET SAMI-JF'!J13:J100000,SUMMARY!A52&amp;"*")</f>
        <v>0</v>
      </c>
      <c r="H52" s="10">
        <f>SUMIFS('PLAN BUDGET SAMI-JF'!AQ13:AQ100000,'PLAN BUDGET SAMI-JF'!D13:D100000,SUMMARY!D52,'PLAN BUDGET SAMI-JF'!J13:J100000,SUMMARY!A52&amp;"*")</f>
        <v>0</v>
      </c>
      <c r="I52" s="10">
        <f>SUMIFS('PLAN BUDGET SAMI-JF'!AR13:AR100000,'PLAN BUDGET SAMI-JF'!D13:D100000,SUMMARY!D52,'PLAN BUDGET SAMI-JF'!J13:J100000,SUMMARY!A52&amp;"*")</f>
        <v>0</v>
      </c>
      <c r="J52" s="10">
        <f>SUMIFS('PLAN BUDGET SAMI-JF'!AS13:AS100000,'PLAN BUDGET SAMI-JF'!D13:D100000,SUMMARY!D52,'PLAN BUDGET SAMI-JF'!J13:J100000,SUMMARY!A52&amp;"*")</f>
        <v>0</v>
      </c>
      <c r="K52" s="10">
        <f>SUMIFS('PLAN BUDGET SAMI-JF'!AT13:AT100000,'PLAN BUDGET SAMI-JF'!D13:D100000,SUMMARY!D52,'PLAN BUDGET SAMI-JF'!J13:J100000,SUMMARY!A52&amp;"*")</f>
        <v>0</v>
      </c>
      <c r="L52" s="10">
        <f>SUMIFS('PLAN BUDGET SAMI-JF'!AU13:AU100000,'PLAN BUDGET SAMI-JF'!D13:D100000,SUMMARY!D52,'PLAN BUDGET SAMI-JF'!J13:J100000,SUMMARY!A52&amp;"*")</f>
        <v>0</v>
      </c>
      <c r="M52" s="10">
        <f>SUMIFS('PLAN BUDGET SAMI-JF'!AV13:AV100000,'PLAN BUDGET SAMI-JF'!D13:D100000,SUMMARY!D52,'PLAN BUDGET SAMI-JF'!J13:J100000,SUMMARY!A52&amp;"*")</f>
        <v>0</v>
      </c>
      <c r="N52" s="10">
        <f>SUMIFS('PLAN BUDGET SAMI-JF'!AW13:AW100000,'PLAN BUDGET SAMI-JF'!D13:D100000,SUMMARY!D52,'PLAN BUDGET SAMI-JF'!J13:J100000,SUMMARY!A52&amp;"*")</f>
        <v>0</v>
      </c>
      <c r="O52" s="10">
        <f>SUMIFS('PLAN BUDGET SAMI-JF'!AX13:AX100000,'PLAN BUDGET SAMI-JF'!D13:D100000,SUMMARY!D52,'PLAN BUDGET SAMI-JF'!J13:J100000,SUMMARY!A52&amp;"*")</f>
        <v>0</v>
      </c>
      <c r="P52" s="10">
        <f>SUMIFS('PLAN BUDGET SAMI-JF'!AY13:AY100000,'PLAN BUDGET SAMI-JF'!D13:D100000,SUMMARY!D52,'PLAN BUDGET SAMI-JF'!J13:J100000,SUMMARY!A52&amp;"*")</f>
        <v>0</v>
      </c>
      <c r="Q52" s="10">
        <f>SUMIFS('PLAN BUDGET SAMI-JF'!BC13:BC100000,'PLAN BUDGET SAMI-JF'!D13:D100000,SUMMARY!D52,'PLAN BUDGET SAMI-JF'!J13:J100000,SUMMARY!A52&amp;"*")</f>
        <v>0</v>
      </c>
      <c r="R52" s="10">
        <f>SUMIFS('PLAN BUDGET SAMI-JF'!BD13:BD100000,'PLAN BUDGET SAMI-JF'!D13:D100000,SUMMARY!D52,'PLAN BUDGET SAMI-JF'!J13:J100000,SUMMARY!A52&amp;"*")</f>
        <v>0</v>
      </c>
      <c r="S52" s="10">
        <f>SUMIFS('PLAN BUDGET SAMI-JF'!BE13:BE100000,'PLAN BUDGET SAMI-JF'!D13:D100000,SUMMARY!D52,'PLAN BUDGET SAMI-JF'!J13:J100000,SUMMARY!A52&amp;"*")</f>
        <v>0</v>
      </c>
      <c r="T52" s="10">
        <f>SUMIFS('PLAN BUDGET SAMI-JF'!BF13:BF100000,'PLAN BUDGET SAMI-JF'!D13:D100000,SUMMARY!D52,'PLAN BUDGET SAMI-JF'!J13:J100000,SUMMARY!A52&amp;"*")</f>
        <v>0</v>
      </c>
      <c r="U52" s="10">
        <f>SUMIFS('PLAN BUDGET SAMI-JF'!BG13:BG100000,'PLAN BUDGET SAMI-JF'!D13:D100000,SUMMARY!D52,'PLAN BUDGET SAMI-JF'!J13:J100000,SUMMARY!A52&amp;"*")</f>
        <v>0</v>
      </c>
      <c r="V52" s="10">
        <f>SUMIFS('PLAN BUDGET SAMI-JF'!BH13:BH100000,'PLAN BUDGET SAMI-JF'!D13:D100000,SUMMARY!D52,'PLAN BUDGET SAMI-JF'!J13:J100000,SUMMARY!A52&amp;"*")</f>
        <v>0</v>
      </c>
      <c r="W52" s="10">
        <f>SUMIFS('PLAN BUDGET SAMI-JF'!BI13:BI100000,'PLAN BUDGET SAMI-JF'!D13:D100000,SUMMARY!D52,'PLAN BUDGET SAMI-JF'!J13:J100000,SUMMARY!A52&amp;"*")</f>
        <v>0</v>
      </c>
      <c r="X52" s="10">
        <f>SUMIFS('PLAN BUDGET SAMI-JF'!BJ13:BJ100000,'PLAN BUDGET SAMI-JF'!D13:D100000,SUMMARY!D52,'PLAN BUDGET SAMI-JF'!J13:J100000,SUMMARY!A52&amp;"*")</f>
        <v>0</v>
      </c>
      <c r="Y52" s="10">
        <f>SUMIFS('PLAN BUDGET SAMI-JF'!BK13:BK100000,'PLAN BUDGET SAMI-JF'!D13:D100000,SUMMARY!D52,'PLAN BUDGET SAMI-JF'!J13:J100000,SUMMARY!A52&amp;"*")</f>
        <v>0</v>
      </c>
      <c r="Z52" s="10">
        <f>SUMIFS('PLAN BUDGET SAMI-JF'!BL13:BL100000,'PLAN BUDGET SAMI-JF'!D13:D100000,SUMMARY!D52,'PLAN BUDGET SAMI-JF'!J13:J100000,SUMMARY!A52&amp;"*")</f>
        <v>0</v>
      </c>
      <c r="AA52" s="10">
        <f>SUMIFS('PLAN BUDGET SAMI-JF'!BM13:BM100000,'PLAN BUDGET SAMI-JF'!D13:D100000,SUMMARY!D52,'PLAN BUDGET SAMI-JF'!J13:J100000,SUMMARY!A52&amp;"*")</f>
        <v>0</v>
      </c>
      <c r="AB52" s="10">
        <f>SUMIFS('PLAN BUDGET SAMI-JF'!BN13:BN100000,'PLAN BUDGET SAMI-JF'!D13:D100000,SUMMARY!D52,'PLAN BUDGET SAMI-JF'!J13:J100000,SUMMARY!A52&amp;"*")</f>
        <v>0</v>
      </c>
      <c r="AC52" s="10">
        <f t="shared" si="4"/>
        <v>0</v>
      </c>
      <c r="AD52" s="10">
        <f t="shared" si="5"/>
        <v>0</v>
      </c>
      <c r="AE52" s="16"/>
      <c r="AF52" s="10">
        <v>2</v>
      </c>
      <c r="AG52" s="10">
        <v>62.030812856834999</v>
      </c>
      <c r="AH52" s="20">
        <f t="shared" si="6"/>
        <v>-1</v>
      </c>
      <c r="AI52" s="20">
        <f t="shared" si="7"/>
        <v>-1</v>
      </c>
      <c r="AJ52" s="7" t="s">
        <v>201</v>
      </c>
    </row>
    <row r="53" spans="1:36" x14ac:dyDescent="0.35">
      <c r="A53" s="7" t="s">
        <v>47</v>
      </c>
      <c r="B53" s="7"/>
      <c r="C53" s="7"/>
      <c r="D53" s="7" t="s">
        <v>220</v>
      </c>
      <c r="E53" s="10">
        <f>SUMIFS('PLAN BUDGET SAMI-JF'!AN13:AN100000,'PLAN BUDGET SAMI-JF'!D13:D100000,SUMMARY!D53,'PLAN BUDGET SAMI-JF'!J13:J100000,SUMMARY!A53&amp;"*")</f>
        <v>0</v>
      </c>
      <c r="F53" s="10">
        <f>SUMIFS('PLAN BUDGET SAMI-JF'!AO13:AO100000,'PLAN BUDGET SAMI-JF'!D13:D100000,SUMMARY!D53,'PLAN BUDGET SAMI-JF'!J13:J100000,SUMMARY!A53&amp;"*")</f>
        <v>0</v>
      </c>
      <c r="G53" s="10">
        <f>SUMIFS('PLAN BUDGET SAMI-JF'!AP13:AP100000,'PLAN BUDGET SAMI-JF'!D13:D100000,SUMMARY!D53,'PLAN BUDGET SAMI-JF'!J13:J100000,SUMMARY!A53&amp;"*")</f>
        <v>0</v>
      </c>
      <c r="H53" s="10">
        <f>SUMIFS('PLAN BUDGET SAMI-JF'!AQ13:AQ100000,'PLAN BUDGET SAMI-JF'!D13:D100000,SUMMARY!D53,'PLAN BUDGET SAMI-JF'!J13:J100000,SUMMARY!A53&amp;"*")</f>
        <v>0</v>
      </c>
      <c r="I53" s="10">
        <f>SUMIFS('PLAN BUDGET SAMI-JF'!AR13:AR100000,'PLAN BUDGET SAMI-JF'!D13:D100000,SUMMARY!D53,'PLAN BUDGET SAMI-JF'!J13:J100000,SUMMARY!A53&amp;"*")</f>
        <v>0</v>
      </c>
      <c r="J53" s="10">
        <f>SUMIFS('PLAN BUDGET SAMI-JF'!AS13:AS100000,'PLAN BUDGET SAMI-JF'!D13:D100000,SUMMARY!D53,'PLAN BUDGET SAMI-JF'!J13:J100000,SUMMARY!A53&amp;"*")</f>
        <v>0</v>
      </c>
      <c r="K53" s="10">
        <f>SUMIFS('PLAN BUDGET SAMI-JF'!AT13:AT100000,'PLAN BUDGET SAMI-JF'!D13:D100000,SUMMARY!D53,'PLAN BUDGET SAMI-JF'!J13:J100000,SUMMARY!A53&amp;"*")</f>
        <v>0</v>
      </c>
      <c r="L53" s="10">
        <f>SUMIFS('PLAN BUDGET SAMI-JF'!AU13:AU100000,'PLAN BUDGET SAMI-JF'!D13:D100000,SUMMARY!D53,'PLAN BUDGET SAMI-JF'!J13:J100000,SUMMARY!A53&amp;"*")</f>
        <v>0</v>
      </c>
      <c r="M53" s="10">
        <f>SUMIFS('PLAN BUDGET SAMI-JF'!AV13:AV100000,'PLAN BUDGET SAMI-JF'!D13:D100000,SUMMARY!D53,'PLAN BUDGET SAMI-JF'!J13:J100000,SUMMARY!A53&amp;"*")</f>
        <v>0</v>
      </c>
      <c r="N53" s="10">
        <f>SUMIFS('PLAN BUDGET SAMI-JF'!AW13:AW100000,'PLAN BUDGET SAMI-JF'!D13:D100000,SUMMARY!D53,'PLAN BUDGET SAMI-JF'!J13:J100000,SUMMARY!A53&amp;"*")</f>
        <v>0</v>
      </c>
      <c r="O53" s="10">
        <f>SUMIFS('PLAN BUDGET SAMI-JF'!AX13:AX100000,'PLAN BUDGET SAMI-JF'!D13:D100000,SUMMARY!D53,'PLAN BUDGET SAMI-JF'!J13:J100000,SUMMARY!A53&amp;"*")</f>
        <v>0</v>
      </c>
      <c r="P53" s="10">
        <f>SUMIFS('PLAN BUDGET SAMI-JF'!AY13:AY100000,'PLAN BUDGET SAMI-JF'!D13:D100000,SUMMARY!D53,'PLAN BUDGET SAMI-JF'!J13:J100000,SUMMARY!A53&amp;"*")</f>
        <v>0</v>
      </c>
      <c r="Q53" s="10">
        <f>SUMIFS('PLAN BUDGET SAMI-JF'!BC13:BC100000,'PLAN BUDGET SAMI-JF'!D13:D100000,SUMMARY!D53,'PLAN BUDGET SAMI-JF'!J13:J100000,SUMMARY!A53&amp;"*")</f>
        <v>0</v>
      </c>
      <c r="R53" s="10">
        <f>SUMIFS('PLAN BUDGET SAMI-JF'!BD13:BD100000,'PLAN BUDGET SAMI-JF'!D13:D100000,SUMMARY!D53,'PLAN BUDGET SAMI-JF'!J13:J100000,SUMMARY!A53&amp;"*")</f>
        <v>0</v>
      </c>
      <c r="S53" s="10">
        <f>SUMIFS('PLAN BUDGET SAMI-JF'!BE13:BE100000,'PLAN BUDGET SAMI-JF'!D13:D100000,SUMMARY!D53,'PLAN BUDGET SAMI-JF'!J13:J100000,SUMMARY!A53&amp;"*")</f>
        <v>0</v>
      </c>
      <c r="T53" s="10">
        <f>SUMIFS('PLAN BUDGET SAMI-JF'!BF13:BF100000,'PLAN BUDGET SAMI-JF'!D13:D100000,SUMMARY!D53,'PLAN BUDGET SAMI-JF'!J13:J100000,SUMMARY!A53&amp;"*")</f>
        <v>0</v>
      </c>
      <c r="U53" s="10">
        <f>SUMIFS('PLAN BUDGET SAMI-JF'!BG13:BG100000,'PLAN BUDGET SAMI-JF'!D13:D100000,SUMMARY!D53,'PLAN BUDGET SAMI-JF'!J13:J100000,SUMMARY!A53&amp;"*")</f>
        <v>0</v>
      </c>
      <c r="V53" s="10">
        <f>SUMIFS('PLAN BUDGET SAMI-JF'!BH13:BH100000,'PLAN BUDGET SAMI-JF'!D13:D100000,SUMMARY!D53,'PLAN BUDGET SAMI-JF'!J13:J100000,SUMMARY!A53&amp;"*")</f>
        <v>0</v>
      </c>
      <c r="W53" s="10">
        <f>SUMIFS('PLAN BUDGET SAMI-JF'!BI13:BI100000,'PLAN BUDGET SAMI-JF'!D13:D100000,SUMMARY!D53,'PLAN BUDGET SAMI-JF'!J13:J100000,SUMMARY!A53&amp;"*")</f>
        <v>0</v>
      </c>
      <c r="X53" s="10">
        <f>SUMIFS('PLAN BUDGET SAMI-JF'!BJ13:BJ100000,'PLAN BUDGET SAMI-JF'!D13:D100000,SUMMARY!D53,'PLAN BUDGET SAMI-JF'!J13:J100000,SUMMARY!A53&amp;"*")</f>
        <v>0</v>
      </c>
      <c r="Y53" s="10">
        <f>SUMIFS('PLAN BUDGET SAMI-JF'!BK13:BK100000,'PLAN BUDGET SAMI-JF'!D13:D100000,SUMMARY!D53,'PLAN BUDGET SAMI-JF'!J13:J100000,SUMMARY!A53&amp;"*")</f>
        <v>0</v>
      </c>
      <c r="Z53" s="10">
        <f>SUMIFS('PLAN BUDGET SAMI-JF'!BL13:BL100000,'PLAN BUDGET SAMI-JF'!D13:D100000,SUMMARY!D53,'PLAN BUDGET SAMI-JF'!J13:J100000,SUMMARY!A53&amp;"*")</f>
        <v>0</v>
      </c>
      <c r="AA53" s="10">
        <f>SUMIFS('PLAN BUDGET SAMI-JF'!BM13:BM100000,'PLAN BUDGET SAMI-JF'!D13:D100000,SUMMARY!D53,'PLAN BUDGET SAMI-JF'!J13:J100000,SUMMARY!A53&amp;"*")</f>
        <v>0</v>
      </c>
      <c r="AB53" s="10">
        <f>SUMIFS('PLAN BUDGET SAMI-JF'!BN13:BN100000,'PLAN BUDGET SAMI-JF'!D13:D100000,SUMMARY!D53,'PLAN BUDGET SAMI-JF'!J13:J100000,SUMMARY!A53&amp;"*")</f>
        <v>0</v>
      </c>
      <c r="AC53" s="10">
        <f t="shared" si="4"/>
        <v>0</v>
      </c>
      <c r="AD53" s="10">
        <f t="shared" si="5"/>
        <v>0</v>
      </c>
      <c r="AE53" s="16"/>
      <c r="AF53" s="10">
        <v>8</v>
      </c>
      <c r="AG53" s="10">
        <v>1103.7499525274</v>
      </c>
      <c r="AH53" s="20">
        <f t="shared" si="6"/>
        <v>-1</v>
      </c>
      <c r="AI53" s="20">
        <f t="shared" si="7"/>
        <v>-1</v>
      </c>
      <c r="AJ53" s="7" t="s">
        <v>201</v>
      </c>
    </row>
    <row r="54" spans="1:36" x14ac:dyDescent="0.35">
      <c r="A54" s="7" t="s">
        <v>47</v>
      </c>
      <c r="B54" s="7"/>
      <c r="C54" s="7"/>
      <c r="D54" s="7" t="s">
        <v>221</v>
      </c>
      <c r="E54" s="10">
        <f>SUMIFS('PLAN BUDGET SAMI-JF'!AN13:AN100000,'PLAN BUDGET SAMI-JF'!D13:D100000,SUMMARY!D54,'PLAN BUDGET SAMI-JF'!J13:J100000,SUMMARY!A54&amp;"*")</f>
        <v>0</v>
      </c>
      <c r="F54" s="10">
        <f>SUMIFS('PLAN BUDGET SAMI-JF'!AO13:AO100000,'PLAN BUDGET SAMI-JF'!D13:D100000,SUMMARY!D54,'PLAN BUDGET SAMI-JF'!J13:J100000,SUMMARY!A54&amp;"*")</f>
        <v>0</v>
      </c>
      <c r="G54" s="10">
        <f>SUMIFS('PLAN BUDGET SAMI-JF'!AP13:AP100000,'PLAN BUDGET SAMI-JF'!D13:D100000,SUMMARY!D54,'PLAN BUDGET SAMI-JF'!J13:J100000,SUMMARY!A54&amp;"*")</f>
        <v>0</v>
      </c>
      <c r="H54" s="10">
        <f>SUMIFS('PLAN BUDGET SAMI-JF'!AQ13:AQ100000,'PLAN BUDGET SAMI-JF'!D13:D100000,SUMMARY!D54,'PLAN BUDGET SAMI-JF'!J13:J100000,SUMMARY!A54&amp;"*")</f>
        <v>0</v>
      </c>
      <c r="I54" s="10">
        <f>SUMIFS('PLAN BUDGET SAMI-JF'!AR13:AR100000,'PLAN BUDGET SAMI-JF'!D13:D100000,SUMMARY!D54,'PLAN BUDGET SAMI-JF'!J13:J100000,SUMMARY!A54&amp;"*")</f>
        <v>0</v>
      </c>
      <c r="J54" s="10">
        <f>SUMIFS('PLAN BUDGET SAMI-JF'!AS13:AS100000,'PLAN BUDGET SAMI-JF'!D13:D100000,SUMMARY!D54,'PLAN BUDGET SAMI-JF'!J13:J100000,SUMMARY!A54&amp;"*")</f>
        <v>0</v>
      </c>
      <c r="K54" s="10">
        <f>SUMIFS('PLAN BUDGET SAMI-JF'!AT13:AT100000,'PLAN BUDGET SAMI-JF'!D13:D100000,SUMMARY!D54,'PLAN BUDGET SAMI-JF'!J13:J100000,SUMMARY!A54&amp;"*")</f>
        <v>0</v>
      </c>
      <c r="L54" s="10">
        <f>SUMIFS('PLAN BUDGET SAMI-JF'!AU13:AU100000,'PLAN BUDGET SAMI-JF'!D13:D100000,SUMMARY!D54,'PLAN BUDGET SAMI-JF'!J13:J100000,SUMMARY!A54&amp;"*")</f>
        <v>0</v>
      </c>
      <c r="M54" s="10">
        <f>SUMIFS('PLAN BUDGET SAMI-JF'!AV13:AV100000,'PLAN BUDGET SAMI-JF'!D13:D100000,SUMMARY!D54,'PLAN BUDGET SAMI-JF'!J13:J100000,SUMMARY!A54&amp;"*")</f>
        <v>0</v>
      </c>
      <c r="N54" s="10">
        <f>SUMIFS('PLAN BUDGET SAMI-JF'!AW13:AW100000,'PLAN BUDGET SAMI-JF'!D13:D100000,SUMMARY!D54,'PLAN BUDGET SAMI-JF'!J13:J100000,SUMMARY!A54&amp;"*")</f>
        <v>0</v>
      </c>
      <c r="O54" s="10">
        <f>SUMIFS('PLAN BUDGET SAMI-JF'!AX13:AX100000,'PLAN BUDGET SAMI-JF'!D13:D100000,SUMMARY!D54,'PLAN BUDGET SAMI-JF'!J13:J100000,SUMMARY!A54&amp;"*")</f>
        <v>0</v>
      </c>
      <c r="P54" s="10">
        <f>SUMIFS('PLAN BUDGET SAMI-JF'!AY13:AY100000,'PLAN BUDGET SAMI-JF'!D13:D100000,SUMMARY!D54,'PLAN BUDGET SAMI-JF'!J13:J100000,SUMMARY!A54&amp;"*")</f>
        <v>0</v>
      </c>
      <c r="Q54" s="10">
        <f>SUMIFS('PLAN BUDGET SAMI-JF'!BC13:BC100000,'PLAN BUDGET SAMI-JF'!D13:D100000,SUMMARY!D54,'PLAN BUDGET SAMI-JF'!J13:J100000,SUMMARY!A54&amp;"*")</f>
        <v>0</v>
      </c>
      <c r="R54" s="10">
        <f>SUMIFS('PLAN BUDGET SAMI-JF'!BD13:BD100000,'PLAN BUDGET SAMI-JF'!D13:D100000,SUMMARY!D54,'PLAN BUDGET SAMI-JF'!J13:J100000,SUMMARY!A54&amp;"*")</f>
        <v>0</v>
      </c>
      <c r="S54" s="10">
        <f>SUMIFS('PLAN BUDGET SAMI-JF'!BE13:BE100000,'PLAN BUDGET SAMI-JF'!D13:D100000,SUMMARY!D54,'PLAN BUDGET SAMI-JF'!J13:J100000,SUMMARY!A54&amp;"*")</f>
        <v>0</v>
      </c>
      <c r="T54" s="10">
        <f>SUMIFS('PLAN BUDGET SAMI-JF'!BF13:BF100000,'PLAN BUDGET SAMI-JF'!D13:D100000,SUMMARY!D54,'PLAN BUDGET SAMI-JF'!J13:J100000,SUMMARY!A54&amp;"*")</f>
        <v>0</v>
      </c>
      <c r="U54" s="10">
        <f>SUMIFS('PLAN BUDGET SAMI-JF'!BG13:BG100000,'PLAN BUDGET SAMI-JF'!D13:D100000,SUMMARY!D54,'PLAN BUDGET SAMI-JF'!J13:J100000,SUMMARY!A54&amp;"*")</f>
        <v>0</v>
      </c>
      <c r="V54" s="10">
        <f>SUMIFS('PLAN BUDGET SAMI-JF'!BH13:BH100000,'PLAN BUDGET SAMI-JF'!D13:D100000,SUMMARY!D54,'PLAN BUDGET SAMI-JF'!J13:J100000,SUMMARY!A54&amp;"*")</f>
        <v>0</v>
      </c>
      <c r="W54" s="10">
        <f>SUMIFS('PLAN BUDGET SAMI-JF'!BI13:BI100000,'PLAN BUDGET SAMI-JF'!D13:D100000,SUMMARY!D54,'PLAN BUDGET SAMI-JF'!J13:J100000,SUMMARY!A54&amp;"*")</f>
        <v>0</v>
      </c>
      <c r="X54" s="10">
        <f>SUMIFS('PLAN BUDGET SAMI-JF'!BJ13:BJ100000,'PLAN BUDGET SAMI-JF'!D13:D100000,SUMMARY!D54,'PLAN BUDGET SAMI-JF'!J13:J100000,SUMMARY!A54&amp;"*")</f>
        <v>0</v>
      </c>
      <c r="Y54" s="10">
        <f>SUMIFS('PLAN BUDGET SAMI-JF'!BK13:BK100000,'PLAN BUDGET SAMI-JF'!D13:D100000,SUMMARY!D54,'PLAN BUDGET SAMI-JF'!J13:J100000,SUMMARY!A54&amp;"*")</f>
        <v>0</v>
      </c>
      <c r="Z54" s="10">
        <f>SUMIFS('PLAN BUDGET SAMI-JF'!BL13:BL100000,'PLAN BUDGET SAMI-JF'!D13:D100000,SUMMARY!D54,'PLAN BUDGET SAMI-JF'!J13:J100000,SUMMARY!A54&amp;"*")</f>
        <v>0</v>
      </c>
      <c r="AA54" s="10">
        <f>SUMIFS('PLAN BUDGET SAMI-JF'!BM13:BM100000,'PLAN BUDGET SAMI-JF'!D13:D100000,SUMMARY!D54,'PLAN BUDGET SAMI-JF'!J13:J100000,SUMMARY!A54&amp;"*")</f>
        <v>0</v>
      </c>
      <c r="AB54" s="10">
        <f>SUMIFS('PLAN BUDGET SAMI-JF'!BN13:BN100000,'PLAN BUDGET SAMI-JF'!D13:D100000,SUMMARY!D54,'PLAN BUDGET SAMI-JF'!J13:J100000,SUMMARY!A54&amp;"*")</f>
        <v>0</v>
      </c>
      <c r="AC54" s="10">
        <f t="shared" si="4"/>
        <v>0</v>
      </c>
      <c r="AD54" s="10">
        <f t="shared" si="5"/>
        <v>0</v>
      </c>
      <c r="AE54" s="16"/>
      <c r="AF54" s="10">
        <v>6</v>
      </c>
      <c r="AG54" s="10">
        <v>132.92317040750001</v>
      </c>
      <c r="AH54" s="20">
        <f t="shared" si="6"/>
        <v>-1</v>
      </c>
      <c r="AI54" s="20">
        <f t="shared" si="7"/>
        <v>-1</v>
      </c>
      <c r="AJ54" s="7" t="s">
        <v>201</v>
      </c>
    </row>
    <row r="55" spans="1:36" x14ac:dyDescent="0.35">
      <c r="A55" s="7" t="s">
        <v>47</v>
      </c>
      <c r="B55" s="7"/>
      <c r="C55" s="7"/>
      <c r="D55" s="7" t="s">
        <v>148</v>
      </c>
      <c r="E55" s="10">
        <f>SUMIFS('PLAN BUDGET SAMI-JF'!AN13:AN100000,'PLAN BUDGET SAMI-JF'!D13:D100000,SUMMARY!D55,'PLAN BUDGET SAMI-JF'!J13:J100000,SUMMARY!A55&amp;"*")</f>
        <v>0</v>
      </c>
      <c r="F55" s="10">
        <f>SUMIFS('PLAN BUDGET SAMI-JF'!AO13:AO100000,'PLAN BUDGET SAMI-JF'!D13:D100000,SUMMARY!D55,'PLAN BUDGET SAMI-JF'!J13:J100000,SUMMARY!A55&amp;"*")</f>
        <v>0</v>
      </c>
      <c r="G55" s="10">
        <f>SUMIFS('PLAN BUDGET SAMI-JF'!AP13:AP100000,'PLAN BUDGET SAMI-JF'!D13:D100000,SUMMARY!D55,'PLAN BUDGET SAMI-JF'!J13:J100000,SUMMARY!A55&amp;"*")</f>
        <v>0</v>
      </c>
      <c r="H55" s="10">
        <f>SUMIFS('PLAN BUDGET SAMI-JF'!AQ13:AQ100000,'PLAN BUDGET SAMI-JF'!D13:D100000,SUMMARY!D55,'PLAN BUDGET SAMI-JF'!J13:J100000,SUMMARY!A55&amp;"*")</f>
        <v>0</v>
      </c>
      <c r="I55" s="10">
        <f>SUMIFS('PLAN BUDGET SAMI-JF'!AR13:AR100000,'PLAN BUDGET SAMI-JF'!D13:D100000,SUMMARY!D55,'PLAN BUDGET SAMI-JF'!J13:J100000,SUMMARY!A55&amp;"*")</f>
        <v>0</v>
      </c>
      <c r="J55" s="10">
        <f>SUMIFS('PLAN BUDGET SAMI-JF'!AS13:AS100000,'PLAN BUDGET SAMI-JF'!D13:D100000,SUMMARY!D55,'PLAN BUDGET SAMI-JF'!J13:J100000,SUMMARY!A55&amp;"*")</f>
        <v>0</v>
      </c>
      <c r="K55" s="10">
        <f>SUMIFS('PLAN BUDGET SAMI-JF'!AT13:AT100000,'PLAN BUDGET SAMI-JF'!D13:D100000,SUMMARY!D55,'PLAN BUDGET SAMI-JF'!J13:J100000,SUMMARY!A55&amp;"*")</f>
        <v>0</v>
      </c>
      <c r="L55" s="10">
        <f>SUMIFS('PLAN BUDGET SAMI-JF'!AU13:AU100000,'PLAN BUDGET SAMI-JF'!D13:D100000,SUMMARY!D55,'PLAN BUDGET SAMI-JF'!J13:J100000,SUMMARY!A55&amp;"*")</f>
        <v>0</v>
      </c>
      <c r="M55" s="10">
        <f>SUMIFS('PLAN BUDGET SAMI-JF'!AV13:AV100000,'PLAN BUDGET SAMI-JF'!D13:D100000,SUMMARY!D55,'PLAN BUDGET SAMI-JF'!J13:J100000,SUMMARY!A55&amp;"*")</f>
        <v>0</v>
      </c>
      <c r="N55" s="10">
        <f>SUMIFS('PLAN BUDGET SAMI-JF'!AW13:AW100000,'PLAN BUDGET SAMI-JF'!D13:D100000,SUMMARY!D55,'PLAN BUDGET SAMI-JF'!J13:J100000,SUMMARY!A55&amp;"*")</f>
        <v>0</v>
      </c>
      <c r="O55" s="10">
        <f>SUMIFS('PLAN BUDGET SAMI-JF'!AX13:AX100000,'PLAN BUDGET SAMI-JF'!D13:D100000,SUMMARY!D55,'PLAN BUDGET SAMI-JF'!J13:J100000,SUMMARY!A55&amp;"*")</f>
        <v>0</v>
      </c>
      <c r="P55" s="10">
        <f>SUMIFS('PLAN BUDGET SAMI-JF'!AY13:AY100000,'PLAN BUDGET SAMI-JF'!D13:D100000,SUMMARY!D55,'PLAN BUDGET SAMI-JF'!J13:J100000,SUMMARY!A55&amp;"*")</f>
        <v>0</v>
      </c>
      <c r="Q55" s="10">
        <f>SUMIFS('PLAN BUDGET SAMI-JF'!BC13:BC100000,'PLAN BUDGET SAMI-JF'!D13:D100000,SUMMARY!D55,'PLAN BUDGET SAMI-JF'!J13:J100000,SUMMARY!A55&amp;"*")</f>
        <v>0</v>
      </c>
      <c r="R55" s="10">
        <f>SUMIFS('PLAN BUDGET SAMI-JF'!BD13:BD100000,'PLAN BUDGET SAMI-JF'!D13:D100000,SUMMARY!D55,'PLAN BUDGET SAMI-JF'!J13:J100000,SUMMARY!A55&amp;"*")</f>
        <v>0</v>
      </c>
      <c r="S55" s="10">
        <f>SUMIFS('PLAN BUDGET SAMI-JF'!BE13:BE100000,'PLAN BUDGET SAMI-JF'!D13:D100000,SUMMARY!D55,'PLAN BUDGET SAMI-JF'!J13:J100000,SUMMARY!A55&amp;"*")</f>
        <v>0</v>
      </c>
      <c r="T55" s="10">
        <f>SUMIFS('PLAN BUDGET SAMI-JF'!BF13:BF100000,'PLAN BUDGET SAMI-JF'!D13:D100000,SUMMARY!D55,'PLAN BUDGET SAMI-JF'!J13:J100000,SUMMARY!A55&amp;"*")</f>
        <v>0</v>
      </c>
      <c r="U55" s="10">
        <f>SUMIFS('PLAN BUDGET SAMI-JF'!BG13:BG100000,'PLAN BUDGET SAMI-JF'!D13:D100000,SUMMARY!D55,'PLAN BUDGET SAMI-JF'!J13:J100000,SUMMARY!A55&amp;"*")</f>
        <v>0</v>
      </c>
      <c r="V55" s="10">
        <f>SUMIFS('PLAN BUDGET SAMI-JF'!BH13:BH100000,'PLAN BUDGET SAMI-JF'!D13:D100000,SUMMARY!D55,'PLAN BUDGET SAMI-JF'!J13:J100000,SUMMARY!A55&amp;"*")</f>
        <v>0</v>
      </c>
      <c r="W55" s="10">
        <f>SUMIFS('PLAN BUDGET SAMI-JF'!BI13:BI100000,'PLAN BUDGET SAMI-JF'!D13:D100000,SUMMARY!D55,'PLAN BUDGET SAMI-JF'!J13:J100000,SUMMARY!A55&amp;"*")</f>
        <v>0</v>
      </c>
      <c r="X55" s="10">
        <f>SUMIFS('PLAN BUDGET SAMI-JF'!BJ13:BJ100000,'PLAN BUDGET SAMI-JF'!D13:D100000,SUMMARY!D55,'PLAN BUDGET SAMI-JF'!J13:J100000,SUMMARY!A55&amp;"*")</f>
        <v>0</v>
      </c>
      <c r="Y55" s="10">
        <f>SUMIFS('PLAN BUDGET SAMI-JF'!BK13:BK100000,'PLAN BUDGET SAMI-JF'!D13:D100000,SUMMARY!D55,'PLAN BUDGET SAMI-JF'!J13:J100000,SUMMARY!A55&amp;"*")</f>
        <v>0</v>
      </c>
      <c r="Z55" s="10">
        <f>SUMIFS('PLAN BUDGET SAMI-JF'!BL13:BL100000,'PLAN BUDGET SAMI-JF'!D13:D100000,SUMMARY!D55,'PLAN BUDGET SAMI-JF'!J13:J100000,SUMMARY!A55&amp;"*")</f>
        <v>0</v>
      </c>
      <c r="AA55" s="10">
        <f>SUMIFS('PLAN BUDGET SAMI-JF'!BM13:BM100000,'PLAN BUDGET SAMI-JF'!D13:D100000,SUMMARY!D55,'PLAN BUDGET SAMI-JF'!J13:J100000,SUMMARY!A55&amp;"*")</f>
        <v>0</v>
      </c>
      <c r="AB55" s="10">
        <f>SUMIFS('PLAN BUDGET SAMI-JF'!BN13:BN100000,'PLAN BUDGET SAMI-JF'!D13:D100000,SUMMARY!D55,'PLAN BUDGET SAMI-JF'!J13:J100000,SUMMARY!A55&amp;"*")</f>
        <v>0</v>
      </c>
      <c r="AC55" s="10">
        <f t="shared" si="4"/>
        <v>0</v>
      </c>
      <c r="AD55" s="10">
        <f t="shared" si="5"/>
        <v>0</v>
      </c>
      <c r="AE55" s="16"/>
      <c r="AF55" s="10">
        <v>6</v>
      </c>
      <c r="AG55" s="10">
        <v>212.67707265201</v>
      </c>
      <c r="AH55" s="20">
        <f t="shared" si="6"/>
        <v>-1</v>
      </c>
      <c r="AI55" s="20">
        <f t="shared" si="7"/>
        <v>-1</v>
      </c>
      <c r="AJ55" s="7" t="s">
        <v>201</v>
      </c>
    </row>
    <row r="56" spans="1:36" x14ac:dyDescent="0.35">
      <c r="A56" s="7" t="s">
        <v>47</v>
      </c>
      <c r="B56" s="7"/>
      <c r="C56" s="7"/>
      <c r="D56" s="7" t="s">
        <v>222</v>
      </c>
      <c r="E56" s="10">
        <f>SUMIFS('PLAN BUDGET SAMI-JF'!AN13:AN100000,'PLAN BUDGET SAMI-JF'!D13:D100000,SUMMARY!D56,'PLAN BUDGET SAMI-JF'!J13:J100000,SUMMARY!A56&amp;"*")</f>
        <v>0</v>
      </c>
      <c r="F56" s="10">
        <f>SUMIFS('PLAN BUDGET SAMI-JF'!AO13:AO100000,'PLAN BUDGET SAMI-JF'!D13:D100000,SUMMARY!D56,'PLAN BUDGET SAMI-JF'!J13:J100000,SUMMARY!A56&amp;"*")</f>
        <v>0</v>
      </c>
      <c r="G56" s="10">
        <f>SUMIFS('PLAN BUDGET SAMI-JF'!AP13:AP100000,'PLAN BUDGET SAMI-JF'!D13:D100000,SUMMARY!D56,'PLAN BUDGET SAMI-JF'!J13:J100000,SUMMARY!A56&amp;"*")</f>
        <v>0</v>
      </c>
      <c r="H56" s="10">
        <f>SUMIFS('PLAN BUDGET SAMI-JF'!AQ13:AQ100000,'PLAN BUDGET SAMI-JF'!D13:D100000,SUMMARY!D56,'PLAN BUDGET SAMI-JF'!J13:J100000,SUMMARY!A56&amp;"*")</f>
        <v>0</v>
      </c>
      <c r="I56" s="10">
        <f>SUMIFS('PLAN BUDGET SAMI-JF'!AR13:AR100000,'PLAN BUDGET SAMI-JF'!D13:D100000,SUMMARY!D56,'PLAN BUDGET SAMI-JF'!J13:J100000,SUMMARY!A56&amp;"*")</f>
        <v>0</v>
      </c>
      <c r="J56" s="10">
        <f>SUMIFS('PLAN BUDGET SAMI-JF'!AS13:AS100000,'PLAN BUDGET SAMI-JF'!D13:D100000,SUMMARY!D56,'PLAN BUDGET SAMI-JF'!J13:J100000,SUMMARY!A56&amp;"*")</f>
        <v>0</v>
      </c>
      <c r="K56" s="10">
        <f>SUMIFS('PLAN BUDGET SAMI-JF'!AT13:AT100000,'PLAN BUDGET SAMI-JF'!D13:D100000,SUMMARY!D56,'PLAN BUDGET SAMI-JF'!J13:J100000,SUMMARY!A56&amp;"*")</f>
        <v>0</v>
      </c>
      <c r="L56" s="10">
        <f>SUMIFS('PLAN BUDGET SAMI-JF'!AU13:AU100000,'PLAN BUDGET SAMI-JF'!D13:D100000,SUMMARY!D56,'PLAN BUDGET SAMI-JF'!J13:J100000,SUMMARY!A56&amp;"*")</f>
        <v>0</v>
      </c>
      <c r="M56" s="10">
        <f>SUMIFS('PLAN BUDGET SAMI-JF'!AV13:AV100000,'PLAN BUDGET SAMI-JF'!D13:D100000,SUMMARY!D56,'PLAN BUDGET SAMI-JF'!J13:J100000,SUMMARY!A56&amp;"*")</f>
        <v>0</v>
      </c>
      <c r="N56" s="10">
        <f>SUMIFS('PLAN BUDGET SAMI-JF'!AW13:AW100000,'PLAN BUDGET SAMI-JF'!D13:D100000,SUMMARY!D56,'PLAN BUDGET SAMI-JF'!J13:J100000,SUMMARY!A56&amp;"*")</f>
        <v>0</v>
      </c>
      <c r="O56" s="10">
        <f>SUMIFS('PLAN BUDGET SAMI-JF'!AX13:AX100000,'PLAN BUDGET SAMI-JF'!D13:D100000,SUMMARY!D56,'PLAN BUDGET SAMI-JF'!J13:J100000,SUMMARY!A56&amp;"*")</f>
        <v>0</v>
      </c>
      <c r="P56" s="10">
        <f>SUMIFS('PLAN BUDGET SAMI-JF'!AY13:AY100000,'PLAN BUDGET SAMI-JF'!D13:D100000,SUMMARY!D56,'PLAN BUDGET SAMI-JF'!J13:J100000,SUMMARY!A56&amp;"*")</f>
        <v>0</v>
      </c>
      <c r="Q56" s="10">
        <f>SUMIFS('PLAN BUDGET SAMI-JF'!BC13:BC100000,'PLAN BUDGET SAMI-JF'!D13:D100000,SUMMARY!D56,'PLAN BUDGET SAMI-JF'!J13:J100000,SUMMARY!A56&amp;"*")</f>
        <v>0</v>
      </c>
      <c r="R56" s="10">
        <f>SUMIFS('PLAN BUDGET SAMI-JF'!BD13:BD100000,'PLAN BUDGET SAMI-JF'!D13:D100000,SUMMARY!D56,'PLAN BUDGET SAMI-JF'!J13:J100000,SUMMARY!A56&amp;"*")</f>
        <v>0</v>
      </c>
      <c r="S56" s="10">
        <f>SUMIFS('PLAN BUDGET SAMI-JF'!BE13:BE100000,'PLAN BUDGET SAMI-JF'!D13:D100000,SUMMARY!D56,'PLAN BUDGET SAMI-JF'!J13:J100000,SUMMARY!A56&amp;"*")</f>
        <v>0</v>
      </c>
      <c r="T56" s="10">
        <f>SUMIFS('PLAN BUDGET SAMI-JF'!BF13:BF100000,'PLAN BUDGET SAMI-JF'!D13:D100000,SUMMARY!D56,'PLAN BUDGET SAMI-JF'!J13:J100000,SUMMARY!A56&amp;"*")</f>
        <v>0</v>
      </c>
      <c r="U56" s="10">
        <f>SUMIFS('PLAN BUDGET SAMI-JF'!BG13:BG100000,'PLAN BUDGET SAMI-JF'!D13:D100000,SUMMARY!D56,'PLAN BUDGET SAMI-JF'!J13:J100000,SUMMARY!A56&amp;"*")</f>
        <v>0</v>
      </c>
      <c r="V56" s="10">
        <f>SUMIFS('PLAN BUDGET SAMI-JF'!BH13:BH100000,'PLAN BUDGET SAMI-JF'!D13:D100000,SUMMARY!D56,'PLAN BUDGET SAMI-JF'!J13:J100000,SUMMARY!A56&amp;"*")</f>
        <v>0</v>
      </c>
      <c r="W56" s="10">
        <f>SUMIFS('PLAN BUDGET SAMI-JF'!BI13:BI100000,'PLAN BUDGET SAMI-JF'!D13:D100000,SUMMARY!D56,'PLAN BUDGET SAMI-JF'!J13:J100000,SUMMARY!A56&amp;"*")</f>
        <v>0</v>
      </c>
      <c r="X56" s="10">
        <f>SUMIFS('PLAN BUDGET SAMI-JF'!BJ13:BJ100000,'PLAN BUDGET SAMI-JF'!D13:D100000,SUMMARY!D56,'PLAN BUDGET SAMI-JF'!J13:J100000,SUMMARY!A56&amp;"*")</f>
        <v>0</v>
      </c>
      <c r="Y56" s="10">
        <f>SUMIFS('PLAN BUDGET SAMI-JF'!BK13:BK100000,'PLAN BUDGET SAMI-JF'!D13:D100000,SUMMARY!D56,'PLAN BUDGET SAMI-JF'!J13:J100000,SUMMARY!A56&amp;"*")</f>
        <v>0</v>
      </c>
      <c r="Z56" s="10">
        <f>SUMIFS('PLAN BUDGET SAMI-JF'!BL13:BL100000,'PLAN BUDGET SAMI-JF'!D13:D100000,SUMMARY!D56,'PLAN BUDGET SAMI-JF'!J13:J100000,SUMMARY!A56&amp;"*")</f>
        <v>0</v>
      </c>
      <c r="AA56" s="10">
        <f>SUMIFS('PLAN BUDGET SAMI-JF'!BM13:BM100000,'PLAN BUDGET SAMI-JF'!D13:D100000,SUMMARY!D56,'PLAN BUDGET SAMI-JF'!J13:J100000,SUMMARY!A56&amp;"*")</f>
        <v>0</v>
      </c>
      <c r="AB56" s="10">
        <f>SUMIFS('PLAN BUDGET SAMI-JF'!BN13:BN100000,'PLAN BUDGET SAMI-JF'!D13:D100000,SUMMARY!D56,'PLAN BUDGET SAMI-JF'!J13:J100000,SUMMARY!A56&amp;"*")</f>
        <v>0</v>
      </c>
      <c r="AC56" s="10">
        <f t="shared" si="4"/>
        <v>0</v>
      </c>
      <c r="AD56" s="10">
        <f t="shared" si="5"/>
        <v>0</v>
      </c>
      <c r="AE56" s="16"/>
      <c r="AF56" s="10">
        <v>4</v>
      </c>
      <c r="AG56" s="10">
        <v>3.7978048687857999</v>
      </c>
      <c r="AH56" s="20">
        <f t="shared" si="6"/>
        <v>-1</v>
      </c>
      <c r="AI56" s="20">
        <f t="shared" si="7"/>
        <v>-1</v>
      </c>
      <c r="AJ56" s="7" t="s">
        <v>201</v>
      </c>
    </row>
    <row r="57" spans="1:36" x14ac:dyDescent="0.35">
      <c r="A57" s="7" t="s">
        <v>47</v>
      </c>
      <c r="B57" s="7"/>
      <c r="C57" s="7"/>
      <c r="D57" s="7" t="s">
        <v>223</v>
      </c>
      <c r="E57" s="10">
        <f>SUMIFS('PLAN BUDGET SAMI-JF'!AN13:AN100000,'PLAN BUDGET SAMI-JF'!D13:D100000,SUMMARY!D57,'PLAN BUDGET SAMI-JF'!J13:J100000,SUMMARY!A57&amp;"*")</f>
        <v>0</v>
      </c>
      <c r="F57" s="10">
        <f>SUMIFS('PLAN BUDGET SAMI-JF'!AO13:AO100000,'PLAN BUDGET SAMI-JF'!D13:D100000,SUMMARY!D57,'PLAN BUDGET SAMI-JF'!J13:J100000,SUMMARY!A57&amp;"*")</f>
        <v>0</v>
      </c>
      <c r="G57" s="10">
        <f>SUMIFS('PLAN BUDGET SAMI-JF'!AP13:AP100000,'PLAN BUDGET SAMI-JF'!D13:D100000,SUMMARY!D57,'PLAN BUDGET SAMI-JF'!J13:J100000,SUMMARY!A57&amp;"*")</f>
        <v>0</v>
      </c>
      <c r="H57" s="10">
        <f>SUMIFS('PLAN BUDGET SAMI-JF'!AQ13:AQ100000,'PLAN BUDGET SAMI-JF'!D13:D100000,SUMMARY!D57,'PLAN BUDGET SAMI-JF'!J13:J100000,SUMMARY!A57&amp;"*")</f>
        <v>0</v>
      </c>
      <c r="I57" s="10">
        <f>SUMIFS('PLAN BUDGET SAMI-JF'!AR13:AR100000,'PLAN BUDGET SAMI-JF'!D13:D100000,SUMMARY!D57,'PLAN BUDGET SAMI-JF'!J13:J100000,SUMMARY!A57&amp;"*")</f>
        <v>0</v>
      </c>
      <c r="J57" s="10">
        <f>SUMIFS('PLAN BUDGET SAMI-JF'!AS13:AS100000,'PLAN BUDGET SAMI-JF'!D13:D100000,SUMMARY!D57,'PLAN BUDGET SAMI-JF'!J13:J100000,SUMMARY!A57&amp;"*")</f>
        <v>0</v>
      </c>
      <c r="K57" s="10">
        <f>SUMIFS('PLAN BUDGET SAMI-JF'!AT13:AT100000,'PLAN BUDGET SAMI-JF'!D13:D100000,SUMMARY!D57,'PLAN BUDGET SAMI-JF'!J13:J100000,SUMMARY!A57&amp;"*")</f>
        <v>0</v>
      </c>
      <c r="L57" s="10">
        <f>SUMIFS('PLAN BUDGET SAMI-JF'!AU13:AU100000,'PLAN BUDGET SAMI-JF'!D13:D100000,SUMMARY!D57,'PLAN BUDGET SAMI-JF'!J13:J100000,SUMMARY!A57&amp;"*")</f>
        <v>0</v>
      </c>
      <c r="M57" s="10">
        <f>SUMIFS('PLAN BUDGET SAMI-JF'!AV13:AV100000,'PLAN BUDGET SAMI-JF'!D13:D100000,SUMMARY!D57,'PLAN BUDGET SAMI-JF'!J13:J100000,SUMMARY!A57&amp;"*")</f>
        <v>0</v>
      </c>
      <c r="N57" s="10">
        <f>SUMIFS('PLAN BUDGET SAMI-JF'!AW13:AW100000,'PLAN BUDGET SAMI-JF'!D13:D100000,SUMMARY!D57,'PLAN BUDGET SAMI-JF'!J13:J100000,SUMMARY!A57&amp;"*")</f>
        <v>0</v>
      </c>
      <c r="O57" s="10">
        <f>SUMIFS('PLAN BUDGET SAMI-JF'!AX13:AX100000,'PLAN BUDGET SAMI-JF'!D13:D100000,SUMMARY!D57,'PLAN BUDGET SAMI-JF'!J13:J100000,SUMMARY!A57&amp;"*")</f>
        <v>0</v>
      </c>
      <c r="P57" s="10">
        <f>SUMIFS('PLAN BUDGET SAMI-JF'!AY13:AY100000,'PLAN BUDGET SAMI-JF'!D13:D100000,SUMMARY!D57,'PLAN BUDGET SAMI-JF'!J13:J100000,SUMMARY!A57&amp;"*")</f>
        <v>0</v>
      </c>
      <c r="Q57" s="10">
        <f>SUMIFS('PLAN BUDGET SAMI-JF'!BC13:BC100000,'PLAN BUDGET SAMI-JF'!D13:D100000,SUMMARY!D57,'PLAN BUDGET SAMI-JF'!J13:J100000,SUMMARY!A57&amp;"*")</f>
        <v>0</v>
      </c>
      <c r="R57" s="10">
        <f>SUMIFS('PLAN BUDGET SAMI-JF'!BD13:BD100000,'PLAN BUDGET SAMI-JF'!D13:D100000,SUMMARY!D57,'PLAN BUDGET SAMI-JF'!J13:J100000,SUMMARY!A57&amp;"*")</f>
        <v>0</v>
      </c>
      <c r="S57" s="10">
        <f>SUMIFS('PLAN BUDGET SAMI-JF'!BE13:BE100000,'PLAN BUDGET SAMI-JF'!D13:D100000,SUMMARY!D57,'PLAN BUDGET SAMI-JF'!J13:J100000,SUMMARY!A57&amp;"*")</f>
        <v>0</v>
      </c>
      <c r="T57" s="10">
        <f>SUMIFS('PLAN BUDGET SAMI-JF'!BF13:BF100000,'PLAN BUDGET SAMI-JF'!D13:D100000,SUMMARY!D57,'PLAN BUDGET SAMI-JF'!J13:J100000,SUMMARY!A57&amp;"*")</f>
        <v>0</v>
      </c>
      <c r="U57" s="10">
        <f>SUMIFS('PLAN BUDGET SAMI-JF'!BG13:BG100000,'PLAN BUDGET SAMI-JF'!D13:D100000,SUMMARY!D57,'PLAN BUDGET SAMI-JF'!J13:J100000,SUMMARY!A57&amp;"*")</f>
        <v>0</v>
      </c>
      <c r="V57" s="10">
        <f>SUMIFS('PLAN BUDGET SAMI-JF'!BH13:BH100000,'PLAN BUDGET SAMI-JF'!D13:D100000,SUMMARY!D57,'PLAN BUDGET SAMI-JF'!J13:J100000,SUMMARY!A57&amp;"*")</f>
        <v>0</v>
      </c>
      <c r="W57" s="10">
        <f>SUMIFS('PLAN BUDGET SAMI-JF'!BI13:BI100000,'PLAN BUDGET SAMI-JF'!D13:D100000,SUMMARY!D57,'PLAN BUDGET SAMI-JF'!J13:J100000,SUMMARY!A57&amp;"*")</f>
        <v>0</v>
      </c>
      <c r="X57" s="10">
        <f>SUMIFS('PLAN BUDGET SAMI-JF'!BJ13:BJ100000,'PLAN BUDGET SAMI-JF'!D13:D100000,SUMMARY!D57,'PLAN BUDGET SAMI-JF'!J13:J100000,SUMMARY!A57&amp;"*")</f>
        <v>0</v>
      </c>
      <c r="Y57" s="10">
        <f>SUMIFS('PLAN BUDGET SAMI-JF'!BK13:BK100000,'PLAN BUDGET SAMI-JF'!D13:D100000,SUMMARY!D57,'PLAN BUDGET SAMI-JF'!J13:J100000,SUMMARY!A57&amp;"*")</f>
        <v>0</v>
      </c>
      <c r="Z57" s="10">
        <f>SUMIFS('PLAN BUDGET SAMI-JF'!BL13:BL100000,'PLAN BUDGET SAMI-JF'!D13:D100000,SUMMARY!D57,'PLAN BUDGET SAMI-JF'!J13:J100000,SUMMARY!A57&amp;"*")</f>
        <v>0</v>
      </c>
      <c r="AA57" s="10">
        <f>SUMIFS('PLAN BUDGET SAMI-JF'!BM13:BM100000,'PLAN BUDGET SAMI-JF'!D13:D100000,SUMMARY!D57,'PLAN BUDGET SAMI-JF'!J13:J100000,SUMMARY!A57&amp;"*")</f>
        <v>0</v>
      </c>
      <c r="AB57" s="10">
        <f>SUMIFS('PLAN BUDGET SAMI-JF'!BN13:BN100000,'PLAN BUDGET SAMI-JF'!D13:D100000,SUMMARY!D57,'PLAN BUDGET SAMI-JF'!J13:J100000,SUMMARY!A57&amp;"*")</f>
        <v>0</v>
      </c>
      <c r="AC57" s="10">
        <f t="shared" si="4"/>
        <v>0</v>
      </c>
      <c r="AD57" s="10">
        <f t="shared" si="5"/>
        <v>0</v>
      </c>
      <c r="AE57" s="16"/>
      <c r="AF57" s="10">
        <v>32</v>
      </c>
      <c r="AG57" s="10">
        <v>506.37398250477997</v>
      </c>
      <c r="AH57" s="20">
        <f t="shared" si="6"/>
        <v>-1</v>
      </c>
      <c r="AI57" s="20">
        <f t="shared" si="7"/>
        <v>-1</v>
      </c>
      <c r="AJ57" s="7" t="s">
        <v>201</v>
      </c>
    </row>
    <row r="58" spans="1:36" x14ac:dyDescent="0.35">
      <c r="A58" s="7" t="s">
        <v>47</v>
      </c>
      <c r="B58" s="7"/>
      <c r="C58" s="7"/>
      <c r="D58" s="7" t="s">
        <v>169</v>
      </c>
      <c r="E58" s="10">
        <f>SUMIFS('PLAN BUDGET SAMI-JF'!AN13:AN100000,'PLAN BUDGET SAMI-JF'!D13:D100000,SUMMARY!D58,'PLAN BUDGET SAMI-JF'!J13:J100000,SUMMARY!A58&amp;"*")</f>
        <v>0</v>
      </c>
      <c r="F58" s="10">
        <f>SUMIFS('PLAN BUDGET SAMI-JF'!AO13:AO100000,'PLAN BUDGET SAMI-JF'!D13:D100000,SUMMARY!D58,'PLAN BUDGET SAMI-JF'!J13:J100000,SUMMARY!A58&amp;"*")</f>
        <v>0</v>
      </c>
      <c r="G58" s="10">
        <f>SUMIFS('PLAN BUDGET SAMI-JF'!AP13:AP100000,'PLAN BUDGET SAMI-JF'!D13:D100000,SUMMARY!D58,'PLAN BUDGET SAMI-JF'!J13:J100000,SUMMARY!A58&amp;"*")</f>
        <v>0</v>
      </c>
      <c r="H58" s="10">
        <f>SUMIFS('PLAN BUDGET SAMI-JF'!AQ13:AQ100000,'PLAN BUDGET SAMI-JF'!D13:D100000,SUMMARY!D58,'PLAN BUDGET SAMI-JF'!J13:J100000,SUMMARY!A58&amp;"*")</f>
        <v>0</v>
      </c>
      <c r="I58" s="10">
        <f>SUMIFS('PLAN BUDGET SAMI-JF'!AR13:AR100000,'PLAN BUDGET SAMI-JF'!D13:D100000,SUMMARY!D58,'PLAN BUDGET SAMI-JF'!J13:J100000,SUMMARY!A58&amp;"*")</f>
        <v>0</v>
      </c>
      <c r="J58" s="10">
        <f>SUMIFS('PLAN BUDGET SAMI-JF'!AS13:AS100000,'PLAN BUDGET SAMI-JF'!D13:D100000,SUMMARY!D58,'PLAN BUDGET SAMI-JF'!J13:J100000,SUMMARY!A58&amp;"*")</f>
        <v>0</v>
      </c>
      <c r="K58" s="10">
        <f>SUMIFS('PLAN BUDGET SAMI-JF'!AT13:AT100000,'PLAN BUDGET SAMI-JF'!D13:D100000,SUMMARY!D58,'PLAN BUDGET SAMI-JF'!J13:J100000,SUMMARY!A58&amp;"*")</f>
        <v>0</v>
      </c>
      <c r="L58" s="10">
        <f>SUMIFS('PLAN BUDGET SAMI-JF'!AU13:AU100000,'PLAN BUDGET SAMI-JF'!D13:D100000,SUMMARY!D58,'PLAN BUDGET SAMI-JF'!J13:J100000,SUMMARY!A58&amp;"*")</f>
        <v>0</v>
      </c>
      <c r="M58" s="10">
        <f>SUMIFS('PLAN BUDGET SAMI-JF'!AV13:AV100000,'PLAN BUDGET SAMI-JF'!D13:D100000,SUMMARY!D58,'PLAN BUDGET SAMI-JF'!J13:J100000,SUMMARY!A58&amp;"*")</f>
        <v>0</v>
      </c>
      <c r="N58" s="10">
        <f>SUMIFS('PLAN BUDGET SAMI-JF'!AW13:AW100000,'PLAN BUDGET SAMI-JF'!D13:D100000,SUMMARY!D58,'PLAN BUDGET SAMI-JF'!J13:J100000,SUMMARY!A58&amp;"*")</f>
        <v>0</v>
      </c>
      <c r="O58" s="10">
        <f>SUMIFS('PLAN BUDGET SAMI-JF'!AX13:AX100000,'PLAN BUDGET SAMI-JF'!D13:D100000,SUMMARY!D58,'PLAN BUDGET SAMI-JF'!J13:J100000,SUMMARY!A58&amp;"*")</f>
        <v>0</v>
      </c>
      <c r="P58" s="10">
        <f>SUMIFS('PLAN BUDGET SAMI-JF'!AY13:AY100000,'PLAN BUDGET SAMI-JF'!D13:D100000,SUMMARY!D58,'PLAN BUDGET SAMI-JF'!J13:J100000,SUMMARY!A58&amp;"*")</f>
        <v>0</v>
      </c>
      <c r="Q58" s="10">
        <f>SUMIFS('PLAN BUDGET SAMI-JF'!BC13:BC100000,'PLAN BUDGET SAMI-JF'!D13:D100000,SUMMARY!D58,'PLAN BUDGET SAMI-JF'!J13:J100000,SUMMARY!A58&amp;"*")</f>
        <v>0</v>
      </c>
      <c r="R58" s="10">
        <f>SUMIFS('PLAN BUDGET SAMI-JF'!BD13:BD100000,'PLAN BUDGET SAMI-JF'!D13:D100000,SUMMARY!D58,'PLAN BUDGET SAMI-JF'!J13:J100000,SUMMARY!A58&amp;"*")</f>
        <v>0</v>
      </c>
      <c r="S58" s="10">
        <f>SUMIFS('PLAN BUDGET SAMI-JF'!BE13:BE100000,'PLAN BUDGET SAMI-JF'!D13:D100000,SUMMARY!D58,'PLAN BUDGET SAMI-JF'!J13:J100000,SUMMARY!A58&amp;"*")</f>
        <v>0</v>
      </c>
      <c r="T58" s="10">
        <f>SUMIFS('PLAN BUDGET SAMI-JF'!BF13:BF100000,'PLAN BUDGET SAMI-JF'!D13:D100000,SUMMARY!D58,'PLAN BUDGET SAMI-JF'!J13:J100000,SUMMARY!A58&amp;"*")</f>
        <v>0</v>
      </c>
      <c r="U58" s="10">
        <f>SUMIFS('PLAN BUDGET SAMI-JF'!BG13:BG100000,'PLAN BUDGET SAMI-JF'!D13:D100000,SUMMARY!D58,'PLAN BUDGET SAMI-JF'!J13:J100000,SUMMARY!A58&amp;"*")</f>
        <v>0</v>
      </c>
      <c r="V58" s="10">
        <f>SUMIFS('PLAN BUDGET SAMI-JF'!BH13:BH100000,'PLAN BUDGET SAMI-JF'!D13:D100000,SUMMARY!D58,'PLAN BUDGET SAMI-JF'!J13:J100000,SUMMARY!A58&amp;"*")</f>
        <v>0</v>
      </c>
      <c r="W58" s="10">
        <f>SUMIFS('PLAN BUDGET SAMI-JF'!BI13:BI100000,'PLAN BUDGET SAMI-JF'!D13:D100000,SUMMARY!D58,'PLAN BUDGET SAMI-JF'!J13:J100000,SUMMARY!A58&amp;"*")</f>
        <v>0</v>
      </c>
      <c r="X58" s="10">
        <f>SUMIFS('PLAN BUDGET SAMI-JF'!BJ13:BJ100000,'PLAN BUDGET SAMI-JF'!D13:D100000,SUMMARY!D58,'PLAN BUDGET SAMI-JF'!J13:J100000,SUMMARY!A58&amp;"*")</f>
        <v>0</v>
      </c>
      <c r="Y58" s="10">
        <f>SUMIFS('PLAN BUDGET SAMI-JF'!BK13:BK100000,'PLAN BUDGET SAMI-JF'!D13:D100000,SUMMARY!D58,'PLAN BUDGET SAMI-JF'!J13:J100000,SUMMARY!A58&amp;"*")</f>
        <v>0</v>
      </c>
      <c r="Z58" s="10">
        <f>SUMIFS('PLAN BUDGET SAMI-JF'!BL13:BL100000,'PLAN BUDGET SAMI-JF'!D13:D100000,SUMMARY!D58,'PLAN BUDGET SAMI-JF'!J13:J100000,SUMMARY!A58&amp;"*")</f>
        <v>0</v>
      </c>
      <c r="AA58" s="10">
        <f>SUMIFS('PLAN BUDGET SAMI-JF'!BM13:BM100000,'PLAN BUDGET SAMI-JF'!D13:D100000,SUMMARY!D58,'PLAN BUDGET SAMI-JF'!J13:J100000,SUMMARY!A58&amp;"*")</f>
        <v>0</v>
      </c>
      <c r="AB58" s="10">
        <f>SUMIFS('PLAN BUDGET SAMI-JF'!BN13:BN100000,'PLAN BUDGET SAMI-JF'!D13:D100000,SUMMARY!D58,'PLAN BUDGET SAMI-JF'!J13:J100000,SUMMARY!A58&amp;"*")</f>
        <v>0</v>
      </c>
      <c r="AC58" s="10">
        <f t="shared" si="4"/>
        <v>0</v>
      </c>
      <c r="AD58" s="10">
        <f t="shared" si="5"/>
        <v>0</v>
      </c>
      <c r="AE58" s="16"/>
      <c r="AF58" s="10">
        <v>20</v>
      </c>
      <c r="AG58" s="10">
        <v>34.180243819072999</v>
      </c>
      <c r="AH58" s="20">
        <f t="shared" si="6"/>
        <v>-1</v>
      </c>
      <c r="AI58" s="20">
        <f t="shared" si="7"/>
        <v>-1</v>
      </c>
      <c r="AJ58" s="7" t="s">
        <v>201</v>
      </c>
    </row>
    <row r="59" spans="1:36" x14ac:dyDescent="0.35">
      <c r="A59" s="7" t="s">
        <v>47</v>
      </c>
      <c r="B59" s="7"/>
      <c r="C59" s="7"/>
      <c r="D59" s="7" t="s">
        <v>210</v>
      </c>
      <c r="E59" s="10">
        <f>SUMIFS('PLAN BUDGET SAMI-JF'!AN13:AN100000,'PLAN BUDGET SAMI-JF'!D13:D100000,SUMMARY!D59,'PLAN BUDGET SAMI-JF'!J13:J100000,SUMMARY!A59&amp;"*")</f>
        <v>0</v>
      </c>
      <c r="F59" s="10">
        <f>SUMIFS('PLAN BUDGET SAMI-JF'!AO13:AO100000,'PLAN BUDGET SAMI-JF'!D13:D100000,SUMMARY!D59,'PLAN BUDGET SAMI-JF'!J13:J100000,SUMMARY!A59&amp;"*")</f>
        <v>0</v>
      </c>
      <c r="G59" s="10">
        <f>SUMIFS('PLAN BUDGET SAMI-JF'!AP13:AP100000,'PLAN BUDGET SAMI-JF'!D13:D100000,SUMMARY!D59,'PLAN BUDGET SAMI-JF'!J13:J100000,SUMMARY!A59&amp;"*")</f>
        <v>0</v>
      </c>
      <c r="H59" s="10">
        <f>SUMIFS('PLAN BUDGET SAMI-JF'!AQ13:AQ100000,'PLAN BUDGET SAMI-JF'!D13:D100000,SUMMARY!D59,'PLAN BUDGET SAMI-JF'!J13:J100000,SUMMARY!A59&amp;"*")</f>
        <v>0</v>
      </c>
      <c r="I59" s="10">
        <f>SUMIFS('PLAN BUDGET SAMI-JF'!AR13:AR100000,'PLAN BUDGET SAMI-JF'!D13:D100000,SUMMARY!D59,'PLAN BUDGET SAMI-JF'!J13:J100000,SUMMARY!A59&amp;"*")</f>
        <v>0</v>
      </c>
      <c r="J59" s="10">
        <f>SUMIFS('PLAN BUDGET SAMI-JF'!AS13:AS100000,'PLAN BUDGET SAMI-JF'!D13:D100000,SUMMARY!D59,'PLAN BUDGET SAMI-JF'!J13:J100000,SUMMARY!A59&amp;"*")</f>
        <v>0</v>
      </c>
      <c r="K59" s="10">
        <f>SUMIFS('PLAN BUDGET SAMI-JF'!AT13:AT100000,'PLAN BUDGET SAMI-JF'!D13:D100000,SUMMARY!D59,'PLAN BUDGET SAMI-JF'!J13:J100000,SUMMARY!A59&amp;"*")</f>
        <v>0</v>
      </c>
      <c r="L59" s="10">
        <f>SUMIFS('PLAN BUDGET SAMI-JF'!AU13:AU100000,'PLAN BUDGET SAMI-JF'!D13:D100000,SUMMARY!D59,'PLAN BUDGET SAMI-JF'!J13:J100000,SUMMARY!A59&amp;"*")</f>
        <v>0</v>
      </c>
      <c r="M59" s="10">
        <f>SUMIFS('PLAN BUDGET SAMI-JF'!AV13:AV100000,'PLAN BUDGET SAMI-JF'!D13:D100000,SUMMARY!D59,'PLAN BUDGET SAMI-JF'!J13:J100000,SUMMARY!A59&amp;"*")</f>
        <v>0</v>
      </c>
      <c r="N59" s="10">
        <f>SUMIFS('PLAN BUDGET SAMI-JF'!AW13:AW100000,'PLAN BUDGET SAMI-JF'!D13:D100000,SUMMARY!D59,'PLAN BUDGET SAMI-JF'!J13:J100000,SUMMARY!A59&amp;"*")</f>
        <v>0</v>
      </c>
      <c r="O59" s="10">
        <f>SUMIFS('PLAN BUDGET SAMI-JF'!AX13:AX100000,'PLAN BUDGET SAMI-JF'!D13:D100000,SUMMARY!D59,'PLAN BUDGET SAMI-JF'!J13:J100000,SUMMARY!A59&amp;"*")</f>
        <v>0</v>
      </c>
      <c r="P59" s="10">
        <f>SUMIFS('PLAN BUDGET SAMI-JF'!AY13:AY100000,'PLAN BUDGET SAMI-JF'!D13:D100000,SUMMARY!D59,'PLAN BUDGET SAMI-JF'!J13:J100000,SUMMARY!A59&amp;"*")</f>
        <v>0</v>
      </c>
      <c r="Q59" s="10">
        <f>SUMIFS('PLAN BUDGET SAMI-JF'!BC13:BC100000,'PLAN BUDGET SAMI-JF'!D13:D100000,SUMMARY!D59,'PLAN BUDGET SAMI-JF'!J13:J100000,SUMMARY!A59&amp;"*")</f>
        <v>0</v>
      </c>
      <c r="R59" s="10">
        <f>SUMIFS('PLAN BUDGET SAMI-JF'!BD13:BD100000,'PLAN BUDGET SAMI-JF'!D13:D100000,SUMMARY!D59,'PLAN BUDGET SAMI-JF'!J13:J100000,SUMMARY!A59&amp;"*")</f>
        <v>0</v>
      </c>
      <c r="S59" s="10">
        <f>SUMIFS('PLAN BUDGET SAMI-JF'!BE13:BE100000,'PLAN BUDGET SAMI-JF'!D13:D100000,SUMMARY!D59,'PLAN BUDGET SAMI-JF'!J13:J100000,SUMMARY!A59&amp;"*")</f>
        <v>0</v>
      </c>
      <c r="T59" s="10">
        <f>SUMIFS('PLAN BUDGET SAMI-JF'!BF13:BF100000,'PLAN BUDGET SAMI-JF'!D13:D100000,SUMMARY!D59,'PLAN BUDGET SAMI-JF'!J13:J100000,SUMMARY!A59&amp;"*")</f>
        <v>0</v>
      </c>
      <c r="U59" s="10">
        <f>SUMIFS('PLAN BUDGET SAMI-JF'!BG13:BG100000,'PLAN BUDGET SAMI-JF'!D13:D100000,SUMMARY!D59,'PLAN BUDGET SAMI-JF'!J13:J100000,SUMMARY!A59&amp;"*")</f>
        <v>0</v>
      </c>
      <c r="V59" s="10">
        <f>SUMIFS('PLAN BUDGET SAMI-JF'!BH13:BH100000,'PLAN BUDGET SAMI-JF'!D13:D100000,SUMMARY!D59,'PLAN BUDGET SAMI-JF'!J13:J100000,SUMMARY!A59&amp;"*")</f>
        <v>0</v>
      </c>
      <c r="W59" s="10">
        <f>SUMIFS('PLAN BUDGET SAMI-JF'!BI13:BI100000,'PLAN BUDGET SAMI-JF'!D13:D100000,SUMMARY!D59,'PLAN BUDGET SAMI-JF'!J13:J100000,SUMMARY!A59&amp;"*")</f>
        <v>0</v>
      </c>
      <c r="X59" s="10">
        <f>SUMIFS('PLAN BUDGET SAMI-JF'!BJ13:BJ100000,'PLAN BUDGET SAMI-JF'!D13:D100000,SUMMARY!D59,'PLAN BUDGET SAMI-JF'!J13:J100000,SUMMARY!A59&amp;"*")</f>
        <v>0</v>
      </c>
      <c r="Y59" s="10">
        <f>SUMIFS('PLAN BUDGET SAMI-JF'!BK13:BK100000,'PLAN BUDGET SAMI-JF'!D13:D100000,SUMMARY!D59,'PLAN BUDGET SAMI-JF'!J13:J100000,SUMMARY!A59&amp;"*")</f>
        <v>0</v>
      </c>
      <c r="Z59" s="10">
        <f>SUMIFS('PLAN BUDGET SAMI-JF'!BL13:BL100000,'PLAN BUDGET SAMI-JF'!D13:D100000,SUMMARY!D59,'PLAN BUDGET SAMI-JF'!J13:J100000,SUMMARY!A59&amp;"*")</f>
        <v>0</v>
      </c>
      <c r="AA59" s="10">
        <f>SUMIFS('PLAN BUDGET SAMI-JF'!BM13:BM100000,'PLAN BUDGET SAMI-JF'!D13:D100000,SUMMARY!D59,'PLAN BUDGET SAMI-JF'!J13:J100000,SUMMARY!A59&amp;"*")</f>
        <v>0</v>
      </c>
      <c r="AB59" s="10">
        <f>SUMIFS('PLAN BUDGET SAMI-JF'!BN13:BN100000,'PLAN BUDGET SAMI-JF'!D13:D100000,SUMMARY!D59,'PLAN BUDGET SAMI-JF'!J13:J100000,SUMMARY!A59&amp;"*")</f>
        <v>0</v>
      </c>
      <c r="AC59" s="10">
        <f t="shared" si="4"/>
        <v>0</v>
      </c>
      <c r="AD59" s="10">
        <f t="shared" si="5"/>
        <v>0</v>
      </c>
      <c r="AE59" s="16"/>
      <c r="AF59" s="10">
        <v>46</v>
      </c>
      <c r="AG59" s="10">
        <v>3240.9639426278</v>
      </c>
      <c r="AH59" s="20">
        <f t="shared" si="6"/>
        <v>-1</v>
      </c>
      <c r="AI59" s="20">
        <f t="shared" si="7"/>
        <v>-1</v>
      </c>
      <c r="AJ59" s="7" t="s">
        <v>201</v>
      </c>
    </row>
    <row r="60" spans="1:36" x14ac:dyDescent="0.35">
      <c r="A60" s="7" t="s">
        <v>47</v>
      </c>
      <c r="B60" s="7"/>
      <c r="C60" s="7"/>
      <c r="D60" s="7" t="s">
        <v>224</v>
      </c>
      <c r="E60" s="10">
        <f>SUMIFS('PLAN BUDGET SAMI-JF'!AN13:AN100000,'PLAN BUDGET SAMI-JF'!D13:D100000,SUMMARY!D60,'PLAN BUDGET SAMI-JF'!J13:J100000,SUMMARY!A60&amp;"*")</f>
        <v>0</v>
      </c>
      <c r="F60" s="10">
        <f>SUMIFS('PLAN BUDGET SAMI-JF'!AO13:AO100000,'PLAN BUDGET SAMI-JF'!D13:D100000,SUMMARY!D60,'PLAN BUDGET SAMI-JF'!J13:J100000,SUMMARY!A60&amp;"*")</f>
        <v>0</v>
      </c>
      <c r="G60" s="10">
        <f>SUMIFS('PLAN BUDGET SAMI-JF'!AP13:AP100000,'PLAN BUDGET SAMI-JF'!D13:D100000,SUMMARY!D60,'PLAN BUDGET SAMI-JF'!J13:J100000,SUMMARY!A60&amp;"*")</f>
        <v>0</v>
      </c>
      <c r="H60" s="10">
        <f>SUMIFS('PLAN BUDGET SAMI-JF'!AQ13:AQ100000,'PLAN BUDGET SAMI-JF'!D13:D100000,SUMMARY!D60,'PLAN BUDGET SAMI-JF'!J13:J100000,SUMMARY!A60&amp;"*")</f>
        <v>0</v>
      </c>
      <c r="I60" s="10">
        <f>SUMIFS('PLAN BUDGET SAMI-JF'!AR13:AR100000,'PLAN BUDGET SAMI-JF'!D13:D100000,SUMMARY!D60,'PLAN BUDGET SAMI-JF'!J13:J100000,SUMMARY!A60&amp;"*")</f>
        <v>0</v>
      </c>
      <c r="J60" s="10">
        <f>SUMIFS('PLAN BUDGET SAMI-JF'!AS13:AS100000,'PLAN BUDGET SAMI-JF'!D13:D100000,SUMMARY!D60,'PLAN BUDGET SAMI-JF'!J13:J100000,SUMMARY!A60&amp;"*")</f>
        <v>0</v>
      </c>
      <c r="K60" s="10">
        <f>SUMIFS('PLAN BUDGET SAMI-JF'!AT13:AT100000,'PLAN BUDGET SAMI-JF'!D13:D100000,SUMMARY!D60,'PLAN BUDGET SAMI-JF'!J13:J100000,SUMMARY!A60&amp;"*")</f>
        <v>0</v>
      </c>
      <c r="L60" s="10">
        <f>SUMIFS('PLAN BUDGET SAMI-JF'!AU13:AU100000,'PLAN BUDGET SAMI-JF'!D13:D100000,SUMMARY!D60,'PLAN BUDGET SAMI-JF'!J13:J100000,SUMMARY!A60&amp;"*")</f>
        <v>0</v>
      </c>
      <c r="M60" s="10">
        <f>SUMIFS('PLAN BUDGET SAMI-JF'!AV13:AV100000,'PLAN BUDGET SAMI-JF'!D13:D100000,SUMMARY!D60,'PLAN BUDGET SAMI-JF'!J13:J100000,SUMMARY!A60&amp;"*")</f>
        <v>0</v>
      </c>
      <c r="N60" s="10">
        <f>SUMIFS('PLAN BUDGET SAMI-JF'!AW13:AW100000,'PLAN BUDGET SAMI-JF'!D13:D100000,SUMMARY!D60,'PLAN BUDGET SAMI-JF'!J13:J100000,SUMMARY!A60&amp;"*")</f>
        <v>0</v>
      </c>
      <c r="O60" s="10">
        <f>SUMIFS('PLAN BUDGET SAMI-JF'!AX13:AX100000,'PLAN BUDGET SAMI-JF'!D13:D100000,SUMMARY!D60,'PLAN BUDGET SAMI-JF'!J13:J100000,SUMMARY!A60&amp;"*")</f>
        <v>0</v>
      </c>
      <c r="P60" s="10">
        <f>SUMIFS('PLAN BUDGET SAMI-JF'!AY13:AY100000,'PLAN BUDGET SAMI-JF'!D13:D100000,SUMMARY!D60,'PLAN BUDGET SAMI-JF'!J13:J100000,SUMMARY!A60&amp;"*")</f>
        <v>0</v>
      </c>
      <c r="Q60" s="10">
        <f>SUMIFS('PLAN BUDGET SAMI-JF'!BC13:BC100000,'PLAN BUDGET SAMI-JF'!D13:D100000,SUMMARY!D60,'PLAN BUDGET SAMI-JF'!J13:J100000,SUMMARY!A60&amp;"*")</f>
        <v>0</v>
      </c>
      <c r="R60" s="10">
        <f>SUMIFS('PLAN BUDGET SAMI-JF'!BD13:BD100000,'PLAN BUDGET SAMI-JF'!D13:D100000,SUMMARY!D60,'PLAN BUDGET SAMI-JF'!J13:J100000,SUMMARY!A60&amp;"*")</f>
        <v>0</v>
      </c>
      <c r="S60" s="10">
        <f>SUMIFS('PLAN BUDGET SAMI-JF'!BE13:BE100000,'PLAN BUDGET SAMI-JF'!D13:D100000,SUMMARY!D60,'PLAN BUDGET SAMI-JF'!J13:J100000,SUMMARY!A60&amp;"*")</f>
        <v>0</v>
      </c>
      <c r="T60" s="10">
        <f>SUMIFS('PLAN BUDGET SAMI-JF'!BF13:BF100000,'PLAN BUDGET SAMI-JF'!D13:D100000,SUMMARY!D60,'PLAN BUDGET SAMI-JF'!J13:J100000,SUMMARY!A60&amp;"*")</f>
        <v>0</v>
      </c>
      <c r="U60" s="10">
        <f>SUMIFS('PLAN BUDGET SAMI-JF'!BG13:BG100000,'PLAN BUDGET SAMI-JF'!D13:D100000,SUMMARY!D60,'PLAN BUDGET SAMI-JF'!J13:J100000,SUMMARY!A60&amp;"*")</f>
        <v>0</v>
      </c>
      <c r="V60" s="10">
        <f>SUMIFS('PLAN BUDGET SAMI-JF'!BH13:BH100000,'PLAN BUDGET SAMI-JF'!D13:D100000,SUMMARY!D60,'PLAN BUDGET SAMI-JF'!J13:J100000,SUMMARY!A60&amp;"*")</f>
        <v>0</v>
      </c>
      <c r="W60" s="10">
        <f>SUMIFS('PLAN BUDGET SAMI-JF'!BI13:BI100000,'PLAN BUDGET SAMI-JF'!D13:D100000,SUMMARY!D60,'PLAN BUDGET SAMI-JF'!J13:J100000,SUMMARY!A60&amp;"*")</f>
        <v>0</v>
      </c>
      <c r="X60" s="10">
        <f>SUMIFS('PLAN BUDGET SAMI-JF'!BJ13:BJ100000,'PLAN BUDGET SAMI-JF'!D13:D100000,SUMMARY!D60,'PLAN BUDGET SAMI-JF'!J13:J100000,SUMMARY!A60&amp;"*")</f>
        <v>0</v>
      </c>
      <c r="Y60" s="10">
        <f>SUMIFS('PLAN BUDGET SAMI-JF'!BK13:BK100000,'PLAN BUDGET SAMI-JF'!D13:D100000,SUMMARY!D60,'PLAN BUDGET SAMI-JF'!J13:J100000,SUMMARY!A60&amp;"*")</f>
        <v>0</v>
      </c>
      <c r="Z60" s="10">
        <f>SUMIFS('PLAN BUDGET SAMI-JF'!BL13:BL100000,'PLAN BUDGET SAMI-JF'!D13:D100000,SUMMARY!D60,'PLAN BUDGET SAMI-JF'!J13:J100000,SUMMARY!A60&amp;"*")</f>
        <v>0</v>
      </c>
      <c r="AA60" s="10">
        <f>SUMIFS('PLAN BUDGET SAMI-JF'!BM13:BM100000,'PLAN BUDGET SAMI-JF'!D13:D100000,SUMMARY!D60,'PLAN BUDGET SAMI-JF'!J13:J100000,SUMMARY!A60&amp;"*")</f>
        <v>0</v>
      </c>
      <c r="AB60" s="10">
        <f>SUMIFS('PLAN BUDGET SAMI-JF'!BN13:BN100000,'PLAN BUDGET SAMI-JF'!D13:D100000,SUMMARY!D60,'PLAN BUDGET SAMI-JF'!J13:J100000,SUMMARY!A60&amp;"*")</f>
        <v>0</v>
      </c>
      <c r="AC60" s="10">
        <f t="shared" si="4"/>
        <v>0</v>
      </c>
      <c r="AD60" s="10">
        <f t="shared" si="5"/>
        <v>0</v>
      </c>
      <c r="AE60" s="16"/>
      <c r="AF60" s="10">
        <v>1000</v>
      </c>
      <c r="AG60" s="10">
        <v>18.989024343929</v>
      </c>
      <c r="AH60" s="20">
        <f t="shared" si="6"/>
        <v>-1</v>
      </c>
      <c r="AI60" s="20">
        <f t="shared" si="7"/>
        <v>-1</v>
      </c>
      <c r="AJ60" s="7" t="s">
        <v>201</v>
      </c>
    </row>
    <row r="61" spans="1:36" x14ac:dyDescent="0.35">
      <c r="A61" s="7" t="s">
        <v>47</v>
      </c>
      <c r="B61" s="7"/>
      <c r="C61" s="7"/>
      <c r="D61" s="7" t="s">
        <v>225</v>
      </c>
      <c r="E61" s="10">
        <f>SUMIFS('PLAN BUDGET SAMI-JF'!AN13:AN100000,'PLAN BUDGET SAMI-JF'!D13:D100000,SUMMARY!D61,'PLAN BUDGET SAMI-JF'!J13:J100000,SUMMARY!A61&amp;"*")</f>
        <v>0</v>
      </c>
      <c r="F61" s="10">
        <f>SUMIFS('PLAN BUDGET SAMI-JF'!AO13:AO100000,'PLAN BUDGET SAMI-JF'!D13:D100000,SUMMARY!D61,'PLAN BUDGET SAMI-JF'!J13:J100000,SUMMARY!A61&amp;"*")</f>
        <v>0</v>
      </c>
      <c r="G61" s="10">
        <f>SUMIFS('PLAN BUDGET SAMI-JF'!AP13:AP100000,'PLAN BUDGET SAMI-JF'!D13:D100000,SUMMARY!D61,'PLAN BUDGET SAMI-JF'!J13:J100000,SUMMARY!A61&amp;"*")</f>
        <v>0</v>
      </c>
      <c r="H61" s="10">
        <f>SUMIFS('PLAN BUDGET SAMI-JF'!AQ13:AQ100000,'PLAN BUDGET SAMI-JF'!D13:D100000,SUMMARY!D61,'PLAN BUDGET SAMI-JF'!J13:J100000,SUMMARY!A61&amp;"*")</f>
        <v>0</v>
      </c>
      <c r="I61" s="10">
        <f>SUMIFS('PLAN BUDGET SAMI-JF'!AR13:AR100000,'PLAN BUDGET SAMI-JF'!D13:D100000,SUMMARY!D61,'PLAN BUDGET SAMI-JF'!J13:J100000,SUMMARY!A61&amp;"*")</f>
        <v>0</v>
      </c>
      <c r="J61" s="10">
        <f>SUMIFS('PLAN BUDGET SAMI-JF'!AS13:AS100000,'PLAN BUDGET SAMI-JF'!D13:D100000,SUMMARY!D61,'PLAN BUDGET SAMI-JF'!J13:J100000,SUMMARY!A61&amp;"*")</f>
        <v>0</v>
      </c>
      <c r="K61" s="10">
        <f>SUMIFS('PLAN BUDGET SAMI-JF'!AT13:AT100000,'PLAN BUDGET SAMI-JF'!D13:D100000,SUMMARY!D61,'PLAN BUDGET SAMI-JF'!J13:J100000,SUMMARY!A61&amp;"*")</f>
        <v>0</v>
      </c>
      <c r="L61" s="10">
        <f>SUMIFS('PLAN BUDGET SAMI-JF'!AU13:AU100000,'PLAN BUDGET SAMI-JF'!D13:D100000,SUMMARY!D61,'PLAN BUDGET SAMI-JF'!J13:J100000,SUMMARY!A61&amp;"*")</f>
        <v>0</v>
      </c>
      <c r="M61" s="10">
        <f>SUMIFS('PLAN BUDGET SAMI-JF'!AV13:AV100000,'PLAN BUDGET SAMI-JF'!D13:D100000,SUMMARY!D61,'PLAN BUDGET SAMI-JF'!J13:J100000,SUMMARY!A61&amp;"*")</f>
        <v>0</v>
      </c>
      <c r="N61" s="10">
        <f>SUMIFS('PLAN BUDGET SAMI-JF'!AW13:AW100000,'PLAN BUDGET SAMI-JF'!D13:D100000,SUMMARY!D61,'PLAN BUDGET SAMI-JF'!J13:J100000,SUMMARY!A61&amp;"*")</f>
        <v>0</v>
      </c>
      <c r="O61" s="10">
        <f>SUMIFS('PLAN BUDGET SAMI-JF'!AX13:AX100000,'PLAN BUDGET SAMI-JF'!D13:D100000,SUMMARY!D61,'PLAN BUDGET SAMI-JF'!J13:J100000,SUMMARY!A61&amp;"*")</f>
        <v>0</v>
      </c>
      <c r="P61" s="10">
        <f>SUMIFS('PLAN BUDGET SAMI-JF'!AY13:AY100000,'PLAN BUDGET SAMI-JF'!D13:D100000,SUMMARY!D61,'PLAN BUDGET SAMI-JF'!J13:J100000,SUMMARY!A61&amp;"*")</f>
        <v>0</v>
      </c>
      <c r="Q61" s="10">
        <f>SUMIFS('PLAN BUDGET SAMI-JF'!BC13:BC100000,'PLAN BUDGET SAMI-JF'!D13:D100000,SUMMARY!D61,'PLAN BUDGET SAMI-JF'!J13:J100000,SUMMARY!A61&amp;"*")</f>
        <v>0</v>
      </c>
      <c r="R61" s="10">
        <f>SUMIFS('PLAN BUDGET SAMI-JF'!BD13:BD100000,'PLAN BUDGET SAMI-JF'!D13:D100000,SUMMARY!D61,'PLAN BUDGET SAMI-JF'!J13:J100000,SUMMARY!A61&amp;"*")</f>
        <v>0</v>
      </c>
      <c r="S61" s="10">
        <f>SUMIFS('PLAN BUDGET SAMI-JF'!BE13:BE100000,'PLAN BUDGET SAMI-JF'!D13:D100000,SUMMARY!D61,'PLAN BUDGET SAMI-JF'!J13:J100000,SUMMARY!A61&amp;"*")</f>
        <v>0</v>
      </c>
      <c r="T61" s="10">
        <f>SUMIFS('PLAN BUDGET SAMI-JF'!BF13:BF100000,'PLAN BUDGET SAMI-JF'!D13:D100000,SUMMARY!D61,'PLAN BUDGET SAMI-JF'!J13:J100000,SUMMARY!A61&amp;"*")</f>
        <v>0</v>
      </c>
      <c r="U61" s="10">
        <f>SUMIFS('PLAN BUDGET SAMI-JF'!BG13:BG100000,'PLAN BUDGET SAMI-JF'!D13:D100000,SUMMARY!D61,'PLAN BUDGET SAMI-JF'!J13:J100000,SUMMARY!A61&amp;"*")</f>
        <v>0</v>
      </c>
      <c r="V61" s="10">
        <f>SUMIFS('PLAN BUDGET SAMI-JF'!BH13:BH100000,'PLAN BUDGET SAMI-JF'!D13:D100000,SUMMARY!D61,'PLAN BUDGET SAMI-JF'!J13:J100000,SUMMARY!A61&amp;"*")</f>
        <v>0</v>
      </c>
      <c r="W61" s="10">
        <f>SUMIFS('PLAN BUDGET SAMI-JF'!BI13:BI100000,'PLAN BUDGET SAMI-JF'!D13:D100000,SUMMARY!D61,'PLAN BUDGET SAMI-JF'!J13:J100000,SUMMARY!A61&amp;"*")</f>
        <v>0</v>
      </c>
      <c r="X61" s="10">
        <f>SUMIFS('PLAN BUDGET SAMI-JF'!BJ13:BJ100000,'PLAN BUDGET SAMI-JF'!D13:D100000,SUMMARY!D61,'PLAN BUDGET SAMI-JF'!J13:J100000,SUMMARY!A61&amp;"*")</f>
        <v>0</v>
      </c>
      <c r="Y61" s="10">
        <f>SUMIFS('PLAN BUDGET SAMI-JF'!BK13:BK100000,'PLAN BUDGET SAMI-JF'!D13:D100000,SUMMARY!D61,'PLAN BUDGET SAMI-JF'!J13:J100000,SUMMARY!A61&amp;"*")</f>
        <v>0</v>
      </c>
      <c r="Z61" s="10">
        <f>SUMIFS('PLAN BUDGET SAMI-JF'!BL13:BL100000,'PLAN BUDGET SAMI-JF'!D13:D100000,SUMMARY!D61,'PLAN BUDGET SAMI-JF'!J13:J100000,SUMMARY!A61&amp;"*")</f>
        <v>0</v>
      </c>
      <c r="AA61" s="10">
        <f>SUMIFS('PLAN BUDGET SAMI-JF'!BM13:BM100000,'PLAN BUDGET SAMI-JF'!D13:D100000,SUMMARY!D61,'PLAN BUDGET SAMI-JF'!J13:J100000,SUMMARY!A61&amp;"*")</f>
        <v>0</v>
      </c>
      <c r="AB61" s="10">
        <f>SUMIFS('PLAN BUDGET SAMI-JF'!BN13:BN100000,'PLAN BUDGET SAMI-JF'!D13:D100000,SUMMARY!D61,'PLAN BUDGET SAMI-JF'!J13:J100000,SUMMARY!A61&amp;"*")</f>
        <v>0</v>
      </c>
      <c r="AC61" s="10">
        <f t="shared" si="4"/>
        <v>0</v>
      </c>
      <c r="AD61" s="10">
        <f t="shared" si="5"/>
        <v>0</v>
      </c>
      <c r="AE61" s="16"/>
      <c r="AF61" s="10">
        <v>1</v>
      </c>
      <c r="AG61" s="10">
        <v>1729.5836339929001</v>
      </c>
      <c r="AH61" s="20">
        <f t="shared" si="6"/>
        <v>-1</v>
      </c>
      <c r="AI61" s="20">
        <f t="shared" si="7"/>
        <v>-1</v>
      </c>
      <c r="AJ61" s="7" t="s">
        <v>201</v>
      </c>
    </row>
    <row r="62" spans="1:36" x14ac:dyDescent="0.35">
      <c r="A62" s="7" t="s">
        <v>47</v>
      </c>
      <c r="B62" s="7"/>
      <c r="C62" s="7"/>
      <c r="D62" s="7" t="s">
        <v>226</v>
      </c>
      <c r="E62" s="10">
        <f>SUMIFS('PLAN BUDGET SAMI-JF'!AN13:AN100000,'PLAN BUDGET SAMI-JF'!D13:D100000,SUMMARY!D62,'PLAN BUDGET SAMI-JF'!J13:J100000,SUMMARY!A62&amp;"*")</f>
        <v>0</v>
      </c>
      <c r="F62" s="10">
        <f>SUMIFS('PLAN BUDGET SAMI-JF'!AO13:AO100000,'PLAN BUDGET SAMI-JF'!D13:D100000,SUMMARY!D62,'PLAN BUDGET SAMI-JF'!J13:J100000,SUMMARY!A62&amp;"*")</f>
        <v>0</v>
      </c>
      <c r="G62" s="10">
        <f>SUMIFS('PLAN BUDGET SAMI-JF'!AP13:AP100000,'PLAN BUDGET SAMI-JF'!D13:D100000,SUMMARY!D62,'PLAN BUDGET SAMI-JF'!J13:J100000,SUMMARY!A62&amp;"*")</f>
        <v>0</v>
      </c>
      <c r="H62" s="10">
        <f>SUMIFS('PLAN BUDGET SAMI-JF'!AQ13:AQ100000,'PLAN BUDGET SAMI-JF'!D13:D100000,SUMMARY!D62,'PLAN BUDGET SAMI-JF'!J13:J100000,SUMMARY!A62&amp;"*")</f>
        <v>0</v>
      </c>
      <c r="I62" s="10">
        <f>SUMIFS('PLAN BUDGET SAMI-JF'!AR13:AR100000,'PLAN BUDGET SAMI-JF'!D13:D100000,SUMMARY!D62,'PLAN BUDGET SAMI-JF'!J13:J100000,SUMMARY!A62&amp;"*")</f>
        <v>0</v>
      </c>
      <c r="J62" s="10">
        <f>SUMIFS('PLAN BUDGET SAMI-JF'!AS13:AS100000,'PLAN BUDGET SAMI-JF'!D13:D100000,SUMMARY!D62,'PLAN BUDGET SAMI-JF'!J13:J100000,SUMMARY!A62&amp;"*")</f>
        <v>0</v>
      </c>
      <c r="K62" s="10">
        <f>SUMIFS('PLAN BUDGET SAMI-JF'!AT13:AT100000,'PLAN BUDGET SAMI-JF'!D13:D100000,SUMMARY!D62,'PLAN BUDGET SAMI-JF'!J13:J100000,SUMMARY!A62&amp;"*")</f>
        <v>0</v>
      </c>
      <c r="L62" s="10">
        <f>SUMIFS('PLAN BUDGET SAMI-JF'!AU13:AU100000,'PLAN BUDGET SAMI-JF'!D13:D100000,SUMMARY!D62,'PLAN BUDGET SAMI-JF'!J13:J100000,SUMMARY!A62&amp;"*")</f>
        <v>0</v>
      </c>
      <c r="M62" s="10">
        <f>SUMIFS('PLAN BUDGET SAMI-JF'!AV13:AV100000,'PLAN BUDGET SAMI-JF'!D13:D100000,SUMMARY!D62,'PLAN BUDGET SAMI-JF'!J13:J100000,SUMMARY!A62&amp;"*")</f>
        <v>0</v>
      </c>
      <c r="N62" s="10">
        <f>SUMIFS('PLAN BUDGET SAMI-JF'!AW13:AW100000,'PLAN BUDGET SAMI-JF'!D13:D100000,SUMMARY!D62,'PLAN BUDGET SAMI-JF'!J13:J100000,SUMMARY!A62&amp;"*")</f>
        <v>0</v>
      </c>
      <c r="O62" s="10">
        <f>SUMIFS('PLAN BUDGET SAMI-JF'!AX13:AX100000,'PLAN BUDGET SAMI-JF'!D13:D100000,SUMMARY!D62,'PLAN BUDGET SAMI-JF'!J13:J100000,SUMMARY!A62&amp;"*")</f>
        <v>0</v>
      </c>
      <c r="P62" s="10">
        <f>SUMIFS('PLAN BUDGET SAMI-JF'!AY13:AY100000,'PLAN BUDGET SAMI-JF'!D13:D100000,SUMMARY!D62,'PLAN BUDGET SAMI-JF'!J13:J100000,SUMMARY!A62&amp;"*")</f>
        <v>0</v>
      </c>
      <c r="Q62" s="10">
        <f>SUMIFS('PLAN BUDGET SAMI-JF'!BC13:BC100000,'PLAN BUDGET SAMI-JF'!D13:D100000,SUMMARY!D62,'PLAN BUDGET SAMI-JF'!J13:J100000,SUMMARY!A62&amp;"*")</f>
        <v>0</v>
      </c>
      <c r="R62" s="10">
        <f>SUMIFS('PLAN BUDGET SAMI-JF'!BD13:BD100000,'PLAN BUDGET SAMI-JF'!D13:D100000,SUMMARY!D62,'PLAN BUDGET SAMI-JF'!J13:J100000,SUMMARY!A62&amp;"*")</f>
        <v>0</v>
      </c>
      <c r="S62" s="10">
        <f>SUMIFS('PLAN BUDGET SAMI-JF'!BE13:BE100000,'PLAN BUDGET SAMI-JF'!D13:D100000,SUMMARY!D62,'PLAN BUDGET SAMI-JF'!J13:J100000,SUMMARY!A62&amp;"*")</f>
        <v>0</v>
      </c>
      <c r="T62" s="10">
        <f>SUMIFS('PLAN BUDGET SAMI-JF'!BF13:BF100000,'PLAN BUDGET SAMI-JF'!D13:D100000,SUMMARY!D62,'PLAN BUDGET SAMI-JF'!J13:J100000,SUMMARY!A62&amp;"*")</f>
        <v>0</v>
      </c>
      <c r="U62" s="10">
        <f>SUMIFS('PLAN BUDGET SAMI-JF'!BG13:BG100000,'PLAN BUDGET SAMI-JF'!D13:D100000,SUMMARY!D62,'PLAN BUDGET SAMI-JF'!J13:J100000,SUMMARY!A62&amp;"*")</f>
        <v>0</v>
      </c>
      <c r="V62" s="10">
        <f>SUMIFS('PLAN BUDGET SAMI-JF'!BH13:BH100000,'PLAN BUDGET SAMI-JF'!D13:D100000,SUMMARY!D62,'PLAN BUDGET SAMI-JF'!J13:J100000,SUMMARY!A62&amp;"*")</f>
        <v>0</v>
      </c>
      <c r="W62" s="10">
        <f>SUMIFS('PLAN BUDGET SAMI-JF'!BI13:BI100000,'PLAN BUDGET SAMI-JF'!D13:D100000,SUMMARY!D62,'PLAN BUDGET SAMI-JF'!J13:J100000,SUMMARY!A62&amp;"*")</f>
        <v>0</v>
      </c>
      <c r="X62" s="10">
        <f>SUMIFS('PLAN BUDGET SAMI-JF'!BJ13:BJ100000,'PLAN BUDGET SAMI-JF'!D13:D100000,SUMMARY!D62,'PLAN BUDGET SAMI-JF'!J13:J100000,SUMMARY!A62&amp;"*")</f>
        <v>0</v>
      </c>
      <c r="Y62" s="10">
        <f>SUMIFS('PLAN BUDGET SAMI-JF'!BK13:BK100000,'PLAN BUDGET SAMI-JF'!D13:D100000,SUMMARY!D62,'PLAN BUDGET SAMI-JF'!J13:J100000,SUMMARY!A62&amp;"*")</f>
        <v>0</v>
      </c>
      <c r="Z62" s="10">
        <f>SUMIFS('PLAN BUDGET SAMI-JF'!BL13:BL100000,'PLAN BUDGET SAMI-JF'!D13:D100000,SUMMARY!D62,'PLAN BUDGET SAMI-JF'!J13:J100000,SUMMARY!A62&amp;"*")</f>
        <v>0</v>
      </c>
      <c r="AA62" s="10">
        <f>SUMIFS('PLAN BUDGET SAMI-JF'!BM13:BM100000,'PLAN BUDGET SAMI-JF'!D13:D100000,SUMMARY!D62,'PLAN BUDGET SAMI-JF'!J13:J100000,SUMMARY!A62&amp;"*")</f>
        <v>0</v>
      </c>
      <c r="AB62" s="10">
        <f>SUMIFS('PLAN BUDGET SAMI-JF'!BN13:BN100000,'PLAN BUDGET SAMI-JF'!D13:D100000,SUMMARY!D62,'PLAN BUDGET SAMI-JF'!J13:J100000,SUMMARY!A62&amp;"*")</f>
        <v>0</v>
      </c>
      <c r="AC62" s="10">
        <f t="shared" si="4"/>
        <v>0</v>
      </c>
      <c r="AD62" s="10">
        <f t="shared" si="5"/>
        <v>0</v>
      </c>
      <c r="AE62" s="16"/>
      <c r="AF62" s="10">
        <v>1</v>
      </c>
      <c r="AG62" s="10">
        <v>0.82285772157027004</v>
      </c>
      <c r="AH62" s="20">
        <f t="shared" si="6"/>
        <v>-1</v>
      </c>
      <c r="AI62" s="20">
        <f t="shared" si="7"/>
        <v>-1</v>
      </c>
      <c r="AJ62" s="7" t="s">
        <v>201</v>
      </c>
    </row>
    <row r="63" spans="1:36" x14ac:dyDescent="0.35">
      <c r="A63" s="7" t="s">
        <v>47</v>
      </c>
      <c r="B63" s="7"/>
      <c r="C63" s="7"/>
      <c r="D63" s="7" t="s">
        <v>227</v>
      </c>
      <c r="E63" s="10">
        <f>SUMIFS('PLAN BUDGET SAMI-JF'!AN13:AN100000,'PLAN BUDGET SAMI-JF'!D13:D100000,SUMMARY!D63,'PLAN BUDGET SAMI-JF'!J13:J100000,SUMMARY!A63&amp;"*")</f>
        <v>0</v>
      </c>
      <c r="F63" s="10">
        <f>SUMIFS('PLAN BUDGET SAMI-JF'!AO13:AO100000,'PLAN BUDGET SAMI-JF'!D13:D100000,SUMMARY!D63,'PLAN BUDGET SAMI-JF'!J13:J100000,SUMMARY!A63&amp;"*")</f>
        <v>0</v>
      </c>
      <c r="G63" s="10">
        <f>SUMIFS('PLAN BUDGET SAMI-JF'!AP13:AP100000,'PLAN BUDGET SAMI-JF'!D13:D100000,SUMMARY!D63,'PLAN BUDGET SAMI-JF'!J13:J100000,SUMMARY!A63&amp;"*")</f>
        <v>0</v>
      </c>
      <c r="H63" s="10">
        <f>SUMIFS('PLAN BUDGET SAMI-JF'!AQ13:AQ100000,'PLAN BUDGET SAMI-JF'!D13:D100000,SUMMARY!D63,'PLAN BUDGET SAMI-JF'!J13:J100000,SUMMARY!A63&amp;"*")</f>
        <v>0</v>
      </c>
      <c r="I63" s="10">
        <f>SUMIFS('PLAN BUDGET SAMI-JF'!AR13:AR100000,'PLAN BUDGET SAMI-JF'!D13:D100000,SUMMARY!D63,'PLAN BUDGET SAMI-JF'!J13:J100000,SUMMARY!A63&amp;"*")</f>
        <v>0</v>
      </c>
      <c r="J63" s="10">
        <f>SUMIFS('PLAN BUDGET SAMI-JF'!AS13:AS100000,'PLAN BUDGET SAMI-JF'!D13:D100000,SUMMARY!D63,'PLAN BUDGET SAMI-JF'!J13:J100000,SUMMARY!A63&amp;"*")</f>
        <v>0</v>
      </c>
      <c r="K63" s="10">
        <f>SUMIFS('PLAN BUDGET SAMI-JF'!AT13:AT100000,'PLAN BUDGET SAMI-JF'!D13:D100000,SUMMARY!D63,'PLAN BUDGET SAMI-JF'!J13:J100000,SUMMARY!A63&amp;"*")</f>
        <v>0</v>
      </c>
      <c r="L63" s="10">
        <f>SUMIFS('PLAN BUDGET SAMI-JF'!AU13:AU100000,'PLAN BUDGET SAMI-JF'!D13:D100000,SUMMARY!D63,'PLAN BUDGET SAMI-JF'!J13:J100000,SUMMARY!A63&amp;"*")</f>
        <v>0</v>
      </c>
      <c r="M63" s="10">
        <f>SUMIFS('PLAN BUDGET SAMI-JF'!AV13:AV100000,'PLAN BUDGET SAMI-JF'!D13:D100000,SUMMARY!D63,'PLAN BUDGET SAMI-JF'!J13:J100000,SUMMARY!A63&amp;"*")</f>
        <v>0</v>
      </c>
      <c r="N63" s="10">
        <f>SUMIFS('PLAN BUDGET SAMI-JF'!AW13:AW100000,'PLAN BUDGET SAMI-JF'!D13:D100000,SUMMARY!D63,'PLAN BUDGET SAMI-JF'!J13:J100000,SUMMARY!A63&amp;"*")</f>
        <v>0</v>
      </c>
      <c r="O63" s="10">
        <f>SUMIFS('PLAN BUDGET SAMI-JF'!AX13:AX100000,'PLAN BUDGET SAMI-JF'!D13:D100000,SUMMARY!D63,'PLAN BUDGET SAMI-JF'!J13:J100000,SUMMARY!A63&amp;"*")</f>
        <v>0</v>
      </c>
      <c r="P63" s="10">
        <f>SUMIFS('PLAN BUDGET SAMI-JF'!AY13:AY100000,'PLAN BUDGET SAMI-JF'!D13:D100000,SUMMARY!D63,'PLAN BUDGET SAMI-JF'!J13:J100000,SUMMARY!A63&amp;"*")</f>
        <v>0</v>
      </c>
      <c r="Q63" s="10">
        <f>SUMIFS('PLAN BUDGET SAMI-JF'!BC13:BC100000,'PLAN BUDGET SAMI-JF'!D13:D100000,SUMMARY!D63,'PLAN BUDGET SAMI-JF'!J13:J100000,SUMMARY!A63&amp;"*")</f>
        <v>0</v>
      </c>
      <c r="R63" s="10">
        <f>SUMIFS('PLAN BUDGET SAMI-JF'!BD13:BD100000,'PLAN BUDGET SAMI-JF'!D13:D100000,SUMMARY!D63,'PLAN BUDGET SAMI-JF'!J13:J100000,SUMMARY!A63&amp;"*")</f>
        <v>0</v>
      </c>
      <c r="S63" s="10">
        <f>SUMIFS('PLAN BUDGET SAMI-JF'!BE13:BE100000,'PLAN BUDGET SAMI-JF'!D13:D100000,SUMMARY!D63,'PLAN BUDGET SAMI-JF'!J13:J100000,SUMMARY!A63&amp;"*")</f>
        <v>0</v>
      </c>
      <c r="T63" s="10">
        <f>SUMIFS('PLAN BUDGET SAMI-JF'!BF13:BF100000,'PLAN BUDGET SAMI-JF'!D13:D100000,SUMMARY!D63,'PLAN BUDGET SAMI-JF'!J13:J100000,SUMMARY!A63&amp;"*")</f>
        <v>0</v>
      </c>
      <c r="U63" s="10">
        <f>SUMIFS('PLAN BUDGET SAMI-JF'!BG13:BG100000,'PLAN BUDGET SAMI-JF'!D13:D100000,SUMMARY!D63,'PLAN BUDGET SAMI-JF'!J13:J100000,SUMMARY!A63&amp;"*")</f>
        <v>0</v>
      </c>
      <c r="V63" s="10">
        <f>SUMIFS('PLAN BUDGET SAMI-JF'!BH13:BH100000,'PLAN BUDGET SAMI-JF'!D13:D100000,SUMMARY!D63,'PLAN BUDGET SAMI-JF'!J13:J100000,SUMMARY!A63&amp;"*")</f>
        <v>0</v>
      </c>
      <c r="W63" s="10">
        <f>SUMIFS('PLAN BUDGET SAMI-JF'!BI13:BI100000,'PLAN BUDGET SAMI-JF'!D13:D100000,SUMMARY!D63,'PLAN BUDGET SAMI-JF'!J13:J100000,SUMMARY!A63&amp;"*")</f>
        <v>0</v>
      </c>
      <c r="X63" s="10">
        <f>SUMIFS('PLAN BUDGET SAMI-JF'!BJ13:BJ100000,'PLAN BUDGET SAMI-JF'!D13:D100000,SUMMARY!D63,'PLAN BUDGET SAMI-JF'!J13:J100000,SUMMARY!A63&amp;"*")</f>
        <v>0</v>
      </c>
      <c r="Y63" s="10">
        <f>SUMIFS('PLAN BUDGET SAMI-JF'!BK13:BK100000,'PLAN BUDGET SAMI-JF'!D13:D100000,SUMMARY!D63,'PLAN BUDGET SAMI-JF'!J13:J100000,SUMMARY!A63&amp;"*")</f>
        <v>0</v>
      </c>
      <c r="Z63" s="10">
        <f>SUMIFS('PLAN BUDGET SAMI-JF'!BL13:BL100000,'PLAN BUDGET SAMI-JF'!D13:D100000,SUMMARY!D63,'PLAN BUDGET SAMI-JF'!J13:J100000,SUMMARY!A63&amp;"*")</f>
        <v>0</v>
      </c>
      <c r="AA63" s="10">
        <f>SUMIFS('PLAN BUDGET SAMI-JF'!BM13:BM100000,'PLAN BUDGET SAMI-JF'!D13:D100000,SUMMARY!D63,'PLAN BUDGET SAMI-JF'!J13:J100000,SUMMARY!A63&amp;"*")</f>
        <v>0</v>
      </c>
      <c r="AB63" s="10">
        <f>SUMIFS('PLAN BUDGET SAMI-JF'!BN13:BN100000,'PLAN BUDGET SAMI-JF'!D13:D100000,SUMMARY!D63,'PLAN BUDGET SAMI-JF'!J13:J100000,SUMMARY!A63&amp;"*")</f>
        <v>0</v>
      </c>
      <c r="AC63" s="10">
        <f t="shared" si="4"/>
        <v>0</v>
      </c>
      <c r="AD63" s="10">
        <f t="shared" si="5"/>
        <v>0</v>
      </c>
      <c r="AE63" s="16"/>
      <c r="AF63" s="10">
        <v>48</v>
      </c>
      <c r="AG63" s="10">
        <v>2657.9547095119001</v>
      </c>
      <c r="AH63" s="20">
        <f t="shared" si="6"/>
        <v>-1</v>
      </c>
      <c r="AI63" s="20">
        <f t="shared" si="7"/>
        <v>-1</v>
      </c>
      <c r="AJ63" s="7" t="s">
        <v>201</v>
      </c>
    </row>
    <row r="64" spans="1:36" x14ac:dyDescent="0.35">
      <c r="A64" s="7" t="s">
        <v>47</v>
      </c>
      <c r="B64" s="7"/>
      <c r="C64" s="7"/>
      <c r="D64" s="7" t="s">
        <v>228</v>
      </c>
      <c r="E64" s="10">
        <f>SUMIFS('PLAN BUDGET SAMI-JF'!AN13:AN100000,'PLAN BUDGET SAMI-JF'!D13:D100000,SUMMARY!D64,'PLAN BUDGET SAMI-JF'!J13:J100000,SUMMARY!A64&amp;"*")</f>
        <v>0</v>
      </c>
      <c r="F64" s="10">
        <f>SUMIFS('PLAN BUDGET SAMI-JF'!AO13:AO100000,'PLAN BUDGET SAMI-JF'!D13:D100000,SUMMARY!D64,'PLAN BUDGET SAMI-JF'!J13:J100000,SUMMARY!A64&amp;"*")</f>
        <v>0</v>
      </c>
      <c r="G64" s="10">
        <f>SUMIFS('PLAN BUDGET SAMI-JF'!AP13:AP100000,'PLAN BUDGET SAMI-JF'!D13:D100000,SUMMARY!D64,'PLAN BUDGET SAMI-JF'!J13:J100000,SUMMARY!A64&amp;"*")</f>
        <v>0</v>
      </c>
      <c r="H64" s="10">
        <f>SUMIFS('PLAN BUDGET SAMI-JF'!AQ13:AQ100000,'PLAN BUDGET SAMI-JF'!D13:D100000,SUMMARY!D64,'PLAN BUDGET SAMI-JF'!J13:J100000,SUMMARY!A64&amp;"*")</f>
        <v>0</v>
      </c>
      <c r="I64" s="10">
        <f>SUMIFS('PLAN BUDGET SAMI-JF'!AR13:AR100000,'PLAN BUDGET SAMI-JF'!D13:D100000,SUMMARY!D64,'PLAN BUDGET SAMI-JF'!J13:J100000,SUMMARY!A64&amp;"*")</f>
        <v>0</v>
      </c>
      <c r="J64" s="10">
        <f>SUMIFS('PLAN BUDGET SAMI-JF'!AS13:AS100000,'PLAN BUDGET SAMI-JF'!D13:D100000,SUMMARY!D64,'PLAN BUDGET SAMI-JF'!J13:J100000,SUMMARY!A64&amp;"*")</f>
        <v>0</v>
      </c>
      <c r="K64" s="10">
        <f>SUMIFS('PLAN BUDGET SAMI-JF'!AT13:AT100000,'PLAN BUDGET SAMI-JF'!D13:D100000,SUMMARY!D64,'PLAN BUDGET SAMI-JF'!J13:J100000,SUMMARY!A64&amp;"*")</f>
        <v>0</v>
      </c>
      <c r="L64" s="10">
        <f>SUMIFS('PLAN BUDGET SAMI-JF'!AU13:AU100000,'PLAN BUDGET SAMI-JF'!D13:D100000,SUMMARY!D64,'PLAN BUDGET SAMI-JF'!J13:J100000,SUMMARY!A64&amp;"*")</f>
        <v>0</v>
      </c>
      <c r="M64" s="10">
        <f>SUMIFS('PLAN BUDGET SAMI-JF'!AV13:AV100000,'PLAN BUDGET SAMI-JF'!D13:D100000,SUMMARY!D64,'PLAN BUDGET SAMI-JF'!J13:J100000,SUMMARY!A64&amp;"*")</f>
        <v>0</v>
      </c>
      <c r="N64" s="10">
        <f>SUMIFS('PLAN BUDGET SAMI-JF'!AW13:AW100000,'PLAN BUDGET SAMI-JF'!D13:D100000,SUMMARY!D64,'PLAN BUDGET SAMI-JF'!J13:J100000,SUMMARY!A64&amp;"*")</f>
        <v>0</v>
      </c>
      <c r="O64" s="10">
        <f>SUMIFS('PLAN BUDGET SAMI-JF'!AX13:AX100000,'PLAN BUDGET SAMI-JF'!D13:D100000,SUMMARY!D64,'PLAN BUDGET SAMI-JF'!J13:J100000,SUMMARY!A64&amp;"*")</f>
        <v>0</v>
      </c>
      <c r="P64" s="10">
        <f>SUMIFS('PLAN BUDGET SAMI-JF'!AY13:AY100000,'PLAN BUDGET SAMI-JF'!D13:D100000,SUMMARY!D64,'PLAN BUDGET SAMI-JF'!J13:J100000,SUMMARY!A64&amp;"*")</f>
        <v>0</v>
      </c>
      <c r="Q64" s="10">
        <f>SUMIFS('PLAN BUDGET SAMI-JF'!BC13:BC100000,'PLAN BUDGET SAMI-JF'!D13:D100000,SUMMARY!D64,'PLAN BUDGET SAMI-JF'!J13:J100000,SUMMARY!A64&amp;"*")</f>
        <v>0</v>
      </c>
      <c r="R64" s="10">
        <f>SUMIFS('PLAN BUDGET SAMI-JF'!BD13:BD100000,'PLAN BUDGET SAMI-JF'!D13:D100000,SUMMARY!D64,'PLAN BUDGET SAMI-JF'!J13:J100000,SUMMARY!A64&amp;"*")</f>
        <v>0</v>
      </c>
      <c r="S64" s="10">
        <f>SUMIFS('PLAN BUDGET SAMI-JF'!BE13:BE100000,'PLAN BUDGET SAMI-JF'!D13:D100000,SUMMARY!D64,'PLAN BUDGET SAMI-JF'!J13:J100000,SUMMARY!A64&amp;"*")</f>
        <v>0</v>
      </c>
      <c r="T64" s="10">
        <f>SUMIFS('PLAN BUDGET SAMI-JF'!BF13:BF100000,'PLAN BUDGET SAMI-JF'!D13:D100000,SUMMARY!D64,'PLAN BUDGET SAMI-JF'!J13:J100000,SUMMARY!A64&amp;"*")</f>
        <v>0</v>
      </c>
      <c r="U64" s="10">
        <f>SUMIFS('PLAN BUDGET SAMI-JF'!BG13:BG100000,'PLAN BUDGET SAMI-JF'!D13:D100000,SUMMARY!D64,'PLAN BUDGET SAMI-JF'!J13:J100000,SUMMARY!A64&amp;"*")</f>
        <v>0</v>
      </c>
      <c r="V64" s="10">
        <f>SUMIFS('PLAN BUDGET SAMI-JF'!BH13:BH100000,'PLAN BUDGET SAMI-JF'!D13:D100000,SUMMARY!D64,'PLAN BUDGET SAMI-JF'!J13:J100000,SUMMARY!A64&amp;"*")</f>
        <v>0</v>
      </c>
      <c r="W64" s="10">
        <f>SUMIFS('PLAN BUDGET SAMI-JF'!BI13:BI100000,'PLAN BUDGET SAMI-JF'!D13:D100000,SUMMARY!D64,'PLAN BUDGET SAMI-JF'!J13:J100000,SUMMARY!A64&amp;"*")</f>
        <v>0</v>
      </c>
      <c r="X64" s="10">
        <f>SUMIFS('PLAN BUDGET SAMI-JF'!BJ13:BJ100000,'PLAN BUDGET SAMI-JF'!D13:D100000,SUMMARY!D64,'PLAN BUDGET SAMI-JF'!J13:J100000,SUMMARY!A64&amp;"*")</f>
        <v>0</v>
      </c>
      <c r="Y64" s="10">
        <f>SUMIFS('PLAN BUDGET SAMI-JF'!BK13:BK100000,'PLAN BUDGET SAMI-JF'!D13:D100000,SUMMARY!D64,'PLAN BUDGET SAMI-JF'!J13:J100000,SUMMARY!A64&amp;"*")</f>
        <v>0</v>
      </c>
      <c r="Z64" s="10">
        <f>SUMIFS('PLAN BUDGET SAMI-JF'!BL13:BL100000,'PLAN BUDGET SAMI-JF'!D13:D100000,SUMMARY!D64,'PLAN BUDGET SAMI-JF'!J13:J100000,SUMMARY!A64&amp;"*")</f>
        <v>0</v>
      </c>
      <c r="AA64" s="10">
        <f>SUMIFS('PLAN BUDGET SAMI-JF'!BM13:BM100000,'PLAN BUDGET SAMI-JF'!D13:D100000,SUMMARY!D64,'PLAN BUDGET SAMI-JF'!J13:J100000,SUMMARY!A64&amp;"*")</f>
        <v>0</v>
      </c>
      <c r="AB64" s="10">
        <f>SUMIFS('PLAN BUDGET SAMI-JF'!BN13:BN100000,'PLAN BUDGET SAMI-JF'!D13:D100000,SUMMARY!D64,'PLAN BUDGET SAMI-JF'!J13:J100000,SUMMARY!A64&amp;"*")</f>
        <v>0</v>
      </c>
      <c r="AC64" s="10">
        <f t="shared" si="4"/>
        <v>0</v>
      </c>
      <c r="AD64" s="10">
        <f t="shared" si="5"/>
        <v>0</v>
      </c>
      <c r="AE64" s="16"/>
      <c r="AF64" s="10">
        <v>300</v>
      </c>
      <c r="AG64" s="10">
        <v>96.701606471459002</v>
      </c>
      <c r="AH64" s="20">
        <f t="shared" si="6"/>
        <v>-1</v>
      </c>
      <c r="AI64" s="20">
        <f t="shared" si="7"/>
        <v>-1</v>
      </c>
      <c r="AJ64" s="7" t="s">
        <v>201</v>
      </c>
    </row>
    <row r="65" spans="1:36" x14ac:dyDescent="0.35">
      <c r="A65" s="7" t="s">
        <v>47</v>
      </c>
      <c r="B65" s="7"/>
      <c r="C65" s="7"/>
      <c r="D65" s="7" t="s">
        <v>229</v>
      </c>
      <c r="E65" s="10">
        <f>SUMIFS('PLAN BUDGET SAMI-JF'!AN13:AN100000,'PLAN BUDGET SAMI-JF'!D13:D100000,SUMMARY!D65,'PLAN BUDGET SAMI-JF'!J13:J100000,SUMMARY!A65&amp;"*")</f>
        <v>0</v>
      </c>
      <c r="F65" s="10">
        <f>SUMIFS('PLAN BUDGET SAMI-JF'!AO13:AO100000,'PLAN BUDGET SAMI-JF'!D13:D100000,SUMMARY!D65,'PLAN BUDGET SAMI-JF'!J13:J100000,SUMMARY!A65&amp;"*")</f>
        <v>0</v>
      </c>
      <c r="G65" s="10">
        <f>SUMIFS('PLAN BUDGET SAMI-JF'!AP13:AP100000,'PLAN BUDGET SAMI-JF'!D13:D100000,SUMMARY!D65,'PLAN BUDGET SAMI-JF'!J13:J100000,SUMMARY!A65&amp;"*")</f>
        <v>0</v>
      </c>
      <c r="H65" s="10">
        <f>SUMIFS('PLAN BUDGET SAMI-JF'!AQ13:AQ100000,'PLAN BUDGET SAMI-JF'!D13:D100000,SUMMARY!D65,'PLAN BUDGET SAMI-JF'!J13:J100000,SUMMARY!A65&amp;"*")</f>
        <v>0</v>
      </c>
      <c r="I65" s="10">
        <f>SUMIFS('PLAN BUDGET SAMI-JF'!AR13:AR100000,'PLAN BUDGET SAMI-JF'!D13:D100000,SUMMARY!D65,'PLAN BUDGET SAMI-JF'!J13:J100000,SUMMARY!A65&amp;"*")</f>
        <v>0</v>
      </c>
      <c r="J65" s="10">
        <f>SUMIFS('PLAN BUDGET SAMI-JF'!AS13:AS100000,'PLAN BUDGET SAMI-JF'!D13:D100000,SUMMARY!D65,'PLAN BUDGET SAMI-JF'!J13:J100000,SUMMARY!A65&amp;"*")</f>
        <v>0</v>
      </c>
      <c r="K65" s="10">
        <f>SUMIFS('PLAN BUDGET SAMI-JF'!AT13:AT100000,'PLAN BUDGET SAMI-JF'!D13:D100000,SUMMARY!D65,'PLAN BUDGET SAMI-JF'!J13:J100000,SUMMARY!A65&amp;"*")</f>
        <v>0</v>
      </c>
      <c r="L65" s="10">
        <f>SUMIFS('PLAN BUDGET SAMI-JF'!AU13:AU100000,'PLAN BUDGET SAMI-JF'!D13:D100000,SUMMARY!D65,'PLAN BUDGET SAMI-JF'!J13:J100000,SUMMARY!A65&amp;"*")</f>
        <v>0</v>
      </c>
      <c r="M65" s="10">
        <f>SUMIFS('PLAN BUDGET SAMI-JF'!AV13:AV100000,'PLAN BUDGET SAMI-JF'!D13:D100000,SUMMARY!D65,'PLAN BUDGET SAMI-JF'!J13:J100000,SUMMARY!A65&amp;"*")</f>
        <v>0</v>
      </c>
      <c r="N65" s="10">
        <f>SUMIFS('PLAN BUDGET SAMI-JF'!AW13:AW100000,'PLAN BUDGET SAMI-JF'!D13:D100000,SUMMARY!D65,'PLAN BUDGET SAMI-JF'!J13:J100000,SUMMARY!A65&amp;"*")</f>
        <v>0</v>
      </c>
      <c r="O65" s="10">
        <f>SUMIFS('PLAN BUDGET SAMI-JF'!AX13:AX100000,'PLAN BUDGET SAMI-JF'!D13:D100000,SUMMARY!D65,'PLAN BUDGET SAMI-JF'!J13:J100000,SUMMARY!A65&amp;"*")</f>
        <v>0</v>
      </c>
      <c r="P65" s="10">
        <f>SUMIFS('PLAN BUDGET SAMI-JF'!AY13:AY100000,'PLAN BUDGET SAMI-JF'!D13:D100000,SUMMARY!D65,'PLAN BUDGET SAMI-JF'!J13:J100000,SUMMARY!A65&amp;"*")</f>
        <v>0</v>
      </c>
      <c r="Q65" s="10">
        <f>SUMIFS('PLAN BUDGET SAMI-JF'!BC13:BC100000,'PLAN BUDGET SAMI-JF'!D13:D100000,SUMMARY!D65,'PLAN BUDGET SAMI-JF'!J13:J100000,SUMMARY!A65&amp;"*")</f>
        <v>0</v>
      </c>
      <c r="R65" s="10">
        <f>SUMIFS('PLAN BUDGET SAMI-JF'!BD13:BD100000,'PLAN BUDGET SAMI-JF'!D13:D100000,SUMMARY!D65,'PLAN BUDGET SAMI-JF'!J13:J100000,SUMMARY!A65&amp;"*")</f>
        <v>0</v>
      </c>
      <c r="S65" s="10">
        <f>SUMIFS('PLAN BUDGET SAMI-JF'!BE13:BE100000,'PLAN BUDGET SAMI-JF'!D13:D100000,SUMMARY!D65,'PLAN BUDGET SAMI-JF'!J13:J100000,SUMMARY!A65&amp;"*")</f>
        <v>0</v>
      </c>
      <c r="T65" s="10">
        <f>SUMIFS('PLAN BUDGET SAMI-JF'!BF13:BF100000,'PLAN BUDGET SAMI-JF'!D13:D100000,SUMMARY!D65,'PLAN BUDGET SAMI-JF'!J13:J100000,SUMMARY!A65&amp;"*")</f>
        <v>0</v>
      </c>
      <c r="U65" s="10">
        <f>SUMIFS('PLAN BUDGET SAMI-JF'!BG13:BG100000,'PLAN BUDGET SAMI-JF'!D13:D100000,SUMMARY!D65,'PLAN BUDGET SAMI-JF'!J13:J100000,SUMMARY!A65&amp;"*")</f>
        <v>0</v>
      </c>
      <c r="V65" s="10">
        <f>SUMIFS('PLAN BUDGET SAMI-JF'!BH13:BH100000,'PLAN BUDGET SAMI-JF'!D13:D100000,SUMMARY!D65,'PLAN BUDGET SAMI-JF'!J13:J100000,SUMMARY!A65&amp;"*")</f>
        <v>0</v>
      </c>
      <c r="W65" s="10">
        <f>SUMIFS('PLAN BUDGET SAMI-JF'!BI13:BI100000,'PLAN BUDGET SAMI-JF'!D13:D100000,SUMMARY!D65,'PLAN BUDGET SAMI-JF'!J13:J100000,SUMMARY!A65&amp;"*")</f>
        <v>0</v>
      </c>
      <c r="X65" s="10">
        <f>SUMIFS('PLAN BUDGET SAMI-JF'!BJ13:BJ100000,'PLAN BUDGET SAMI-JF'!D13:D100000,SUMMARY!D65,'PLAN BUDGET SAMI-JF'!J13:J100000,SUMMARY!A65&amp;"*")</f>
        <v>0</v>
      </c>
      <c r="Y65" s="10">
        <f>SUMIFS('PLAN BUDGET SAMI-JF'!BK13:BK100000,'PLAN BUDGET SAMI-JF'!D13:D100000,SUMMARY!D65,'PLAN BUDGET SAMI-JF'!J13:J100000,SUMMARY!A65&amp;"*")</f>
        <v>0</v>
      </c>
      <c r="Z65" s="10">
        <f>SUMIFS('PLAN BUDGET SAMI-JF'!BL13:BL100000,'PLAN BUDGET SAMI-JF'!D13:D100000,SUMMARY!D65,'PLAN BUDGET SAMI-JF'!J13:J100000,SUMMARY!A65&amp;"*")</f>
        <v>0</v>
      </c>
      <c r="AA65" s="10">
        <f>SUMIFS('PLAN BUDGET SAMI-JF'!BM13:BM100000,'PLAN BUDGET SAMI-JF'!D13:D100000,SUMMARY!D65,'PLAN BUDGET SAMI-JF'!J13:J100000,SUMMARY!A65&amp;"*")</f>
        <v>0</v>
      </c>
      <c r="AB65" s="10">
        <f>SUMIFS('PLAN BUDGET SAMI-JF'!BN13:BN100000,'PLAN BUDGET SAMI-JF'!D13:D100000,SUMMARY!D65,'PLAN BUDGET SAMI-JF'!J13:J100000,SUMMARY!A65&amp;"*")</f>
        <v>0</v>
      </c>
      <c r="AC65" s="10">
        <f t="shared" si="4"/>
        <v>0</v>
      </c>
      <c r="AD65" s="10">
        <f t="shared" si="5"/>
        <v>0</v>
      </c>
      <c r="AE65" s="16"/>
      <c r="AF65" s="10">
        <v>4</v>
      </c>
      <c r="AG65" s="10">
        <v>5.5231476206751999</v>
      </c>
      <c r="AH65" s="20">
        <f t="shared" si="6"/>
        <v>-1</v>
      </c>
      <c r="AI65" s="20">
        <f t="shared" si="7"/>
        <v>-1</v>
      </c>
      <c r="AJ65" s="7" t="s">
        <v>201</v>
      </c>
    </row>
    <row r="66" spans="1:36" x14ac:dyDescent="0.35">
      <c r="A66" s="7" t="s">
        <v>47</v>
      </c>
      <c r="B66" s="7"/>
      <c r="C66" s="7"/>
      <c r="D66" s="7" t="s">
        <v>230</v>
      </c>
      <c r="E66" s="10">
        <f>SUMIFS('PLAN BUDGET SAMI-JF'!AN13:AN100000,'PLAN BUDGET SAMI-JF'!D13:D100000,SUMMARY!D66,'PLAN BUDGET SAMI-JF'!J13:J100000,SUMMARY!A66&amp;"*")</f>
        <v>0</v>
      </c>
      <c r="F66" s="10">
        <f>SUMIFS('PLAN BUDGET SAMI-JF'!AO13:AO100000,'PLAN BUDGET SAMI-JF'!D13:D100000,SUMMARY!D66,'PLAN BUDGET SAMI-JF'!J13:J100000,SUMMARY!A66&amp;"*")</f>
        <v>0</v>
      </c>
      <c r="G66" s="10">
        <f>SUMIFS('PLAN BUDGET SAMI-JF'!AP13:AP100000,'PLAN BUDGET SAMI-JF'!D13:D100000,SUMMARY!D66,'PLAN BUDGET SAMI-JF'!J13:J100000,SUMMARY!A66&amp;"*")</f>
        <v>0</v>
      </c>
      <c r="H66" s="10">
        <f>SUMIFS('PLAN BUDGET SAMI-JF'!AQ13:AQ100000,'PLAN BUDGET SAMI-JF'!D13:D100000,SUMMARY!D66,'PLAN BUDGET SAMI-JF'!J13:J100000,SUMMARY!A66&amp;"*")</f>
        <v>0</v>
      </c>
      <c r="I66" s="10">
        <f>SUMIFS('PLAN BUDGET SAMI-JF'!AR13:AR100000,'PLAN BUDGET SAMI-JF'!D13:D100000,SUMMARY!D66,'PLAN BUDGET SAMI-JF'!J13:J100000,SUMMARY!A66&amp;"*")</f>
        <v>0</v>
      </c>
      <c r="J66" s="10">
        <f>SUMIFS('PLAN BUDGET SAMI-JF'!AS13:AS100000,'PLAN BUDGET SAMI-JF'!D13:D100000,SUMMARY!D66,'PLAN BUDGET SAMI-JF'!J13:J100000,SUMMARY!A66&amp;"*")</f>
        <v>0</v>
      </c>
      <c r="K66" s="10">
        <f>SUMIFS('PLAN BUDGET SAMI-JF'!AT13:AT100000,'PLAN BUDGET SAMI-JF'!D13:D100000,SUMMARY!D66,'PLAN BUDGET SAMI-JF'!J13:J100000,SUMMARY!A66&amp;"*")</f>
        <v>0</v>
      </c>
      <c r="L66" s="10">
        <f>SUMIFS('PLAN BUDGET SAMI-JF'!AU13:AU100000,'PLAN BUDGET SAMI-JF'!D13:D100000,SUMMARY!D66,'PLAN BUDGET SAMI-JF'!J13:J100000,SUMMARY!A66&amp;"*")</f>
        <v>0</v>
      </c>
      <c r="M66" s="10">
        <f>SUMIFS('PLAN BUDGET SAMI-JF'!AV13:AV100000,'PLAN BUDGET SAMI-JF'!D13:D100000,SUMMARY!D66,'PLAN BUDGET SAMI-JF'!J13:J100000,SUMMARY!A66&amp;"*")</f>
        <v>0</v>
      </c>
      <c r="N66" s="10">
        <f>SUMIFS('PLAN BUDGET SAMI-JF'!AW13:AW100000,'PLAN BUDGET SAMI-JF'!D13:D100000,SUMMARY!D66,'PLAN BUDGET SAMI-JF'!J13:J100000,SUMMARY!A66&amp;"*")</f>
        <v>0</v>
      </c>
      <c r="O66" s="10">
        <f>SUMIFS('PLAN BUDGET SAMI-JF'!AX13:AX100000,'PLAN BUDGET SAMI-JF'!D13:D100000,SUMMARY!D66,'PLAN BUDGET SAMI-JF'!J13:J100000,SUMMARY!A66&amp;"*")</f>
        <v>0</v>
      </c>
      <c r="P66" s="10">
        <f>SUMIFS('PLAN BUDGET SAMI-JF'!AY13:AY100000,'PLAN BUDGET SAMI-JF'!D13:D100000,SUMMARY!D66,'PLAN BUDGET SAMI-JF'!J13:J100000,SUMMARY!A66&amp;"*")</f>
        <v>0</v>
      </c>
      <c r="Q66" s="10">
        <f>SUMIFS('PLAN BUDGET SAMI-JF'!BC13:BC100000,'PLAN BUDGET SAMI-JF'!D13:D100000,SUMMARY!D66,'PLAN BUDGET SAMI-JF'!J13:J100000,SUMMARY!A66&amp;"*")</f>
        <v>0</v>
      </c>
      <c r="R66" s="10">
        <f>SUMIFS('PLAN BUDGET SAMI-JF'!BD13:BD100000,'PLAN BUDGET SAMI-JF'!D13:D100000,SUMMARY!D66,'PLAN BUDGET SAMI-JF'!J13:J100000,SUMMARY!A66&amp;"*")</f>
        <v>0</v>
      </c>
      <c r="S66" s="10">
        <f>SUMIFS('PLAN BUDGET SAMI-JF'!BE13:BE100000,'PLAN BUDGET SAMI-JF'!D13:D100000,SUMMARY!D66,'PLAN BUDGET SAMI-JF'!J13:J100000,SUMMARY!A66&amp;"*")</f>
        <v>0</v>
      </c>
      <c r="T66" s="10">
        <f>SUMIFS('PLAN BUDGET SAMI-JF'!BF13:BF100000,'PLAN BUDGET SAMI-JF'!D13:D100000,SUMMARY!D66,'PLAN BUDGET SAMI-JF'!J13:J100000,SUMMARY!A66&amp;"*")</f>
        <v>0</v>
      </c>
      <c r="U66" s="10">
        <f>SUMIFS('PLAN BUDGET SAMI-JF'!BG13:BG100000,'PLAN BUDGET SAMI-JF'!D13:D100000,SUMMARY!D66,'PLAN BUDGET SAMI-JF'!J13:J100000,SUMMARY!A66&amp;"*")</f>
        <v>0</v>
      </c>
      <c r="V66" s="10">
        <f>SUMIFS('PLAN BUDGET SAMI-JF'!BH13:BH100000,'PLAN BUDGET SAMI-JF'!D13:D100000,SUMMARY!D66,'PLAN BUDGET SAMI-JF'!J13:J100000,SUMMARY!A66&amp;"*")</f>
        <v>0</v>
      </c>
      <c r="W66" s="10">
        <f>SUMIFS('PLAN BUDGET SAMI-JF'!BI13:BI100000,'PLAN BUDGET SAMI-JF'!D13:D100000,SUMMARY!D66,'PLAN BUDGET SAMI-JF'!J13:J100000,SUMMARY!A66&amp;"*")</f>
        <v>0</v>
      </c>
      <c r="X66" s="10">
        <f>SUMIFS('PLAN BUDGET SAMI-JF'!BJ13:BJ100000,'PLAN BUDGET SAMI-JF'!D13:D100000,SUMMARY!D66,'PLAN BUDGET SAMI-JF'!J13:J100000,SUMMARY!A66&amp;"*")</f>
        <v>0</v>
      </c>
      <c r="Y66" s="10">
        <f>SUMIFS('PLAN BUDGET SAMI-JF'!BK13:BK100000,'PLAN BUDGET SAMI-JF'!D13:D100000,SUMMARY!D66,'PLAN BUDGET SAMI-JF'!J13:J100000,SUMMARY!A66&amp;"*")</f>
        <v>0</v>
      </c>
      <c r="Z66" s="10">
        <f>SUMIFS('PLAN BUDGET SAMI-JF'!BL13:BL100000,'PLAN BUDGET SAMI-JF'!D13:D100000,SUMMARY!D66,'PLAN BUDGET SAMI-JF'!J13:J100000,SUMMARY!A66&amp;"*")</f>
        <v>0</v>
      </c>
      <c r="AA66" s="10">
        <f>SUMIFS('PLAN BUDGET SAMI-JF'!BM13:BM100000,'PLAN BUDGET SAMI-JF'!D13:D100000,SUMMARY!D66,'PLAN BUDGET SAMI-JF'!J13:J100000,SUMMARY!A66&amp;"*")</f>
        <v>0</v>
      </c>
      <c r="AB66" s="10">
        <f>SUMIFS('PLAN BUDGET SAMI-JF'!BN13:BN100000,'PLAN BUDGET SAMI-JF'!D13:D100000,SUMMARY!D66,'PLAN BUDGET SAMI-JF'!J13:J100000,SUMMARY!A66&amp;"*")</f>
        <v>0</v>
      </c>
      <c r="AC66" s="10">
        <f t="shared" si="4"/>
        <v>0</v>
      </c>
      <c r="AD66" s="10">
        <f t="shared" si="5"/>
        <v>0</v>
      </c>
      <c r="AE66" s="16"/>
      <c r="AF66" s="10">
        <v>2</v>
      </c>
      <c r="AG66" s="10">
        <v>1.7723089387666999</v>
      </c>
      <c r="AH66" s="20">
        <f t="shared" si="6"/>
        <v>-1</v>
      </c>
      <c r="AI66" s="20">
        <f t="shared" si="7"/>
        <v>-1</v>
      </c>
      <c r="AJ66" s="7" t="s">
        <v>201</v>
      </c>
    </row>
    <row r="67" spans="1:36" x14ac:dyDescent="0.35">
      <c r="A67" s="7" t="s">
        <v>47</v>
      </c>
      <c r="B67" s="7"/>
      <c r="C67" s="7"/>
      <c r="D67" s="7" t="s">
        <v>231</v>
      </c>
      <c r="E67" s="10">
        <f>SUMIFS('PLAN BUDGET SAMI-JF'!AN13:AN100000,'PLAN BUDGET SAMI-JF'!D13:D100000,SUMMARY!D67,'PLAN BUDGET SAMI-JF'!J13:J100000,SUMMARY!A67&amp;"*")</f>
        <v>0</v>
      </c>
      <c r="F67" s="10">
        <f>SUMIFS('PLAN BUDGET SAMI-JF'!AO13:AO100000,'PLAN BUDGET SAMI-JF'!D13:D100000,SUMMARY!D67,'PLAN BUDGET SAMI-JF'!J13:J100000,SUMMARY!A67&amp;"*")</f>
        <v>0</v>
      </c>
      <c r="G67" s="10">
        <f>SUMIFS('PLAN BUDGET SAMI-JF'!AP13:AP100000,'PLAN BUDGET SAMI-JF'!D13:D100000,SUMMARY!D67,'PLAN BUDGET SAMI-JF'!J13:J100000,SUMMARY!A67&amp;"*")</f>
        <v>0</v>
      </c>
      <c r="H67" s="10">
        <f>SUMIFS('PLAN BUDGET SAMI-JF'!AQ13:AQ100000,'PLAN BUDGET SAMI-JF'!D13:D100000,SUMMARY!D67,'PLAN BUDGET SAMI-JF'!J13:J100000,SUMMARY!A67&amp;"*")</f>
        <v>0</v>
      </c>
      <c r="I67" s="10">
        <f>SUMIFS('PLAN BUDGET SAMI-JF'!AR13:AR100000,'PLAN BUDGET SAMI-JF'!D13:D100000,SUMMARY!D67,'PLAN BUDGET SAMI-JF'!J13:J100000,SUMMARY!A67&amp;"*")</f>
        <v>0</v>
      </c>
      <c r="J67" s="10">
        <f>SUMIFS('PLAN BUDGET SAMI-JF'!AS13:AS100000,'PLAN BUDGET SAMI-JF'!D13:D100000,SUMMARY!D67,'PLAN BUDGET SAMI-JF'!J13:J100000,SUMMARY!A67&amp;"*")</f>
        <v>0</v>
      </c>
      <c r="K67" s="10">
        <f>SUMIFS('PLAN BUDGET SAMI-JF'!AT13:AT100000,'PLAN BUDGET SAMI-JF'!D13:D100000,SUMMARY!D67,'PLAN BUDGET SAMI-JF'!J13:J100000,SUMMARY!A67&amp;"*")</f>
        <v>0</v>
      </c>
      <c r="L67" s="10">
        <f>SUMIFS('PLAN BUDGET SAMI-JF'!AU13:AU100000,'PLAN BUDGET SAMI-JF'!D13:D100000,SUMMARY!D67,'PLAN BUDGET SAMI-JF'!J13:J100000,SUMMARY!A67&amp;"*")</f>
        <v>0</v>
      </c>
      <c r="M67" s="10">
        <f>SUMIFS('PLAN BUDGET SAMI-JF'!AV13:AV100000,'PLAN BUDGET SAMI-JF'!D13:D100000,SUMMARY!D67,'PLAN BUDGET SAMI-JF'!J13:J100000,SUMMARY!A67&amp;"*")</f>
        <v>0</v>
      </c>
      <c r="N67" s="10">
        <f>SUMIFS('PLAN BUDGET SAMI-JF'!AW13:AW100000,'PLAN BUDGET SAMI-JF'!D13:D100000,SUMMARY!D67,'PLAN BUDGET SAMI-JF'!J13:J100000,SUMMARY!A67&amp;"*")</f>
        <v>0</v>
      </c>
      <c r="O67" s="10">
        <f>SUMIFS('PLAN BUDGET SAMI-JF'!AX13:AX100000,'PLAN BUDGET SAMI-JF'!D13:D100000,SUMMARY!D67,'PLAN BUDGET SAMI-JF'!J13:J100000,SUMMARY!A67&amp;"*")</f>
        <v>0</v>
      </c>
      <c r="P67" s="10">
        <f>SUMIFS('PLAN BUDGET SAMI-JF'!AY13:AY100000,'PLAN BUDGET SAMI-JF'!D13:D100000,SUMMARY!D67,'PLAN BUDGET SAMI-JF'!J13:J100000,SUMMARY!A67&amp;"*")</f>
        <v>0</v>
      </c>
      <c r="Q67" s="10">
        <f>SUMIFS('PLAN BUDGET SAMI-JF'!BC13:BC100000,'PLAN BUDGET SAMI-JF'!D13:D100000,SUMMARY!D67,'PLAN BUDGET SAMI-JF'!J13:J100000,SUMMARY!A67&amp;"*")</f>
        <v>0</v>
      </c>
      <c r="R67" s="10">
        <f>SUMIFS('PLAN BUDGET SAMI-JF'!BD13:BD100000,'PLAN BUDGET SAMI-JF'!D13:D100000,SUMMARY!D67,'PLAN BUDGET SAMI-JF'!J13:J100000,SUMMARY!A67&amp;"*")</f>
        <v>0</v>
      </c>
      <c r="S67" s="10">
        <f>SUMIFS('PLAN BUDGET SAMI-JF'!BE13:BE100000,'PLAN BUDGET SAMI-JF'!D13:D100000,SUMMARY!D67,'PLAN BUDGET SAMI-JF'!J13:J100000,SUMMARY!A67&amp;"*")</f>
        <v>0</v>
      </c>
      <c r="T67" s="10">
        <f>SUMIFS('PLAN BUDGET SAMI-JF'!BF13:BF100000,'PLAN BUDGET SAMI-JF'!D13:D100000,SUMMARY!D67,'PLAN BUDGET SAMI-JF'!J13:J100000,SUMMARY!A67&amp;"*")</f>
        <v>0</v>
      </c>
      <c r="U67" s="10">
        <f>SUMIFS('PLAN BUDGET SAMI-JF'!BG13:BG100000,'PLAN BUDGET SAMI-JF'!D13:D100000,SUMMARY!D67,'PLAN BUDGET SAMI-JF'!J13:J100000,SUMMARY!A67&amp;"*")</f>
        <v>0</v>
      </c>
      <c r="V67" s="10">
        <f>SUMIFS('PLAN BUDGET SAMI-JF'!BH13:BH100000,'PLAN BUDGET SAMI-JF'!D13:D100000,SUMMARY!D67,'PLAN BUDGET SAMI-JF'!J13:J100000,SUMMARY!A67&amp;"*")</f>
        <v>0</v>
      </c>
      <c r="W67" s="10">
        <f>SUMIFS('PLAN BUDGET SAMI-JF'!BI13:BI100000,'PLAN BUDGET SAMI-JF'!D13:D100000,SUMMARY!D67,'PLAN BUDGET SAMI-JF'!J13:J100000,SUMMARY!A67&amp;"*")</f>
        <v>0</v>
      </c>
      <c r="X67" s="10">
        <f>SUMIFS('PLAN BUDGET SAMI-JF'!BJ13:BJ100000,'PLAN BUDGET SAMI-JF'!D13:D100000,SUMMARY!D67,'PLAN BUDGET SAMI-JF'!J13:J100000,SUMMARY!A67&amp;"*")</f>
        <v>0</v>
      </c>
      <c r="Y67" s="10">
        <f>SUMIFS('PLAN BUDGET SAMI-JF'!BK13:BK100000,'PLAN BUDGET SAMI-JF'!D13:D100000,SUMMARY!D67,'PLAN BUDGET SAMI-JF'!J13:J100000,SUMMARY!A67&amp;"*")</f>
        <v>0</v>
      </c>
      <c r="Z67" s="10">
        <f>SUMIFS('PLAN BUDGET SAMI-JF'!BL13:BL100000,'PLAN BUDGET SAMI-JF'!D13:D100000,SUMMARY!D67,'PLAN BUDGET SAMI-JF'!J13:J100000,SUMMARY!A67&amp;"*")</f>
        <v>0</v>
      </c>
      <c r="AA67" s="10">
        <f>SUMIFS('PLAN BUDGET SAMI-JF'!BM13:BM100000,'PLAN BUDGET SAMI-JF'!D13:D100000,SUMMARY!D67,'PLAN BUDGET SAMI-JF'!J13:J100000,SUMMARY!A67&amp;"*")</f>
        <v>0</v>
      </c>
      <c r="AB67" s="10">
        <f>SUMIFS('PLAN BUDGET SAMI-JF'!BN13:BN100000,'PLAN BUDGET SAMI-JF'!D13:D100000,SUMMARY!D67,'PLAN BUDGET SAMI-JF'!J13:J100000,SUMMARY!A67&amp;"*")</f>
        <v>0</v>
      </c>
      <c r="AC67" s="10">
        <f t="shared" si="4"/>
        <v>0</v>
      </c>
      <c r="AD67" s="10">
        <f t="shared" si="5"/>
        <v>0</v>
      </c>
      <c r="AE67" s="16"/>
      <c r="AF67" s="10">
        <v>3</v>
      </c>
      <c r="AG67" s="10">
        <v>351.29695036268998</v>
      </c>
      <c r="AH67" s="20">
        <f t="shared" si="6"/>
        <v>-1</v>
      </c>
      <c r="AI67" s="20">
        <f t="shared" si="7"/>
        <v>-1</v>
      </c>
      <c r="AJ67" s="7" t="s">
        <v>201</v>
      </c>
    </row>
    <row r="68" spans="1:36" x14ac:dyDescent="0.35">
      <c r="A68" s="7" t="s">
        <v>47</v>
      </c>
      <c r="B68" s="7"/>
      <c r="C68" s="7"/>
      <c r="D68" s="7" t="s">
        <v>232</v>
      </c>
      <c r="E68" s="10">
        <f>SUMIFS('PLAN BUDGET SAMI-JF'!AN13:AN100000,'PLAN BUDGET SAMI-JF'!D13:D100000,SUMMARY!D68,'PLAN BUDGET SAMI-JF'!J13:J100000,SUMMARY!A68&amp;"*")</f>
        <v>0</v>
      </c>
      <c r="F68" s="10">
        <f>SUMIFS('PLAN BUDGET SAMI-JF'!AO13:AO100000,'PLAN BUDGET SAMI-JF'!D13:D100000,SUMMARY!D68,'PLAN BUDGET SAMI-JF'!J13:J100000,SUMMARY!A68&amp;"*")</f>
        <v>0</v>
      </c>
      <c r="G68" s="10">
        <f>SUMIFS('PLAN BUDGET SAMI-JF'!AP13:AP100000,'PLAN BUDGET SAMI-JF'!D13:D100000,SUMMARY!D68,'PLAN BUDGET SAMI-JF'!J13:J100000,SUMMARY!A68&amp;"*")</f>
        <v>0</v>
      </c>
      <c r="H68" s="10">
        <f>SUMIFS('PLAN BUDGET SAMI-JF'!AQ13:AQ100000,'PLAN BUDGET SAMI-JF'!D13:D100000,SUMMARY!D68,'PLAN BUDGET SAMI-JF'!J13:J100000,SUMMARY!A68&amp;"*")</f>
        <v>0</v>
      </c>
      <c r="I68" s="10">
        <f>SUMIFS('PLAN BUDGET SAMI-JF'!AR13:AR100000,'PLAN BUDGET SAMI-JF'!D13:D100000,SUMMARY!D68,'PLAN BUDGET SAMI-JF'!J13:J100000,SUMMARY!A68&amp;"*")</f>
        <v>0</v>
      </c>
      <c r="J68" s="10">
        <f>SUMIFS('PLAN BUDGET SAMI-JF'!AS13:AS100000,'PLAN BUDGET SAMI-JF'!D13:D100000,SUMMARY!D68,'PLAN BUDGET SAMI-JF'!J13:J100000,SUMMARY!A68&amp;"*")</f>
        <v>0</v>
      </c>
      <c r="K68" s="10">
        <f>SUMIFS('PLAN BUDGET SAMI-JF'!AT13:AT100000,'PLAN BUDGET SAMI-JF'!D13:D100000,SUMMARY!D68,'PLAN BUDGET SAMI-JF'!J13:J100000,SUMMARY!A68&amp;"*")</f>
        <v>0</v>
      </c>
      <c r="L68" s="10">
        <f>SUMIFS('PLAN BUDGET SAMI-JF'!AU13:AU100000,'PLAN BUDGET SAMI-JF'!D13:D100000,SUMMARY!D68,'PLAN BUDGET SAMI-JF'!J13:J100000,SUMMARY!A68&amp;"*")</f>
        <v>0</v>
      </c>
      <c r="M68" s="10">
        <f>SUMIFS('PLAN BUDGET SAMI-JF'!AV13:AV100000,'PLAN BUDGET SAMI-JF'!D13:D100000,SUMMARY!D68,'PLAN BUDGET SAMI-JF'!J13:J100000,SUMMARY!A68&amp;"*")</f>
        <v>0</v>
      </c>
      <c r="N68" s="10">
        <f>SUMIFS('PLAN BUDGET SAMI-JF'!AW13:AW100000,'PLAN BUDGET SAMI-JF'!D13:D100000,SUMMARY!D68,'PLAN BUDGET SAMI-JF'!J13:J100000,SUMMARY!A68&amp;"*")</f>
        <v>0</v>
      </c>
      <c r="O68" s="10">
        <f>SUMIFS('PLAN BUDGET SAMI-JF'!AX13:AX100000,'PLAN BUDGET SAMI-JF'!D13:D100000,SUMMARY!D68,'PLAN BUDGET SAMI-JF'!J13:J100000,SUMMARY!A68&amp;"*")</f>
        <v>0</v>
      </c>
      <c r="P68" s="10">
        <f>SUMIFS('PLAN BUDGET SAMI-JF'!AY13:AY100000,'PLAN BUDGET SAMI-JF'!D13:D100000,SUMMARY!D68,'PLAN BUDGET SAMI-JF'!J13:J100000,SUMMARY!A68&amp;"*")</f>
        <v>0</v>
      </c>
      <c r="Q68" s="10">
        <f>SUMIFS('PLAN BUDGET SAMI-JF'!BC13:BC100000,'PLAN BUDGET SAMI-JF'!D13:D100000,SUMMARY!D68,'PLAN BUDGET SAMI-JF'!J13:J100000,SUMMARY!A68&amp;"*")</f>
        <v>0</v>
      </c>
      <c r="R68" s="10">
        <f>SUMIFS('PLAN BUDGET SAMI-JF'!BD13:BD100000,'PLAN BUDGET SAMI-JF'!D13:D100000,SUMMARY!D68,'PLAN BUDGET SAMI-JF'!J13:J100000,SUMMARY!A68&amp;"*")</f>
        <v>0</v>
      </c>
      <c r="S68" s="10">
        <f>SUMIFS('PLAN BUDGET SAMI-JF'!BE13:BE100000,'PLAN BUDGET SAMI-JF'!D13:D100000,SUMMARY!D68,'PLAN BUDGET SAMI-JF'!J13:J100000,SUMMARY!A68&amp;"*")</f>
        <v>0</v>
      </c>
      <c r="T68" s="10">
        <f>SUMIFS('PLAN BUDGET SAMI-JF'!BF13:BF100000,'PLAN BUDGET SAMI-JF'!D13:D100000,SUMMARY!D68,'PLAN BUDGET SAMI-JF'!J13:J100000,SUMMARY!A68&amp;"*")</f>
        <v>0</v>
      </c>
      <c r="U68" s="10">
        <f>SUMIFS('PLAN BUDGET SAMI-JF'!BG13:BG100000,'PLAN BUDGET SAMI-JF'!D13:D100000,SUMMARY!D68,'PLAN BUDGET SAMI-JF'!J13:J100000,SUMMARY!A68&amp;"*")</f>
        <v>0</v>
      </c>
      <c r="V68" s="10">
        <f>SUMIFS('PLAN BUDGET SAMI-JF'!BH13:BH100000,'PLAN BUDGET SAMI-JF'!D13:D100000,SUMMARY!D68,'PLAN BUDGET SAMI-JF'!J13:J100000,SUMMARY!A68&amp;"*")</f>
        <v>0</v>
      </c>
      <c r="W68" s="10">
        <f>SUMIFS('PLAN BUDGET SAMI-JF'!BI13:BI100000,'PLAN BUDGET SAMI-JF'!D13:D100000,SUMMARY!D68,'PLAN BUDGET SAMI-JF'!J13:J100000,SUMMARY!A68&amp;"*")</f>
        <v>0</v>
      </c>
      <c r="X68" s="10">
        <f>SUMIFS('PLAN BUDGET SAMI-JF'!BJ13:BJ100000,'PLAN BUDGET SAMI-JF'!D13:D100000,SUMMARY!D68,'PLAN BUDGET SAMI-JF'!J13:J100000,SUMMARY!A68&amp;"*")</f>
        <v>0</v>
      </c>
      <c r="Y68" s="10">
        <f>SUMIFS('PLAN BUDGET SAMI-JF'!BK13:BK100000,'PLAN BUDGET SAMI-JF'!D13:D100000,SUMMARY!D68,'PLAN BUDGET SAMI-JF'!J13:J100000,SUMMARY!A68&amp;"*")</f>
        <v>0</v>
      </c>
      <c r="Z68" s="10">
        <f>SUMIFS('PLAN BUDGET SAMI-JF'!BL13:BL100000,'PLAN BUDGET SAMI-JF'!D13:D100000,SUMMARY!D68,'PLAN BUDGET SAMI-JF'!J13:J100000,SUMMARY!A68&amp;"*")</f>
        <v>0</v>
      </c>
      <c r="AA68" s="10">
        <f>SUMIFS('PLAN BUDGET SAMI-JF'!BM13:BM100000,'PLAN BUDGET SAMI-JF'!D13:D100000,SUMMARY!D68,'PLAN BUDGET SAMI-JF'!J13:J100000,SUMMARY!A68&amp;"*")</f>
        <v>0</v>
      </c>
      <c r="AB68" s="10">
        <f>SUMIFS('PLAN BUDGET SAMI-JF'!BN13:BN100000,'PLAN BUDGET SAMI-JF'!D13:D100000,SUMMARY!D68,'PLAN BUDGET SAMI-JF'!J13:J100000,SUMMARY!A68&amp;"*")</f>
        <v>0</v>
      </c>
      <c r="AC68" s="10">
        <f t="shared" si="4"/>
        <v>0</v>
      </c>
      <c r="AD68" s="10">
        <f t="shared" si="5"/>
        <v>0</v>
      </c>
      <c r="AE68" s="16"/>
      <c r="AF68" s="10">
        <v>1</v>
      </c>
      <c r="AG68" s="10">
        <v>19.938475561126001</v>
      </c>
      <c r="AH68" s="20">
        <f t="shared" si="6"/>
        <v>-1</v>
      </c>
      <c r="AI68" s="20">
        <f t="shared" si="7"/>
        <v>-1</v>
      </c>
      <c r="AJ68" s="7" t="s">
        <v>201</v>
      </c>
    </row>
    <row r="69" spans="1:36" x14ac:dyDescent="0.35">
      <c r="A69" s="7" t="s">
        <v>47</v>
      </c>
      <c r="B69" s="7"/>
      <c r="C69" s="7"/>
      <c r="D69" s="7" t="s">
        <v>233</v>
      </c>
      <c r="E69" s="10">
        <f>SUMIFS('PLAN BUDGET SAMI-JF'!AN13:AN100000,'PLAN BUDGET SAMI-JF'!D13:D100000,SUMMARY!D69,'PLAN BUDGET SAMI-JF'!J13:J100000,SUMMARY!A69&amp;"*")</f>
        <v>0</v>
      </c>
      <c r="F69" s="10">
        <f>SUMIFS('PLAN BUDGET SAMI-JF'!AO13:AO100000,'PLAN BUDGET SAMI-JF'!D13:D100000,SUMMARY!D69,'PLAN BUDGET SAMI-JF'!J13:J100000,SUMMARY!A69&amp;"*")</f>
        <v>0</v>
      </c>
      <c r="G69" s="10">
        <f>SUMIFS('PLAN BUDGET SAMI-JF'!AP13:AP100000,'PLAN BUDGET SAMI-JF'!D13:D100000,SUMMARY!D69,'PLAN BUDGET SAMI-JF'!J13:J100000,SUMMARY!A69&amp;"*")</f>
        <v>0</v>
      </c>
      <c r="H69" s="10">
        <f>SUMIFS('PLAN BUDGET SAMI-JF'!AQ13:AQ100000,'PLAN BUDGET SAMI-JF'!D13:D100000,SUMMARY!D69,'PLAN BUDGET SAMI-JF'!J13:J100000,SUMMARY!A69&amp;"*")</f>
        <v>0</v>
      </c>
      <c r="I69" s="10">
        <f>SUMIFS('PLAN BUDGET SAMI-JF'!AR13:AR100000,'PLAN BUDGET SAMI-JF'!D13:D100000,SUMMARY!D69,'PLAN BUDGET SAMI-JF'!J13:J100000,SUMMARY!A69&amp;"*")</f>
        <v>0</v>
      </c>
      <c r="J69" s="10">
        <f>SUMIFS('PLAN BUDGET SAMI-JF'!AS13:AS100000,'PLAN BUDGET SAMI-JF'!D13:D100000,SUMMARY!D69,'PLAN BUDGET SAMI-JF'!J13:J100000,SUMMARY!A69&amp;"*")</f>
        <v>0</v>
      </c>
      <c r="K69" s="10">
        <f>SUMIFS('PLAN BUDGET SAMI-JF'!AT13:AT100000,'PLAN BUDGET SAMI-JF'!D13:D100000,SUMMARY!D69,'PLAN BUDGET SAMI-JF'!J13:J100000,SUMMARY!A69&amp;"*")</f>
        <v>0</v>
      </c>
      <c r="L69" s="10">
        <f>SUMIFS('PLAN BUDGET SAMI-JF'!AU13:AU100000,'PLAN BUDGET SAMI-JF'!D13:D100000,SUMMARY!D69,'PLAN BUDGET SAMI-JF'!J13:J100000,SUMMARY!A69&amp;"*")</f>
        <v>0</v>
      </c>
      <c r="M69" s="10">
        <f>SUMIFS('PLAN BUDGET SAMI-JF'!AV13:AV100000,'PLAN BUDGET SAMI-JF'!D13:D100000,SUMMARY!D69,'PLAN BUDGET SAMI-JF'!J13:J100000,SUMMARY!A69&amp;"*")</f>
        <v>0</v>
      </c>
      <c r="N69" s="10">
        <f>SUMIFS('PLAN BUDGET SAMI-JF'!AW13:AW100000,'PLAN BUDGET SAMI-JF'!D13:D100000,SUMMARY!D69,'PLAN BUDGET SAMI-JF'!J13:J100000,SUMMARY!A69&amp;"*")</f>
        <v>0</v>
      </c>
      <c r="O69" s="10">
        <f>SUMIFS('PLAN BUDGET SAMI-JF'!AX13:AX100000,'PLAN BUDGET SAMI-JF'!D13:D100000,SUMMARY!D69,'PLAN BUDGET SAMI-JF'!J13:J100000,SUMMARY!A69&amp;"*")</f>
        <v>0</v>
      </c>
      <c r="P69" s="10">
        <f>SUMIFS('PLAN BUDGET SAMI-JF'!AY13:AY100000,'PLAN BUDGET SAMI-JF'!D13:D100000,SUMMARY!D69,'PLAN BUDGET SAMI-JF'!J13:J100000,SUMMARY!A69&amp;"*")</f>
        <v>0</v>
      </c>
      <c r="Q69" s="10">
        <f>SUMIFS('PLAN BUDGET SAMI-JF'!BC13:BC100000,'PLAN BUDGET SAMI-JF'!D13:D100000,SUMMARY!D69,'PLAN BUDGET SAMI-JF'!J13:J100000,SUMMARY!A69&amp;"*")</f>
        <v>0</v>
      </c>
      <c r="R69" s="10">
        <f>SUMIFS('PLAN BUDGET SAMI-JF'!BD13:BD100000,'PLAN BUDGET SAMI-JF'!D13:D100000,SUMMARY!D69,'PLAN BUDGET SAMI-JF'!J13:J100000,SUMMARY!A69&amp;"*")</f>
        <v>0</v>
      </c>
      <c r="S69" s="10">
        <f>SUMIFS('PLAN BUDGET SAMI-JF'!BE13:BE100000,'PLAN BUDGET SAMI-JF'!D13:D100000,SUMMARY!D69,'PLAN BUDGET SAMI-JF'!J13:J100000,SUMMARY!A69&amp;"*")</f>
        <v>0</v>
      </c>
      <c r="T69" s="10">
        <f>SUMIFS('PLAN BUDGET SAMI-JF'!BF13:BF100000,'PLAN BUDGET SAMI-JF'!D13:D100000,SUMMARY!D69,'PLAN BUDGET SAMI-JF'!J13:J100000,SUMMARY!A69&amp;"*")</f>
        <v>0</v>
      </c>
      <c r="U69" s="10">
        <f>SUMIFS('PLAN BUDGET SAMI-JF'!BG13:BG100000,'PLAN BUDGET SAMI-JF'!D13:D100000,SUMMARY!D69,'PLAN BUDGET SAMI-JF'!J13:J100000,SUMMARY!A69&amp;"*")</f>
        <v>0</v>
      </c>
      <c r="V69" s="10">
        <f>SUMIFS('PLAN BUDGET SAMI-JF'!BH13:BH100000,'PLAN BUDGET SAMI-JF'!D13:D100000,SUMMARY!D69,'PLAN BUDGET SAMI-JF'!J13:J100000,SUMMARY!A69&amp;"*")</f>
        <v>0</v>
      </c>
      <c r="W69" s="10">
        <f>SUMIFS('PLAN BUDGET SAMI-JF'!BI13:BI100000,'PLAN BUDGET SAMI-JF'!D13:D100000,SUMMARY!D69,'PLAN BUDGET SAMI-JF'!J13:J100000,SUMMARY!A69&amp;"*")</f>
        <v>0</v>
      </c>
      <c r="X69" s="10">
        <f>SUMIFS('PLAN BUDGET SAMI-JF'!BJ13:BJ100000,'PLAN BUDGET SAMI-JF'!D13:D100000,SUMMARY!D69,'PLAN BUDGET SAMI-JF'!J13:J100000,SUMMARY!A69&amp;"*")</f>
        <v>0</v>
      </c>
      <c r="Y69" s="10">
        <f>SUMIFS('PLAN BUDGET SAMI-JF'!BK13:BK100000,'PLAN BUDGET SAMI-JF'!D13:D100000,SUMMARY!D69,'PLAN BUDGET SAMI-JF'!J13:J100000,SUMMARY!A69&amp;"*")</f>
        <v>0</v>
      </c>
      <c r="Z69" s="10">
        <f>SUMIFS('PLAN BUDGET SAMI-JF'!BL13:BL100000,'PLAN BUDGET SAMI-JF'!D13:D100000,SUMMARY!D69,'PLAN BUDGET SAMI-JF'!J13:J100000,SUMMARY!A69&amp;"*")</f>
        <v>0</v>
      </c>
      <c r="AA69" s="10">
        <f>SUMIFS('PLAN BUDGET SAMI-JF'!BM13:BM100000,'PLAN BUDGET SAMI-JF'!D13:D100000,SUMMARY!D69,'PLAN BUDGET SAMI-JF'!J13:J100000,SUMMARY!A69&amp;"*")</f>
        <v>0</v>
      </c>
      <c r="AB69" s="10">
        <f>SUMIFS('PLAN BUDGET SAMI-JF'!BN13:BN100000,'PLAN BUDGET SAMI-JF'!D13:D100000,SUMMARY!D69,'PLAN BUDGET SAMI-JF'!J13:J100000,SUMMARY!A69&amp;"*")</f>
        <v>0</v>
      </c>
      <c r="AC69" s="10">
        <f t="shared" si="4"/>
        <v>0</v>
      </c>
      <c r="AD69" s="10">
        <f t="shared" si="5"/>
        <v>0</v>
      </c>
      <c r="AE69" s="16"/>
      <c r="AF69" s="10">
        <v>3</v>
      </c>
      <c r="AG69" s="10">
        <v>189.89024343929</v>
      </c>
      <c r="AH69" s="20">
        <f t="shared" si="6"/>
        <v>-1</v>
      </c>
      <c r="AI69" s="20">
        <f t="shared" si="7"/>
        <v>-1</v>
      </c>
      <c r="AJ69" s="7" t="s">
        <v>201</v>
      </c>
    </row>
    <row r="70" spans="1:36" x14ac:dyDescent="0.35">
      <c r="A70" s="7" t="s">
        <v>47</v>
      </c>
      <c r="B70" s="7"/>
      <c r="C70" s="7"/>
      <c r="D70" s="7" t="s">
        <v>234</v>
      </c>
      <c r="E70" s="10">
        <f>SUMIFS('PLAN BUDGET SAMI-JF'!AN13:AN100000,'PLAN BUDGET SAMI-JF'!D13:D100000,SUMMARY!D70,'PLAN BUDGET SAMI-JF'!J13:J100000,SUMMARY!A70&amp;"*")</f>
        <v>0</v>
      </c>
      <c r="F70" s="10">
        <f>SUMIFS('PLAN BUDGET SAMI-JF'!AO13:AO100000,'PLAN BUDGET SAMI-JF'!D13:D100000,SUMMARY!D70,'PLAN BUDGET SAMI-JF'!J13:J100000,SUMMARY!A70&amp;"*")</f>
        <v>0</v>
      </c>
      <c r="G70" s="10">
        <f>SUMIFS('PLAN BUDGET SAMI-JF'!AP13:AP100000,'PLAN BUDGET SAMI-JF'!D13:D100000,SUMMARY!D70,'PLAN BUDGET SAMI-JF'!J13:J100000,SUMMARY!A70&amp;"*")</f>
        <v>0</v>
      </c>
      <c r="H70" s="10">
        <f>SUMIFS('PLAN BUDGET SAMI-JF'!AQ13:AQ100000,'PLAN BUDGET SAMI-JF'!D13:D100000,SUMMARY!D70,'PLAN BUDGET SAMI-JF'!J13:J100000,SUMMARY!A70&amp;"*")</f>
        <v>0</v>
      </c>
      <c r="I70" s="10">
        <f>SUMIFS('PLAN BUDGET SAMI-JF'!AR13:AR100000,'PLAN BUDGET SAMI-JF'!D13:D100000,SUMMARY!D70,'PLAN BUDGET SAMI-JF'!J13:J100000,SUMMARY!A70&amp;"*")</f>
        <v>0</v>
      </c>
      <c r="J70" s="10">
        <f>SUMIFS('PLAN BUDGET SAMI-JF'!AS13:AS100000,'PLAN BUDGET SAMI-JF'!D13:D100000,SUMMARY!D70,'PLAN BUDGET SAMI-JF'!J13:J100000,SUMMARY!A70&amp;"*")</f>
        <v>0</v>
      </c>
      <c r="K70" s="10">
        <f>SUMIFS('PLAN BUDGET SAMI-JF'!AT13:AT100000,'PLAN BUDGET SAMI-JF'!D13:D100000,SUMMARY!D70,'PLAN BUDGET SAMI-JF'!J13:J100000,SUMMARY!A70&amp;"*")</f>
        <v>0</v>
      </c>
      <c r="L70" s="10">
        <f>SUMIFS('PLAN BUDGET SAMI-JF'!AU13:AU100000,'PLAN BUDGET SAMI-JF'!D13:D100000,SUMMARY!D70,'PLAN BUDGET SAMI-JF'!J13:J100000,SUMMARY!A70&amp;"*")</f>
        <v>0</v>
      </c>
      <c r="M70" s="10">
        <f>SUMIFS('PLAN BUDGET SAMI-JF'!AV13:AV100000,'PLAN BUDGET SAMI-JF'!D13:D100000,SUMMARY!D70,'PLAN BUDGET SAMI-JF'!J13:J100000,SUMMARY!A70&amp;"*")</f>
        <v>0</v>
      </c>
      <c r="N70" s="10">
        <f>SUMIFS('PLAN BUDGET SAMI-JF'!AW13:AW100000,'PLAN BUDGET SAMI-JF'!D13:D100000,SUMMARY!D70,'PLAN BUDGET SAMI-JF'!J13:J100000,SUMMARY!A70&amp;"*")</f>
        <v>0</v>
      </c>
      <c r="O70" s="10">
        <f>SUMIFS('PLAN BUDGET SAMI-JF'!AX13:AX100000,'PLAN BUDGET SAMI-JF'!D13:D100000,SUMMARY!D70,'PLAN BUDGET SAMI-JF'!J13:J100000,SUMMARY!A70&amp;"*")</f>
        <v>0</v>
      </c>
      <c r="P70" s="10">
        <f>SUMIFS('PLAN BUDGET SAMI-JF'!AY13:AY100000,'PLAN BUDGET SAMI-JF'!D13:D100000,SUMMARY!D70,'PLAN BUDGET SAMI-JF'!J13:J100000,SUMMARY!A70&amp;"*")</f>
        <v>0</v>
      </c>
      <c r="Q70" s="10">
        <f>SUMIFS('PLAN BUDGET SAMI-JF'!BC13:BC100000,'PLAN BUDGET SAMI-JF'!D13:D100000,SUMMARY!D70,'PLAN BUDGET SAMI-JF'!J13:J100000,SUMMARY!A70&amp;"*")</f>
        <v>0</v>
      </c>
      <c r="R70" s="10">
        <f>SUMIFS('PLAN BUDGET SAMI-JF'!BD13:BD100000,'PLAN BUDGET SAMI-JF'!D13:D100000,SUMMARY!D70,'PLAN BUDGET SAMI-JF'!J13:J100000,SUMMARY!A70&amp;"*")</f>
        <v>0</v>
      </c>
      <c r="S70" s="10">
        <f>SUMIFS('PLAN BUDGET SAMI-JF'!BE13:BE100000,'PLAN BUDGET SAMI-JF'!D13:D100000,SUMMARY!D70,'PLAN BUDGET SAMI-JF'!J13:J100000,SUMMARY!A70&amp;"*")</f>
        <v>0</v>
      </c>
      <c r="T70" s="10">
        <f>SUMIFS('PLAN BUDGET SAMI-JF'!BF13:BF100000,'PLAN BUDGET SAMI-JF'!D13:D100000,SUMMARY!D70,'PLAN BUDGET SAMI-JF'!J13:J100000,SUMMARY!A70&amp;"*")</f>
        <v>0</v>
      </c>
      <c r="U70" s="10">
        <f>SUMIFS('PLAN BUDGET SAMI-JF'!BG13:BG100000,'PLAN BUDGET SAMI-JF'!D13:D100000,SUMMARY!D70,'PLAN BUDGET SAMI-JF'!J13:J100000,SUMMARY!A70&amp;"*")</f>
        <v>0</v>
      </c>
      <c r="V70" s="10">
        <f>SUMIFS('PLAN BUDGET SAMI-JF'!BH13:BH100000,'PLAN BUDGET SAMI-JF'!D13:D100000,SUMMARY!D70,'PLAN BUDGET SAMI-JF'!J13:J100000,SUMMARY!A70&amp;"*")</f>
        <v>0</v>
      </c>
      <c r="W70" s="10">
        <f>SUMIFS('PLAN BUDGET SAMI-JF'!BI13:BI100000,'PLAN BUDGET SAMI-JF'!D13:D100000,SUMMARY!D70,'PLAN BUDGET SAMI-JF'!J13:J100000,SUMMARY!A70&amp;"*")</f>
        <v>0</v>
      </c>
      <c r="X70" s="10">
        <f>SUMIFS('PLAN BUDGET SAMI-JF'!BJ13:BJ100000,'PLAN BUDGET SAMI-JF'!D13:D100000,SUMMARY!D70,'PLAN BUDGET SAMI-JF'!J13:J100000,SUMMARY!A70&amp;"*")</f>
        <v>0</v>
      </c>
      <c r="Y70" s="10">
        <f>SUMIFS('PLAN BUDGET SAMI-JF'!BK13:BK100000,'PLAN BUDGET SAMI-JF'!D13:D100000,SUMMARY!D70,'PLAN BUDGET SAMI-JF'!J13:J100000,SUMMARY!A70&amp;"*")</f>
        <v>0</v>
      </c>
      <c r="Z70" s="10">
        <f>SUMIFS('PLAN BUDGET SAMI-JF'!BL13:BL100000,'PLAN BUDGET SAMI-JF'!D13:D100000,SUMMARY!D70,'PLAN BUDGET SAMI-JF'!J13:J100000,SUMMARY!A70&amp;"*")</f>
        <v>0</v>
      </c>
      <c r="AA70" s="10">
        <f>SUMIFS('PLAN BUDGET SAMI-JF'!BM13:BM100000,'PLAN BUDGET SAMI-JF'!D13:D100000,SUMMARY!D70,'PLAN BUDGET SAMI-JF'!J13:J100000,SUMMARY!A70&amp;"*")</f>
        <v>0</v>
      </c>
      <c r="AB70" s="10">
        <f>SUMIFS('PLAN BUDGET SAMI-JF'!BN13:BN100000,'PLAN BUDGET SAMI-JF'!D13:D100000,SUMMARY!D70,'PLAN BUDGET SAMI-JF'!J13:J100000,SUMMARY!A70&amp;"*")</f>
        <v>0</v>
      </c>
      <c r="AC70" s="10">
        <f t="shared" si="4"/>
        <v>0</v>
      </c>
      <c r="AD70" s="10">
        <f t="shared" si="5"/>
        <v>0</v>
      </c>
      <c r="AE70" s="16"/>
      <c r="AF70" s="10">
        <v>6</v>
      </c>
      <c r="AG70" s="10">
        <v>189.89024343929</v>
      </c>
      <c r="AH70" s="20">
        <f t="shared" si="6"/>
        <v>-1</v>
      </c>
      <c r="AI70" s="20">
        <f t="shared" si="7"/>
        <v>-1</v>
      </c>
      <c r="AJ70" s="7" t="s">
        <v>201</v>
      </c>
    </row>
    <row r="71" spans="1:36" x14ac:dyDescent="0.35">
      <c r="A71" s="7" t="s">
        <v>47</v>
      </c>
      <c r="B71" s="7"/>
      <c r="C71" s="7"/>
      <c r="D71" s="7" t="s">
        <v>235</v>
      </c>
      <c r="E71" s="10">
        <f>SUMIFS('PLAN BUDGET SAMI-JF'!AN13:AN100000,'PLAN BUDGET SAMI-JF'!D13:D100000,SUMMARY!D71,'PLAN BUDGET SAMI-JF'!J13:J100000,SUMMARY!A71&amp;"*")</f>
        <v>0</v>
      </c>
      <c r="F71" s="10">
        <f>SUMIFS('PLAN BUDGET SAMI-JF'!AO13:AO100000,'PLAN BUDGET SAMI-JF'!D13:D100000,SUMMARY!D71,'PLAN BUDGET SAMI-JF'!J13:J100000,SUMMARY!A71&amp;"*")</f>
        <v>0</v>
      </c>
      <c r="G71" s="10">
        <f>SUMIFS('PLAN BUDGET SAMI-JF'!AP13:AP100000,'PLAN BUDGET SAMI-JF'!D13:D100000,SUMMARY!D71,'PLAN BUDGET SAMI-JF'!J13:J100000,SUMMARY!A71&amp;"*")</f>
        <v>0</v>
      </c>
      <c r="H71" s="10">
        <f>SUMIFS('PLAN BUDGET SAMI-JF'!AQ13:AQ100000,'PLAN BUDGET SAMI-JF'!D13:D100000,SUMMARY!D71,'PLAN BUDGET SAMI-JF'!J13:J100000,SUMMARY!A71&amp;"*")</f>
        <v>0</v>
      </c>
      <c r="I71" s="10">
        <f>SUMIFS('PLAN BUDGET SAMI-JF'!AR13:AR100000,'PLAN BUDGET SAMI-JF'!D13:D100000,SUMMARY!D71,'PLAN BUDGET SAMI-JF'!J13:J100000,SUMMARY!A71&amp;"*")</f>
        <v>0</v>
      </c>
      <c r="J71" s="10">
        <f>SUMIFS('PLAN BUDGET SAMI-JF'!AS13:AS100000,'PLAN BUDGET SAMI-JF'!D13:D100000,SUMMARY!D71,'PLAN BUDGET SAMI-JF'!J13:J100000,SUMMARY!A71&amp;"*")</f>
        <v>0</v>
      </c>
      <c r="K71" s="10">
        <f>SUMIFS('PLAN BUDGET SAMI-JF'!AT13:AT100000,'PLAN BUDGET SAMI-JF'!D13:D100000,SUMMARY!D71,'PLAN BUDGET SAMI-JF'!J13:J100000,SUMMARY!A71&amp;"*")</f>
        <v>0</v>
      </c>
      <c r="L71" s="10">
        <f>SUMIFS('PLAN BUDGET SAMI-JF'!AU13:AU100000,'PLAN BUDGET SAMI-JF'!D13:D100000,SUMMARY!D71,'PLAN BUDGET SAMI-JF'!J13:J100000,SUMMARY!A71&amp;"*")</f>
        <v>0</v>
      </c>
      <c r="M71" s="10">
        <f>SUMIFS('PLAN BUDGET SAMI-JF'!AV13:AV100000,'PLAN BUDGET SAMI-JF'!D13:D100000,SUMMARY!D71,'PLAN BUDGET SAMI-JF'!J13:J100000,SUMMARY!A71&amp;"*")</f>
        <v>0</v>
      </c>
      <c r="N71" s="10">
        <f>SUMIFS('PLAN BUDGET SAMI-JF'!AW13:AW100000,'PLAN BUDGET SAMI-JF'!D13:D100000,SUMMARY!D71,'PLAN BUDGET SAMI-JF'!J13:J100000,SUMMARY!A71&amp;"*")</f>
        <v>0</v>
      </c>
      <c r="O71" s="10">
        <f>SUMIFS('PLAN BUDGET SAMI-JF'!AX13:AX100000,'PLAN BUDGET SAMI-JF'!D13:D100000,SUMMARY!D71,'PLAN BUDGET SAMI-JF'!J13:J100000,SUMMARY!A71&amp;"*")</f>
        <v>0</v>
      </c>
      <c r="P71" s="10">
        <f>SUMIFS('PLAN BUDGET SAMI-JF'!AY13:AY100000,'PLAN BUDGET SAMI-JF'!D13:D100000,SUMMARY!D71,'PLAN BUDGET SAMI-JF'!J13:J100000,SUMMARY!A71&amp;"*")</f>
        <v>0</v>
      </c>
      <c r="Q71" s="10">
        <f>SUMIFS('PLAN BUDGET SAMI-JF'!BC13:BC100000,'PLAN BUDGET SAMI-JF'!D13:D100000,SUMMARY!D71,'PLAN BUDGET SAMI-JF'!J13:J100000,SUMMARY!A71&amp;"*")</f>
        <v>0</v>
      </c>
      <c r="R71" s="10">
        <f>SUMIFS('PLAN BUDGET SAMI-JF'!BD13:BD100000,'PLAN BUDGET SAMI-JF'!D13:D100000,SUMMARY!D71,'PLAN BUDGET SAMI-JF'!J13:J100000,SUMMARY!A71&amp;"*")</f>
        <v>0</v>
      </c>
      <c r="S71" s="10">
        <f>SUMIFS('PLAN BUDGET SAMI-JF'!BE13:BE100000,'PLAN BUDGET SAMI-JF'!D13:D100000,SUMMARY!D71,'PLAN BUDGET SAMI-JF'!J13:J100000,SUMMARY!A71&amp;"*")</f>
        <v>0</v>
      </c>
      <c r="T71" s="10">
        <f>SUMIFS('PLAN BUDGET SAMI-JF'!BF13:BF100000,'PLAN BUDGET SAMI-JF'!D13:D100000,SUMMARY!D71,'PLAN BUDGET SAMI-JF'!J13:J100000,SUMMARY!A71&amp;"*")</f>
        <v>0</v>
      </c>
      <c r="U71" s="10">
        <f>SUMIFS('PLAN BUDGET SAMI-JF'!BG13:BG100000,'PLAN BUDGET SAMI-JF'!D13:D100000,SUMMARY!D71,'PLAN BUDGET SAMI-JF'!J13:J100000,SUMMARY!A71&amp;"*")</f>
        <v>0</v>
      </c>
      <c r="V71" s="10">
        <f>SUMIFS('PLAN BUDGET SAMI-JF'!BH13:BH100000,'PLAN BUDGET SAMI-JF'!D13:D100000,SUMMARY!D71,'PLAN BUDGET SAMI-JF'!J13:J100000,SUMMARY!A71&amp;"*")</f>
        <v>0</v>
      </c>
      <c r="W71" s="10">
        <f>SUMIFS('PLAN BUDGET SAMI-JF'!BI13:BI100000,'PLAN BUDGET SAMI-JF'!D13:D100000,SUMMARY!D71,'PLAN BUDGET SAMI-JF'!J13:J100000,SUMMARY!A71&amp;"*")</f>
        <v>0</v>
      </c>
      <c r="X71" s="10">
        <f>SUMIFS('PLAN BUDGET SAMI-JF'!BJ13:BJ100000,'PLAN BUDGET SAMI-JF'!D13:D100000,SUMMARY!D71,'PLAN BUDGET SAMI-JF'!J13:J100000,SUMMARY!A71&amp;"*")</f>
        <v>0</v>
      </c>
      <c r="Y71" s="10">
        <f>SUMIFS('PLAN BUDGET SAMI-JF'!BK13:BK100000,'PLAN BUDGET SAMI-JF'!D13:D100000,SUMMARY!D71,'PLAN BUDGET SAMI-JF'!J13:J100000,SUMMARY!A71&amp;"*")</f>
        <v>0</v>
      </c>
      <c r="Z71" s="10">
        <f>SUMIFS('PLAN BUDGET SAMI-JF'!BL13:BL100000,'PLAN BUDGET SAMI-JF'!D13:D100000,SUMMARY!D71,'PLAN BUDGET SAMI-JF'!J13:J100000,SUMMARY!A71&amp;"*")</f>
        <v>0</v>
      </c>
      <c r="AA71" s="10">
        <f>SUMIFS('PLAN BUDGET SAMI-JF'!BM13:BM100000,'PLAN BUDGET SAMI-JF'!D13:D100000,SUMMARY!D71,'PLAN BUDGET SAMI-JF'!J13:J100000,SUMMARY!A71&amp;"*")</f>
        <v>0</v>
      </c>
      <c r="AB71" s="10">
        <f>SUMIFS('PLAN BUDGET SAMI-JF'!BN13:BN100000,'PLAN BUDGET SAMI-JF'!D13:D100000,SUMMARY!D71,'PLAN BUDGET SAMI-JF'!J13:J100000,SUMMARY!A71&amp;"*")</f>
        <v>0</v>
      </c>
      <c r="AC71" s="10">
        <f t="shared" si="4"/>
        <v>0</v>
      </c>
      <c r="AD71" s="10">
        <f t="shared" si="5"/>
        <v>0</v>
      </c>
      <c r="AE71" s="16"/>
      <c r="AF71" s="10">
        <v>35</v>
      </c>
      <c r="AG71" s="10">
        <v>22774.701986755001</v>
      </c>
      <c r="AH71" s="20">
        <f t="shared" si="6"/>
        <v>-1</v>
      </c>
      <c r="AI71" s="20">
        <f t="shared" si="7"/>
        <v>-1</v>
      </c>
      <c r="AJ71" s="7" t="s">
        <v>201</v>
      </c>
    </row>
    <row r="72" spans="1:36" x14ac:dyDescent="0.35">
      <c r="A72" s="7" t="s">
        <v>47</v>
      </c>
      <c r="B72" s="7"/>
      <c r="C72" s="7"/>
      <c r="D72" s="7" t="s">
        <v>219</v>
      </c>
      <c r="E72" s="10">
        <f>SUMIFS('PLAN BUDGET SAMI-JF'!AN13:AN100000,'PLAN BUDGET SAMI-JF'!D13:D100000,SUMMARY!D72,'PLAN BUDGET SAMI-JF'!J13:J100000,SUMMARY!A72&amp;"*")</f>
        <v>0</v>
      </c>
      <c r="F72" s="10">
        <f>SUMIFS('PLAN BUDGET SAMI-JF'!AO13:AO100000,'PLAN BUDGET SAMI-JF'!D13:D100000,SUMMARY!D72,'PLAN BUDGET SAMI-JF'!J13:J100000,SUMMARY!A72&amp;"*")</f>
        <v>0</v>
      </c>
      <c r="G72" s="10">
        <f>SUMIFS('PLAN BUDGET SAMI-JF'!AP13:AP100000,'PLAN BUDGET SAMI-JF'!D13:D100000,SUMMARY!D72,'PLAN BUDGET SAMI-JF'!J13:J100000,SUMMARY!A72&amp;"*")</f>
        <v>0</v>
      </c>
      <c r="H72" s="10">
        <f>SUMIFS('PLAN BUDGET SAMI-JF'!AQ13:AQ100000,'PLAN BUDGET SAMI-JF'!D13:D100000,SUMMARY!D72,'PLAN BUDGET SAMI-JF'!J13:J100000,SUMMARY!A72&amp;"*")</f>
        <v>0</v>
      </c>
      <c r="I72" s="10">
        <f>SUMIFS('PLAN BUDGET SAMI-JF'!AR13:AR100000,'PLAN BUDGET SAMI-JF'!D13:D100000,SUMMARY!D72,'PLAN BUDGET SAMI-JF'!J13:J100000,SUMMARY!A72&amp;"*")</f>
        <v>0</v>
      </c>
      <c r="J72" s="10">
        <f>SUMIFS('PLAN BUDGET SAMI-JF'!AS13:AS100000,'PLAN BUDGET SAMI-JF'!D13:D100000,SUMMARY!D72,'PLAN BUDGET SAMI-JF'!J13:J100000,SUMMARY!A72&amp;"*")</f>
        <v>0</v>
      </c>
      <c r="K72" s="10">
        <f>SUMIFS('PLAN BUDGET SAMI-JF'!AT13:AT100000,'PLAN BUDGET SAMI-JF'!D13:D100000,SUMMARY!D72,'PLAN BUDGET SAMI-JF'!J13:J100000,SUMMARY!A72&amp;"*")</f>
        <v>0</v>
      </c>
      <c r="L72" s="10">
        <f>SUMIFS('PLAN BUDGET SAMI-JF'!AU13:AU100000,'PLAN BUDGET SAMI-JF'!D13:D100000,SUMMARY!D72,'PLAN BUDGET SAMI-JF'!J13:J100000,SUMMARY!A72&amp;"*")</f>
        <v>0</v>
      </c>
      <c r="M72" s="10">
        <f>SUMIFS('PLAN BUDGET SAMI-JF'!AV13:AV100000,'PLAN BUDGET SAMI-JF'!D13:D100000,SUMMARY!D72,'PLAN BUDGET SAMI-JF'!J13:J100000,SUMMARY!A72&amp;"*")</f>
        <v>0</v>
      </c>
      <c r="N72" s="10">
        <f>SUMIFS('PLAN BUDGET SAMI-JF'!AW13:AW100000,'PLAN BUDGET SAMI-JF'!D13:D100000,SUMMARY!D72,'PLAN BUDGET SAMI-JF'!J13:J100000,SUMMARY!A72&amp;"*")</f>
        <v>0</v>
      </c>
      <c r="O72" s="10">
        <f>SUMIFS('PLAN BUDGET SAMI-JF'!AX13:AX100000,'PLAN BUDGET SAMI-JF'!D13:D100000,SUMMARY!D72,'PLAN BUDGET SAMI-JF'!J13:J100000,SUMMARY!A72&amp;"*")</f>
        <v>0</v>
      </c>
      <c r="P72" s="10">
        <f>SUMIFS('PLAN BUDGET SAMI-JF'!AY13:AY100000,'PLAN BUDGET SAMI-JF'!D13:D100000,SUMMARY!D72,'PLAN BUDGET SAMI-JF'!J13:J100000,SUMMARY!A72&amp;"*")</f>
        <v>0</v>
      </c>
      <c r="Q72" s="10">
        <f>SUMIFS('PLAN BUDGET SAMI-JF'!BC13:BC100000,'PLAN BUDGET SAMI-JF'!D13:D100000,SUMMARY!D72,'PLAN BUDGET SAMI-JF'!J13:J100000,SUMMARY!A72&amp;"*")</f>
        <v>0</v>
      </c>
      <c r="R72" s="10">
        <f>SUMIFS('PLAN BUDGET SAMI-JF'!BD13:BD100000,'PLAN BUDGET SAMI-JF'!D13:D100000,SUMMARY!D72,'PLAN BUDGET SAMI-JF'!J13:J100000,SUMMARY!A72&amp;"*")</f>
        <v>0</v>
      </c>
      <c r="S72" s="10">
        <f>SUMIFS('PLAN BUDGET SAMI-JF'!BE13:BE100000,'PLAN BUDGET SAMI-JF'!D13:D100000,SUMMARY!D72,'PLAN BUDGET SAMI-JF'!J13:J100000,SUMMARY!A72&amp;"*")</f>
        <v>0</v>
      </c>
      <c r="T72" s="10">
        <f>SUMIFS('PLAN BUDGET SAMI-JF'!BF13:BF100000,'PLAN BUDGET SAMI-JF'!D13:D100000,SUMMARY!D72,'PLAN BUDGET SAMI-JF'!J13:J100000,SUMMARY!A72&amp;"*")</f>
        <v>0</v>
      </c>
      <c r="U72" s="10">
        <f>SUMIFS('PLAN BUDGET SAMI-JF'!BG13:BG100000,'PLAN BUDGET SAMI-JF'!D13:D100000,SUMMARY!D72,'PLAN BUDGET SAMI-JF'!J13:J100000,SUMMARY!A72&amp;"*")</f>
        <v>0</v>
      </c>
      <c r="V72" s="10">
        <f>SUMIFS('PLAN BUDGET SAMI-JF'!BH13:BH100000,'PLAN BUDGET SAMI-JF'!D13:D100000,SUMMARY!D72,'PLAN BUDGET SAMI-JF'!J13:J100000,SUMMARY!A72&amp;"*")</f>
        <v>0</v>
      </c>
      <c r="W72" s="10">
        <f>SUMIFS('PLAN BUDGET SAMI-JF'!BI13:BI100000,'PLAN BUDGET SAMI-JF'!D13:D100000,SUMMARY!D72,'PLAN BUDGET SAMI-JF'!J13:J100000,SUMMARY!A72&amp;"*")</f>
        <v>0</v>
      </c>
      <c r="X72" s="10">
        <f>SUMIFS('PLAN BUDGET SAMI-JF'!BJ13:BJ100000,'PLAN BUDGET SAMI-JF'!D13:D100000,SUMMARY!D72,'PLAN BUDGET SAMI-JF'!J13:J100000,SUMMARY!A72&amp;"*")</f>
        <v>0</v>
      </c>
      <c r="Y72" s="10">
        <f>SUMIFS('PLAN BUDGET SAMI-JF'!BK13:BK100000,'PLAN BUDGET SAMI-JF'!D13:D100000,SUMMARY!D72,'PLAN BUDGET SAMI-JF'!J13:J100000,SUMMARY!A72&amp;"*")</f>
        <v>0</v>
      </c>
      <c r="Z72" s="10">
        <f>SUMIFS('PLAN BUDGET SAMI-JF'!BL13:BL100000,'PLAN BUDGET SAMI-JF'!D13:D100000,SUMMARY!D72,'PLAN BUDGET SAMI-JF'!J13:J100000,SUMMARY!A72&amp;"*")</f>
        <v>0</v>
      </c>
      <c r="AA72" s="10">
        <f>SUMIFS('PLAN BUDGET SAMI-JF'!BM13:BM100000,'PLAN BUDGET SAMI-JF'!D13:D100000,SUMMARY!D72,'PLAN BUDGET SAMI-JF'!J13:J100000,SUMMARY!A72&amp;"*")</f>
        <v>0</v>
      </c>
      <c r="AB72" s="10">
        <f>SUMIFS('PLAN BUDGET SAMI-JF'!BN13:BN100000,'PLAN BUDGET SAMI-JF'!D13:D100000,SUMMARY!D72,'PLAN BUDGET SAMI-JF'!J13:J100000,SUMMARY!A72&amp;"*")</f>
        <v>0</v>
      </c>
      <c r="AC72" s="10">
        <f t="shared" si="4"/>
        <v>0</v>
      </c>
      <c r="AD72" s="10">
        <f t="shared" si="5"/>
        <v>0</v>
      </c>
      <c r="AE72" s="16"/>
      <c r="AF72" s="10">
        <v>356</v>
      </c>
      <c r="AG72" s="10">
        <v>58.494550150012998</v>
      </c>
      <c r="AH72" s="20">
        <f t="shared" si="6"/>
        <v>-1</v>
      </c>
      <c r="AI72" s="20">
        <f t="shared" si="7"/>
        <v>-1</v>
      </c>
      <c r="AJ72" s="7" t="s">
        <v>201</v>
      </c>
    </row>
    <row r="73" spans="1:36" x14ac:dyDescent="0.35">
      <c r="A73" s="7" t="s">
        <v>47</v>
      </c>
      <c r="B73" s="7"/>
      <c r="C73" s="7"/>
      <c r="D73" s="7" t="s">
        <v>236</v>
      </c>
      <c r="E73" s="10">
        <f>SUMIFS('PLAN BUDGET SAMI-JF'!AN13:AN100000,'PLAN BUDGET SAMI-JF'!D13:D100000,SUMMARY!D73,'PLAN BUDGET SAMI-JF'!J13:J100000,SUMMARY!A73&amp;"*")</f>
        <v>0</v>
      </c>
      <c r="F73" s="10">
        <f>SUMIFS('PLAN BUDGET SAMI-JF'!AO13:AO100000,'PLAN BUDGET SAMI-JF'!D13:D100000,SUMMARY!D73,'PLAN BUDGET SAMI-JF'!J13:J100000,SUMMARY!A73&amp;"*")</f>
        <v>0</v>
      </c>
      <c r="G73" s="10">
        <f>SUMIFS('PLAN BUDGET SAMI-JF'!AP13:AP100000,'PLAN BUDGET SAMI-JF'!D13:D100000,SUMMARY!D73,'PLAN BUDGET SAMI-JF'!J13:J100000,SUMMARY!A73&amp;"*")</f>
        <v>0</v>
      </c>
      <c r="H73" s="10">
        <f>SUMIFS('PLAN BUDGET SAMI-JF'!AQ13:AQ100000,'PLAN BUDGET SAMI-JF'!D13:D100000,SUMMARY!D73,'PLAN BUDGET SAMI-JF'!J13:J100000,SUMMARY!A73&amp;"*")</f>
        <v>0</v>
      </c>
      <c r="I73" s="10">
        <f>SUMIFS('PLAN BUDGET SAMI-JF'!AR13:AR100000,'PLAN BUDGET SAMI-JF'!D13:D100000,SUMMARY!D73,'PLAN BUDGET SAMI-JF'!J13:J100000,SUMMARY!A73&amp;"*")</f>
        <v>0</v>
      </c>
      <c r="J73" s="10">
        <f>SUMIFS('PLAN BUDGET SAMI-JF'!AS13:AS100000,'PLAN BUDGET SAMI-JF'!D13:D100000,SUMMARY!D73,'PLAN BUDGET SAMI-JF'!J13:J100000,SUMMARY!A73&amp;"*")</f>
        <v>0</v>
      </c>
      <c r="K73" s="10">
        <f>SUMIFS('PLAN BUDGET SAMI-JF'!AT13:AT100000,'PLAN BUDGET SAMI-JF'!D13:D100000,SUMMARY!D73,'PLAN BUDGET SAMI-JF'!J13:J100000,SUMMARY!A73&amp;"*")</f>
        <v>0</v>
      </c>
      <c r="L73" s="10">
        <f>SUMIFS('PLAN BUDGET SAMI-JF'!AU13:AU100000,'PLAN BUDGET SAMI-JF'!D13:D100000,SUMMARY!D73,'PLAN BUDGET SAMI-JF'!J13:J100000,SUMMARY!A73&amp;"*")</f>
        <v>0</v>
      </c>
      <c r="M73" s="10">
        <f>SUMIFS('PLAN BUDGET SAMI-JF'!AV13:AV100000,'PLAN BUDGET SAMI-JF'!D13:D100000,SUMMARY!D73,'PLAN BUDGET SAMI-JF'!J13:J100000,SUMMARY!A73&amp;"*")</f>
        <v>0</v>
      </c>
      <c r="N73" s="10">
        <f>SUMIFS('PLAN BUDGET SAMI-JF'!AW13:AW100000,'PLAN BUDGET SAMI-JF'!D13:D100000,SUMMARY!D73,'PLAN BUDGET SAMI-JF'!J13:J100000,SUMMARY!A73&amp;"*")</f>
        <v>0</v>
      </c>
      <c r="O73" s="10">
        <f>SUMIFS('PLAN BUDGET SAMI-JF'!AX13:AX100000,'PLAN BUDGET SAMI-JF'!D13:D100000,SUMMARY!D73,'PLAN BUDGET SAMI-JF'!J13:J100000,SUMMARY!A73&amp;"*")</f>
        <v>0</v>
      </c>
      <c r="P73" s="10">
        <f>SUMIFS('PLAN BUDGET SAMI-JF'!AY13:AY100000,'PLAN BUDGET SAMI-JF'!D13:D100000,SUMMARY!D73,'PLAN BUDGET SAMI-JF'!J13:J100000,SUMMARY!A73&amp;"*")</f>
        <v>0</v>
      </c>
      <c r="Q73" s="10">
        <f>SUMIFS('PLAN BUDGET SAMI-JF'!BC13:BC100000,'PLAN BUDGET SAMI-JF'!D13:D100000,SUMMARY!D73,'PLAN BUDGET SAMI-JF'!J13:J100000,SUMMARY!A73&amp;"*")</f>
        <v>0</v>
      </c>
      <c r="R73" s="10">
        <f>SUMIFS('PLAN BUDGET SAMI-JF'!BD13:BD100000,'PLAN BUDGET SAMI-JF'!D13:D100000,SUMMARY!D73,'PLAN BUDGET SAMI-JF'!J13:J100000,SUMMARY!A73&amp;"*")</f>
        <v>0</v>
      </c>
      <c r="S73" s="10">
        <f>SUMIFS('PLAN BUDGET SAMI-JF'!BE13:BE100000,'PLAN BUDGET SAMI-JF'!D13:D100000,SUMMARY!D73,'PLAN BUDGET SAMI-JF'!J13:J100000,SUMMARY!A73&amp;"*")</f>
        <v>0</v>
      </c>
      <c r="T73" s="10">
        <f>SUMIFS('PLAN BUDGET SAMI-JF'!BF13:BF100000,'PLAN BUDGET SAMI-JF'!D13:D100000,SUMMARY!D73,'PLAN BUDGET SAMI-JF'!J13:J100000,SUMMARY!A73&amp;"*")</f>
        <v>0</v>
      </c>
      <c r="U73" s="10">
        <f>SUMIFS('PLAN BUDGET SAMI-JF'!BG13:BG100000,'PLAN BUDGET SAMI-JF'!D13:D100000,SUMMARY!D73,'PLAN BUDGET SAMI-JF'!J13:J100000,SUMMARY!A73&amp;"*")</f>
        <v>0</v>
      </c>
      <c r="V73" s="10">
        <f>SUMIFS('PLAN BUDGET SAMI-JF'!BH13:BH100000,'PLAN BUDGET SAMI-JF'!D13:D100000,SUMMARY!D73,'PLAN BUDGET SAMI-JF'!J13:J100000,SUMMARY!A73&amp;"*")</f>
        <v>0</v>
      </c>
      <c r="W73" s="10">
        <f>SUMIFS('PLAN BUDGET SAMI-JF'!BI13:BI100000,'PLAN BUDGET SAMI-JF'!D13:D100000,SUMMARY!D73,'PLAN BUDGET SAMI-JF'!J13:J100000,SUMMARY!A73&amp;"*")</f>
        <v>0</v>
      </c>
      <c r="X73" s="10">
        <f>SUMIFS('PLAN BUDGET SAMI-JF'!BJ13:BJ100000,'PLAN BUDGET SAMI-JF'!D13:D100000,SUMMARY!D73,'PLAN BUDGET SAMI-JF'!J13:J100000,SUMMARY!A73&amp;"*")</f>
        <v>0</v>
      </c>
      <c r="Y73" s="10">
        <f>SUMIFS('PLAN BUDGET SAMI-JF'!BK13:BK100000,'PLAN BUDGET SAMI-JF'!D13:D100000,SUMMARY!D73,'PLAN BUDGET SAMI-JF'!J13:J100000,SUMMARY!A73&amp;"*")</f>
        <v>0</v>
      </c>
      <c r="Z73" s="10">
        <f>SUMIFS('PLAN BUDGET SAMI-JF'!BL13:BL100000,'PLAN BUDGET SAMI-JF'!D13:D100000,SUMMARY!D73,'PLAN BUDGET SAMI-JF'!J13:J100000,SUMMARY!A73&amp;"*")</f>
        <v>0</v>
      </c>
      <c r="AA73" s="10">
        <f>SUMIFS('PLAN BUDGET SAMI-JF'!BM13:BM100000,'PLAN BUDGET SAMI-JF'!D13:D100000,SUMMARY!D73,'PLAN BUDGET SAMI-JF'!J13:J100000,SUMMARY!A73&amp;"*")</f>
        <v>0</v>
      </c>
      <c r="AB73" s="10">
        <f>SUMIFS('PLAN BUDGET SAMI-JF'!BN13:BN100000,'PLAN BUDGET SAMI-JF'!D13:D100000,SUMMARY!D73,'PLAN BUDGET SAMI-JF'!J13:J100000,SUMMARY!A73&amp;"*")</f>
        <v>0</v>
      </c>
      <c r="AC73" s="10">
        <f t="shared" ref="AC73:AC87" si="8">SUM(E73:P73)</f>
        <v>0</v>
      </c>
      <c r="AD73" s="10">
        <f t="shared" ref="AD73:AD87" si="9">SUM(Q73:AB73)</f>
        <v>0</v>
      </c>
      <c r="AE73" s="16"/>
      <c r="AF73" s="10">
        <v>815</v>
      </c>
      <c r="AG73" s="10">
        <v>1005.7853227501</v>
      </c>
      <c r="AH73" s="20">
        <f t="shared" ref="AH73:AH87" si="10">IFERROR((AC73-AF73)/AF73,1)</f>
        <v>-1</v>
      </c>
      <c r="AI73" s="20">
        <f t="shared" ref="AI73:AI87" si="11">IFERROR((AD73-AG73)/AG73,1)</f>
        <v>-1</v>
      </c>
      <c r="AJ73" s="7" t="s">
        <v>201</v>
      </c>
    </row>
    <row r="74" spans="1:36" x14ac:dyDescent="0.35">
      <c r="A74" s="7" t="s">
        <v>47</v>
      </c>
      <c r="B74" s="7"/>
      <c r="C74" s="7"/>
      <c r="D74" s="7" t="s">
        <v>237</v>
      </c>
      <c r="E74" s="10">
        <f>SUMIFS('PLAN BUDGET SAMI-JF'!AN13:AN100000,'PLAN BUDGET SAMI-JF'!D13:D100000,SUMMARY!D74,'PLAN BUDGET SAMI-JF'!J13:J100000,SUMMARY!A74&amp;"*")</f>
        <v>0</v>
      </c>
      <c r="F74" s="10">
        <f>SUMIFS('PLAN BUDGET SAMI-JF'!AO13:AO100000,'PLAN BUDGET SAMI-JF'!D13:D100000,SUMMARY!D74,'PLAN BUDGET SAMI-JF'!J13:J100000,SUMMARY!A74&amp;"*")</f>
        <v>0</v>
      </c>
      <c r="G74" s="10">
        <f>SUMIFS('PLAN BUDGET SAMI-JF'!AP13:AP100000,'PLAN BUDGET SAMI-JF'!D13:D100000,SUMMARY!D74,'PLAN BUDGET SAMI-JF'!J13:J100000,SUMMARY!A74&amp;"*")</f>
        <v>0</v>
      </c>
      <c r="H74" s="10">
        <f>SUMIFS('PLAN BUDGET SAMI-JF'!AQ13:AQ100000,'PLAN BUDGET SAMI-JF'!D13:D100000,SUMMARY!D74,'PLAN BUDGET SAMI-JF'!J13:J100000,SUMMARY!A74&amp;"*")</f>
        <v>0</v>
      </c>
      <c r="I74" s="10">
        <f>SUMIFS('PLAN BUDGET SAMI-JF'!AR13:AR100000,'PLAN BUDGET SAMI-JF'!D13:D100000,SUMMARY!D74,'PLAN BUDGET SAMI-JF'!J13:J100000,SUMMARY!A74&amp;"*")</f>
        <v>0</v>
      </c>
      <c r="J74" s="10">
        <f>SUMIFS('PLAN BUDGET SAMI-JF'!AS13:AS100000,'PLAN BUDGET SAMI-JF'!D13:D100000,SUMMARY!D74,'PLAN BUDGET SAMI-JF'!J13:J100000,SUMMARY!A74&amp;"*")</f>
        <v>0</v>
      </c>
      <c r="K74" s="10">
        <f>SUMIFS('PLAN BUDGET SAMI-JF'!AT13:AT100000,'PLAN BUDGET SAMI-JF'!D13:D100000,SUMMARY!D74,'PLAN BUDGET SAMI-JF'!J13:J100000,SUMMARY!A74&amp;"*")</f>
        <v>0</v>
      </c>
      <c r="L74" s="10">
        <f>SUMIFS('PLAN BUDGET SAMI-JF'!AU13:AU100000,'PLAN BUDGET SAMI-JF'!D13:D100000,SUMMARY!D74,'PLAN BUDGET SAMI-JF'!J13:J100000,SUMMARY!A74&amp;"*")</f>
        <v>0</v>
      </c>
      <c r="M74" s="10">
        <f>SUMIFS('PLAN BUDGET SAMI-JF'!AV13:AV100000,'PLAN BUDGET SAMI-JF'!D13:D100000,SUMMARY!D74,'PLAN BUDGET SAMI-JF'!J13:J100000,SUMMARY!A74&amp;"*")</f>
        <v>0</v>
      </c>
      <c r="N74" s="10">
        <f>SUMIFS('PLAN BUDGET SAMI-JF'!AW13:AW100000,'PLAN BUDGET SAMI-JF'!D13:D100000,SUMMARY!D74,'PLAN BUDGET SAMI-JF'!J13:J100000,SUMMARY!A74&amp;"*")</f>
        <v>0</v>
      </c>
      <c r="O74" s="10">
        <f>SUMIFS('PLAN BUDGET SAMI-JF'!AX13:AX100000,'PLAN BUDGET SAMI-JF'!D13:D100000,SUMMARY!D74,'PLAN BUDGET SAMI-JF'!J13:J100000,SUMMARY!A74&amp;"*")</f>
        <v>0</v>
      </c>
      <c r="P74" s="10">
        <f>SUMIFS('PLAN BUDGET SAMI-JF'!AY13:AY100000,'PLAN BUDGET SAMI-JF'!D13:D100000,SUMMARY!D74,'PLAN BUDGET SAMI-JF'!J13:J100000,SUMMARY!A74&amp;"*")</f>
        <v>0</v>
      </c>
      <c r="Q74" s="10">
        <f>SUMIFS('PLAN BUDGET SAMI-JF'!BC13:BC100000,'PLAN BUDGET SAMI-JF'!D13:D100000,SUMMARY!D74,'PLAN BUDGET SAMI-JF'!J13:J100000,SUMMARY!A74&amp;"*")</f>
        <v>0</v>
      </c>
      <c r="R74" s="10">
        <f>SUMIFS('PLAN BUDGET SAMI-JF'!BD13:BD100000,'PLAN BUDGET SAMI-JF'!D13:D100000,SUMMARY!D74,'PLAN BUDGET SAMI-JF'!J13:J100000,SUMMARY!A74&amp;"*")</f>
        <v>0</v>
      </c>
      <c r="S74" s="10">
        <f>SUMIFS('PLAN BUDGET SAMI-JF'!BE13:BE100000,'PLAN BUDGET SAMI-JF'!D13:D100000,SUMMARY!D74,'PLAN BUDGET SAMI-JF'!J13:J100000,SUMMARY!A74&amp;"*")</f>
        <v>0</v>
      </c>
      <c r="T74" s="10">
        <f>SUMIFS('PLAN BUDGET SAMI-JF'!BF13:BF100000,'PLAN BUDGET SAMI-JF'!D13:D100000,SUMMARY!D74,'PLAN BUDGET SAMI-JF'!J13:J100000,SUMMARY!A74&amp;"*")</f>
        <v>0</v>
      </c>
      <c r="U74" s="10">
        <f>SUMIFS('PLAN BUDGET SAMI-JF'!BG13:BG100000,'PLAN BUDGET SAMI-JF'!D13:D100000,SUMMARY!D74,'PLAN BUDGET SAMI-JF'!J13:J100000,SUMMARY!A74&amp;"*")</f>
        <v>0</v>
      </c>
      <c r="V74" s="10">
        <f>SUMIFS('PLAN BUDGET SAMI-JF'!BH13:BH100000,'PLAN BUDGET SAMI-JF'!D13:D100000,SUMMARY!D74,'PLAN BUDGET SAMI-JF'!J13:J100000,SUMMARY!A74&amp;"*")</f>
        <v>0</v>
      </c>
      <c r="W74" s="10">
        <f>SUMIFS('PLAN BUDGET SAMI-JF'!BI13:BI100000,'PLAN BUDGET SAMI-JF'!D13:D100000,SUMMARY!D74,'PLAN BUDGET SAMI-JF'!J13:J100000,SUMMARY!A74&amp;"*")</f>
        <v>0</v>
      </c>
      <c r="X74" s="10">
        <f>SUMIFS('PLAN BUDGET SAMI-JF'!BJ13:BJ100000,'PLAN BUDGET SAMI-JF'!D13:D100000,SUMMARY!D74,'PLAN BUDGET SAMI-JF'!J13:J100000,SUMMARY!A74&amp;"*")</f>
        <v>0</v>
      </c>
      <c r="Y74" s="10">
        <f>SUMIFS('PLAN BUDGET SAMI-JF'!BK13:BK100000,'PLAN BUDGET SAMI-JF'!D13:D100000,SUMMARY!D74,'PLAN BUDGET SAMI-JF'!J13:J100000,SUMMARY!A74&amp;"*")</f>
        <v>0</v>
      </c>
      <c r="Z74" s="10">
        <f>SUMIFS('PLAN BUDGET SAMI-JF'!BL13:BL100000,'PLAN BUDGET SAMI-JF'!D13:D100000,SUMMARY!D74,'PLAN BUDGET SAMI-JF'!J13:J100000,SUMMARY!A74&amp;"*")</f>
        <v>0</v>
      </c>
      <c r="AA74" s="10">
        <f>SUMIFS('PLAN BUDGET SAMI-JF'!BM13:BM100000,'PLAN BUDGET SAMI-JF'!D13:D100000,SUMMARY!D74,'PLAN BUDGET SAMI-JF'!J13:J100000,SUMMARY!A74&amp;"*")</f>
        <v>0</v>
      </c>
      <c r="AB74" s="10">
        <f>SUMIFS('PLAN BUDGET SAMI-JF'!BN13:BN100000,'PLAN BUDGET SAMI-JF'!D13:D100000,SUMMARY!D74,'PLAN BUDGET SAMI-JF'!J13:J100000,SUMMARY!A74&amp;"*")</f>
        <v>0</v>
      </c>
      <c r="AC74" s="10">
        <f t="shared" si="8"/>
        <v>0</v>
      </c>
      <c r="AD74" s="10">
        <f t="shared" si="9"/>
        <v>0</v>
      </c>
      <c r="AE74" s="16"/>
      <c r="AF74" s="10">
        <v>2940</v>
      </c>
      <c r="AG74" s="10">
        <v>1860.9243857050999</v>
      </c>
      <c r="AH74" s="20">
        <f t="shared" si="10"/>
        <v>-1</v>
      </c>
      <c r="AI74" s="20">
        <f t="shared" si="11"/>
        <v>-1</v>
      </c>
      <c r="AJ74" s="7" t="s">
        <v>201</v>
      </c>
    </row>
    <row r="75" spans="1:36" x14ac:dyDescent="0.35">
      <c r="A75" s="7" t="s">
        <v>47</v>
      </c>
      <c r="B75" s="7"/>
      <c r="C75" s="7"/>
      <c r="D75" s="7" t="s">
        <v>238</v>
      </c>
      <c r="E75" s="10">
        <f>SUMIFS('PLAN BUDGET SAMI-JF'!AN13:AN100000,'PLAN BUDGET SAMI-JF'!D13:D100000,SUMMARY!D75,'PLAN BUDGET SAMI-JF'!J13:J100000,SUMMARY!A75&amp;"*")</f>
        <v>0</v>
      </c>
      <c r="F75" s="10">
        <f>SUMIFS('PLAN BUDGET SAMI-JF'!AO13:AO100000,'PLAN BUDGET SAMI-JF'!D13:D100000,SUMMARY!D75,'PLAN BUDGET SAMI-JF'!J13:J100000,SUMMARY!A75&amp;"*")</f>
        <v>0</v>
      </c>
      <c r="G75" s="10">
        <f>SUMIFS('PLAN BUDGET SAMI-JF'!AP13:AP100000,'PLAN BUDGET SAMI-JF'!D13:D100000,SUMMARY!D75,'PLAN BUDGET SAMI-JF'!J13:J100000,SUMMARY!A75&amp;"*")</f>
        <v>0</v>
      </c>
      <c r="H75" s="10">
        <f>SUMIFS('PLAN BUDGET SAMI-JF'!AQ13:AQ100000,'PLAN BUDGET SAMI-JF'!D13:D100000,SUMMARY!D75,'PLAN BUDGET SAMI-JF'!J13:J100000,SUMMARY!A75&amp;"*")</f>
        <v>0</v>
      </c>
      <c r="I75" s="10">
        <f>SUMIFS('PLAN BUDGET SAMI-JF'!AR13:AR100000,'PLAN BUDGET SAMI-JF'!D13:D100000,SUMMARY!D75,'PLAN BUDGET SAMI-JF'!J13:J100000,SUMMARY!A75&amp;"*")</f>
        <v>0</v>
      </c>
      <c r="J75" s="10">
        <f>SUMIFS('PLAN BUDGET SAMI-JF'!AS13:AS100000,'PLAN BUDGET SAMI-JF'!D13:D100000,SUMMARY!D75,'PLAN BUDGET SAMI-JF'!J13:J100000,SUMMARY!A75&amp;"*")</f>
        <v>0</v>
      </c>
      <c r="K75" s="10">
        <f>SUMIFS('PLAN BUDGET SAMI-JF'!AT13:AT100000,'PLAN BUDGET SAMI-JF'!D13:D100000,SUMMARY!D75,'PLAN BUDGET SAMI-JF'!J13:J100000,SUMMARY!A75&amp;"*")</f>
        <v>0</v>
      </c>
      <c r="L75" s="10">
        <f>SUMIFS('PLAN BUDGET SAMI-JF'!AU13:AU100000,'PLAN BUDGET SAMI-JF'!D13:D100000,SUMMARY!D75,'PLAN BUDGET SAMI-JF'!J13:J100000,SUMMARY!A75&amp;"*")</f>
        <v>0</v>
      </c>
      <c r="M75" s="10">
        <f>SUMIFS('PLAN BUDGET SAMI-JF'!AV13:AV100000,'PLAN BUDGET SAMI-JF'!D13:D100000,SUMMARY!D75,'PLAN BUDGET SAMI-JF'!J13:J100000,SUMMARY!A75&amp;"*")</f>
        <v>0</v>
      </c>
      <c r="N75" s="10">
        <f>SUMIFS('PLAN BUDGET SAMI-JF'!AW13:AW100000,'PLAN BUDGET SAMI-JF'!D13:D100000,SUMMARY!D75,'PLAN BUDGET SAMI-JF'!J13:J100000,SUMMARY!A75&amp;"*")</f>
        <v>0</v>
      </c>
      <c r="O75" s="10">
        <f>SUMIFS('PLAN BUDGET SAMI-JF'!AX13:AX100000,'PLAN BUDGET SAMI-JF'!D13:D100000,SUMMARY!D75,'PLAN BUDGET SAMI-JF'!J13:J100000,SUMMARY!A75&amp;"*")</f>
        <v>0</v>
      </c>
      <c r="P75" s="10">
        <f>SUMIFS('PLAN BUDGET SAMI-JF'!AY13:AY100000,'PLAN BUDGET SAMI-JF'!D13:D100000,SUMMARY!D75,'PLAN BUDGET SAMI-JF'!J13:J100000,SUMMARY!A75&amp;"*")</f>
        <v>0</v>
      </c>
      <c r="Q75" s="10">
        <f>SUMIFS('PLAN BUDGET SAMI-JF'!BC13:BC100000,'PLAN BUDGET SAMI-JF'!D13:D100000,SUMMARY!D75,'PLAN BUDGET SAMI-JF'!J13:J100000,SUMMARY!A75&amp;"*")</f>
        <v>0</v>
      </c>
      <c r="R75" s="10">
        <f>SUMIFS('PLAN BUDGET SAMI-JF'!BD13:BD100000,'PLAN BUDGET SAMI-JF'!D13:D100000,SUMMARY!D75,'PLAN BUDGET SAMI-JF'!J13:J100000,SUMMARY!A75&amp;"*")</f>
        <v>0</v>
      </c>
      <c r="S75" s="10">
        <f>SUMIFS('PLAN BUDGET SAMI-JF'!BE13:BE100000,'PLAN BUDGET SAMI-JF'!D13:D100000,SUMMARY!D75,'PLAN BUDGET SAMI-JF'!J13:J100000,SUMMARY!A75&amp;"*")</f>
        <v>0</v>
      </c>
      <c r="T75" s="10">
        <f>SUMIFS('PLAN BUDGET SAMI-JF'!BF13:BF100000,'PLAN BUDGET SAMI-JF'!D13:D100000,SUMMARY!D75,'PLAN BUDGET SAMI-JF'!J13:J100000,SUMMARY!A75&amp;"*")</f>
        <v>0</v>
      </c>
      <c r="U75" s="10">
        <f>SUMIFS('PLAN BUDGET SAMI-JF'!BG13:BG100000,'PLAN BUDGET SAMI-JF'!D13:D100000,SUMMARY!D75,'PLAN BUDGET SAMI-JF'!J13:J100000,SUMMARY!A75&amp;"*")</f>
        <v>0</v>
      </c>
      <c r="V75" s="10">
        <f>SUMIFS('PLAN BUDGET SAMI-JF'!BH13:BH100000,'PLAN BUDGET SAMI-JF'!D13:D100000,SUMMARY!D75,'PLAN BUDGET SAMI-JF'!J13:J100000,SUMMARY!A75&amp;"*")</f>
        <v>0</v>
      </c>
      <c r="W75" s="10">
        <f>SUMIFS('PLAN BUDGET SAMI-JF'!BI13:BI100000,'PLAN BUDGET SAMI-JF'!D13:D100000,SUMMARY!D75,'PLAN BUDGET SAMI-JF'!J13:J100000,SUMMARY!A75&amp;"*")</f>
        <v>0</v>
      </c>
      <c r="X75" s="10">
        <f>SUMIFS('PLAN BUDGET SAMI-JF'!BJ13:BJ100000,'PLAN BUDGET SAMI-JF'!D13:D100000,SUMMARY!D75,'PLAN BUDGET SAMI-JF'!J13:J100000,SUMMARY!A75&amp;"*")</f>
        <v>0</v>
      </c>
      <c r="Y75" s="10">
        <f>SUMIFS('PLAN BUDGET SAMI-JF'!BK13:BK100000,'PLAN BUDGET SAMI-JF'!D13:D100000,SUMMARY!D75,'PLAN BUDGET SAMI-JF'!J13:J100000,SUMMARY!A75&amp;"*")</f>
        <v>0</v>
      </c>
      <c r="Z75" s="10">
        <f>SUMIFS('PLAN BUDGET SAMI-JF'!BL13:BL100000,'PLAN BUDGET SAMI-JF'!D13:D100000,SUMMARY!D75,'PLAN BUDGET SAMI-JF'!J13:J100000,SUMMARY!A75&amp;"*")</f>
        <v>0</v>
      </c>
      <c r="AA75" s="10">
        <f>SUMIFS('PLAN BUDGET SAMI-JF'!BM13:BM100000,'PLAN BUDGET SAMI-JF'!D13:D100000,SUMMARY!D75,'PLAN BUDGET SAMI-JF'!J13:J100000,SUMMARY!A75&amp;"*")</f>
        <v>0</v>
      </c>
      <c r="AB75" s="10">
        <f>SUMIFS('PLAN BUDGET SAMI-JF'!BN13:BN100000,'PLAN BUDGET SAMI-JF'!D13:D100000,SUMMARY!D75,'PLAN BUDGET SAMI-JF'!J13:J100000,SUMMARY!A75&amp;"*")</f>
        <v>0</v>
      </c>
      <c r="AC75" s="10">
        <f t="shared" si="8"/>
        <v>0</v>
      </c>
      <c r="AD75" s="10">
        <f t="shared" si="9"/>
        <v>0</v>
      </c>
      <c r="AE75" s="16"/>
      <c r="AF75" s="10">
        <v>9</v>
      </c>
      <c r="AG75" s="10">
        <v>227.86829212715</v>
      </c>
      <c r="AH75" s="20">
        <f t="shared" si="10"/>
        <v>-1</v>
      </c>
      <c r="AI75" s="20">
        <f t="shared" si="11"/>
        <v>-1</v>
      </c>
      <c r="AJ75" s="7" t="s">
        <v>201</v>
      </c>
    </row>
    <row r="76" spans="1:36" x14ac:dyDescent="0.35">
      <c r="A76" s="7" t="s">
        <v>47</v>
      </c>
      <c r="B76" s="7"/>
      <c r="C76" s="7"/>
      <c r="D76" s="7" t="s">
        <v>239</v>
      </c>
      <c r="E76" s="10">
        <f>SUMIFS('PLAN BUDGET SAMI-JF'!AN13:AN100000,'PLAN BUDGET SAMI-JF'!D13:D100000,SUMMARY!D76,'PLAN BUDGET SAMI-JF'!J13:J100000,SUMMARY!A76&amp;"*")</f>
        <v>0</v>
      </c>
      <c r="F76" s="10">
        <f>SUMIFS('PLAN BUDGET SAMI-JF'!AO13:AO100000,'PLAN BUDGET SAMI-JF'!D13:D100000,SUMMARY!D76,'PLAN BUDGET SAMI-JF'!J13:J100000,SUMMARY!A76&amp;"*")</f>
        <v>0</v>
      </c>
      <c r="G76" s="10">
        <f>SUMIFS('PLAN BUDGET SAMI-JF'!AP13:AP100000,'PLAN BUDGET SAMI-JF'!D13:D100000,SUMMARY!D76,'PLAN BUDGET SAMI-JF'!J13:J100000,SUMMARY!A76&amp;"*")</f>
        <v>0</v>
      </c>
      <c r="H76" s="10">
        <f>SUMIFS('PLAN BUDGET SAMI-JF'!AQ13:AQ100000,'PLAN BUDGET SAMI-JF'!D13:D100000,SUMMARY!D76,'PLAN BUDGET SAMI-JF'!J13:J100000,SUMMARY!A76&amp;"*")</f>
        <v>0</v>
      </c>
      <c r="I76" s="10">
        <f>SUMIFS('PLAN BUDGET SAMI-JF'!AR13:AR100000,'PLAN BUDGET SAMI-JF'!D13:D100000,SUMMARY!D76,'PLAN BUDGET SAMI-JF'!J13:J100000,SUMMARY!A76&amp;"*")</f>
        <v>0</v>
      </c>
      <c r="J76" s="10">
        <f>SUMIFS('PLAN BUDGET SAMI-JF'!AS13:AS100000,'PLAN BUDGET SAMI-JF'!D13:D100000,SUMMARY!D76,'PLAN BUDGET SAMI-JF'!J13:J100000,SUMMARY!A76&amp;"*")</f>
        <v>0</v>
      </c>
      <c r="K76" s="10">
        <f>SUMIFS('PLAN BUDGET SAMI-JF'!AT13:AT100000,'PLAN BUDGET SAMI-JF'!D13:D100000,SUMMARY!D76,'PLAN BUDGET SAMI-JF'!J13:J100000,SUMMARY!A76&amp;"*")</f>
        <v>0</v>
      </c>
      <c r="L76" s="10">
        <f>SUMIFS('PLAN BUDGET SAMI-JF'!AU13:AU100000,'PLAN BUDGET SAMI-JF'!D13:D100000,SUMMARY!D76,'PLAN BUDGET SAMI-JF'!J13:J100000,SUMMARY!A76&amp;"*")</f>
        <v>0</v>
      </c>
      <c r="M76" s="10">
        <f>SUMIFS('PLAN BUDGET SAMI-JF'!AV13:AV100000,'PLAN BUDGET SAMI-JF'!D13:D100000,SUMMARY!D76,'PLAN BUDGET SAMI-JF'!J13:J100000,SUMMARY!A76&amp;"*")</f>
        <v>0</v>
      </c>
      <c r="N76" s="10">
        <f>SUMIFS('PLAN BUDGET SAMI-JF'!AW13:AW100000,'PLAN BUDGET SAMI-JF'!D13:D100000,SUMMARY!D76,'PLAN BUDGET SAMI-JF'!J13:J100000,SUMMARY!A76&amp;"*")</f>
        <v>0</v>
      </c>
      <c r="O76" s="10">
        <f>SUMIFS('PLAN BUDGET SAMI-JF'!AX13:AX100000,'PLAN BUDGET SAMI-JF'!D13:D100000,SUMMARY!D76,'PLAN BUDGET SAMI-JF'!J13:J100000,SUMMARY!A76&amp;"*")</f>
        <v>0</v>
      </c>
      <c r="P76" s="10">
        <f>SUMIFS('PLAN BUDGET SAMI-JF'!AY13:AY100000,'PLAN BUDGET SAMI-JF'!D13:D100000,SUMMARY!D76,'PLAN BUDGET SAMI-JF'!J13:J100000,SUMMARY!A76&amp;"*")</f>
        <v>0</v>
      </c>
      <c r="Q76" s="10">
        <f>SUMIFS('PLAN BUDGET SAMI-JF'!BC13:BC100000,'PLAN BUDGET SAMI-JF'!D13:D100000,SUMMARY!D76,'PLAN BUDGET SAMI-JF'!J13:J100000,SUMMARY!A76&amp;"*")</f>
        <v>0</v>
      </c>
      <c r="R76" s="10">
        <f>SUMIFS('PLAN BUDGET SAMI-JF'!BD13:BD100000,'PLAN BUDGET SAMI-JF'!D13:D100000,SUMMARY!D76,'PLAN BUDGET SAMI-JF'!J13:J100000,SUMMARY!A76&amp;"*")</f>
        <v>0</v>
      </c>
      <c r="S76" s="10">
        <f>SUMIFS('PLAN BUDGET SAMI-JF'!BE13:BE100000,'PLAN BUDGET SAMI-JF'!D13:D100000,SUMMARY!D76,'PLAN BUDGET SAMI-JF'!J13:J100000,SUMMARY!A76&amp;"*")</f>
        <v>0</v>
      </c>
      <c r="T76" s="10">
        <f>SUMIFS('PLAN BUDGET SAMI-JF'!BF13:BF100000,'PLAN BUDGET SAMI-JF'!D13:D100000,SUMMARY!D76,'PLAN BUDGET SAMI-JF'!J13:J100000,SUMMARY!A76&amp;"*")</f>
        <v>0</v>
      </c>
      <c r="U76" s="10">
        <f>SUMIFS('PLAN BUDGET SAMI-JF'!BG13:BG100000,'PLAN BUDGET SAMI-JF'!D13:D100000,SUMMARY!D76,'PLAN BUDGET SAMI-JF'!J13:J100000,SUMMARY!A76&amp;"*")</f>
        <v>0</v>
      </c>
      <c r="V76" s="10">
        <f>SUMIFS('PLAN BUDGET SAMI-JF'!BH13:BH100000,'PLAN BUDGET SAMI-JF'!D13:D100000,SUMMARY!D76,'PLAN BUDGET SAMI-JF'!J13:J100000,SUMMARY!A76&amp;"*")</f>
        <v>0</v>
      </c>
      <c r="W76" s="10">
        <f>SUMIFS('PLAN BUDGET SAMI-JF'!BI13:BI100000,'PLAN BUDGET SAMI-JF'!D13:D100000,SUMMARY!D76,'PLAN BUDGET SAMI-JF'!J13:J100000,SUMMARY!A76&amp;"*")</f>
        <v>0</v>
      </c>
      <c r="X76" s="10">
        <f>SUMIFS('PLAN BUDGET SAMI-JF'!BJ13:BJ100000,'PLAN BUDGET SAMI-JF'!D13:D100000,SUMMARY!D76,'PLAN BUDGET SAMI-JF'!J13:J100000,SUMMARY!A76&amp;"*")</f>
        <v>0</v>
      </c>
      <c r="Y76" s="10">
        <f>SUMIFS('PLAN BUDGET SAMI-JF'!BK13:BK100000,'PLAN BUDGET SAMI-JF'!D13:D100000,SUMMARY!D76,'PLAN BUDGET SAMI-JF'!J13:J100000,SUMMARY!A76&amp;"*")</f>
        <v>0</v>
      </c>
      <c r="Z76" s="10">
        <f>SUMIFS('PLAN BUDGET SAMI-JF'!BL13:BL100000,'PLAN BUDGET SAMI-JF'!D13:D100000,SUMMARY!D76,'PLAN BUDGET SAMI-JF'!J13:J100000,SUMMARY!A76&amp;"*")</f>
        <v>0</v>
      </c>
      <c r="AA76" s="10">
        <f>SUMIFS('PLAN BUDGET SAMI-JF'!BM13:BM100000,'PLAN BUDGET SAMI-JF'!D13:D100000,SUMMARY!D76,'PLAN BUDGET SAMI-JF'!J13:J100000,SUMMARY!A76&amp;"*")</f>
        <v>0</v>
      </c>
      <c r="AB76" s="10">
        <f>SUMIFS('PLAN BUDGET SAMI-JF'!BN13:BN100000,'PLAN BUDGET SAMI-JF'!D13:D100000,SUMMARY!D76,'PLAN BUDGET SAMI-JF'!J13:J100000,SUMMARY!A76&amp;"*")</f>
        <v>0</v>
      </c>
      <c r="AC76" s="10">
        <f t="shared" si="8"/>
        <v>0</v>
      </c>
      <c r="AD76" s="10">
        <f t="shared" si="9"/>
        <v>0</v>
      </c>
      <c r="AE76" s="16"/>
      <c r="AF76" s="10">
        <v>15</v>
      </c>
      <c r="AG76" s="10">
        <v>47.472560859822998</v>
      </c>
      <c r="AH76" s="20">
        <f t="shared" si="10"/>
        <v>-1</v>
      </c>
      <c r="AI76" s="20">
        <f t="shared" si="11"/>
        <v>-1</v>
      </c>
      <c r="AJ76" s="7" t="s">
        <v>201</v>
      </c>
    </row>
    <row r="77" spans="1:36" x14ac:dyDescent="0.35">
      <c r="A77" s="7" t="s">
        <v>47</v>
      </c>
      <c r="B77" s="7"/>
      <c r="C77" s="7"/>
      <c r="D77" s="7" t="s">
        <v>240</v>
      </c>
      <c r="E77" s="10">
        <f>SUMIFS('PLAN BUDGET SAMI-JF'!AN13:AN100000,'PLAN BUDGET SAMI-JF'!D13:D100000,SUMMARY!D77,'PLAN BUDGET SAMI-JF'!J13:J100000,SUMMARY!A77&amp;"*")</f>
        <v>0</v>
      </c>
      <c r="F77" s="10">
        <f>SUMIFS('PLAN BUDGET SAMI-JF'!AO13:AO100000,'PLAN BUDGET SAMI-JF'!D13:D100000,SUMMARY!D77,'PLAN BUDGET SAMI-JF'!J13:J100000,SUMMARY!A77&amp;"*")</f>
        <v>0</v>
      </c>
      <c r="G77" s="10">
        <f>SUMIFS('PLAN BUDGET SAMI-JF'!AP13:AP100000,'PLAN BUDGET SAMI-JF'!D13:D100000,SUMMARY!D77,'PLAN BUDGET SAMI-JF'!J13:J100000,SUMMARY!A77&amp;"*")</f>
        <v>0</v>
      </c>
      <c r="H77" s="10">
        <f>SUMIFS('PLAN BUDGET SAMI-JF'!AQ13:AQ100000,'PLAN BUDGET SAMI-JF'!D13:D100000,SUMMARY!D77,'PLAN BUDGET SAMI-JF'!J13:J100000,SUMMARY!A77&amp;"*")</f>
        <v>0</v>
      </c>
      <c r="I77" s="10">
        <f>SUMIFS('PLAN BUDGET SAMI-JF'!AR13:AR100000,'PLAN BUDGET SAMI-JF'!D13:D100000,SUMMARY!D77,'PLAN BUDGET SAMI-JF'!J13:J100000,SUMMARY!A77&amp;"*")</f>
        <v>0</v>
      </c>
      <c r="J77" s="10">
        <f>SUMIFS('PLAN BUDGET SAMI-JF'!AS13:AS100000,'PLAN BUDGET SAMI-JF'!D13:D100000,SUMMARY!D77,'PLAN BUDGET SAMI-JF'!J13:J100000,SUMMARY!A77&amp;"*")</f>
        <v>0</v>
      </c>
      <c r="K77" s="10">
        <f>SUMIFS('PLAN BUDGET SAMI-JF'!AT13:AT100000,'PLAN BUDGET SAMI-JF'!D13:D100000,SUMMARY!D77,'PLAN BUDGET SAMI-JF'!J13:J100000,SUMMARY!A77&amp;"*")</f>
        <v>0</v>
      </c>
      <c r="L77" s="10">
        <f>SUMIFS('PLAN BUDGET SAMI-JF'!AU13:AU100000,'PLAN BUDGET SAMI-JF'!D13:D100000,SUMMARY!D77,'PLAN BUDGET SAMI-JF'!J13:J100000,SUMMARY!A77&amp;"*")</f>
        <v>0</v>
      </c>
      <c r="M77" s="10">
        <f>SUMIFS('PLAN BUDGET SAMI-JF'!AV13:AV100000,'PLAN BUDGET SAMI-JF'!D13:D100000,SUMMARY!D77,'PLAN BUDGET SAMI-JF'!J13:J100000,SUMMARY!A77&amp;"*")</f>
        <v>0</v>
      </c>
      <c r="N77" s="10">
        <f>SUMIFS('PLAN BUDGET SAMI-JF'!AW13:AW100000,'PLAN BUDGET SAMI-JF'!D13:D100000,SUMMARY!D77,'PLAN BUDGET SAMI-JF'!J13:J100000,SUMMARY!A77&amp;"*")</f>
        <v>0</v>
      </c>
      <c r="O77" s="10">
        <f>SUMIFS('PLAN BUDGET SAMI-JF'!AX13:AX100000,'PLAN BUDGET SAMI-JF'!D13:D100000,SUMMARY!D77,'PLAN BUDGET SAMI-JF'!J13:J100000,SUMMARY!A77&amp;"*")</f>
        <v>0</v>
      </c>
      <c r="P77" s="10">
        <f>SUMIFS('PLAN BUDGET SAMI-JF'!AY13:AY100000,'PLAN BUDGET SAMI-JF'!D13:D100000,SUMMARY!D77,'PLAN BUDGET SAMI-JF'!J13:J100000,SUMMARY!A77&amp;"*")</f>
        <v>0</v>
      </c>
      <c r="Q77" s="10">
        <f>SUMIFS('PLAN BUDGET SAMI-JF'!BC13:BC100000,'PLAN BUDGET SAMI-JF'!D13:D100000,SUMMARY!D77,'PLAN BUDGET SAMI-JF'!J13:J100000,SUMMARY!A77&amp;"*")</f>
        <v>0</v>
      </c>
      <c r="R77" s="10">
        <f>SUMIFS('PLAN BUDGET SAMI-JF'!BD13:BD100000,'PLAN BUDGET SAMI-JF'!D13:D100000,SUMMARY!D77,'PLAN BUDGET SAMI-JF'!J13:J100000,SUMMARY!A77&amp;"*")</f>
        <v>0</v>
      </c>
      <c r="S77" s="10">
        <f>SUMIFS('PLAN BUDGET SAMI-JF'!BE13:BE100000,'PLAN BUDGET SAMI-JF'!D13:D100000,SUMMARY!D77,'PLAN BUDGET SAMI-JF'!J13:J100000,SUMMARY!A77&amp;"*")</f>
        <v>0</v>
      </c>
      <c r="T77" s="10">
        <f>SUMIFS('PLAN BUDGET SAMI-JF'!BF13:BF100000,'PLAN BUDGET SAMI-JF'!D13:D100000,SUMMARY!D77,'PLAN BUDGET SAMI-JF'!J13:J100000,SUMMARY!A77&amp;"*")</f>
        <v>0</v>
      </c>
      <c r="U77" s="10">
        <f>SUMIFS('PLAN BUDGET SAMI-JF'!BG13:BG100000,'PLAN BUDGET SAMI-JF'!D13:D100000,SUMMARY!D77,'PLAN BUDGET SAMI-JF'!J13:J100000,SUMMARY!A77&amp;"*")</f>
        <v>0</v>
      </c>
      <c r="V77" s="10">
        <f>SUMIFS('PLAN BUDGET SAMI-JF'!BH13:BH100000,'PLAN BUDGET SAMI-JF'!D13:D100000,SUMMARY!D77,'PLAN BUDGET SAMI-JF'!J13:J100000,SUMMARY!A77&amp;"*")</f>
        <v>0</v>
      </c>
      <c r="W77" s="10">
        <f>SUMIFS('PLAN BUDGET SAMI-JF'!BI13:BI100000,'PLAN BUDGET SAMI-JF'!D13:D100000,SUMMARY!D77,'PLAN BUDGET SAMI-JF'!J13:J100000,SUMMARY!A77&amp;"*")</f>
        <v>0</v>
      </c>
      <c r="X77" s="10">
        <f>SUMIFS('PLAN BUDGET SAMI-JF'!BJ13:BJ100000,'PLAN BUDGET SAMI-JF'!D13:D100000,SUMMARY!D77,'PLAN BUDGET SAMI-JF'!J13:J100000,SUMMARY!A77&amp;"*")</f>
        <v>0</v>
      </c>
      <c r="Y77" s="10">
        <f>SUMIFS('PLAN BUDGET SAMI-JF'!BK13:BK100000,'PLAN BUDGET SAMI-JF'!D13:D100000,SUMMARY!D77,'PLAN BUDGET SAMI-JF'!J13:J100000,SUMMARY!A77&amp;"*")</f>
        <v>0</v>
      </c>
      <c r="Z77" s="10">
        <f>SUMIFS('PLAN BUDGET SAMI-JF'!BL13:BL100000,'PLAN BUDGET SAMI-JF'!D13:D100000,SUMMARY!D77,'PLAN BUDGET SAMI-JF'!J13:J100000,SUMMARY!A77&amp;"*")</f>
        <v>0</v>
      </c>
      <c r="AA77" s="10">
        <f>SUMIFS('PLAN BUDGET SAMI-JF'!BM13:BM100000,'PLAN BUDGET SAMI-JF'!D13:D100000,SUMMARY!D77,'PLAN BUDGET SAMI-JF'!J13:J100000,SUMMARY!A77&amp;"*")</f>
        <v>0</v>
      </c>
      <c r="AB77" s="10">
        <f>SUMIFS('PLAN BUDGET SAMI-JF'!BN13:BN100000,'PLAN BUDGET SAMI-JF'!D13:D100000,SUMMARY!D77,'PLAN BUDGET SAMI-JF'!J13:J100000,SUMMARY!A77&amp;"*")</f>
        <v>0</v>
      </c>
      <c r="AC77" s="10">
        <f t="shared" si="8"/>
        <v>0</v>
      </c>
      <c r="AD77" s="10">
        <f t="shared" si="9"/>
        <v>0</v>
      </c>
      <c r="AE77" s="16"/>
      <c r="AF77" s="10">
        <v>164</v>
      </c>
      <c r="AG77" s="10">
        <v>1556.4670287240999</v>
      </c>
      <c r="AH77" s="20">
        <f t="shared" si="10"/>
        <v>-1</v>
      </c>
      <c r="AI77" s="20">
        <f t="shared" si="11"/>
        <v>-1</v>
      </c>
      <c r="AJ77" s="7" t="s">
        <v>201</v>
      </c>
    </row>
    <row r="78" spans="1:36" x14ac:dyDescent="0.35">
      <c r="A78" s="7" t="s">
        <v>47</v>
      </c>
      <c r="B78" s="7"/>
      <c r="C78" s="7"/>
      <c r="D78" s="7" t="s">
        <v>153</v>
      </c>
      <c r="E78" s="10">
        <f>SUMIFS('PLAN BUDGET SAMI-JF'!AN13:AN100000,'PLAN BUDGET SAMI-JF'!D13:D100000,SUMMARY!D78,'PLAN BUDGET SAMI-JF'!J13:J100000,SUMMARY!A78&amp;"*")</f>
        <v>0</v>
      </c>
      <c r="F78" s="10">
        <f>SUMIFS('PLAN BUDGET SAMI-JF'!AO13:AO100000,'PLAN BUDGET SAMI-JF'!D13:D100000,SUMMARY!D78,'PLAN BUDGET SAMI-JF'!J13:J100000,SUMMARY!A78&amp;"*")</f>
        <v>0</v>
      </c>
      <c r="G78" s="10">
        <f>SUMIFS('PLAN BUDGET SAMI-JF'!AP13:AP100000,'PLAN BUDGET SAMI-JF'!D13:D100000,SUMMARY!D78,'PLAN BUDGET SAMI-JF'!J13:J100000,SUMMARY!A78&amp;"*")</f>
        <v>0</v>
      </c>
      <c r="H78" s="10">
        <f>SUMIFS('PLAN BUDGET SAMI-JF'!AQ13:AQ100000,'PLAN BUDGET SAMI-JF'!D13:D100000,SUMMARY!D78,'PLAN BUDGET SAMI-JF'!J13:J100000,SUMMARY!A78&amp;"*")</f>
        <v>0</v>
      </c>
      <c r="I78" s="10">
        <f>SUMIFS('PLAN BUDGET SAMI-JF'!AR13:AR100000,'PLAN BUDGET SAMI-JF'!D13:D100000,SUMMARY!D78,'PLAN BUDGET SAMI-JF'!J13:J100000,SUMMARY!A78&amp;"*")</f>
        <v>0</v>
      </c>
      <c r="J78" s="10">
        <f>SUMIFS('PLAN BUDGET SAMI-JF'!AS13:AS100000,'PLAN BUDGET SAMI-JF'!D13:D100000,SUMMARY!D78,'PLAN BUDGET SAMI-JF'!J13:J100000,SUMMARY!A78&amp;"*")</f>
        <v>0</v>
      </c>
      <c r="K78" s="10">
        <f>SUMIFS('PLAN BUDGET SAMI-JF'!AT13:AT100000,'PLAN BUDGET SAMI-JF'!D13:D100000,SUMMARY!D78,'PLAN BUDGET SAMI-JF'!J13:J100000,SUMMARY!A78&amp;"*")</f>
        <v>0</v>
      </c>
      <c r="L78" s="10">
        <f>SUMIFS('PLAN BUDGET SAMI-JF'!AU13:AU100000,'PLAN BUDGET SAMI-JF'!D13:D100000,SUMMARY!D78,'PLAN BUDGET SAMI-JF'!J13:J100000,SUMMARY!A78&amp;"*")</f>
        <v>0</v>
      </c>
      <c r="M78" s="10">
        <f>SUMIFS('PLAN BUDGET SAMI-JF'!AV13:AV100000,'PLAN BUDGET SAMI-JF'!D13:D100000,SUMMARY!D78,'PLAN BUDGET SAMI-JF'!J13:J100000,SUMMARY!A78&amp;"*")</f>
        <v>0</v>
      </c>
      <c r="N78" s="10">
        <f>SUMIFS('PLAN BUDGET SAMI-JF'!AW13:AW100000,'PLAN BUDGET SAMI-JF'!D13:D100000,SUMMARY!D78,'PLAN BUDGET SAMI-JF'!J13:J100000,SUMMARY!A78&amp;"*")</f>
        <v>0</v>
      </c>
      <c r="O78" s="10">
        <f>SUMIFS('PLAN BUDGET SAMI-JF'!AX13:AX100000,'PLAN BUDGET SAMI-JF'!D13:D100000,SUMMARY!D78,'PLAN BUDGET SAMI-JF'!J13:J100000,SUMMARY!A78&amp;"*")</f>
        <v>0</v>
      </c>
      <c r="P78" s="10">
        <f>SUMIFS('PLAN BUDGET SAMI-JF'!AY13:AY100000,'PLAN BUDGET SAMI-JF'!D13:D100000,SUMMARY!D78,'PLAN BUDGET SAMI-JF'!J13:J100000,SUMMARY!A78&amp;"*")</f>
        <v>0</v>
      </c>
      <c r="Q78" s="10">
        <f>SUMIFS('PLAN BUDGET SAMI-JF'!BC13:BC100000,'PLAN BUDGET SAMI-JF'!D13:D100000,SUMMARY!D78,'PLAN BUDGET SAMI-JF'!J13:J100000,SUMMARY!A78&amp;"*")</f>
        <v>0</v>
      </c>
      <c r="R78" s="10">
        <f>SUMIFS('PLAN BUDGET SAMI-JF'!BD13:BD100000,'PLAN BUDGET SAMI-JF'!D13:D100000,SUMMARY!D78,'PLAN BUDGET SAMI-JF'!J13:J100000,SUMMARY!A78&amp;"*")</f>
        <v>0</v>
      </c>
      <c r="S78" s="10">
        <f>SUMIFS('PLAN BUDGET SAMI-JF'!BE13:BE100000,'PLAN BUDGET SAMI-JF'!D13:D100000,SUMMARY!D78,'PLAN BUDGET SAMI-JF'!J13:J100000,SUMMARY!A78&amp;"*")</f>
        <v>0</v>
      </c>
      <c r="T78" s="10">
        <f>SUMIFS('PLAN BUDGET SAMI-JF'!BF13:BF100000,'PLAN BUDGET SAMI-JF'!D13:D100000,SUMMARY!D78,'PLAN BUDGET SAMI-JF'!J13:J100000,SUMMARY!A78&amp;"*")</f>
        <v>0</v>
      </c>
      <c r="U78" s="10">
        <f>SUMIFS('PLAN BUDGET SAMI-JF'!BG13:BG100000,'PLAN BUDGET SAMI-JF'!D13:D100000,SUMMARY!D78,'PLAN BUDGET SAMI-JF'!J13:J100000,SUMMARY!A78&amp;"*")</f>
        <v>0</v>
      </c>
      <c r="V78" s="10">
        <f>SUMIFS('PLAN BUDGET SAMI-JF'!BH13:BH100000,'PLAN BUDGET SAMI-JF'!D13:D100000,SUMMARY!D78,'PLAN BUDGET SAMI-JF'!J13:J100000,SUMMARY!A78&amp;"*")</f>
        <v>0</v>
      </c>
      <c r="W78" s="10">
        <f>SUMIFS('PLAN BUDGET SAMI-JF'!BI13:BI100000,'PLAN BUDGET SAMI-JF'!D13:D100000,SUMMARY!D78,'PLAN BUDGET SAMI-JF'!J13:J100000,SUMMARY!A78&amp;"*")</f>
        <v>0</v>
      </c>
      <c r="X78" s="10">
        <f>SUMIFS('PLAN BUDGET SAMI-JF'!BJ13:BJ100000,'PLAN BUDGET SAMI-JF'!D13:D100000,SUMMARY!D78,'PLAN BUDGET SAMI-JF'!J13:J100000,SUMMARY!A78&amp;"*")</f>
        <v>0</v>
      </c>
      <c r="Y78" s="10">
        <f>SUMIFS('PLAN BUDGET SAMI-JF'!BK13:BK100000,'PLAN BUDGET SAMI-JF'!D13:D100000,SUMMARY!D78,'PLAN BUDGET SAMI-JF'!J13:J100000,SUMMARY!A78&amp;"*")</f>
        <v>0</v>
      </c>
      <c r="Z78" s="10">
        <f>SUMIFS('PLAN BUDGET SAMI-JF'!BL13:BL100000,'PLAN BUDGET SAMI-JF'!D13:D100000,SUMMARY!D78,'PLAN BUDGET SAMI-JF'!J13:J100000,SUMMARY!A78&amp;"*")</f>
        <v>0</v>
      </c>
      <c r="AA78" s="10">
        <f>SUMIFS('PLAN BUDGET SAMI-JF'!BM13:BM100000,'PLAN BUDGET SAMI-JF'!D13:D100000,SUMMARY!D78,'PLAN BUDGET SAMI-JF'!J13:J100000,SUMMARY!A78&amp;"*")</f>
        <v>0</v>
      </c>
      <c r="AB78" s="10">
        <f>SUMIFS('PLAN BUDGET SAMI-JF'!BN13:BN100000,'PLAN BUDGET SAMI-JF'!D13:D100000,SUMMARY!D78,'PLAN BUDGET SAMI-JF'!J13:J100000,SUMMARY!A78&amp;"*")</f>
        <v>0</v>
      </c>
      <c r="AC78" s="10">
        <f t="shared" si="8"/>
        <v>0</v>
      </c>
      <c r="AD78" s="10">
        <f t="shared" si="9"/>
        <v>0</v>
      </c>
      <c r="AE78" s="16"/>
      <c r="AF78" s="10">
        <v>612</v>
      </c>
      <c r="AG78" s="10">
        <v>1014.9253731343</v>
      </c>
      <c r="AH78" s="20">
        <f t="shared" si="10"/>
        <v>-1</v>
      </c>
      <c r="AI78" s="20">
        <f t="shared" si="11"/>
        <v>-1</v>
      </c>
      <c r="AJ78" s="7" t="s">
        <v>201</v>
      </c>
    </row>
    <row r="79" spans="1:36" x14ac:dyDescent="0.35">
      <c r="A79" s="7" t="s">
        <v>47</v>
      </c>
      <c r="B79" s="7"/>
      <c r="C79" s="7"/>
      <c r="D79" s="7" t="s">
        <v>241</v>
      </c>
      <c r="E79" s="10">
        <f>SUMIFS('PLAN BUDGET SAMI-JF'!AN13:AN100000,'PLAN BUDGET SAMI-JF'!D13:D100000,SUMMARY!D79,'PLAN BUDGET SAMI-JF'!J13:J100000,SUMMARY!A79&amp;"*")</f>
        <v>0</v>
      </c>
      <c r="F79" s="10">
        <f>SUMIFS('PLAN BUDGET SAMI-JF'!AO13:AO100000,'PLAN BUDGET SAMI-JF'!D13:D100000,SUMMARY!D79,'PLAN BUDGET SAMI-JF'!J13:J100000,SUMMARY!A79&amp;"*")</f>
        <v>0</v>
      </c>
      <c r="G79" s="10">
        <f>SUMIFS('PLAN BUDGET SAMI-JF'!AP13:AP100000,'PLAN BUDGET SAMI-JF'!D13:D100000,SUMMARY!D79,'PLAN BUDGET SAMI-JF'!J13:J100000,SUMMARY!A79&amp;"*")</f>
        <v>0</v>
      </c>
      <c r="H79" s="10">
        <f>SUMIFS('PLAN BUDGET SAMI-JF'!AQ13:AQ100000,'PLAN BUDGET SAMI-JF'!D13:D100000,SUMMARY!D79,'PLAN BUDGET SAMI-JF'!J13:J100000,SUMMARY!A79&amp;"*")</f>
        <v>0</v>
      </c>
      <c r="I79" s="10">
        <f>SUMIFS('PLAN BUDGET SAMI-JF'!AR13:AR100000,'PLAN BUDGET SAMI-JF'!D13:D100000,SUMMARY!D79,'PLAN BUDGET SAMI-JF'!J13:J100000,SUMMARY!A79&amp;"*")</f>
        <v>0</v>
      </c>
      <c r="J79" s="10">
        <f>SUMIFS('PLAN BUDGET SAMI-JF'!AS13:AS100000,'PLAN BUDGET SAMI-JF'!D13:D100000,SUMMARY!D79,'PLAN BUDGET SAMI-JF'!J13:J100000,SUMMARY!A79&amp;"*")</f>
        <v>0</v>
      </c>
      <c r="K79" s="10">
        <f>SUMIFS('PLAN BUDGET SAMI-JF'!AT13:AT100000,'PLAN BUDGET SAMI-JF'!D13:D100000,SUMMARY!D79,'PLAN BUDGET SAMI-JF'!J13:J100000,SUMMARY!A79&amp;"*")</f>
        <v>0</v>
      </c>
      <c r="L79" s="10">
        <f>SUMIFS('PLAN BUDGET SAMI-JF'!AU13:AU100000,'PLAN BUDGET SAMI-JF'!D13:D100000,SUMMARY!D79,'PLAN BUDGET SAMI-JF'!J13:J100000,SUMMARY!A79&amp;"*")</f>
        <v>0</v>
      </c>
      <c r="M79" s="10">
        <f>SUMIFS('PLAN BUDGET SAMI-JF'!AV13:AV100000,'PLAN BUDGET SAMI-JF'!D13:D100000,SUMMARY!D79,'PLAN BUDGET SAMI-JF'!J13:J100000,SUMMARY!A79&amp;"*")</f>
        <v>0</v>
      </c>
      <c r="N79" s="10">
        <f>SUMIFS('PLAN BUDGET SAMI-JF'!AW13:AW100000,'PLAN BUDGET SAMI-JF'!D13:D100000,SUMMARY!D79,'PLAN BUDGET SAMI-JF'!J13:J100000,SUMMARY!A79&amp;"*")</f>
        <v>0</v>
      </c>
      <c r="O79" s="10">
        <f>SUMIFS('PLAN BUDGET SAMI-JF'!AX13:AX100000,'PLAN BUDGET SAMI-JF'!D13:D100000,SUMMARY!D79,'PLAN BUDGET SAMI-JF'!J13:J100000,SUMMARY!A79&amp;"*")</f>
        <v>0</v>
      </c>
      <c r="P79" s="10">
        <f>SUMIFS('PLAN BUDGET SAMI-JF'!AY13:AY100000,'PLAN BUDGET SAMI-JF'!D13:D100000,SUMMARY!D79,'PLAN BUDGET SAMI-JF'!J13:J100000,SUMMARY!A79&amp;"*")</f>
        <v>0</v>
      </c>
      <c r="Q79" s="10">
        <f>SUMIFS('PLAN BUDGET SAMI-JF'!BC13:BC100000,'PLAN BUDGET SAMI-JF'!D13:D100000,SUMMARY!D79,'PLAN BUDGET SAMI-JF'!J13:J100000,SUMMARY!A79&amp;"*")</f>
        <v>0</v>
      </c>
      <c r="R79" s="10">
        <f>SUMIFS('PLAN BUDGET SAMI-JF'!BD13:BD100000,'PLAN BUDGET SAMI-JF'!D13:D100000,SUMMARY!D79,'PLAN BUDGET SAMI-JF'!J13:J100000,SUMMARY!A79&amp;"*")</f>
        <v>0</v>
      </c>
      <c r="S79" s="10">
        <f>SUMIFS('PLAN BUDGET SAMI-JF'!BE13:BE100000,'PLAN BUDGET SAMI-JF'!D13:D100000,SUMMARY!D79,'PLAN BUDGET SAMI-JF'!J13:J100000,SUMMARY!A79&amp;"*")</f>
        <v>0</v>
      </c>
      <c r="T79" s="10">
        <f>SUMIFS('PLAN BUDGET SAMI-JF'!BF13:BF100000,'PLAN BUDGET SAMI-JF'!D13:D100000,SUMMARY!D79,'PLAN BUDGET SAMI-JF'!J13:J100000,SUMMARY!A79&amp;"*")</f>
        <v>0</v>
      </c>
      <c r="U79" s="10">
        <f>SUMIFS('PLAN BUDGET SAMI-JF'!BG13:BG100000,'PLAN BUDGET SAMI-JF'!D13:D100000,SUMMARY!D79,'PLAN BUDGET SAMI-JF'!J13:J100000,SUMMARY!A79&amp;"*")</f>
        <v>0</v>
      </c>
      <c r="V79" s="10">
        <f>SUMIFS('PLAN BUDGET SAMI-JF'!BH13:BH100000,'PLAN BUDGET SAMI-JF'!D13:D100000,SUMMARY!D79,'PLAN BUDGET SAMI-JF'!J13:J100000,SUMMARY!A79&amp;"*")</f>
        <v>0</v>
      </c>
      <c r="W79" s="10">
        <f>SUMIFS('PLAN BUDGET SAMI-JF'!BI13:BI100000,'PLAN BUDGET SAMI-JF'!D13:D100000,SUMMARY!D79,'PLAN BUDGET SAMI-JF'!J13:J100000,SUMMARY!A79&amp;"*")</f>
        <v>0</v>
      </c>
      <c r="X79" s="10">
        <f>SUMIFS('PLAN BUDGET SAMI-JF'!BJ13:BJ100000,'PLAN BUDGET SAMI-JF'!D13:D100000,SUMMARY!D79,'PLAN BUDGET SAMI-JF'!J13:J100000,SUMMARY!A79&amp;"*")</f>
        <v>0</v>
      </c>
      <c r="Y79" s="10">
        <f>SUMIFS('PLAN BUDGET SAMI-JF'!BK13:BK100000,'PLAN BUDGET SAMI-JF'!D13:D100000,SUMMARY!D79,'PLAN BUDGET SAMI-JF'!J13:J100000,SUMMARY!A79&amp;"*")</f>
        <v>0</v>
      </c>
      <c r="Z79" s="10">
        <f>SUMIFS('PLAN BUDGET SAMI-JF'!BL13:BL100000,'PLAN BUDGET SAMI-JF'!D13:D100000,SUMMARY!D79,'PLAN BUDGET SAMI-JF'!J13:J100000,SUMMARY!A79&amp;"*")</f>
        <v>0</v>
      </c>
      <c r="AA79" s="10">
        <f>SUMIFS('PLAN BUDGET SAMI-JF'!BM13:BM100000,'PLAN BUDGET SAMI-JF'!D13:D100000,SUMMARY!D79,'PLAN BUDGET SAMI-JF'!J13:J100000,SUMMARY!A79&amp;"*")</f>
        <v>0</v>
      </c>
      <c r="AB79" s="10">
        <f>SUMIFS('PLAN BUDGET SAMI-JF'!BN13:BN100000,'PLAN BUDGET SAMI-JF'!D13:D100000,SUMMARY!D79,'PLAN BUDGET SAMI-JF'!J13:J100000,SUMMARY!A79&amp;"*")</f>
        <v>0</v>
      </c>
      <c r="AC79" s="10">
        <f t="shared" si="8"/>
        <v>0</v>
      </c>
      <c r="AD79" s="10">
        <f t="shared" si="9"/>
        <v>0</v>
      </c>
      <c r="AE79" s="16"/>
      <c r="AF79" s="10">
        <v>34</v>
      </c>
      <c r="AG79" s="10">
        <v>24.749028394921002</v>
      </c>
      <c r="AH79" s="20">
        <f t="shared" si="10"/>
        <v>-1</v>
      </c>
      <c r="AI79" s="20">
        <f t="shared" si="11"/>
        <v>-1</v>
      </c>
      <c r="AJ79" s="7" t="s">
        <v>201</v>
      </c>
    </row>
    <row r="80" spans="1:36" x14ac:dyDescent="0.35">
      <c r="A80" s="7" t="s">
        <v>47</v>
      </c>
      <c r="B80" s="7"/>
      <c r="C80" s="7"/>
      <c r="D80" s="7" t="s">
        <v>159</v>
      </c>
      <c r="E80" s="10">
        <f>SUMIFS('PLAN BUDGET SAMI-JF'!AN13:AN100000,'PLAN BUDGET SAMI-JF'!D13:D100000,SUMMARY!D80,'PLAN BUDGET SAMI-JF'!J13:J100000,SUMMARY!A80&amp;"*")</f>
        <v>0</v>
      </c>
      <c r="F80" s="10">
        <f>SUMIFS('PLAN BUDGET SAMI-JF'!AO13:AO100000,'PLAN BUDGET SAMI-JF'!D13:D100000,SUMMARY!D80,'PLAN BUDGET SAMI-JF'!J13:J100000,SUMMARY!A80&amp;"*")</f>
        <v>0</v>
      </c>
      <c r="G80" s="10">
        <f>SUMIFS('PLAN BUDGET SAMI-JF'!AP13:AP100000,'PLAN BUDGET SAMI-JF'!D13:D100000,SUMMARY!D80,'PLAN BUDGET SAMI-JF'!J13:J100000,SUMMARY!A80&amp;"*")</f>
        <v>0</v>
      </c>
      <c r="H80" s="10">
        <f>SUMIFS('PLAN BUDGET SAMI-JF'!AQ13:AQ100000,'PLAN BUDGET SAMI-JF'!D13:D100000,SUMMARY!D80,'PLAN BUDGET SAMI-JF'!J13:J100000,SUMMARY!A80&amp;"*")</f>
        <v>0</v>
      </c>
      <c r="I80" s="10">
        <f>SUMIFS('PLAN BUDGET SAMI-JF'!AR13:AR100000,'PLAN BUDGET SAMI-JF'!D13:D100000,SUMMARY!D80,'PLAN BUDGET SAMI-JF'!J13:J100000,SUMMARY!A80&amp;"*")</f>
        <v>0</v>
      </c>
      <c r="J80" s="10">
        <f>SUMIFS('PLAN BUDGET SAMI-JF'!AS13:AS100000,'PLAN BUDGET SAMI-JF'!D13:D100000,SUMMARY!D80,'PLAN BUDGET SAMI-JF'!J13:J100000,SUMMARY!A80&amp;"*")</f>
        <v>0</v>
      </c>
      <c r="K80" s="10">
        <f>SUMIFS('PLAN BUDGET SAMI-JF'!AT13:AT100000,'PLAN BUDGET SAMI-JF'!D13:D100000,SUMMARY!D80,'PLAN BUDGET SAMI-JF'!J13:J100000,SUMMARY!A80&amp;"*")</f>
        <v>0</v>
      </c>
      <c r="L80" s="10">
        <f>SUMIFS('PLAN BUDGET SAMI-JF'!AU13:AU100000,'PLAN BUDGET SAMI-JF'!D13:D100000,SUMMARY!D80,'PLAN BUDGET SAMI-JF'!J13:J100000,SUMMARY!A80&amp;"*")</f>
        <v>0</v>
      </c>
      <c r="M80" s="10">
        <f>SUMIFS('PLAN BUDGET SAMI-JF'!AV13:AV100000,'PLAN BUDGET SAMI-JF'!D13:D100000,SUMMARY!D80,'PLAN BUDGET SAMI-JF'!J13:J100000,SUMMARY!A80&amp;"*")</f>
        <v>0</v>
      </c>
      <c r="N80" s="10">
        <f>SUMIFS('PLAN BUDGET SAMI-JF'!AW13:AW100000,'PLAN BUDGET SAMI-JF'!D13:D100000,SUMMARY!D80,'PLAN BUDGET SAMI-JF'!J13:J100000,SUMMARY!A80&amp;"*")</f>
        <v>0</v>
      </c>
      <c r="O80" s="10">
        <f>SUMIFS('PLAN BUDGET SAMI-JF'!AX13:AX100000,'PLAN BUDGET SAMI-JF'!D13:D100000,SUMMARY!D80,'PLAN BUDGET SAMI-JF'!J13:J100000,SUMMARY!A80&amp;"*")</f>
        <v>0</v>
      </c>
      <c r="P80" s="10">
        <f>SUMIFS('PLAN BUDGET SAMI-JF'!AY13:AY100000,'PLAN BUDGET SAMI-JF'!D13:D100000,SUMMARY!D80,'PLAN BUDGET SAMI-JF'!J13:J100000,SUMMARY!A80&amp;"*")</f>
        <v>0</v>
      </c>
      <c r="Q80" s="10">
        <f>SUMIFS('PLAN BUDGET SAMI-JF'!BC13:BC100000,'PLAN BUDGET SAMI-JF'!D13:D100000,SUMMARY!D80,'PLAN BUDGET SAMI-JF'!J13:J100000,SUMMARY!A80&amp;"*")</f>
        <v>0</v>
      </c>
      <c r="R80" s="10">
        <f>SUMIFS('PLAN BUDGET SAMI-JF'!BD13:BD100000,'PLAN BUDGET SAMI-JF'!D13:D100000,SUMMARY!D80,'PLAN BUDGET SAMI-JF'!J13:J100000,SUMMARY!A80&amp;"*")</f>
        <v>0</v>
      </c>
      <c r="S80" s="10">
        <f>SUMIFS('PLAN BUDGET SAMI-JF'!BE13:BE100000,'PLAN BUDGET SAMI-JF'!D13:D100000,SUMMARY!D80,'PLAN BUDGET SAMI-JF'!J13:J100000,SUMMARY!A80&amp;"*")</f>
        <v>0</v>
      </c>
      <c r="T80" s="10">
        <f>SUMIFS('PLAN BUDGET SAMI-JF'!BF13:BF100000,'PLAN BUDGET SAMI-JF'!D13:D100000,SUMMARY!D80,'PLAN BUDGET SAMI-JF'!J13:J100000,SUMMARY!A80&amp;"*")</f>
        <v>0</v>
      </c>
      <c r="U80" s="10">
        <f>SUMIFS('PLAN BUDGET SAMI-JF'!BG13:BG100000,'PLAN BUDGET SAMI-JF'!D13:D100000,SUMMARY!D80,'PLAN BUDGET SAMI-JF'!J13:J100000,SUMMARY!A80&amp;"*")</f>
        <v>0</v>
      </c>
      <c r="V80" s="10">
        <f>SUMIFS('PLAN BUDGET SAMI-JF'!BH13:BH100000,'PLAN BUDGET SAMI-JF'!D13:D100000,SUMMARY!D80,'PLAN BUDGET SAMI-JF'!J13:J100000,SUMMARY!A80&amp;"*")</f>
        <v>0</v>
      </c>
      <c r="W80" s="10">
        <f>SUMIFS('PLAN BUDGET SAMI-JF'!BI13:BI100000,'PLAN BUDGET SAMI-JF'!D13:D100000,SUMMARY!D80,'PLAN BUDGET SAMI-JF'!J13:J100000,SUMMARY!A80&amp;"*")</f>
        <v>0</v>
      </c>
      <c r="X80" s="10">
        <f>SUMIFS('PLAN BUDGET SAMI-JF'!BJ13:BJ100000,'PLAN BUDGET SAMI-JF'!D13:D100000,SUMMARY!D80,'PLAN BUDGET SAMI-JF'!J13:J100000,SUMMARY!A80&amp;"*")</f>
        <v>0</v>
      </c>
      <c r="Y80" s="10">
        <f>SUMIFS('PLAN BUDGET SAMI-JF'!BK13:BK100000,'PLAN BUDGET SAMI-JF'!D13:D100000,SUMMARY!D80,'PLAN BUDGET SAMI-JF'!J13:J100000,SUMMARY!A80&amp;"*")</f>
        <v>0</v>
      </c>
      <c r="Z80" s="10">
        <f>SUMIFS('PLAN BUDGET SAMI-JF'!BL13:BL100000,'PLAN BUDGET SAMI-JF'!D13:D100000,SUMMARY!D80,'PLAN BUDGET SAMI-JF'!J13:J100000,SUMMARY!A80&amp;"*")</f>
        <v>0</v>
      </c>
      <c r="AA80" s="10">
        <f>SUMIFS('PLAN BUDGET SAMI-JF'!BM13:BM100000,'PLAN BUDGET SAMI-JF'!D13:D100000,SUMMARY!D80,'PLAN BUDGET SAMI-JF'!J13:J100000,SUMMARY!A80&amp;"*")</f>
        <v>0</v>
      </c>
      <c r="AB80" s="10">
        <f>SUMIFS('PLAN BUDGET SAMI-JF'!BN13:BN100000,'PLAN BUDGET SAMI-JF'!D13:D100000,SUMMARY!D80,'PLAN BUDGET SAMI-JF'!J13:J100000,SUMMARY!A80&amp;"*")</f>
        <v>0</v>
      </c>
      <c r="AC80" s="10">
        <f t="shared" si="8"/>
        <v>0</v>
      </c>
      <c r="AD80" s="10">
        <f t="shared" si="9"/>
        <v>0</v>
      </c>
      <c r="AE80" s="16"/>
      <c r="AF80" s="10">
        <v>30</v>
      </c>
      <c r="AG80" s="10">
        <v>14.241768257946999</v>
      </c>
      <c r="AH80" s="20">
        <f t="shared" si="10"/>
        <v>-1</v>
      </c>
      <c r="AI80" s="20">
        <f t="shared" si="11"/>
        <v>-1</v>
      </c>
      <c r="AJ80" s="7" t="s">
        <v>201</v>
      </c>
    </row>
    <row r="81" spans="1:36" x14ac:dyDescent="0.35">
      <c r="A81" s="7" t="s">
        <v>47</v>
      </c>
      <c r="B81" s="7"/>
      <c r="C81" s="7"/>
      <c r="D81" s="7" t="s">
        <v>242</v>
      </c>
      <c r="E81" s="10">
        <f>SUMIFS('PLAN BUDGET SAMI-JF'!AN13:AN100000,'PLAN BUDGET SAMI-JF'!D13:D100000,SUMMARY!D81,'PLAN BUDGET SAMI-JF'!J13:J100000,SUMMARY!A81&amp;"*")</f>
        <v>0</v>
      </c>
      <c r="F81" s="10">
        <f>SUMIFS('PLAN BUDGET SAMI-JF'!AO13:AO100000,'PLAN BUDGET SAMI-JF'!D13:D100000,SUMMARY!D81,'PLAN BUDGET SAMI-JF'!J13:J100000,SUMMARY!A81&amp;"*")</f>
        <v>0</v>
      </c>
      <c r="G81" s="10">
        <f>SUMIFS('PLAN BUDGET SAMI-JF'!AP13:AP100000,'PLAN BUDGET SAMI-JF'!D13:D100000,SUMMARY!D81,'PLAN BUDGET SAMI-JF'!J13:J100000,SUMMARY!A81&amp;"*")</f>
        <v>0</v>
      </c>
      <c r="H81" s="10">
        <f>SUMIFS('PLAN BUDGET SAMI-JF'!AQ13:AQ100000,'PLAN BUDGET SAMI-JF'!D13:D100000,SUMMARY!D81,'PLAN BUDGET SAMI-JF'!J13:J100000,SUMMARY!A81&amp;"*")</f>
        <v>0</v>
      </c>
      <c r="I81" s="10">
        <f>SUMIFS('PLAN BUDGET SAMI-JF'!AR13:AR100000,'PLAN BUDGET SAMI-JF'!D13:D100000,SUMMARY!D81,'PLAN BUDGET SAMI-JF'!J13:J100000,SUMMARY!A81&amp;"*")</f>
        <v>0</v>
      </c>
      <c r="J81" s="10">
        <f>SUMIFS('PLAN BUDGET SAMI-JF'!AS13:AS100000,'PLAN BUDGET SAMI-JF'!D13:D100000,SUMMARY!D81,'PLAN BUDGET SAMI-JF'!J13:J100000,SUMMARY!A81&amp;"*")</f>
        <v>0</v>
      </c>
      <c r="K81" s="10">
        <f>SUMIFS('PLAN BUDGET SAMI-JF'!AT13:AT100000,'PLAN BUDGET SAMI-JF'!D13:D100000,SUMMARY!D81,'PLAN BUDGET SAMI-JF'!J13:J100000,SUMMARY!A81&amp;"*")</f>
        <v>0</v>
      </c>
      <c r="L81" s="10">
        <f>SUMIFS('PLAN BUDGET SAMI-JF'!AU13:AU100000,'PLAN BUDGET SAMI-JF'!D13:D100000,SUMMARY!D81,'PLAN BUDGET SAMI-JF'!J13:J100000,SUMMARY!A81&amp;"*")</f>
        <v>0</v>
      </c>
      <c r="M81" s="10">
        <f>SUMIFS('PLAN BUDGET SAMI-JF'!AV13:AV100000,'PLAN BUDGET SAMI-JF'!D13:D100000,SUMMARY!D81,'PLAN BUDGET SAMI-JF'!J13:J100000,SUMMARY!A81&amp;"*")</f>
        <v>0</v>
      </c>
      <c r="N81" s="10">
        <f>SUMIFS('PLAN BUDGET SAMI-JF'!AW13:AW100000,'PLAN BUDGET SAMI-JF'!D13:D100000,SUMMARY!D81,'PLAN BUDGET SAMI-JF'!J13:J100000,SUMMARY!A81&amp;"*")</f>
        <v>0</v>
      </c>
      <c r="O81" s="10">
        <f>SUMIFS('PLAN BUDGET SAMI-JF'!AX13:AX100000,'PLAN BUDGET SAMI-JF'!D13:D100000,SUMMARY!D81,'PLAN BUDGET SAMI-JF'!J13:J100000,SUMMARY!A81&amp;"*")</f>
        <v>0</v>
      </c>
      <c r="P81" s="10">
        <f>SUMIFS('PLAN BUDGET SAMI-JF'!AY13:AY100000,'PLAN BUDGET SAMI-JF'!D13:D100000,SUMMARY!D81,'PLAN BUDGET SAMI-JF'!J13:J100000,SUMMARY!A81&amp;"*")</f>
        <v>0</v>
      </c>
      <c r="Q81" s="10">
        <f>SUMIFS('PLAN BUDGET SAMI-JF'!BC13:BC100000,'PLAN BUDGET SAMI-JF'!D13:D100000,SUMMARY!D81,'PLAN BUDGET SAMI-JF'!J13:J100000,SUMMARY!A81&amp;"*")</f>
        <v>0</v>
      </c>
      <c r="R81" s="10">
        <f>SUMIFS('PLAN BUDGET SAMI-JF'!BD13:BD100000,'PLAN BUDGET SAMI-JF'!D13:D100000,SUMMARY!D81,'PLAN BUDGET SAMI-JF'!J13:J100000,SUMMARY!A81&amp;"*")</f>
        <v>0</v>
      </c>
      <c r="S81" s="10">
        <f>SUMIFS('PLAN BUDGET SAMI-JF'!BE13:BE100000,'PLAN BUDGET SAMI-JF'!D13:D100000,SUMMARY!D81,'PLAN BUDGET SAMI-JF'!J13:J100000,SUMMARY!A81&amp;"*")</f>
        <v>0</v>
      </c>
      <c r="T81" s="10">
        <f>SUMIFS('PLAN BUDGET SAMI-JF'!BF13:BF100000,'PLAN BUDGET SAMI-JF'!D13:D100000,SUMMARY!D81,'PLAN BUDGET SAMI-JF'!J13:J100000,SUMMARY!A81&amp;"*")</f>
        <v>0</v>
      </c>
      <c r="U81" s="10">
        <f>SUMIFS('PLAN BUDGET SAMI-JF'!BG13:BG100000,'PLAN BUDGET SAMI-JF'!D13:D100000,SUMMARY!D81,'PLAN BUDGET SAMI-JF'!J13:J100000,SUMMARY!A81&amp;"*")</f>
        <v>0</v>
      </c>
      <c r="V81" s="10">
        <f>SUMIFS('PLAN BUDGET SAMI-JF'!BH13:BH100000,'PLAN BUDGET SAMI-JF'!D13:D100000,SUMMARY!D81,'PLAN BUDGET SAMI-JF'!J13:J100000,SUMMARY!A81&amp;"*")</f>
        <v>0</v>
      </c>
      <c r="W81" s="10">
        <f>SUMIFS('PLAN BUDGET SAMI-JF'!BI13:BI100000,'PLAN BUDGET SAMI-JF'!D13:D100000,SUMMARY!D81,'PLAN BUDGET SAMI-JF'!J13:J100000,SUMMARY!A81&amp;"*")</f>
        <v>0</v>
      </c>
      <c r="X81" s="10">
        <f>SUMIFS('PLAN BUDGET SAMI-JF'!BJ13:BJ100000,'PLAN BUDGET SAMI-JF'!D13:D100000,SUMMARY!D81,'PLAN BUDGET SAMI-JF'!J13:J100000,SUMMARY!A81&amp;"*")</f>
        <v>0</v>
      </c>
      <c r="Y81" s="10">
        <f>SUMIFS('PLAN BUDGET SAMI-JF'!BK13:BK100000,'PLAN BUDGET SAMI-JF'!D13:D100000,SUMMARY!D81,'PLAN BUDGET SAMI-JF'!J13:J100000,SUMMARY!A81&amp;"*")</f>
        <v>0</v>
      </c>
      <c r="Z81" s="10">
        <f>SUMIFS('PLAN BUDGET SAMI-JF'!BL13:BL100000,'PLAN BUDGET SAMI-JF'!D13:D100000,SUMMARY!D81,'PLAN BUDGET SAMI-JF'!J13:J100000,SUMMARY!A81&amp;"*")</f>
        <v>0</v>
      </c>
      <c r="AA81" s="10">
        <f>SUMIFS('PLAN BUDGET SAMI-JF'!BM13:BM100000,'PLAN BUDGET SAMI-JF'!D13:D100000,SUMMARY!D81,'PLAN BUDGET SAMI-JF'!J13:J100000,SUMMARY!A81&amp;"*")</f>
        <v>0</v>
      </c>
      <c r="AB81" s="10">
        <f>SUMIFS('PLAN BUDGET SAMI-JF'!BN13:BN100000,'PLAN BUDGET SAMI-JF'!D13:D100000,SUMMARY!D81,'PLAN BUDGET SAMI-JF'!J13:J100000,SUMMARY!A81&amp;"*")</f>
        <v>0</v>
      </c>
      <c r="AC81" s="10">
        <f t="shared" si="8"/>
        <v>0</v>
      </c>
      <c r="AD81" s="10">
        <f t="shared" si="9"/>
        <v>0</v>
      </c>
      <c r="AE81" s="16"/>
      <c r="AF81" s="10">
        <v>3</v>
      </c>
      <c r="AG81" s="10">
        <v>1253.2756066992999</v>
      </c>
      <c r="AH81" s="20">
        <f t="shared" si="10"/>
        <v>-1</v>
      </c>
      <c r="AI81" s="20">
        <f t="shared" si="11"/>
        <v>-1</v>
      </c>
      <c r="AJ81" s="7" t="s">
        <v>201</v>
      </c>
    </row>
    <row r="82" spans="1:36" x14ac:dyDescent="0.35">
      <c r="A82" s="7" t="s">
        <v>47</v>
      </c>
      <c r="B82" s="7"/>
      <c r="C82" s="7"/>
      <c r="D82" s="7" t="s">
        <v>243</v>
      </c>
      <c r="E82" s="10">
        <f>SUMIFS('PLAN BUDGET SAMI-JF'!AN13:AN100000,'PLAN BUDGET SAMI-JF'!D13:D100000,SUMMARY!D82,'PLAN BUDGET SAMI-JF'!J13:J100000,SUMMARY!A82&amp;"*")</f>
        <v>0</v>
      </c>
      <c r="F82" s="10">
        <f>SUMIFS('PLAN BUDGET SAMI-JF'!AO13:AO100000,'PLAN BUDGET SAMI-JF'!D13:D100000,SUMMARY!D82,'PLAN BUDGET SAMI-JF'!J13:J100000,SUMMARY!A82&amp;"*")</f>
        <v>0</v>
      </c>
      <c r="G82" s="10">
        <f>SUMIFS('PLAN BUDGET SAMI-JF'!AP13:AP100000,'PLAN BUDGET SAMI-JF'!D13:D100000,SUMMARY!D82,'PLAN BUDGET SAMI-JF'!J13:J100000,SUMMARY!A82&amp;"*")</f>
        <v>0</v>
      </c>
      <c r="H82" s="10">
        <f>SUMIFS('PLAN BUDGET SAMI-JF'!AQ13:AQ100000,'PLAN BUDGET SAMI-JF'!D13:D100000,SUMMARY!D82,'PLAN BUDGET SAMI-JF'!J13:J100000,SUMMARY!A82&amp;"*")</f>
        <v>0</v>
      </c>
      <c r="I82" s="10">
        <f>SUMIFS('PLAN BUDGET SAMI-JF'!AR13:AR100000,'PLAN BUDGET SAMI-JF'!D13:D100000,SUMMARY!D82,'PLAN BUDGET SAMI-JF'!J13:J100000,SUMMARY!A82&amp;"*")</f>
        <v>0</v>
      </c>
      <c r="J82" s="10">
        <f>SUMIFS('PLAN BUDGET SAMI-JF'!AS13:AS100000,'PLAN BUDGET SAMI-JF'!D13:D100000,SUMMARY!D82,'PLAN BUDGET SAMI-JF'!J13:J100000,SUMMARY!A82&amp;"*")</f>
        <v>0</v>
      </c>
      <c r="K82" s="10">
        <f>SUMIFS('PLAN BUDGET SAMI-JF'!AT13:AT100000,'PLAN BUDGET SAMI-JF'!D13:D100000,SUMMARY!D82,'PLAN BUDGET SAMI-JF'!J13:J100000,SUMMARY!A82&amp;"*")</f>
        <v>0</v>
      </c>
      <c r="L82" s="10">
        <f>SUMIFS('PLAN BUDGET SAMI-JF'!AU13:AU100000,'PLAN BUDGET SAMI-JF'!D13:D100000,SUMMARY!D82,'PLAN BUDGET SAMI-JF'!J13:J100000,SUMMARY!A82&amp;"*")</f>
        <v>0</v>
      </c>
      <c r="M82" s="10">
        <f>SUMIFS('PLAN BUDGET SAMI-JF'!AV13:AV100000,'PLAN BUDGET SAMI-JF'!D13:D100000,SUMMARY!D82,'PLAN BUDGET SAMI-JF'!J13:J100000,SUMMARY!A82&amp;"*")</f>
        <v>0</v>
      </c>
      <c r="N82" s="10">
        <f>SUMIFS('PLAN BUDGET SAMI-JF'!AW13:AW100000,'PLAN BUDGET SAMI-JF'!D13:D100000,SUMMARY!D82,'PLAN BUDGET SAMI-JF'!J13:J100000,SUMMARY!A82&amp;"*")</f>
        <v>0</v>
      </c>
      <c r="O82" s="10">
        <f>SUMIFS('PLAN BUDGET SAMI-JF'!AX13:AX100000,'PLAN BUDGET SAMI-JF'!D13:D100000,SUMMARY!D82,'PLAN BUDGET SAMI-JF'!J13:J100000,SUMMARY!A82&amp;"*")</f>
        <v>0</v>
      </c>
      <c r="P82" s="10">
        <f>SUMIFS('PLAN BUDGET SAMI-JF'!AY13:AY100000,'PLAN BUDGET SAMI-JF'!D13:D100000,SUMMARY!D82,'PLAN BUDGET SAMI-JF'!J13:J100000,SUMMARY!A82&amp;"*")</f>
        <v>0</v>
      </c>
      <c r="Q82" s="10">
        <f>SUMIFS('PLAN BUDGET SAMI-JF'!BC13:BC100000,'PLAN BUDGET SAMI-JF'!D13:D100000,SUMMARY!D82,'PLAN BUDGET SAMI-JF'!J13:J100000,SUMMARY!A82&amp;"*")</f>
        <v>0</v>
      </c>
      <c r="R82" s="10">
        <f>SUMIFS('PLAN BUDGET SAMI-JF'!BD13:BD100000,'PLAN BUDGET SAMI-JF'!D13:D100000,SUMMARY!D82,'PLAN BUDGET SAMI-JF'!J13:J100000,SUMMARY!A82&amp;"*")</f>
        <v>0</v>
      </c>
      <c r="S82" s="10">
        <f>SUMIFS('PLAN BUDGET SAMI-JF'!BE13:BE100000,'PLAN BUDGET SAMI-JF'!D13:D100000,SUMMARY!D82,'PLAN BUDGET SAMI-JF'!J13:J100000,SUMMARY!A82&amp;"*")</f>
        <v>0</v>
      </c>
      <c r="T82" s="10">
        <f>SUMIFS('PLAN BUDGET SAMI-JF'!BF13:BF100000,'PLAN BUDGET SAMI-JF'!D13:D100000,SUMMARY!D82,'PLAN BUDGET SAMI-JF'!J13:J100000,SUMMARY!A82&amp;"*")</f>
        <v>0</v>
      </c>
      <c r="U82" s="10">
        <f>SUMIFS('PLAN BUDGET SAMI-JF'!BG13:BG100000,'PLAN BUDGET SAMI-JF'!D13:D100000,SUMMARY!D82,'PLAN BUDGET SAMI-JF'!J13:J100000,SUMMARY!A82&amp;"*")</f>
        <v>0</v>
      </c>
      <c r="V82" s="10">
        <f>SUMIFS('PLAN BUDGET SAMI-JF'!BH13:BH100000,'PLAN BUDGET SAMI-JF'!D13:D100000,SUMMARY!D82,'PLAN BUDGET SAMI-JF'!J13:J100000,SUMMARY!A82&amp;"*")</f>
        <v>0</v>
      </c>
      <c r="W82" s="10">
        <f>SUMIFS('PLAN BUDGET SAMI-JF'!BI13:BI100000,'PLAN BUDGET SAMI-JF'!D13:D100000,SUMMARY!D82,'PLAN BUDGET SAMI-JF'!J13:J100000,SUMMARY!A82&amp;"*")</f>
        <v>0</v>
      </c>
      <c r="X82" s="10">
        <f>SUMIFS('PLAN BUDGET SAMI-JF'!BJ13:BJ100000,'PLAN BUDGET SAMI-JF'!D13:D100000,SUMMARY!D82,'PLAN BUDGET SAMI-JF'!J13:J100000,SUMMARY!A82&amp;"*")</f>
        <v>0</v>
      </c>
      <c r="Y82" s="10">
        <f>SUMIFS('PLAN BUDGET SAMI-JF'!BK13:BK100000,'PLAN BUDGET SAMI-JF'!D13:D100000,SUMMARY!D82,'PLAN BUDGET SAMI-JF'!J13:J100000,SUMMARY!A82&amp;"*")</f>
        <v>0</v>
      </c>
      <c r="Z82" s="10">
        <f>SUMIFS('PLAN BUDGET SAMI-JF'!BL13:BL100000,'PLAN BUDGET SAMI-JF'!D13:D100000,SUMMARY!D82,'PLAN BUDGET SAMI-JF'!J13:J100000,SUMMARY!A82&amp;"*")</f>
        <v>0</v>
      </c>
      <c r="AA82" s="10">
        <f>SUMIFS('PLAN BUDGET SAMI-JF'!BM13:BM100000,'PLAN BUDGET SAMI-JF'!D13:D100000,SUMMARY!D82,'PLAN BUDGET SAMI-JF'!J13:J100000,SUMMARY!A82&amp;"*")</f>
        <v>0</v>
      </c>
      <c r="AB82" s="10">
        <f>SUMIFS('PLAN BUDGET SAMI-JF'!BN13:BN100000,'PLAN BUDGET SAMI-JF'!D13:D100000,SUMMARY!D82,'PLAN BUDGET SAMI-JF'!J13:J100000,SUMMARY!A82&amp;"*")</f>
        <v>0</v>
      </c>
      <c r="AC82" s="10">
        <f t="shared" si="8"/>
        <v>0</v>
      </c>
      <c r="AD82" s="10">
        <f t="shared" si="9"/>
        <v>0</v>
      </c>
      <c r="AE82" s="16"/>
      <c r="AF82" s="10">
        <v>8</v>
      </c>
      <c r="AG82" s="10">
        <v>140.51878014508</v>
      </c>
      <c r="AH82" s="20">
        <f t="shared" si="10"/>
        <v>-1</v>
      </c>
      <c r="AI82" s="20">
        <f t="shared" si="11"/>
        <v>-1</v>
      </c>
      <c r="AJ82" s="7" t="s">
        <v>201</v>
      </c>
    </row>
    <row r="83" spans="1:36" x14ac:dyDescent="0.35">
      <c r="A83" s="7" t="s">
        <v>47</v>
      </c>
      <c r="B83" s="7"/>
      <c r="C83" s="7"/>
      <c r="D83" s="7" t="s">
        <v>172</v>
      </c>
      <c r="E83" s="10">
        <f>SUMIFS('PLAN BUDGET SAMI-JF'!AN13:AN100000,'PLAN BUDGET SAMI-JF'!D13:D100000,SUMMARY!D83,'PLAN BUDGET SAMI-JF'!J13:J100000,SUMMARY!A83&amp;"*")</f>
        <v>0</v>
      </c>
      <c r="F83" s="10">
        <f>SUMIFS('PLAN BUDGET SAMI-JF'!AO13:AO100000,'PLAN BUDGET SAMI-JF'!D13:D100000,SUMMARY!D83,'PLAN BUDGET SAMI-JF'!J13:J100000,SUMMARY!A83&amp;"*")</f>
        <v>0</v>
      </c>
      <c r="G83" s="10">
        <f>SUMIFS('PLAN BUDGET SAMI-JF'!AP13:AP100000,'PLAN BUDGET SAMI-JF'!D13:D100000,SUMMARY!D83,'PLAN BUDGET SAMI-JF'!J13:J100000,SUMMARY!A83&amp;"*")</f>
        <v>0</v>
      </c>
      <c r="H83" s="10">
        <f>SUMIFS('PLAN BUDGET SAMI-JF'!AQ13:AQ100000,'PLAN BUDGET SAMI-JF'!D13:D100000,SUMMARY!D83,'PLAN BUDGET SAMI-JF'!J13:J100000,SUMMARY!A83&amp;"*")</f>
        <v>0</v>
      </c>
      <c r="I83" s="10">
        <f>SUMIFS('PLAN BUDGET SAMI-JF'!AR13:AR100000,'PLAN BUDGET SAMI-JF'!D13:D100000,SUMMARY!D83,'PLAN BUDGET SAMI-JF'!J13:J100000,SUMMARY!A83&amp;"*")</f>
        <v>0</v>
      </c>
      <c r="J83" s="10">
        <f>SUMIFS('PLAN BUDGET SAMI-JF'!AS13:AS100000,'PLAN BUDGET SAMI-JF'!D13:D100000,SUMMARY!D83,'PLAN BUDGET SAMI-JF'!J13:J100000,SUMMARY!A83&amp;"*")</f>
        <v>0</v>
      </c>
      <c r="K83" s="10">
        <f>SUMIFS('PLAN BUDGET SAMI-JF'!AT13:AT100000,'PLAN BUDGET SAMI-JF'!D13:D100000,SUMMARY!D83,'PLAN BUDGET SAMI-JF'!J13:J100000,SUMMARY!A83&amp;"*")</f>
        <v>0</v>
      </c>
      <c r="L83" s="10">
        <f>SUMIFS('PLAN BUDGET SAMI-JF'!AU13:AU100000,'PLAN BUDGET SAMI-JF'!D13:D100000,SUMMARY!D83,'PLAN BUDGET SAMI-JF'!J13:J100000,SUMMARY!A83&amp;"*")</f>
        <v>0</v>
      </c>
      <c r="M83" s="10">
        <f>SUMIFS('PLAN BUDGET SAMI-JF'!AV13:AV100000,'PLAN BUDGET SAMI-JF'!D13:D100000,SUMMARY!D83,'PLAN BUDGET SAMI-JF'!J13:J100000,SUMMARY!A83&amp;"*")</f>
        <v>0</v>
      </c>
      <c r="N83" s="10">
        <f>SUMIFS('PLAN BUDGET SAMI-JF'!AW13:AW100000,'PLAN BUDGET SAMI-JF'!D13:D100000,SUMMARY!D83,'PLAN BUDGET SAMI-JF'!J13:J100000,SUMMARY!A83&amp;"*")</f>
        <v>0</v>
      </c>
      <c r="O83" s="10">
        <f>SUMIFS('PLAN BUDGET SAMI-JF'!AX13:AX100000,'PLAN BUDGET SAMI-JF'!D13:D100000,SUMMARY!D83,'PLAN BUDGET SAMI-JF'!J13:J100000,SUMMARY!A83&amp;"*")</f>
        <v>0</v>
      </c>
      <c r="P83" s="10">
        <f>SUMIFS('PLAN BUDGET SAMI-JF'!AY13:AY100000,'PLAN BUDGET SAMI-JF'!D13:D100000,SUMMARY!D83,'PLAN BUDGET SAMI-JF'!J13:J100000,SUMMARY!A83&amp;"*")</f>
        <v>0</v>
      </c>
      <c r="Q83" s="10">
        <f>SUMIFS('PLAN BUDGET SAMI-JF'!BC13:BC100000,'PLAN BUDGET SAMI-JF'!D13:D100000,SUMMARY!D83,'PLAN BUDGET SAMI-JF'!J13:J100000,SUMMARY!A83&amp;"*")</f>
        <v>0</v>
      </c>
      <c r="R83" s="10">
        <f>SUMIFS('PLAN BUDGET SAMI-JF'!BD13:BD100000,'PLAN BUDGET SAMI-JF'!D13:D100000,SUMMARY!D83,'PLAN BUDGET SAMI-JF'!J13:J100000,SUMMARY!A83&amp;"*")</f>
        <v>0</v>
      </c>
      <c r="S83" s="10">
        <f>SUMIFS('PLAN BUDGET SAMI-JF'!BE13:BE100000,'PLAN BUDGET SAMI-JF'!D13:D100000,SUMMARY!D83,'PLAN BUDGET SAMI-JF'!J13:J100000,SUMMARY!A83&amp;"*")</f>
        <v>0</v>
      </c>
      <c r="T83" s="10">
        <f>SUMIFS('PLAN BUDGET SAMI-JF'!BF13:BF100000,'PLAN BUDGET SAMI-JF'!D13:D100000,SUMMARY!D83,'PLAN BUDGET SAMI-JF'!J13:J100000,SUMMARY!A83&amp;"*")</f>
        <v>0</v>
      </c>
      <c r="U83" s="10">
        <f>SUMIFS('PLAN BUDGET SAMI-JF'!BG13:BG100000,'PLAN BUDGET SAMI-JF'!D13:D100000,SUMMARY!D83,'PLAN BUDGET SAMI-JF'!J13:J100000,SUMMARY!A83&amp;"*")</f>
        <v>0</v>
      </c>
      <c r="V83" s="10">
        <f>SUMIFS('PLAN BUDGET SAMI-JF'!BH13:BH100000,'PLAN BUDGET SAMI-JF'!D13:D100000,SUMMARY!D83,'PLAN BUDGET SAMI-JF'!J13:J100000,SUMMARY!A83&amp;"*")</f>
        <v>0</v>
      </c>
      <c r="W83" s="10">
        <f>SUMIFS('PLAN BUDGET SAMI-JF'!BI13:BI100000,'PLAN BUDGET SAMI-JF'!D13:D100000,SUMMARY!D83,'PLAN BUDGET SAMI-JF'!J13:J100000,SUMMARY!A83&amp;"*")</f>
        <v>0</v>
      </c>
      <c r="X83" s="10">
        <f>SUMIFS('PLAN BUDGET SAMI-JF'!BJ13:BJ100000,'PLAN BUDGET SAMI-JF'!D13:D100000,SUMMARY!D83,'PLAN BUDGET SAMI-JF'!J13:J100000,SUMMARY!A83&amp;"*")</f>
        <v>0</v>
      </c>
      <c r="Y83" s="10">
        <f>SUMIFS('PLAN BUDGET SAMI-JF'!BK13:BK100000,'PLAN BUDGET SAMI-JF'!D13:D100000,SUMMARY!D83,'PLAN BUDGET SAMI-JF'!J13:J100000,SUMMARY!A83&amp;"*")</f>
        <v>0</v>
      </c>
      <c r="Z83" s="10">
        <f>SUMIFS('PLAN BUDGET SAMI-JF'!BL13:BL100000,'PLAN BUDGET SAMI-JF'!D13:D100000,SUMMARY!D83,'PLAN BUDGET SAMI-JF'!J13:J100000,SUMMARY!A83&amp;"*")</f>
        <v>0</v>
      </c>
      <c r="AA83" s="10">
        <f>SUMIFS('PLAN BUDGET SAMI-JF'!BM13:BM100000,'PLAN BUDGET SAMI-JF'!D13:D100000,SUMMARY!D83,'PLAN BUDGET SAMI-JF'!J13:J100000,SUMMARY!A83&amp;"*")</f>
        <v>0</v>
      </c>
      <c r="AB83" s="10">
        <f>SUMIFS('PLAN BUDGET SAMI-JF'!BN13:BN100000,'PLAN BUDGET SAMI-JF'!D13:D100000,SUMMARY!D83,'PLAN BUDGET SAMI-JF'!J13:J100000,SUMMARY!A83&amp;"*")</f>
        <v>0</v>
      </c>
      <c r="AC83" s="10">
        <f t="shared" si="8"/>
        <v>0</v>
      </c>
      <c r="AD83" s="10">
        <f t="shared" si="9"/>
        <v>0</v>
      </c>
      <c r="AE83" s="16"/>
      <c r="AF83" s="10">
        <v>2</v>
      </c>
      <c r="AG83" s="10">
        <v>8.2285772157026997</v>
      </c>
      <c r="AH83" s="20">
        <f t="shared" si="10"/>
        <v>-1</v>
      </c>
      <c r="AI83" s="20">
        <f t="shared" si="11"/>
        <v>-1</v>
      </c>
      <c r="AJ83" s="7" t="s">
        <v>201</v>
      </c>
    </row>
    <row r="84" spans="1:36" x14ac:dyDescent="0.35">
      <c r="A84" s="7" t="s">
        <v>47</v>
      </c>
      <c r="B84" s="7"/>
      <c r="C84" s="7"/>
      <c r="D84" s="7" t="s">
        <v>216</v>
      </c>
      <c r="E84" s="10">
        <f>SUMIFS('PLAN BUDGET SAMI-JF'!AN13:AN100000,'PLAN BUDGET SAMI-JF'!D13:D100000,SUMMARY!D84,'PLAN BUDGET SAMI-JF'!J13:J100000,SUMMARY!A84&amp;"*")</f>
        <v>0</v>
      </c>
      <c r="F84" s="10">
        <f>SUMIFS('PLAN BUDGET SAMI-JF'!AO13:AO100000,'PLAN BUDGET SAMI-JF'!D13:D100000,SUMMARY!D84,'PLAN BUDGET SAMI-JF'!J13:J100000,SUMMARY!A84&amp;"*")</f>
        <v>0</v>
      </c>
      <c r="G84" s="10">
        <f>SUMIFS('PLAN BUDGET SAMI-JF'!AP13:AP100000,'PLAN BUDGET SAMI-JF'!D13:D100000,SUMMARY!D84,'PLAN BUDGET SAMI-JF'!J13:J100000,SUMMARY!A84&amp;"*")</f>
        <v>0</v>
      </c>
      <c r="H84" s="10">
        <f>SUMIFS('PLAN BUDGET SAMI-JF'!AQ13:AQ100000,'PLAN BUDGET SAMI-JF'!D13:D100000,SUMMARY!D84,'PLAN BUDGET SAMI-JF'!J13:J100000,SUMMARY!A84&amp;"*")</f>
        <v>0</v>
      </c>
      <c r="I84" s="10">
        <f>SUMIFS('PLAN BUDGET SAMI-JF'!AR13:AR100000,'PLAN BUDGET SAMI-JF'!D13:D100000,SUMMARY!D84,'PLAN BUDGET SAMI-JF'!J13:J100000,SUMMARY!A84&amp;"*")</f>
        <v>0</v>
      </c>
      <c r="J84" s="10">
        <f>SUMIFS('PLAN BUDGET SAMI-JF'!AS13:AS100000,'PLAN BUDGET SAMI-JF'!D13:D100000,SUMMARY!D84,'PLAN BUDGET SAMI-JF'!J13:J100000,SUMMARY!A84&amp;"*")</f>
        <v>0</v>
      </c>
      <c r="K84" s="10">
        <f>SUMIFS('PLAN BUDGET SAMI-JF'!AT13:AT100000,'PLAN BUDGET SAMI-JF'!D13:D100000,SUMMARY!D84,'PLAN BUDGET SAMI-JF'!J13:J100000,SUMMARY!A84&amp;"*")</f>
        <v>0</v>
      </c>
      <c r="L84" s="10">
        <f>SUMIFS('PLAN BUDGET SAMI-JF'!AU13:AU100000,'PLAN BUDGET SAMI-JF'!D13:D100000,SUMMARY!D84,'PLAN BUDGET SAMI-JF'!J13:J100000,SUMMARY!A84&amp;"*")</f>
        <v>0</v>
      </c>
      <c r="M84" s="10">
        <f>SUMIFS('PLAN BUDGET SAMI-JF'!AV13:AV100000,'PLAN BUDGET SAMI-JF'!D13:D100000,SUMMARY!D84,'PLAN BUDGET SAMI-JF'!J13:J100000,SUMMARY!A84&amp;"*")</f>
        <v>0</v>
      </c>
      <c r="N84" s="10">
        <f>SUMIFS('PLAN BUDGET SAMI-JF'!AW13:AW100000,'PLAN BUDGET SAMI-JF'!D13:D100000,SUMMARY!D84,'PLAN BUDGET SAMI-JF'!J13:J100000,SUMMARY!A84&amp;"*")</f>
        <v>0</v>
      </c>
      <c r="O84" s="10">
        <f>SUMIFS('PLAN BUDGET SAMI-JF'!AX13:AX100000,'PLAN BUDGET SAMI-JF'!D13:D100000,SUMMARY!D84,'PLAN BUDGET SAMI-JF'!J13:J100000,SUMMARY!A84&amp;"*")</f>
        <v>0</v>
      </c>
      <c r="P84" s="10">
        <f>SUMIFS('PLAN BUDGET SAMI-JF'!AY13:AY100000,'PLAN BUDGET SAMI-JF'!D13:D100000,SUMMARY!D84,'PLAN BUDGET SAMI-JF'!J13:J100000,SUMMARY!A84&amp;"*")</f>
        <v>0</v>
      </c>
      <c r="Q84" s="10">
        <f>SUMIFS('PLAN BUDGET SAMI-JF'!BC13:BC100000,'PLAN BUDGET SAMI-JF'!D13:D100000,SUMMARY!D84,'PLAN BUDGET SAMI-JF'!J13:J100000,SUMMARY!A84&amp;"*")</f>
        <v>0</v>
      </c>
      <c r="R84" s="10">
        <f>SUMIFS('PLAN BUDGET SAMI-JF'!BD13:BD100000,'PLAN BUDGET SAMI-JF'!D13:D100000,SUMMARY!D84,'PLAN BUDGET SAMI-JF'!J13:J100000,SUMMARY!A84&amp;"*")</f>
        <v>0</v>
      </c>
      <c r="S84" s="10">
        <f>SUMIFS('PLAN BUDGET SAMI-JF'!BE13:BE100000,'PLAN BUDGET SAMI-JF'!D13:D100000,SUMMARY!D84,'PLAN BUDGET SAMI-JF'!J13:J100000,SUMMARY!A84&amp;"*")</f>
        <v>0</v>
      </c>
      <c r="T84" s="10">
        <f>SUMIFS('PLAN BUDGET SAMI-JF'!BF13:BF100000,'PLAN BUDGET SAMI-JF'!D13:D100000,SUMMARY!D84,'PLAN BUDGET SAMI-JF'!J13:J100000,SUMMARY!A84&amp;"*")</f>
        <v>0</v>
      </c>
      <c r="U84" s="10">
        <f>SUMIFS('PLAN BUDGET SAMI-JF'!BG13:BG100000,'PLAN BUDGET SAMI-JF'!D13:D100000,SUMMARY!D84,'PLAN BUDGET SAMI-JF'!J13:J100000,SUMMARY!A84&amp;"*")</f>
        <v>0</v>
      </c>
      <c r="V84" s="10">
        <f>SUMIFS('PLAN BUDGET SAMI-JF'!BH13:BH100000,'PLAN BUDGET SAMI-JF'!D13:D100000,SUMMARY!D84,'PLAN BUDGET SAMI-JF'!J13:J100000,SUMMARY!A84&amp;"*")</f>
        <v>0</v>
      </c>
      <c r="W84" s="10">
        <f>SUMIFS('PLAN BUDGET SAMI-JF'!BI13:BI100000,'PLAN BUDGET SAMI-JF'!D13:D100000,SUMMARY!D84,'PLAN BUDGET SAMI-JF'!J13:J100000,SUMMARY!A84&amp;"*")</f>
        <v>0</v>
      </c>
      <c r="X84" s="10">
        <f>SUMIFS('PLAN BUDGET SAMI-JF'!BJ13:BJ100000,'PLAN BUDGET SAMI-JF'!D13:D100000,SUMMARY!D84,'PLAN BUDGET SAMI-JF'!J13:J100000,SUMMARY!A84&amp;"*")</f>
        <v>0</v>
      </c>
      <c r="Y84" s="10">
        <f>SUMIFS('PLAN BUDGET SAMI-JF'!BK13:BK100000,'PLAN BUDGET SAMI-JF'!D13:D100000,SUMMARY!D84,'PLAN BUDGET SAMI-JF'!J13:J100000,SUMMARY!A84&amp;"*")</f>
        <v>0</v>
      </c>
      <c r="Z84" s="10">
        <f>SUMIFS('PLAN BUDGET SAMI-JF'!BL13:BL100000,'PLAN BUDGET SAMI-JF'!D13:D100000,SUMMARY!D84,'PLAN BUDGET SAMI-JF'!J13:J100000,SUMMARY!A84&amp;"*")</f>
        <v>0</v>
      </c>
      <c r="AA84" s="10">
        <f>SUMIFS('PLAN BUDGET SAMI-JF'!BM13:BM100000,'PLAN BUDGET SAMI-JF'!D13:D100000,SUMMARY!D84,'PLAN BUDGET SAMI-JF'!J13:J100000,SUMMARY!A84&amp;"*")</f>
        <v>0</v>
      </c>
      <c r="AB84" s="10">
        <f>SUMIFS('PLAN BUDGET SAMI-JF'!BN13:BN100000,'PLAN BUDGET SAMI-JF'!D13:D100000,SUMMARY!D84,'PLAN BUDGET SAMI-JF'!J13:J100000,SUMMARY!A84&amp;"*")</f>
        <v>0</v>
      </c>
      <c r="AC84" s="10">
        <f t="shared" si="8"/>
        <v>0</v>
      </c>
      <c r="AD84" s="10">
        <f t="shared" si="9"/>
        <v>0</v>
      </c>
      <c r="AE84" s="16"/>
      <c r="AF84" s="10">
        <v>30</v>
      </c>
      <c r="AG84" s="10">
        <v>14007.633587786</v>
      </c>
      <c r="AH84" s="20">
        <f t="shared" si="10"/>
        <v>-1</v>
      </c>
      <c r="AI84" s="20">
        <f t="shared" si="11"/>
        <v>-1</v>
      </c>
      <c r="AJ84" s="7" t="s">
        <v>201</v>
      </c>
    </row>
    <row r="85" spans="1:36" x14ac:dyDescent="0.35">
      <c r="A85" s="7" t="s">
        <v>47</v>
      </c>
      <c r="B85" s="7"/>
      <c r="C85" s="7"/>
      <c r="D85" s="7" t="s">
        <v>244</v>
      </c>
      <c r="E85" s="10">
        <f>SUMIFS('PLAN BUDGET SAMI-JF'!AN13:AN100000,'PLAN BUDGET SAMI-JF'!D13:D100000,SUMMARY!D85,'PLAN BUDGET SAMI-JF'!J13:J100000,SUMMARY!A85&amp;"*")</f>
        <v>0</v>
      </c>
      <c r="F85" s="10">
        <f>SUMIFS('PLAN BUDGET SAMI-JF'!AO13:AO100000,'PLAN BUDGET SAMI-JF'!D13:D100000,SUMMARY!D85,'PLAN BUDGET SAMI-JF'!J13:J100000,SUMMARY!A85&amp;"*")</f>
        <v>0</v>
      </c>
      <c r="G85" s="10">
        <f>SUMIFS('PLAN BUDGET SAMI-JF'!AP13:AP100000,'PLAN BUDGET SAMI-JF'!D13:D100000,SUMMARY!D85,'PLAN BUDGET SAMI-JF'!J13:J100000,SUMMARY!A85&amp;"*")</f>
        <v>0</v>
      </c>
      <c r="H85" s="10">
        <f>SUMIFS('PLAN BUDGET SAMI-JF'!AQ13:AQ100000,'PLAN BUDGET SAMI-JF'!D13:D100000,SUMMARY!D85,'PLAN BUDGET SAMI-JF'!J13:J100000,SUMMARY!A85&amp;"*")</f>
        <v>0</v>
      </c>
      <c r="I85" s="10">
        <f>SUMIFS('PLAN BUDGET SAMI-JF'!AR13:AR100000,'PLAN BUDGET SAMI-JF'!D13:D100000,SUMMARY!D85,'PLAN BUDGET SAMI-JF'!J13:J100000,SUMMARY!A85&amp;"*")</f>
        <v>0</v>
      </c>
      <c r="J85" s="10">
        <f>SUMIFS('PLAN BUDGET SAMI-JF'!AS13:AS100000,'PLAN BUDGET SAMI-JF'!D13:D100000,SUMMARY!D85,'PLAN BUDGET SAMI-JF'!J13:J100000,SUMMARY!A85&amp;"*")</f>
        <v>0</v>
      </c>
      <c r="K85" s="10">
        <f>SUMIFS('PLAN BUDGET SAMI-JF'!AT13:AT100000,'PLAN BUDGET SAMI-JF'!D13:D100000,SUMMARY!D85,'PLAN BUDGET SAMI-JF'!J13:J100000,SUMMARY!A85&amp;"*")</f>
        <v>0</v>
      </c>
      <c r="L85" s="10">
        <f>SUMIFS('PLAN BUDGET SAMI-JF'!AU13:AU100000,'PLAN BUDGET SAMI-JF'!D13:D100000,SUMMARY!D85,'PLAN BUDGET SAMI-JF'!J13:J100000,SUMMARY!A85&amp;"*")</f>
        <v>0</v>
      </c>
      <c r="M85" s="10">
        <f>SUMIFS('PLAN BUDGET SAMI-JF'!AV13:AV100000,'PLAN BUDGET SAMI-JF'!D13:D100000,SUMMARY!D85,'PLAN BUDGET SAMI-JF'!J13:J100000,SUMMARY!A85&amp;"*")</f>
        <v>0</v>
      </c>
      <c r="N85" s="10">
        <f>SUMIFS('PLAN BUDGET SAMI-JF'!AW13:AW100000,'PLAN BUDGET SAMI-JF'!D13:D100000,SUMMARY!D85,'PLAN BUDGET SAMI-JF'!J13:J100000,SUMMARY!A85&amp;"*")</f>
        <v>0</v>
      </c>
      <c r="O85" s="10">
        <f>SUMIFS('PLAN BUDGET SAMI-JF'!AX13:AX100000,'PLAN BUDGET SAMI-JF'!D13:D100000,SUMMARY!D85,'PLAN BUDGET SAMI-JF'!J13:J100000,SUMMARY!A85&amp;"*")</f>
        <v>0</v>
      </c>
      <c r="P85" s="10">
        <f>SUMIFS('PLAN BUDGET SAMI-JF'!AY13:AY100000,'PLAN BUDGET SAMI-JF'!D13:D100000,SUMMARY!D85,'PLAN BUDGET SAMI-JF'!J13:J100000,SUMMARY!A85&amp;"*")</f>
        <v>0</v>
      </c>
      <c r="Q85" s="10">
        <f>SUMIFS('PLAN BUDGET SAMI-JF'!BC13:BC100000,'PLAN BUDGET SAMI-JF'!D13:D100000,SUMMARY!D85,'PLAN BUDGET SAMI-JF'!J13:J100000,SUMMARY!A85&amp;"*")</f>
        <v>0</v>
      </c>
      <c r="R85" s="10">
        <f>SUMIFS('PLAN BUDGET SAMI-JF'!BD13:BD100000,'PLAN BUDGET SAMI-JF'!D13:D100000,SUMMARY!D85,'PLAN BUDGET SAMI-JF'!J13:J100000,SUMMARY!A85&amp;"*")</f>
        <v>0</v>
      </c>
      <c r="S85" s="10">
        <f>SUMIFS('PLAN BUDGET SAMI-JF'!BE13:BE100000,'PLAN BUDGET SAMI-JF'!D13:D100000,SUMMARY!D85,'PLAN BUDGET SAMI-JF'!J13:J100000,SUMMARY!A85&amp;"*")</f>
        <v>0</v>
      </c>
      <c r="T85" s="10">
        <f>SUMIFS('PLAN BUDGET SAMI-JF'!BF13:BF100000,'PLAN BUDGET SAMI-JF'!D13:D100000,SUMMARY!D85,'PLAN BUDGET SAMI-JF'!J13:J100000,SUMMARY!A85&amp;"*")</f>
        <v>0</v>
      </c>
      <c r="U85" s="10">
        <f>SUMIFS('PLAN BUDGET SAMI-JF'!BG13:BG100000,'PLAN BUDGET SAMI-JF'!D13:D100000,SUMMARY!D85,'PLAN BUDGET SAMI-JF'!J13:J100000,SUMMARY!A85&amp;"*")</f>
        <v>0</v>
      </c>
      <c r="V85" s="10">
        <f>SUMIFS('PLAN BUDGET SAMI-JF'!BH13:BH100000,'PLAN BUDGET SAMI-JF'!D13:D100000,SUMMARY!D85,'PLAN BUDGET SAMI-JF'!J13:J100000,SUMMARY!A85&amp;"*")</f>
        <v>0</v>
      </c>
      <c r="W85" s="10">
        <f>SUMIFS('PLAN BUDGET SAMI-JF'!BI13:BI100000,'PLAN BUDGET SAMI-JF'!D13:D100000,SUMMARY!D85,'PLAN BUDGET SAMI-JF'!J13:J100000,SUMMARY!A85&amp;"*")</f>
        <v>0</v>
      </c>
      <c r="X85" s="10">
        <f>SUMIFS('PLAN BUDGET SAMI-JF'!BJ13:BJ100000,'PLAN BUDGET SAMI-JF'!D13:D100000,SUMMARY!D85,'PLAN BUDGET SAMI-JF'!J13:J100000,SUMMARY!A85&amp;"*")</f>
        <v>0</v>
      </c>
      <c r="Y85" s="10">
        <f>SUMIFS('PLAN BUDGET SAMI-JF'!BK13:BK100000,'PLAN BUDGET SAMI-JF'!D13:D100000,SUMMARY!D85,'PLAN BUDGET SAMI-JF'!J13:J100000,SUMMARY!A85&amp;"*")</f>
        <v>0</v>
      </c>
      <c r="Z85" s="10">
        <f>SUMIFS('PLAN BUDGET SAMI-JF'!BL13:BL100000,'PLAN BUDGET SAMI-JF'!D13:D100000,SUMMARY!D85,'PLAN BUDGET SAMI-JF'!J13:J100000,SUMMARY!A85&amp;"*")</f>
        <v>0</v>
      </c>
      <c r="AA85" s="10">
        <f>SUMIFS('PLAN BUDGET SAMI-JF'!BM13:BM100000,'PLAN BUDGET SAMI-JF'!D13:D100000,SUMMARY!D85,'PLAN BUDGET SAMI-JF'!J13:J100000,SUMMARY!A85&amp;"*")</f>
        <v>0</v>
      </c>
      <c r="AB85" s="10">
        <f>SUMIFS('PLAN BUDGET SAMI-JF'!BN13:BN100000,'PLAN BUDGET SAMI-JF'!D13:D100000,SUMMARY!D85,'PLAN BUDGET SAMI-JF'!J13:J100000,SUMMARY!A85&amp;"*")</f>
        <v>0</v>
      </c>
      <c r="AC85" s="10">
        <f t="shared" si="8"/>
        <v>0</v>
      </c>
      <c r="AD85" s="10">
        <f t="shared" si="9"/>
        <v>0</v>
      </c>
      <c r="AE85" s="16"/>
      <c r="AF85" s="10">
        <v>4</v>
      </c>
      <c r="AG85" s="10">
        <v>253.18699125238999</v>
      </c>
      <c r="AH85" s="20">
        <f t="shared" si="10"/>
        <v>-1</v>
      </c>
      <c r="AI85" s="20">
        <f t="shared" si="11"/>
        <v>-1</v>
      </c>
      <c r="AJ85" s="7" t="s">
        <v>201</v>
      </c>
    </row>
    <row r="86" spans="1:36" x14ac:dyDescent="0.35">
      <c r="A86" s="7" t="s">
        <v>47</v>
      </c>
      <c r="B86" s="7"/>
      <c r="C86" s="7"/>
      <c r="D86" s="7" t="s">
        <v>218</v>
      </c>
      <c r="E86" s="10">
        <f>SUMIFS('PLAN BUDGET SAMI-JF'!AN13:AN100000,'PLAN BUDGET SAMI-JF'!D13:D100000,SUMMARY!D86,'PLAN BUDGET SAMI-JF'!J13:J100000,SUMMARY!A86&amp;"*")</f>
        <v>0</v>
      </c>
      <c r="F86" s="10">
        <f>SUMIFS('PLAN BUDGET SAMI-JF'!AO13:AO100000,'PLAN BUDGET SAMI-JF'!D13:D100000,SUMMARY!D86,'PLAN BUDGET SAMI-JF'!J13:J100000,SUMMARY!A86&amp;"*")</f>
        <v>0</v>
      </c>
      <c r="G86" s="10">
        <f>SUMIFS('PLAN BUDGET SAMI-JF'!AP13:AP100000,'PLAN BUDGET SAMI-JF'!D13:D100000,SUMMARY!D86,'PLAN BUDGET SAMI-JF'!J13:J100000,SUMMARY!A86&amp;"*")</f>
        <v>0</v>
      </c>
      <c r="H86" s="10">
        <f>SUMIFS('PLAN BUDGET SAMI-JF'!AQ13:AQ100000,'PLAN BUDGET SAMI-JF'!D13:D100000,SUMMARY!D86,'PLAN BUDGET SAMI-JF'!J13:J100000,SUMMARY!A86&amp;"*")</f>
        <v>0</v>
      </c>
      <c r="I86" s="10">
        <f>SUMIFS('PLAN BUDGET SAMI-JF'!AR13:AR100000,'PLAN BUDGET SAMI-JF'!D13:D100000,SUMMARY!D86,'PLAN BUDGET SAMI-JF'!J13:J100000,SUMMARY!A86&amp;"*")</f>
        <v>0</v>
      </c>
      <c r="J86" s="10">
        <f>SUMIFS('PLAN BUDGET SAMI-JF'!AS13:AS100000,'PLAN BUDGET SAMI-JF'!D13:D100000,SUMMARY!D86,'PLAN BUDGET SAMI-JF'!J13:J100000,SUMMARY!A86&amp;"*")</f>
        <v>0</v>
      </c>
      <c r="K86" s="10">
        <f>SUMIFS('PLAN BUDGET SAMI-JF'!AT13:AT100000,'PLAN BUDGET SAMI-JF'!D13:D100000,SUMMARY!D86,'PLAN BUDGET SAMI-JF'!J13:J100000,SUMMARY!A86&amp;"*")</f>
        <v>0</v>
      </c>
      <c r="L86" s="10">
        <f>SUMIFS('PLAN BUDGET SAMI-JF'!AU13:AU100000,'PLAN BUDGET SAMI-JF'!D13:D100000,SUMMARY!D86,'PLAN BUDGET SAMI-JF'!J13:J100000,SUMMARY!A86&amp;"*")</f>
        <v>0</v>
      </c>
      <c r="M86" s="10">
        <f>SUMIFS('PLAN BUDGET SAMI-JF'!AV13:AV100000,'PLAN BUDGET SAMI-JF'!D13:D100000,SUMMARY!D86,'PLAN BUDGET SAMI-JF'!J13:J100000,SUMMARY!A86&amp;"*")</f>
        <v>0</v>
      </c>
      <c r="N86" s="10">
        <f>SUMIFS('PLAN BUDGET SAMI-JF'!AW13:AW100000,'PLAN BUDGET SAMI-JF'!D13:D100000,SUMMARY!D86,'PLAN BUDGET SAMI-JF'!J13:J100000,SUMMARY!A86&amp;"*")</f>
        <v>0</v>
      </c>
      <c r="O86" s="10">
        <f>SUMIFS('PLAN BUDGET SAMI-JF'!AX13:AX100000,'PLAN BUDGET SAMI-JF'!D13:D100000,SUMMARY!D86,'PLAN BUDGET SAMI-JF'!J13:J100000,SUMMARY!A86&amp;"*")</f>
        <v>0</v>
      </c>
      <c r="P86" s="10">
        <f>SUMIFS('PLAN BUDGET SAMI-JF'!AY13:AY100000,'PLAN BUDGET SAMI-JF'!D13:D100000,SUMMARY!D86,'PLAN BUDGET SAMI-JF'!J13:J100000,SUMMARY!A86&amp;"*")</f>
        <v>0</v>
      </c>
      <c r="Q86" s="10">
        <f>SUMIFS('PLAN BUDGET SAMI-JF'!BC13:BC100000,'PLAN BUDGET SAMI-JF'!D13:D100000,SUMMARY!D86,'PLAN BUDGET SAMI-JF'!J13:J100000,SUMMARY!A86&amp;"*")</f>
        <v>0</v>
      </c>
      <c r="R86" s="10">
        <f>SUMIFS('PLAN BUDGET SAMI-JF'!BD13:BD100000,'PLAN BUDGET SAMI-JF'!D13:D100000,SUMMARY!D86,'PLAN BUDGET SAMI-JF'!J13:J100000,SUMMARY!A86&amp;"*")</f>
        <v>0</v>
      </c>
      <c r="S86" s="10">
        <f>SUMIFS('PLAN BUDGET SAMI-JF'!BE13:BE100000,'PLAN BUDGET SAMI-JF'!D13:D100000,SUMMARY!D86,'PLAN BUDGET SAMI-JF'!J13:J100000,SUMMARY!A86&amp;"*")</f>
        <v>0</v>
      </c>
      <c r="T86" s="10">
        <f>SUMIFS('PLAN BUDGET SAMI-JF'!BF13:BF100000,'PLAN BUDGET SAMI-JF'!D13:D100000,SUMMARY!D86,'PLAN BUDGET SAMI-JF'!J13:J100000,SUMMARY!A86&amp;"*")</f>
        <v>0</v>
      </c>
      <c r="U86" s="10">
        <f>SUMIFS('PLAN BUDGET SAMI-JF'!BG13:BG100000,'PLAN BUDGET SAMI-JF'!D13:D100000,SUMMARY!D86,'PLAN BUDGET SAMI-JF'!J13:J100000,SUMMARY!A86&amp;"*")</f>
        <v>0</v>
      </c>
      <c r="V86" s="10">
        <f>SUMIFS('PLAN BUDGET SAMI-JF'!BH13:BH100000,'PLAN BUDGET SAMI-JF'!D13:D100000,SUMMARY!D86,'PLAN BUDGET SAMI-JF'!J13:J100000,SUMMARY!A86&amp;"*")</f>
        <v>0</v>
      </c>
      <c r="W86" s="10">
        <f>SUMIFS('PLAN BUDGET SAMI-JF'!BI13:BI100000,'PLAN BUDGET SAMI-JF'!D13:D100000,SUMMARY!D86,'PLAN BUDGET SAMI-JF'!J13:J100000,SUMMARY!A86&amp;"*")</f>
        <v>0</v>
      </c>
      <c r="X86" s="10">
        <f>SUMIFS('PLAN BUDGET SAMI-JF'!BJ13:BJ100000,'PLAN BUDGET SAMI-JF'!D13:D100000,SUMMARY!D86,'PLAN BUDGET SAMI-JF'!J13:J100000,SUMMARY!A86&amp;"*")</f>
        <v>0</v>
      </c>
      <c r="Y86" s="10">
        <f>SUMIFS('PLAN BUDGET SAMI-JF'!BK13:BK100000,'PLAN BUDGET SAMI-JF'!D13:D100000,SUMMARY!D86,'PLAN BUDGET SAMI-JF'!J13:J100000,SUMMARY!A86&amp;"*")</f>
        <v>0</v>
      </c>
      <c r="Z86" s="10">
        <f>SUMIFS('PLAN BUDGET SAMI-JF'!BL13:BL100000,'PLAN BUDGET SAMI-JF'!D13:D100000,SUMMARY!D86,'PLAN BUDGET SAMI-JF'!J13:J100000,SUMMARY!A86&amp;"*")</f>
        <v>0</v>
      </c>
      <c r="AA86" s="10">
        <f>SUMIFS('PLAN BUDGET SAMI-JF'!BM13:BM100000,'PLAN BUDGET SAMI-JF'!D13:D100000,SUMMARY!D86,'PLAN BUDGET SAMI-JF'!J13:J100000,SUMMARY!A86&amp;"*")</f>
        <v>0</v>
      </c>
      <c r="AB86" s="10">
        <f>SUMIFS('PLAN BUDGET SAMI-JF'!BN13:BN100000,'PLAN BUDGET SAMI-JF'!D13:D100000,SUMMARY!D86,'PLAN BUDGET SAMI-JF'!J13:J100000,SUMMARY!A86&amp;"*")</f>
        <v>0</v>
      </c>
      <c r="AC86" s="10">
        <f t="shared" si="8"/>
        <v>0</v>
      </c>
      <c r="AD86" s="10">
        <f t="shared" si="9"/>
        <v>0</v>
      </c>
      <c r="AE86" s="16"/>
      <c r="AF86" s="10">
        <v>131</v>
      </c>
      <c r="AG86" s="10">
        <v>3087.0087586770001</v>
      </c>
      <c r="AH86" s="20">
        <f t="shared" si="10"/>
        <v>-1</v>
      </c>
      <c r="AI86" s="20">
        <f t="shared" si="11"/>
        <v>-1</v>
      </c>
      <c r="AJ86" s="7" t="s">
        <v>201</v>
      </c>
    </row>
    <row r="87" spans="1:36" x14ac:dyDescent="0.35">
      <c r="A87" s="7" t="s">
        <v>47</v>
      </c>
      <c r="B87" s="7"/>
      <c r="C87" s="7"/>
      <c r="D87" s="7" t="s">
        <v>161</v>
      </c>
      <c r="E87" s="10">
        <f>SUMIFS('PLAN BUDGET SAMI-JF'!AN13:AN100000,'PLAN BUDGET SAMI-JF'!D13:D100000,SUMMARY!D87,'PLAN BUDGET SAMI-JF'!J13:J100000,SUMMARY!A87&amp;"*")</f>
        <v>0</v>
      </c>
      <c r="F87" s="10">
        <f>SUMIFS('PLAN BUDGET SAMI-JF'!AO13:AO100000,'PLAN BUDGET SAMI-JF'!D13:D100000,SUMMARY!D87,'PLAN BUDGET SAMI-JF'!J13:J100000,SUMMARY!A87&amp;"*")</f>
        <v>0</v>
      </c>
      <c r="G87" s="10">
        <f>SUMIFS('PLAN BUDGET SAMI-JF'!AP13:AP100000,'PLAN BUDGET SAMI-JF'!D13:D100000,SUMMARY!D87,'PLAN BUDGET SAMI-JF'!J13:J100000,SUMMARY!A87&amp;"*")</f>
        <v>0</v>
      </c>
      <c r="H87" s="10">
        <f>SUMIFS('PLAN BUDGET SAMI-JF'!AQ13:AQ100000,'PLAN BUDGET SAMI-JF'!D13:D100000,SUMMARY!D87,'PLAN BUDGET SAMI-JF'!J13:J100000,SUMMARY!A87&amp;"*")</f>
        <v>0</v>
      </c>
      <c r="I87" s="10">
        <f>SUMIFS('PLAN BUDGET SAMI-JF'!AR13:AR100000,'PLAN BUDGET SAMI-JF'!D13:D100000,SUMMARY!D87,'PLAN BUDGET SAMI-JF'!J13:J100000,SUMMARY!A87&amp;"*")</f>
        <v>0</v>
      </c>
      <c r="J87" s="10">
        <f>SUMIFS('PLAN BUDGET SAMI-JF'!AS13:AS100000,'PLAN BUDGET SAMI-JF'!D13:D100000,SUMMARY!D87,'PLAN BUDGET SAMI-JF'!J13:J100000,SUMMARY!A87&amp;"*")</f>
        <v>0</v>
      </c>
      <c r="K87" s="10">
        <f>SUMIFS('PLAN BUDGET SAMI-JF'!AT13:AT100000,'PLAN BUDGET SAMI-JF'!D13:D100000,SUMMARY!D87,'PLAN BUDGET SAMI-JF'!J13:J100000,SUMMARY!A87&amp;"*")</f>
        <v>0</v>
      </c>
      <c r="L87" s="10">
        <f>SUMIFS('PLAN BUDGET SAMI-JF'!AU13:AU100000,'PLAN BUDGET SAMI-JF'!D13:D100000,SUMMARY!D87,'PLAN BUDGET SAMI-JF'!J13:J100000,SUMMARY!A87&amp;"*")</f>
        <v>0</v>
      </c>
      <c r="M87" s="10">
        <f>SUMIFS('PLAN BUDGET SAMI-JF'!AV13:AV100000,'PLAN BUDGET SAMI-JF'!D13:D100000,SUMMARY!D87,'PLAN BUDGET SAMI-JF'!J13:J100000,SUMMARY!A87&amp;"*")</f>
        <v>0</v>
      </c>
      <c r="N87" s="10">
        <f>SUMIFS('PLAN BUDGET SAMI-JF'!AW13:AW100000,'PLAN BUDGET SAMI-JF'!D13:D100000,SUMMARY!D87,'PLAN BUDGET SAMI-JF'!J13:J100000,SUMMARY!A87&amp;"*")</f>
        <v>0</v>
      </c>
      <c r="O87" s="10">
        <f>SUMIFS('PLAN BUDGET SAMI-JF'!AX13:AX100000,'PLAN BUDGET SAMI-JF'!D13:D100000,SUMMARY!D87,'PLAN BUDGET SAMI-JF'!J13:J100000,SUMMARY!A87&amp;"*")</f>
        <v>0</v>
      </c>
      <c r="P87" s="10">
        <f>SUMIFS('PLAN BUDGET SAMI-JF'!AY13:AY100000,'PLAN BUDGET SAMI-JF'!D13:D100000,SUMMARY!D87,'PLAN BUDGET SAMI-JF'!J13:J100000,SUMMARY!A87&amp;"*")</f>
        <v>0</v>
      </c>
      <c r="Q87" s="10">
        <f>SUMIFS('PLAN BUDGET SAMI-JF'!BC13:BC100000,'PLAN BUDGET SAMI-JF'!D13:D100000,SUMMARY!D87,'PLAN BUDGET SAMI-JF'!J13:J100000,SUMMARY!A87&amp;"*")</f>
        <v>0</v>
      </c>
      <c r="R87" s="10">
        <f>SUMIFS('PLAN BUDGET SAMI-JF'!BD13:BD100000,'PLAN BUDGET SAMI-JF'!D13:D100000,SUMMARY!D87,'PLAN BUDGET SAMI-JF'!J13:J100000,SUMMARY!A87&amp;"*")</f>
        <v>0</v>
      </c>
      <c r="S87" s="10">
        <f>SUMIFS('PLAN BUDGET SAMI-JF'!BE13:BE100000,'PLAN BUDGET SAMI-JF'!D13:D100000,SUMMARY!D87,'PLAN BUDGET SAMI-JF'!J13:J100000,SUMMARY!A87&amp;"*")</f>
        <v>0</v>
      </c>
      <c r="T87" s="10">
        <f>SUMIFS('PLAN BUDGET SAMI-JF'!BF13:BF100000,'PLAN BUDGET SAMI-JF'!D13:D100000,SUMMARY!D87,'PLAN BUDGET SAMI-JF'!J13:J100000,SUMMARY!A87&amp;"*")</f>
        <v>0</v>
      </c>
      <c r="U87" s="10">
        <f>SUMIFS('PLAN BUDGET SAMI-JF'!BG13:BG100000,'PLAN BUDGET SAMI-JF'!D13:D100000,SUMMARY!D87,'PLAN BUDGET SAMI-JF'!J13:J100000,SUMMARY!A87&amp;"*")</f>
        <v>0</v>
      </c>
      <c r="V87" s="10">
        <f>SUMIFS('PLAN BUDGET SAMI-JF'!BH13:BH100000,'PLAN BUDGET SAMI-JF'!D13:D100000,SUMMARY!D87,'PLAN BUDGET SAMI-JF'!J13:J100000,SUMMARY!A87&amp;"*")</f>
        <v>0</v>
      </c>
      <c r="W87" s="10">
        <f>SUMIFS('PLAN BUDGET SAMI-JF'!BI13:BI100000,'PLAN BUDGET SAMI-JF'!D13:D100000,SUMMARY!D87,'PLAN BUDGET SAMI-JF'!J13:J100000,SUMMARY!A87&amp;"*")</f>
        <v>0</v>
      </c>
      <c r="X87" s="10">
        <f>SUMIFS('PLAN BUDGET SAMI-JF'!BJ13:BJ100000,'PLAN BUDGET SAMI-JF'!D13:D100000,SUMMARY!D87,'PLAN BUDGET SAMI-JF'!J13:J100000,SUMMARY!A87&amp;"*")</f>
        <v>0</v>
      </c>
      <c r="Y87" s="10">
        <f>SUMIFS('PLAN BUDGET SAMI-JF'!BK13:BK100000,'PLAN BUDGET SAMI-JF'!D13:D100000,SUMMARY!D87,'PLAN BUDGET SAMI-JF'!J13:J100000,SUMMARY!A87&amp;"*")</f>
        <v>0</v>
      </c>
      <c r="Z87" s="10">
        <f>SUMIFS('PLAN BUDGET SAMI-JF'!BL13:BL100000,'PLAN BUDGET SAMI-JF'!D13:D100000,SUMMARY!D87,'PLAN BUDGET SAMI-JF'!J13:J100000,SUMMARY!A87&amp;"*")</f>
        <v>0</v>
      </c>
      <c r="AA87" s="10">
        <f>SUMIFS('PLAN BUDGET SAMI-JF'!BM13:BM100000,'PLAN BUDGET SAMI-JF'!D13:D100000,SUMMARY!D87,'PLAN BUDGET SAMI-JF'!J13:J100000,SUMMARY!A87&amp;"*")</f>
        <v>0</v>
      </c>
      <c r="AB87" s="10">
        <f>SUMIFS('PLAN BUDGET SAMI-JF'!BN13:BN100000,'PLAN BUDGET SAMI-JF'!D13:D100000,SUMMARY!D87,'PLAN BUDGET SAMI-JF'!J13:J100000,SUMMARY!A87&amp;"*")</f>
        <v>0</v>
      </c>
      <c r="AC87" s="10">
        <f t="shared" si="8"/>
        <v>0</v>
      </c>
      <c r="AD87" s="10">
        <f t="shared" si="9"/>
        <v>0</v>
      </c>
      <c r="AE87" s="16"/>
      <c r="AF87" s="10">
        <v>6</v>
      </c>
      <c r="AG87" s="10">
        <v>417.75853556644</v>
      </c>
      <c r="AH87" s="20">
        <f t="shared" si="10"/>
        <v>-1</v>
      </c>
      <c r="AI87" s="20">
        <f t="shared" si="11"/>
        <v>-1</v>
      </c>
      <c r="AJ87" s="7" t="s">
        <v>201</v>
      </c>
    </row>
  </sheetData>
  <sheetProtection formatCells="0" formatColumns="0" formatRows="0" insertColumns="0" insertRows="0" insertHyperlinks="0" deleteColumns="0" deleteRows="0" sort="0" autoFilter="0" pivotTables="0"/>
  <autoFilter ref="A8:AJ87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pane xSplit="3" ySplit="13" topLeftCell="J29" activePane="bottomRight" state="frozen"/>
      <selection pane="topRight" activeCell="D1" sqref="D1"/>
      <selection pane="bottomLeft" activeCell="A14" sqref="A14"/>
      <selection pane="bottomRight" activeCell="L21" sqref="L21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245</v>
      </c>
      <c r="C1" s="30" t="s">
        <v>246</v>
      </c>
      <c r="D1" s="21" t="s">
        <v>247</v>
      </c>
      <c r="I1" s="27" t="s">
        <v>248</v>
      </c>
      <c r="J1" s="27" t="s">
        <v>249</v>
      </c>
      <c r="K1" s="27" t="s">
        <v>250</v>
      </c>
      <c r="M1" s="48"/>
    </row>
    <row r="2" spans="1:13" ht="16.25" customHeight="1" x14ac:dyDescent="0.35">
      <c r="B2" s="2" t="s">
        <v>251</v>
      </c>
      <c r="C2" s="30" t="s">
        <v>252</v>
      </c>
      <c r="D2" s="21" t="s">
        <v>253</v>
      </c>
      <c r="I2" s="54"/>
      <c r="J2" s="54"/>
      <c r="K2" s="54"/>
      <c r="M2" s="48"/>
    </row>
    <row r="3" spans="1:13" ht="16.25" customHeight="1" x14ac:dyDescent="0.35">
      <c r="B3" s="2" t="s">
        <v>254</v>
      </c>
      <c r="C3" s="1"/>
      <c r="I3" s="54"/>
      <c r="J3" s="54"/>
      <c r="K3" s="54"/>
      <c r="M3" s="48"/>
    </row>
    <row r="4" spans="1:13" ht="16.25" customHeight="1" x14ac:dyDescent="0.35">
      <c r="C4" s="1"/>
      <c r="I4" s="54"/>
      <c r="J4" s="54"/>
      <c r="K4" s="54"/>
      <c r="M4" s="48"/>
    </row>
    <row r="5" spans="1:13" ht="16.25" customHeight="1" x14ac:dyDescent="0.35">
      <c r="C5" s="1"/>
      <c r="I5" s="27" t="s">
        <v>255</v>
      </c>
      <c r="J5" s="27" t="s">
        <v>256</v>
      </c>
      <c r="K5" s="27" t="s">
        <v>257</v>
      </c>
      <c r="M5" s="48"/>
    </row>
    <row r="6" spans="1:13" ht="16.25" customHeight="1" x14ac:dyDescent="0.35">
      <c r="C6" s="1"/>
      <c r="M6" s="48"/>
    </row>
    <row r="7" spans="1:13" x14ac:dyDescent="0.35">
      <c r="B7" s="55" t="s">
        <v>180</v>
      </c>
      <c r="C7" s="58" t="s">
        <v>258</v>
      </c>
      <c r="D7" s="26" t="s">
        <v>259</v>
      </c>
      <c r="E7" s="26" t="s">
        <v>259</v>
      </c>
      <c r="F7" s="61" t="s">
        <v>260</v>
      </c>
      <c r="G7" s="61"/>
      <c r="H7" s="61"/>
      <c r="I7" s="61"/>
      <c r="J7" s="61"/>
      <c r="K7" s="62" t="s">
        <v>261</v>
      </c>
      <c r="L7" s="63" t="s">
        <v>262</v>
      </c>
      <c r="M7" s="48"/>
    </row>
    <row r="8" spans="1:13" x14ac:dyDescent="0.35">
      <c r="B8" s="56"/>
      <c r="C8" s="59"/>
      <c r="D8" s="24" t="s">
        <v>263</v>
      </c>
      <c r="E8" s="24" t="s">
        <v>264</v>
      </c>
      <c r="F8" s="36" t="s">
        <v>265</v>
      </c>
      <c r="G8" s="24" t="s">
        <v>266</v>
      </c>
      <c r="H8" s="24" t="s">
        <v>267</v>
      </c>
      <c r="I8" s="24" t="s">
        <v>268</v>
      </c>
      <c r="J8" s="42" t="s">
        <v>263</v>
      </c>
      <c r="K8" s="59"/>
      <c r="L8" s="64"/>
      <c r="M8" s="48"/>
    </row>
    <row r="9" spans="1:13" x14ac:dyDescent="0.35">
      <c r="B9" s="56"/>
      <c r="C9" s="59"/>
      <c r="D9" s="24" t="s">
        <v>269</v>
      </c>
      <c r="E9" s="24" t="s">
        <v>269</v>
      </c>
      <c r="F9" s="36" t="s">
        <v>269</v>
      </c>
      <c r="G9" s="24" t="s">
        <v>269</v>
      </c>
      <c r="H9" s="24" t="s">
        <v>269</v>
      </c>
      <c r="I9" s="24" t="s">
        <v>269</v>
      </c>
      <c r="J9" s="42" t="s">
        <v>269</v>
      </c>
      <c r="K9" s="59"/>
      <c r="L9" s="64"/>
      <c r="M9" s="48"/>
    </row>
    <row r="10" spans="1:13" x14ac:dyDescent="0.35">
      <c r="B10" s="57"/>
      <c r="C10" s="60"/>
      <c r="D10" s="25" t="s">
        <v>112</v>
      </c>
      <c r="E10" s="25" t="s">
        <v>88</v>
      </c>
      <c r="F10" s="37" t="s">
        <v>51</v>
      </c>
      <c r="G10" s="25" t="s">
        <v>58</v>
      </c>
      <c r="H10" s="25" t="s">
        <v>93</v>
      </c>
      <c r="I10" s="25" t="s">
        <v>246</v>
      </c>
      <c r="J10" s="43" t="s">
        <v>270</v>
      </c>
      <c r="K10" s="25" t="s">
        <v>271</v>
      </c>
      <c r="L10" s="65"/>
      <c r="M10" s="48"/>
    </row>
    <row r="11" spans="1:13" x14ac:dyDescent="0.35">
      <c r="B11" s="22" t="s">
        <v>272</v>
      </c>
      <c r="C11" s="31"/>
      <c r="D11" s="22">
        <v>4405516.3099999996</v>
      </c>
      <c r="E11" s="22">
        <v>4536287.55</v>
      </c>
      <c r="F11" s="38">
        <v>4164326.5</v>
      </c>
      <c r="G11" s="22"/>
      <c r="H11" s="22"/>
      <c r="I11" s="22"/>
      <c r="J11" s="44">
        <v>4164326.5</v>
      </c>
      <c r="K11" s="22"/>
      <c r="L11" s="22"/>
      <c r="M11" s="48"/>
    </row>
    <row r="12" spans="1:13" x14ac:dyDescent="0.35">
      <c r="B12" s="23" t="s">
        <v>273</v>
      </c>
      <c r="C12" s="32"/>
      <c r="D12" s="28">
        <f>D11/12</f>
        <v>367126.35916666663</v>
      </c>
      <c r="E12" s="23">
        <f>E11/12</f>
        <v>378023.96249999997</v>
      </c>
      <c r="F12" s="39">
        <f>J11/12</f>
        <v>347027.20833333331</v>
      </c>
      <c r="G12" s="23"/>
      <c r="H12" s="23"/>
      <c r="I12" s="23"/>
      <c r="J12" s="45">
        <f>J11/12</f>
        <v>347027.20833333331</v>
      </c>
      <c r="K12" s="23"/>
      <c r="L12" s="23"/>
      <c r="M12" s="48" t="s">
        <v>274</v>
      </c>
    </row>
    <row r="13" spans="1:13" ht="7.5" customHeight="1" x14ac:dyDescent="0.35">
      <c r="C13" s="1"/>
      <c r="D13" s="29"/>
      <c r="F13" s="40"/>
      <c r="J13" s="46"/>
      <c r="M13" s="48"/>
    </row>
    <row r="14" spans="1:13" x14ac:dyDescent="0.35">
      <c r="A14" t="s">
        <v>47</v>
      </c>
      <c r="B14" s="7" t="s">
        <v>80</v>
      </c>
      <c r="C14" s="33" t="s">
        <v>246</v>
      </c>
      <c r="D14" s="34">
        <v>39.324750294330002</v>
      </c>
      <c r="E14" s="12">
        <v>29.829351967895999</v>
      </c>
      <c r="F14" s="41">
        <f t="shared" ref="F14:F45" si="0">IF(C14="F",E14,E14/$E$12*$F$12)</f>
        <v>29.829351967895999</v>
      </c>
      <c r="G14" s="12">
        <f t="shared" ref="G14:G45" si="1">IF(F14&lt;J14,J14-F14,0)</f>
        <v>7.0999962021948058</v>
      </c>
      <c r="H14" s="12">
        <f t="shared" ref="H14:H45" si="2">IF(F14&gt;J14,J14-F14,0)</f>
        <v>0</v>
      </c>
      <c r="I14" s="12"/>
      <c r="J14" s="47">
        <f>SUMIFS('PLAN BUDGET SAMI-JF'!BO13:BO100000,'PLAN BUDGET SAMI-JF'!D13:D100000,B14,'PLAN BUDGET SAMI-JF'!J13:J100000,A14&amp;"*")</f>
        <v>36.929348170090805</v>
      </c>
      <c r="K14" s="35">
        <f t="shared" ref="K14:K45" si="3">IFERROR(IF(F14&gt;0,(J14-F14)/F14,100%),0)</f>
        <v>0.23802046420036932</v>
      </c>
      <c r="L14" s="7" t="s">
        <v>288</v>
      </c>
      <c r="M14" s="49">
        <f t="shared" ref="M14:M45" si="4">J14-SUM(F14:I14)</f>
        <v>0</v>
      </c>
    </row>
    <row r="15" spans="1:13" x14ac:dyDescent="0.35">
      <c r="A15" t="s">
        <v>47</v>
      </c>
      <c r="B15" s="7" t="s">
        <v>111</v>
      </c>
      <c r="C15" s="33" t="s">
        <v>246</v>
      </c>
      <c r="D15" s="34">
        <v>126.59349562619001</v>
      </c>
      <c r="E15" s="12">
        <v>88.615446938336007</v>
      </c>
      <c r="F15" s="41">
        <f t="shared" si="0"/>
        <v>88.615446938336007</v>
      </c>
      <c r="G15" s="12">
        <f t="shared" si="1"/>
        <v>0</v>
      </c>
      <c r="H15" s="12">
        <f t="shared" si="2"/>
        <v>-25.318699125239007</v>
      </c>
      <c r="I15" s="12"/>
      <c r="J15" s="47">
        <f>SUMIFS('PLAN BUDGET SAMI-JF'!BO13:BO100000,'PLAN BUDGET SAMI-JF'!D13:D100000,B15,'PLAN BUDGET SAMI-JF'!J13:J100000,A15&amp;"*")</f>
        <v>63.296747813096999</v>
      </c>
      <c r="K15" s="35">
        <f t="shared" si="3"/>
        <v>-0.28571428571428736</v>
      </c>
      <c r="L15" s="7" t="s">
        <v>289</v>
      </c>
      <c r="M15" s="49">
        <f t="shared" si="4"/>
        <v>0</v>
      </c>
    </row>
    <row r="16" spans="1:13" x14ac:dyDescent="0.35">
      <c r="A16" t="s">
        <v>47</v>
      </c>
      <c r="B16" s="7" t="s">
        <v>122</v>
      </c>
      <c r="C16" s="33" t="s">
        <v>246</v>
      </c>
      <c r="D16" s="34">
        <v>40419.233856163999</v>
      </c>
      <c r="E16" s="12">
        <v>35152.442621497998</v>
      </c>
      <c r="F16" s="41">
        <f t="shared" si="0"/>
        <v>35152.442621497998</v>
      </c>
      <c r="G16" s="12">
        <f t="shared" si="1"/>
        <v>0</v>
      </c>
      <c r="H16" s="12">
        <f t="shared" si="2"/>
        <v>-29716.517919309197</v>
      </c>
      <c r="I16" s="12"/>
      <c r="J16" s="47">
        <f>SUMIFS('PLAN BUDGET SAMI-JF'!BO13:BO100000,'PLAN BUDGET SAMI-JF'!D13:D100000,B16,'PLAN BUDGET SAMI-JF'!J13:J100000,A16&amp;"*")</f>
        <v>5435.9247021888004</v>
      </c>
      <c r="K16" s="35">
        <f t="shared" si="3"/>
        <v>-0.84536139463422721</v>
      </c>
      <c r="L16" s="7" t="s">
        <v>290</v>
      </c>
      <c r="M16" s="49">
        <f t="shared" si="4"/>
        <v>0</v>
      </c>
    </row>
    <row r="17" spans="1:13" x14ac:dyDescent="0.35">
      <c r="A17" t="s">
        <v>47</v>
      </c>
      <c r="B17" s="7" t="s">
        <v>90</v>
      </c>
      <c r="C17" s="33" t="s">
        <v>246</v>
      </c>
      <c r="D17" s="34">
        <v>0</v>
      </c>
      <c r="E17" s="12">
        <v>0</v>
      </c>
      <c r="F17" s="41">
        <f t="shared" si="0"/>
        <v>0</v>
      </c>
      <c r="G17" s="12">
        <f t="shared" si="1"/>
        <v>316.48373906549</v>
      </c>
      <c r="H17" s="12">
        <f t="shared" si="2"/>
        <v>0</v>
      </c>
      <c r="I17" s="12"/>
      <c r="J17" s="47">
        <f>SUMIFS('PLAN BUDGET SAMI-JF'!BO13:BO100000,'PLAN BUDGET SAMI-JF'!D13:D100000,B17,'PLAN BUDGET SAMI-JF'!J13:J100000,A17&amp;"*")</f>
        <v>316.48373906549</v>
      </c>
      <c r="K17" s="35">
        <f t="shared" si="3"/>
        <v>1</v>
      </c>
      <c r="L17" s="7" t="s">
        <v>290</v>
      </c>
      <c r="M17" s="49">
        <f t="shared" si="4"/>
        <v>0</v>
      </c>
    </row>
    <row r="18" spans="1:13" x14ac:dyDescent="0.35">
      <c r="A18" t="s">
        <v>47</v>
      </c>
      <c r="B18" s="7" t="s">
        <v>106</v>
      </c>
      <c r="C18" s="33" t="s">
        <v>246</v>
      </c>
      <c r="D18" s="34">
        <v>3649.0575114251001</v>
      </c>
      <c r="E18" s="12">
        <v>2079.2981656602001</v>
      </c>
      <c r="F18" s="41">
        <f t="shared" si="0"/>
        <v>2079.2981656602001</v>
      </c>
      <c r="G18" s="12">
        <f t="shared" si="1"/>
        <v>0</v>
      </c>
      <c r="H18" s="12">
        <f t="shared" si="2"/>
        <v>-1984.353043940554</v>
      </c>
      <c r="I18" s="12"/>
      <c r="J18" s="47">
        <f>SUMIFS('PLAN BUDGET SAMI-JF'!BO13:BO100000,'PLAN BUDGET SAMI-JF'!D13:D100000,B18,'PLAN BUDGET SAMI-JF'!J13:J100000,A18&amp;"*")</f>
        <v>94.945121719645996</v>
      </c>
      <c r="K18" s="35">
        <f t="shared" si="3"/>
        <v>-0.95433789954337789</v>
      </c>
      <c r="L18" s="7" t="s">
        <v>289</v>
      </c>
      <c r="M18" s="49">
        <f t="shared" si="4"/>
        <v>0</v>
      </c>
    </row>
    <row r="19" spans="1:13" x14ac:dyDescent="0.35">
      <c r="A19" t="s">
        <v>47</v>
      </c>
      <c r="B19" s="7" t="s">
        <v>75</v>
      </c>
      <c r="C19" s="33" t="s">
        <v>246</v>
      </c>
      <c r="D19" s="34">
        <v>106.02205258694001</v>
      </c>
      <c r="E19" s="12">
        <v>94.628637980581004</v>
      </c>
      <c r="F19" s="41">
        <f t="shared" si="0"/>
        <v>94.628637980581004</v>
      </c>
      <c r="G19" s="12">
        <f t="shared" si="1"/>
        <v>0</v>
      </c>
      <c r="H19" s="12">
        <f t="shared" si="2"/>
        <v>-69.309938855343006</v>
      </c>
      <c r="I19" s="12"/>
      <c r="J19" s="47">
        <f>SUMIFS('PLAN BUDGET SAMI-JF'!BO13:BO100000,'PLAN BUDGET SAMI-JF'!D13:D100000,B19,'PLAN BUDGET SAMI-JF'!J13:J100000,A19&amp;"*")</f>
        <v>25.318699125237998</v>
      </c>
      <c r="K19" s="35">
        <f t="shared" si="3"/>
        <v>-0.73244147157191763</v>
      </c>
      <c r="L19" s="7" t="s">
        <v>291</v>
      </c>
      <c r="M19" s="49">
        <f t="shared" si="4"/>
        <v>0</v>
      </c>
    </row>
    <row r="20" spans="1:13" x14ac:dyDescent="0.35">
      <c r="A20" t="s">
        <v>47</v>
      </c>
      <c r="B20" s="7" t="s">
        <v>127</v>
      </c>
      <c r="C20" s="33" t="s">
        <v>246</v>
      </c>
      <c r="D20" s="34">
        <v>22.470345473649999</v>
      </c>
      <c r="E20" s="12">
        <v>22.470345473649999</v>
      </c>
      <c r="F20" s="41">
        <f t="shared" si="0"/>
        <v>22.470345473649999</v>
      </c>
      <c r="G20" s="12">
        <f t="shared" si="1"/>
        <v>0</v>
      </c>
      <c r="H20" s="12">
        <f t="shared" si="2"/>
        <v>-13.608800779816399</v>
      </c>
      <c r="I20" s="12"/>
      <c r="J20" s="47">
        <f>SUMIFS('PLAN BUDGET SAMI-JF'!BO13:BO100000,'PLAN BUDGET SAMI-JF'!D13:D100000,B20,'PLAN BUDGET SAMI-JF'!J13:J100000,A20&amp;"*")</f>
        <v>8.8615446938336007</v>
      </c>
      <c r="K20" s="35">
        <f t="shared" si="3"/>
        <v>-0.60563380281691037</v>
      </c>
      <c r="L20" s="7" t="s">
        <v>290</v>
      </c>
      <c r="M20" s="49">
        <f t="shared" si="4"/>
        <v>0</v>
      </c>
    </row>
    <row r="21" spans="1:13" x14ac:dyDescent="0.35">
      <c r="A21" t="s">
        <v>47</v>
      </c>
      <c r="B21" s="7" t="s">
        <v>134</v>
      </c>
      <c r="C21" s="33" t="s">
        <v>246</v>
      </c>
      <c r="D21" s="34">
        <v>0</v>
      </c>
      <c r="E21" s="12">
        <v>0</v>
      </c>
      <c r="F21" s="41">
        <f t="shared" si="0"/>
        <v>0</v>
      </c>
      <c r="G21" s="12">
        <f t="shared" si="1"/>
        <v>2.8483536515894001</v>
      </c>
      <c r="H21" s="12">
        <f t="shared" si="2"/>
        <v>0</v>
      </c>
      <c r="I21" s="12"/>
      <c r="J21" s="47">
        <f>SUMIFS('PLAN BUDGET SAMI-JF'!BO13:BO100000,'PLAN BUDGET SAMI-JF'!D13:D100000,B21,'PLAN BUDGET SAMI-JF'!J13:J100000,A21&amp;"*")</f>
        <v>2.8483536515894001</v>
      </c>
      <c r="K21" s="35">
        <f t="shared" si="3"/>
        <v>1</v>
      </c>
      <c r="L21" s="7" t="s">
        <v>290</v>
      </c>
      <c r="M21" s="49">
        <f t="shared" si="4"/>
        <v>0</v>
      </c>
    </row>
    <row r="22" spans="1:13" x14ac:dyDescent="0.35">
      <c r="A22" t="s">
        <v>47</v>
      </c>
      <c r="B22" s="7" t="s">
        <v>67</v>
      </c>
      <c r="C22" s="33" t="s">
        <v>246</v>
      </c>
      <c r="D22" s="34">
        <v>25.673160912992</v>
      </c>
      <c r="E22" s="12">
        <v>22.027268238958001</v>
      </c>
      <c r="F22" s="41">
        <f t="shared" si="0"/>
        <v>22.027268238958001</v>
      </c>
      <c r="G22" s="12">
        <f t="shared" si="1"/>
        <v>32.281341384679997</v>
      </c>
      <c r="H22" s="12">
        <f t="shared" si="2"/>
        <v>0</v>
      </c>
      <c r="I22" s="12"/>
      <c r="J22" s="47">
        <f>SUMIFS('PLAN BUDGET SAMI-JF'!BO13:BO100000,'PLAN BUDGET SAMI-JF'!D13:D100000,B22,'PLAN BUDGET SAMI-JF'!J13:J100000,A22&amp;"*")</f>
        <v>54.308609623637999</v>
      </c>
      <c r="K22" s="35">
        <f t="shared" si="3"/>
        <v>1.465517241379318</v>
      </c>
      <c r="L22" s="7" t="s">
        <v>290</v>
      </c>
      <c r="M22" s="49">
        <f t="shared" si="4"/>
        <v>0</v>
      </c>
    </row>
    <row r="23" spans="1:13" x14ac:dyDescent="0.35">
      <c r="A23" t="s">
        <v>47</v>
      </c>
      <c r="B23" s="7" t="s">
        <v>54</v>
      </c>
      <c r="C23" s="33" t="s">
        <v>246</v>
      </c>
      <c r="D23" s="34">
        <v>0</v>
      </c>
      <c r="E23" s="12">
        <v>0</v>
      </c>
      <c r="F23" s="41">
        <f t="shared" si="0"/>
        <v>0</v>
      </c>
      <c r="G23" s="12">
        <f t="shared" si="1"/>
        <v>529.16081171749295</v>
      </c>
      <c r="H23" s="12">
        <f t="shared" si="2"/>
        <v>0</v>
      </c>
      <c r="I23" s="12"/>
      <c r="J23" s="47">
        <f>SUMIFS('PLAN BUDGET SAMI-JF'!BO13:BO100000,'PLAN BUDGET SAMI-JF'!D13:D100000,B23,'PLAN BUDGET SAMI-JF'!J13:J100000,A23&amp;"*")</f>
        <v>529.16081171749295</v>
      </c>
      <c r="K23" s="35">
        <f t="shared" si="3"/>
        <v>1</v>
      </c>
      <c r="L23" s="7"/>
      <c r="M23" s="49">
        <f t="shared" si="4"/>
        <v>0</v>
      </c>
    </row>
    <row r="24" spans="1:13" x14ac:dyDescent="0.35">
      <c r="A24" t="s">
        <v>47</v>
      </c>
      <c r="B24" s="7" t="s">
        <v>43</v>
      </c>
      <c r="C24" s="33" t="s">
        <v>246</v>
      </c>
      <c r="D24" s="34">
        <v>237.35425923816001</v>
      </c>
      <c r="E24" s="12">
        <v>186.01401389997</v>
      </c>
      <c r="F24" s="41">
        <f t="shared" si="0"/>
        <v>186.01401389997</v>
      </c>
      <c r="G24" s="12">
        <f t="shared" si="1"/>
        <v>0</v>
      </c>
      <c r="H24" s="12">
        <f t="shared" si="2"/>
        <v>-5.0460800324109982</v>
      </c>
      <c r="I24" s="12"/>
      <c r="J24" s="47">
        <f>SUMIFS('PLAN BUDGET SAMI-JF'!BO13:BO100000,'PLAN BUDGET SAMI-JF'!D13:D100000,B24,'PLAN BUDGET SAMI-JF'!J13:J100000,A24&amp;"*")</f>
        <v>180.967933867559</v>
      </c>
      <c r="K24" s="35">
        <f t="shared" si="3"/>
        <v>-2.7127418663867735E-2</v>
      </c>
      <c r="L24" s="7" t="s">
        <v>289</v>
      </c>
      <c r="M24" s="49">
        <f t="shared" si="4"/>
        <v>0</v>
      </c>
    </row>
    <row r="25" spans="1:13" x14ac:dyDescent="0.35">
      <c r="A25" t="s">
        <v>47</v>
      </c>
      <c r="B25" s="7" t="s">
        <v>60</v>
      </c>
      <c r="C25" s="33" t="s">
        <v>246</v>
      </c>
      <c r="D25" s="34">
        <v>63.296747813096999</v>
      </c>
      <c r="E25" s="12">
        <v>58.233007988049998</v>
      </c>
      <c r="F25" s="41">
        <f t="shared" si="0"/>
        <v>58.233007988049998</v>
      </c>
      <c r="G25" s="12">
        <f t="shared" si="1"/>
        <v>1.7469902396410006</v>
      </c>
      <c r="H25" s="12">
        <f t="shared" si="2"/>
        <v>0</v>
      </c>
      <c r="I25" s="12"/>
      <c r="J25" s="47">
        <f>SUMIFS('PLAN BUDGET SAMI-JF'!BO13:BO100000,'PLAN BUDGET SAMI-JF'!D13:D100000,B25,'PLAN BUDGET SAMI-JF'!J13:J100000,A25&amp;"*")</f>
        <v>59.979998227690999</v>
      </c>
      <c r="K25" s="35">
        <f t="shared" si="3"/>
        <v>2.9999999999991426E-2</v>
      </c>
      <c r="L25" s="7" t="s">
        <v>291</v>
      </c>
      <c r="M25" s="49">
        <f t="shared" si="4"/>
        <v>0</v>
      </c>
    </row>
    <row r="26" spans="1:13" x14ac:dyDescent="0.35">
      <c r="A26" t="s">
        <v>47</v>
      </c>
      <c r="B26" s="7" t="s">
        <v>118</v>
      </c>
      <c r="C26" s="33" t="s">
        <v>246</v>
      </c>
      <c r="D26" s="34">
        <v>0</v>
      </c>
      <c r="E26" s="12">
        <v>0</v>
      </c>
      <c r="F26" s="41">
        <f t="shared" si="0"/>
        <v>0</v>
      </c>
      <c r="G26" s="12">
        <f t="shared" si="1"/>
        <v>110.76930867292</v>
      </c>
      <c r="H26" s="12">
        <f t="shared" si="2"/>
        <v>0</v>
      </c>
      <c r="I26" s="12"/>
      <c r="J26" s="47">
        <f>SUMIFS('PLAN BUDGET SAMI-JF'!BO13:BO100000,'PLAN BUDGET SAMI-JF'!D13:D100000,B26,'PLAN BUDGET SAMI-JF'!J13:J100000,A26&amp;"*")</f>
        <v>110.76930867292</v>
      </c>
      <c r="K26" s="35">
        <f t="shared" si="3"/>
        <v>1</v>
      </c>
      <c r="L26" s="7"/>
      <c r="M26" s="49">
        <f t="shared" si="4"/>
        <v>0</v>
      </c>
    </row>
    <row r="27" spans="1:13" x14ac:dyDescent="0.35">
      <c r="A27" t="s">
        <v>47</v>
      </c>
      <c r="B27" s="7" t="s">
        <v>97</v>
      </c>
      <c r="C27" s="33" t="s">
        <v>246</v>
      </c>
      <c r="D27" s="34">
        <v>0</v>
      </c>
      <c r="E27" s="12">
        <v>0</v>
      </c>
      <c r="F27" s="41">
        <f t="shared" si="0"/>
        <v>0</v>
      </c>
      <c r="G27" s="12">
        <f t="shared" si="1"/>
        <v>2.2786829212714999</v>
      </c>
      <c r="H27" s="12">
        <f t="shared" si="2"/>
        <v>0</v>
      </c>
      <c r="I27" s="12"/>
      <c r="J27" s="47">
        <f>SUMIFS('PLAN BUDGET SAMI-JF'!BO13:BO100000,'PLAN BUDGET SAMI-JF'!D13:D100000,B27,'PLAN BUDGET SAMI-JF'!J13:J100000,A27&amp;"*")</f>
        <v>2.2786829212714999</v>
      </c>
      <c r="K27" s="35">
        <f t="shared" si="3"/>
        <v>1</v>
      </c>
      <c r="L27" s="7" t="s">
        <v>290</v>
      </c>
      <c r="M27" s="49">
        <f t="shared" si="4"/>
        <v>0</v>
      </c>
    </row>
    <row r="28" spans="1:13" x14ac:dyDescent="0.35">
      <c r="A28" t="s">
        <v>47</v>
      </c>
      <c r="B28" s="7" t="s">
        <v>139</v>
      </c>
      <c r="C28" s="33" t="s">
        <v>246</v>
      </c>
      <c r="D28" s="34">
        <v>0</v>
      </c>
      <c r="E28" s="12">
        <v>0</v>
      </c>
      <c r="F28" s="41">
        <f t="shared" si="0"/>
        <v>0</v>
      </c>
      <c r="G28" s="12">
        <f t="shared" si="1"/>
        <v>1164.6601597609999</v>
      </c>
      <c r="H28" s="12">
        <f t="shared" si="2"/>
        <v>0</v>
      </c>
      <c r="I28" s="12"/>
      <c r="J28" s="47">
        <f>SUMIFS('PLAN BUDGET SAMI-JF'!BO13:BO100000,'PLAN BUDGET SAMI-JF'!D13:D100000,B28,'PLAN BUDGET SAMI-JF'!J13:J100000,A28&amp;"*")</f>
        <v>1164.6601597609999</v>
      </c>
      <c r="K28" s="35">
        <f t="shared" si="3"/>
        <v>1</v>
      </c>
      <c r="L28" s="7"/>
      <c r="M28" s="49">
        <f t="shared" si="4"/>
        <v>0</v>
      </c>
    </row>
    <row r="29" spans="1:13" x14ac:dyDescent="0.35">
      <c r="A29" t="s">
        <v>47</v>
      </c>
      <c r="B29" s="7" t="s">
        <v>144</v>
      </c>
      <c r="C29" s="33" t="s">
        <v>246</v>
      </c>
      <c r="D29" s="34">
        <v>284.83536515894002</v>
      </c>
      <c r="E29" s="12">
        <v>265.84634081501002</v>
      </c>
      <c r="F29" s="41">
        <f t="shared" si="0"/>
        <v>265.84634081501002</v>
      </c>
      <c r="G29" s="12">
        <f t="shared" si="1"/>
        <v>17.75473776156997</v>
      </c>
      <c r="H29" s="12">
        <f t="shared" si="2"/>
        <v>0</v>
      </c>
      <c r="I29" s="12"/>
      <c r="J29" s="47">
        <f>SUMIFS('PLAN BUDGET SAMI-JF'!BO13:BO100000,'PLAN BUDGET SAMI-JF'!D13:D100000,B29,'PLAN BUDGET SAMI-JF'!J13:J100000,A29&amp;"*")</f>
        <v>283.60107857657999</v>
      </c>
      <c r="K29" s="35">
        <f t="shared" si="3"/>
        <v>6.6785714285699571E-2</v>
      </c>
      <c r="L29" s="7"/>
      <c r="M29" s="49">
        <f t="shared" si="4"/>
        <v>0</v>
      </c>
    </row>
    <row r="30" spans="1:13" x14ac:dyDescent="0.35">
      <c r="A30" t="s">
        <v>47</v>
      </c>
      <c r="B30" s="7" t="s">
        <v>84</v>
      </c>
      <c r="C30" s="33" t="s">
        <v>246</v>
      </c>
      <c r="D30" s="34">
        <v>204.44849543629999</v>
      </c>
      <c r="E30" s="12">
        <v>88.615446938336007</v>
      </c>
      <c r="F30" s="41">
        <f t="shared" si="0"/>
        <v>88.615446938336007</v>
      </c>
      <c r="G30" s="12">
        <f t="shared" si="1"/>
        <v>0</v>
      </c>
      <c r="H30" s="12">
        <f t="shared" si="2"/>
        <v>0</v>
      </c>
      <c r="I30" s="12"/>
      <c r="J30" s="47">
        <f>SUMIFS('PLAN BUDGET SAMI-JF'!BO13:BO100000,'PLAN BUDGET SAMI-JF'!D13:D100000,B30,'PLAN BUDGET SAMI-JF'!J13:J100000,A30&amp;"*")</f>
        <v>88.615446938336007</v>
      </c>
      <c r="K30" s="35">
        <f t="shared" si="3"/>
        <v>0</v>
      </c>
      <c r="L30" s="7" t="s">
        <v>290</v>
      </c>
      <c r="M30" s="49">
        <f t="shared" si="4"/>
        <v>0</v>
      </c>
    </row>
    <row r="31" spans="1:13" x14ac:dyDescent="0.35">
      <c r="A31" t="s">
        <v>151</v>
      </c>
      <c r="B31" s="7" t="s">
        <v>148</v>
      </c>
      <c r="C31" s="33" t="s">
        <v>246</v>
      </c>
      <c r="D31" s="34">
        <v>0</v>
      </c>
      <c r="E31" s="12">
        <v>0</v>
      </c>
      <c r="F31" s="41">
        <f t="shared" si="0"/>
        <v>0</v>
      </c>
      <c r="G31" s="12">
        <f t="shared" si="1"/>
        <v>0</v>
      </c>
      <c r="H31" s="12">
        <f t="shared" si="2"/>
        <v>0</v>
      </c>
      <c r="I31" s="12"/>
      <c r="J31" s="47">
        <f>SUMIFS('PLAN BUDGET SAMI-JF'!BO13:BO100000,'PLAN BUDGET SAMI-JF'!D13:D100000,B31,'PLAN BUDGET SAMI-JF'!J13:J100000,A31&amp;"*")</f>
        <v>0</v>
      </c>
      <c r="K31" s="35">
        <f t="shared" si="3"/>
        <v>1</v>
      </c>
      <c r="L31" s="7" t="s">
        <v>290</v>
      </c>
      <c r="M31" s="49">
        <f t="shared" si="4"/>
        <v>0</v>
      </c>
    </row>
    <row r="32" spans="1:13" x14ac:dyDescent="0.35">
      <c r="A32" t="s">
        <v>198</v>
      </c>
      <c r="B32" s="7" t="s">
        <v>169</v>
      </c>
      <c r="C32" s="33" t="s">
        <v>246</v>
      </c>
      <c r="D32" s="34">
        <v>26.584634081501001</v>
      </c>
      <c r="E32" s="12">
        <v>24.685731647108</v>
      </c>
      <c r="F32" s="41">
        <f t="shared" si="0"/>
        <v>24.685731647108</v>
      </c>
      <c r="G32" s="12">
        <f t="shared" si="1"/>
        <v>0</v>
      </c>
      <c r="H32" s="12">
        <f t="shared" si="2"/>
        <v>-15.926854278227299</v>
      </c>
      <c r="I32" s="12"/>
      <c r="J32" s="47">
        <f>SUMIFS('PLAN BUDGET SAMI-JF'!BO13:BO100000,'PLAN BUDGET SAMI-JF'!D13:D100000,B32,'PLAN BUDGET SAMI-JF'!J13:J100000,A32&amp;"*")</f>
        <v>8.7588773688807002</v>
      </c>
      <c r="K32" s="35">
        <f t="shared" si="3"/>
        <v>-0.64518461538461935</v>
      </c>
      <c r="L32" s="7" t="s">
        <v>290</v>
      </c>
      <c r="M32" s="49">
        <f t="shared" si="4"/>
        <v>0</v>
      </c>
    </row>
    <row r="33" spans="1:13" x14ac:dyDescent="0.35">
      <c r="A33" t="s">
        <v>198</v>
      </c>
      <c r="B33" s="7" t="s">
        <v>153</v>
      </c>
      <c r="C33" s="33" t="s">
        <v>246</v>
      </c>
      <c r="D33" s="34">
        <v>120.31445824314</v>
      </c>
      <c r="E33" s="12">
        <v>120.01063385363</v>
      </c>
      <c r="F33" s="41">
        <f t="shared" si="0"/>
        <v>120.01063385363</v>
      </c>
      <c r="G33" s="12">
        <f t="shared" si="1"/>
        <v>273.0621700657</v>
      </c>
      <c r="H33" s="12">
        <f t="shared" si="2"/>
        <v>0</v>
      </c>
      <c r="I33" s="12"/>
      <c r="J33" s="47">
        <f>SUMIFS('PLAN BUDGET SAMI-JF'!BO13:BO100000,'PLAN BUDGET SAMI-JF'!D13:D100000,B33,'PLAN BUDGET SAMI-JF'!J13:J100000,A33&amp;"*")</f>
        <v>393.07280391933</v>
      </c>
      <c r="K33" s="35">
        <f t="shared" si="3"/>
        <v>2.2753164556962351</v>
      </c>
      <c r="L33" s="7" t="s">
        <v>290</v>
      </c>
      <c r="M33" s="49">
        <f t="shared" si="4"/>
        <v>0</v>
      </c>
    </row>
    <row r="34" spans="1:13" x14ac:dyDescent="0.35">
      <c r="A34" t="s">
        <v>198</v>
      </c>
      <c r="B34" s="7" t="s">
        <v>159</v>
      </c>
      <c r="C34" s="33" t="s">
        <v>246</v>
      </c>
      <c r="D34" s="34">
        <v>0</v>
      </c>
      <c r="E34" s="12">
        <v>0</v>
      </c>
      <c r="F34" s="41">
        <f t="shared" si="0"/>
        <v>0</v>
      </c>
      <c r="G34" s="12">
        <f t="shared" si="1"/>
        <v>8.5450609547681999</v>
      </c>
      <c r="H34" s="12">
        <f t="shared" si="2"/>
        <v>0</v>
      </c>
      <c r="I34" s="12"/>
      <c r="J34" s="47">
        <f>SUMIFS('PLAN BUDGET SAMI-JF'!BO13:BO100000,'PLAN BUDGET SAMI-JF'!D13:D100000,B34,'PLAN BUDGET SAMI-JF'!J13:J100000,A34&amp;"*")</f>
        <v>8.5450609547681999</v>
      </c>
      <c r="K34" s="35">
        <f t="shared" si="3"/>
        <v>1</v>
      </c>
      <c r="L34" s="7"/>
      <c r="M34" s="49">
        <f t="shared" si="4"/>
        <v>0</v>
      </c>
    </row>
    <row r="35" spans="1:13" x14ac:dyDescent="0.35">
      <c r="A35" t="s">
        <v>198</v>
      </c>
      <c r="B35" s="7" t="s">
        <v>172</v>
      </c>
      <c r="C35" s="33" t="s">
        <v>246</v>
      </c>
      <c r="D35" s="34">
        <v>102.22424771815</v>
      </c>
      <c r="E35" s="12">
        <v>68.676971377211004</v>
      </c>
      <c r="F35" s="41">
        <f t="shared" si="0"/>
        <v>68.676971377211004</v>
      </c>
      <c r="G35" s="12">
        <f t="shared" si="1"/>
        <v>0</v>
      </c>
      <c r="H35" s="12">
        <f t="shared" si="2"/>
        <v>-46.5452635043615</v>
      </c>
      <c r="I35" s="12"/>
      <c r="J35" s="47">
        <f>SUMIFS('PLAN BUDGET SAMI-JF'!BO13:BO100000,'PLAN BUDGET SAMI-JF'!D13:D100000,B35,'PLAN BUDGET SAMI-JF'!J13:J100000,A35&amp;"*")</f>
        <v>22.1317078728495</v>
      </c>
      <c r="K35" s="35">
        <f t="shared" si="3"/>
        <v>-0.67774193548387252</v>
      </c>
      <c r="L35" s="7"/>
      <c r="M35" s="49">
        <f t="shared" si="4"/>
        <v>0</v>
      </c>
    </row>
    <row r="36" spans="1:13" x14ac:dyDescent="0.35">
      <c r="A36" t="s">
        <v>198</v>
      </c>
      <c r="B36" s="7" t="s">
        <v>161</v>
      </c>
      <c r="C36" s="33" t="s">
        <v>246</v>
      </c>
      <c r="D36" s="34">
        <v>278.75887736888001</v>
      </c>
      <c r="E36" s="12">
        <v>255.46567417366001</v>
      </c>
      <c r="F36" s="41">
        <f t="shared" si="0"/>
        <v>255.46567417366001</v>
      </c>
      <c r="G36" s="12">
        <f t="shared" si="1"/>
        <v>0</v>
      </c>
      <c r="H36" s="12">
        <f t="shared" si="2"/>
        <v>-25.698479612116017</v>
      </c>
      <c r="I36" s="12"/>
      <c r="J36" s="47">
        <f>SUMIFS('PLAN BUDGET SAMI-JF'!BO13:BO100000,'PLAN BUDGET SAMI-JF'!D13:D100000,B36,'PLAN BUDGET SAMI-JF'!J13:J100000,A36&amp;"*")</f>
        <v>229.76719456154399</v>
      </c>
      <c r="K36" s="35">
        <f t="shared" si="3"/>
        <v>-0.10059464816649594</v>
      </c>
      <c r="L36" s="7"/>
      <c r="M36" s="49">
        <f t="shared" si="4"/>
        <v>0</v>
      </c>
    </row>
    <row r="37" spans="1:13" x14ac:dyDescent="0.35">
      <c r="A37" t="s">
        <v>199</v>
      </c>
      <c r="B37" s="7" t="s">
        <v>200</v>
      </c>
      <c r="C37" s="33" t="s">
        <v>246</v>
      </c>
      <c r="D37" s="34">
        <v>24524.324940185001</v>
      </c>
      <c r="E37" s="12">
        <v>24524.324940185001</v>
      </c>
      <c r="F37" s="41">
        <f t="shared" si="0"/>
        <v>24524.324940185001</v>
      </c>
      <c r="G37" s="12">
        <f t="shared" si="1"/>
        <v>0</v>
      </c>
      <c r="H37" s="12">
        <f t="shared" si="2"/>
        <v>-24524.324940185001</v>
      </c>
      <c r="I37" s="12"/>
      <c r="J37" s="47">
        <f>SUMIFS('PLAN BUDGET SAMI-JF'!BO13:BO100000,'PLAN BUDGET SAMI-JF'!D13:D100000,B37,'PLAN BUDGET SAMI-JF'!J13:J100000,A37&amp;"*")</f>
        <v>0</v>
      </c>
      <c r="K37" s="35">
        <f t="shared" si="3"/>
        <v>-1</v>
      </c>
      <c r="L37" s="7" t="s">
        <v>201</v>
      </c>
      <c r="M37" s="49">
        <f t="shared" si="4"/>
        <v>0</v>
      </c>
    </row>
    <row r="38" spans="1:13" x14ac:dyDescent="0.35">
      <c r="A38" t="s">
        <v>151</v>
      </c>
      <c r="B38" s="7" t="s">
        <v>202</v>
      </c>
      <c r="C38" s="33" t="s">
        <v>246</v>
      </c>
      <c r="D38" s="34">
        <v>0</v>
      </c>
      <c r="E38" s="12">
        <v>124.06162571367</v>
      </c>
      <c r="F38" s="41">
        <f t="shared" si="0"/>
        <v>124.06162571367</v>
      </c>
      <c r="G38" s="12">
        <f t="shared" si="1"/>
        <v>0</v>
      </c>
      <c r="H38" s="12">
        <f t="shared" si="2"/>
        <v>-124.06162571367</v>
      </c>
      <c r="I38" s="12"/>
      <c r="J38" s="47">
        <f>SUMIFS('PLAN BUDGET SAMI-JF'!BO13:BO100000,'PLAN BUDGET SAMI-JF'!D13:D100000,B38,'PLAN BUDGET SAMI-JF'!J13:J100000,A38&amp;"*")</f>
        <v>0</v>
      </c>
      <c r="K38" s="35">
        <f t="shared" si="3"/>
        <v>-1</v>
      </c>
      <c r="L38" s="7" t="s">
        <v>201</v>
      </c>
      <c r="M38" s="49">
        <f t="shared" si="4"/>
        <v>0</v>
      </c>
    </row>
    <row r="39" spans="1:13" x14ac:dyDescent="0.35">
      <c r="A39" t="s">
        <v>151</v>
      </c>
      <c r="B39" s="7" t="s">
        <v>203</v>
      </c>
      <c r="C39" s="33" t="s">
        <v>246</v>
      </c>
      <c r="D39" s="34">
        <v>75.956097375716993</v>
      </c>
      <c r="E39" s="12">
        <v>46.523109642626999</v>
      </c>
      <c r="F39" s="41">
        <f t="shared" si="0"/>
        <v>46.523109642626999</v>
      </c>
      <c r="G39" s="12">
        <f t="shared" si="1"/>
        <v>0</v>
      </c>
      <c r="H39" s="12">
        <f t="shared" si="2"/>
        <v>-46.523109642626999</v>
      </c>
      <c r="I39" s="12"/>
      <c r="J39" s="47">
        <f>SUMIFS('PLAN BUDGET SAMI-JF'!BO13:BO100000,'PLAN BUDGET SAMI-JF'!D13:D100000,B39,'PLAN BUDGET SAMI-JF'!J13:J100000,A39&amp;"*")</f>
        <v>0</v>
      </c>
      <c r="K39" s="35">
        <f t="shared" si="3"/>
        <v>-1</v>
      </c>
      <c r="L39" s="7" t="s">
        <v>201</v>
      </c>
      <c r="M39" s="49">
        <f t="shared" si="4"/>
        <v>0</v>
      </c>
    </row>
    <row r="40" spans="1:13" x14ac:dyDescent="0.35">
      <c r="A40" t="s">
        <v>151</v>
      </c>
      <c r="B40" s="7" t="s">
        <v>204</v>
      </c>
      <c r="C40" s="33" t="s">
        <v>246</v>
      </c>
      <c r="D40" s="34">
        <v>31.648373906549001</v>
      </c>
      <c r="E40" s="12">
        <v>28.483536515893999</v>
      </c>
      <c r="F40" s="41">
        <f t="shared" si="0"/>
        <v>28.483536515893999</v>
      </c>
      <c r="G40" s="12">
        <f t="shared" si="1"/>
        <v>0</v>
      </c>
      <c r="H40" s="12">
        <f t="shared" si="2"/>
        <v>-28.483536515893999</v>
      </c>
      <c r="I40" s="12"/>
      <c r="J40" s="47">
        <f>SUMIFS('PLAN BUDGET SAMI-JF'!BO13:BO100000,'PLAN BUDGET SAMI-JF'!D13:D100000,B40,'PLAN BUDGET SAMI-JF'!J13:J100000,A40&amp;"*")</f>
        <v>0</v>
      </c>
      <c r="K40" s="35">
        <f t="shared" si="3"/>
        <v>-1</v>
      </c>
      <c r="L40" s="7" t="s">
        <v>201</v>
      </c>
      <c r="M40" s="49">
        <f t="shared" si="4"/>
        <v>0</v>
      </c>
    </row>
    <row r="41" spans="1:13" x14ac:dyDescent="0.35">
      <c r="A41" t="s">
        <v>151</v>
      </c>
      <c r="B41" s="7" t="s">
        <v>205</v>
      </c>
      <c r="C41" s="33" t="s">
        <v>246</v>
      </c>
      <c r="D41" s="34">
        <v>0</v>
      </c>
      <c r="E41" s="12">
        <v>2.8103756029014999</v>
      </c>
      <c r="F41" s="41">
        <f t="shared" si="0"/>
        <v>2.8103756029014999</v>
      </c>
      <c r="G41" s="12">
        <f t="shared" si="1"/>
        <v>0</v>
      </c>
      <c r="H41" s="12">
        <f t="shared" si="2"/>
        <v>-2.8103756029014999</v>
      </c>
      <c r="I41" s="12"/>
      <c r="J41" s="47">
        <f>SUMIFS('PLAN BUDGET SAMI-JF'!BO13:BO100000,'PLAN BUDGET SAMI-JF'!D13:D100000,B41,'PLAN BUDGET SAMI-JF'!J13:J100000,A41&amp;"*")</f>
        <v>0</v>
      </c>
      <c r="K41" s="35">
        <f t="shared" si="3"/>
        <v>-1</v>
      </c>
      <c r="L41" s="7" t="s">
        <v>201</v>
      </c>
      <c r="M41" s="49">
        <f t="shared" si="4"/>
        <v>0</v>
      </c>
    </row>
    <row r="42" spans="1:13" x14ac:dyDescent="0.35">
      <c r="A42" t="s">
        <v>151</v>
      </c>
      <c r="B42" s="7" t="s">
        <v>206</v>
      </c>
      <c r="C42" s="33" t="s">
        <v>246</v>
      </c>
      <c r="D42" s="34">
        <v>8.3551707113289009</v>
      </c>
      <c r="E42" s="12">
        <v>8.3551707113289009</v>
      </c>
      <c r="F42" s="41">
        <f t="shared" si="0"/>
        <v>8.3551707113289009</v>
      </c>
      <c r="G42" s="12">
        <f t="shared" si="1"/>
        <v>0</v>
      </c>
      <c r="H42" s="12">
        <f t="shared" si="2"/>
        <v>-8.3551707113289009</v>
      </c>
      <c r="I42" s="12"/>
      <c r="J42" s="47">
        <f>SUMIFS('PLAN BUDGET SAMI-JF'!BO13:BO100000,'PLAN BUDGET SAMI-JF'!D13:D100000,B42,'PLAN BUDGET SAMI-JF'!J13:J100000,A42&amp;"*")</f>
        <v>0</v>
      </c>
      <c r="K42" s="35">
        <f t="shared" si="3"/>
        <v>-1</v>
      </c>
      <c r="L42" s="7" t="s">
        <v>201</v>
      </c>
      <c r="M42" s="49">
        <f t="shared" si="4"/>
        <v>0</v>
      </c>
    </row>
    <row r="43" spans="1:13" x14ac:dyDescent="0.35">
      <c r="A43" t="s">
        <v>151</v>
      </c>
      <c r="B43" s="7" t="s">
        <v>207</v>
      </c>
      <c r="C43" s="33" t="s">
        <v>246</v>
      </c>
      <c r="D43" s="34">
        <v>1313.4075171218001</v>
      </c>
      <c r="E43" s="12">
        <v>1170.9898345423001</v>
      </c>
      <c r="F43" s="41">
        <f t="shared" si="0"/>
        <v>1170.9898345423001</v>
      </c>
      <c r="G43" s="12">
        <f t="shared" si="1"/>
        <v>0</v>
      </c>
      <c r="H43" s="12">
        <f t="shared" si="2"/>
        <v>-1170.9898345423001</v>
      </c>
      <c r="I43" s="12"/>
      <c r="J43" s="47">
        <f>SUMIFS('PLAN BUDGET SAMI-JF'!BO13:BO100000,'PLAN BUDGET SAMI-JF'!D13:D100000,B43,'PLAN BUDGET SAMI-JF'!J13:J100000,A43&amp;"*")</f>
        <v>0</v>
      </c>
      <c r="K43" s="35">
        <f t="shared" si="3"/>
        <v>-1</v>
      </c>
      <c r="L43" s="7" t="s">
        <v>201</v>
      </c>
      <c r="M43" s="49">
        <f t="shared" si="4"/>
        <v>0</v>
      </c>
    </row>
    <row r="44" spans="1:13" x14ac:dyDescent="0.35">
      <c r="A44" t="s">
        <v>151</v>
      </c>
      <c r="B44" s="7" t="s">
        <v>208</v>
      </c>
      <c r="C44" s="33" t="s">
        <v>246</v>
      </c>
      <c r="D44" s="34">
        <v>50.637398250478</v>
      </c>
      <c r="E44" s="12">
        <v>50.637398250478</v>
      </c>
      <c r="F44" s="41">
        <f t="shared" si="0"/>
        <v>50.637398250478</v>
      </c>
      <c r="G44" s="12">
        <f t="shared" si="1"/>
        <v>0</v>
      </c>
      <c r="H44" s="12">
        <f t="shared" si="2"/>
        <v>-50.637398250478</v>
      </c>
      <c r="I44" s="12"/>
      <c r="J44" s="47">
        <f>SUMIFS('PLAN BUDGET SAMI-JF'!BO13:BO100000,'PLAN BUDGET SAMI-JF'!D13:D100000,B44,'PLAN BUDGET SAMI-JF'!J13:J100000,A44&amp;"*")</f>
        <v>0</v>
      </c>
      <c r="K44" s="35">
        <f t="shared" si="3"/>
        <v>-1</v>
      </c>
      <c r="L44" s="7" t="s">
        <v>201</v>
      </c>
      <c r="M44" s="49">
        <f t="shared" si="4"/>
        <v>0</v>
      </c>
    </row>
    <row r="45" spans="1:13" x14ac:dyDescent="0.35">
      <c r="A45" t="s">
        <v>151</v>
      </c>
      <c r="B45" s="7" t="s">
        <v>209</v>
      </c>
      <c r="C45" s="33" t="s">
        <v>246</v>
      </c>
      <c r="D45" s="34">
        <v>11.393414606358</v>
      </c>
      <c r="E45" s="12">
        <v>11.393414606358</v>
      </c>
      <c r="F45" s="41">
        <f t="shared" si="0"/>
        <v>11.393414606358</v>
      </c>
      <c r="G45" s="12">
        <f t="shared" si="1"/>
        <v>0</v>
      </c>
      <c r="H45" s="12">
        <f t="shared" si="2"/>
        <v>-11.393414606358</v>
      </c>
      <c r="I45" s="12"/>
      <c r="J45" s="47">
        <f>SUMIFS('PLAN BUDGET SAMI-JF'!BO13:BO100000,'PLAN BUDGET SAMI-JF'!D13:D100000,B45,'PLAN BUDGET SAMI-JF'!J13:J100000,A45&amp;"*")</f>
        <v>0</v>
      </c>
      <c r="K45" s="35">
        <f t="shared" si="3"/>
        <v>-1</v>
      </c>
      <c r="L45" s="7" t="s">
        <v>201</v>
      </c>
      <c r="M45" s="49">
        <f t="shared" si="4"/>
        <v>0</v>
      </c>
    </row>
    <row r="46" spans="1:13" x14ac:dyDescent="0.35">
      <c r="A46" t="s">
        <v>151</v>
      </c>
      <c r="B46" s="7" t="s">
        <v>210</v>
      </c>
      <c r="C46" s="33" t="s">
        <v>246</v>
      </c>
      <c r="D46" s="34">
        <v>0</v>
      </c>
      <c r="E46" s="12">
        <v>303.82438950287002</v>
      </c>
      <c r="F46" s="41">
        <f t="shared" ref="F46:F77" si="5">IF(C46="F",E46,E46/$E$12*$F$12)</f>
        <v>303.82438950287002</v>
      </c>
      <c r="G46" s="12">
        <f t="shared" ref="G46:G77" si="6">IF(F46&lt;J46,J46-F46,0)</f>
        <v>0</v>
      </c>
      <c r="H46" s="12">
        <f t="shared" ref="H46:H77" si="7">IF(F46&gt;J46,J46-F46,0)</f>
        <v>-303.82438950287002</v>
      </c>
      <c r="I46" s="12"/>
      <c r="J46" s="47">
        <f>SUMIFS('PLAN BUDGET SAMI-JF'!BO13:BO100000,'PLAN BUDGET SAMI-JF'!D13:D100000,B46,'PLAN BUDGET SAMI-JF'!J13:J100000,A46&amp;"*")</f>
        <v>0</v>
      </c>
      <c r="K46" s="35">
        <f t="shared" ref="K46:K77" si="8">IFERROR(IF(F46&gt;0,(J46-F46)/F46,100%),0)</f>
        <v>-1</v>
      </c>
      <c r="L46" s="7" t="s">
        <v>201</v>
      </c>
      <c r="M46" s="49">
        <f t="shared" ref="M46:M77" si="9">J46-SUM(F46:I46)</f>
        <v>0</v>
      </c>
    </row>
    <row r="47" spans="1:13" x14ac:dyDescent="0.35">
      <c r="A47" t="s">
        <v>151</v>
      </c>
      <c r="B47" s="7" t="s">
        <v>211</v>
      </c>
      <c r="C47" s="33" t="s">
        <v>246</v>
      </c>
      <c r="D47" s="34">
        <v>2060.2103983897</v>
      </c>
      <c r="E47" s="12">
        <v>1788.13312572</v>
      </c>
      <c r="F47" s="41">
        <f t="shared" si="5"/>
        <v>1788.13312572</v>
      </c>
      <c r="G47" s="12">
        <f t="shared" si="6"/>
        <v>0</v>
      </c>
      <c r="H47" s="12">
        <f t="shared" si="7"/>
        <v>-1788.13312572</v>
      </c>
      <c r="I47" s="12"/>
      <c r="J47" s="47">
        <f>SUMIFS('PLAN BUDGET SAMI-JF'!BO13:BO100000,'PLAN BUDGET SAMI-JF'!D13:D100000,B47,'PLAN BUDGET SAMI-JF'!J13:J100000,A47&amp;"*")</f>
        <v>0</v>
      </c>
      <c r="K47" s="35">
        <f t="shared" si="8"/>
        <v>-1</v>
      </c>
      <c r="L47" s="7" t="s">
        <v>201</v>
      </c>
      <c r="M47" s="49">
        <f t="shared" si="9"/>
        <v>0</v>
      </c>
    </row>
    <row r="48" spans="1:13" x14ac:dyDescent="0.35">
      <c r="A48" t="s">
        <v>151</v>
      </c>
      <c r="B48" s="7" t="s">
        <v>212</v>
      </c>
      <c r="C48" s="33" t="s">
        <v>246</v>
      </c>
      <c r="D48" s="34">
        <v>141.62976466269001</v>
      </c>
      <c r="E48" s="12">
        <v>175.96495892041</v>
      </c>
      <c r="F48" s="41">
        <f t="shared" si="5"/>
        <v>175.96495892041</v>
      </c>
      <c r="G48" s="12">
        <f t="shared" si="6"/>
        <v>0</v>
      </c>
      <c r="H48" s="12">
        <f t="shared" si="7"/>
        <v>-175.96495892041</v>
      </c>
      <c r="I48" s="12"/>
      <c r="J48" s="47">
        <f>SUMIFS('PLAN BUDGET SAMI-JF'!BO13:BO100000,'PLAN BUDGET SAMI-JF'!D13:D100000,B48,'PLAN BUDGET SAMI-JF'!J13:J100000,A48&amp;"*")</f>
        <v>0</v>
      </c>
      <c r="K48" s="35">
        <f t="shared" si="8"/>
        <v>-1</v>
      </c>
      <c r="L48" s="7" t="s">
        <v>201</v>
      </c>
      <c r="M48" s="49">
        <f t="shared" si="9"/>
        <v>0</v>
      </c>
    </row>
    <row r="49" spans="1:13" x14ac:dyDescent="0.35">
      <c r="A49" t="s">
        <v>151</v>
      </c>
      <c r="B49" s="7" t="s">
        <v>213</v>
      </c>
      <c r="C49" s="33" t="s">
        <v>246</v>
      </c>
      <c r="D49" s="34">
        <v>791.20934766372</v>
      </c>
      <c r="E49" s="12">
        <v>696.26422594406995</v>
      </c>
      <c r="F49" s="41">
        <f t="shared" si="5"/>
        <v>696.26422594406995</v>
      </c>
      <c r="G49" s="12">
        <f t="shared" si="6"/>
        <v>0</v>
      </c>
      <c r="H49" s="12">
        <f t="shared" si="7"/>
        <v>-696.26422594406995</v>
      </c>
      <c r="I49" s="12"/>
      <c r="J49" s="47">
        <f>SUMIFS('PLAN BUDGET SAMI-JF'!BO13:BO100000,'PLAN BUDGET SAMI-JF'!D13:D100000,B49,'PLAN BUDGET SAMI-JF'!J13:J100000,A49&amp;"*")</f>
        <v>0</v>
      </c>
      <c r="K49" s="35">
        <f t="shared" si="8"/>
        <v>-1</v>
      </c>
      <c r="L49" s="7" t="s">
        <v>201</v>
      </c>
      <c r="M49" s="49">
        <f t="shared" si="9"/>
        <v>0</v>
      </c>
    </row>
    <row r="50" spans="1:13" x14ac:dyDescent="0.35">
      <c r="A50" t="s">
        <v>151</v>
      </c>
      <c r="B50" s="7" t="s">
        <v>214</v>
      </c>
      <c r="C50" s="33" t="s">
        <v>246</v>
      </c>
      <c r="D50" s="34">
        <v>2848.3536515894002</v>
      </c>
      <c r="E50" s="12">
        <v>1784.9682883293001</v>
      </c>
      <c r="F50" s="41">
        <f t="shared" si="5"/>
        <v>1784.9682883293001</v>
      </c>
      <c r="G50" s="12">
        <f t="shared" si="6"/>
        <v>0</v>
      </c>
      <c r="H50" s="12">
        <f t="shared" si="7"/>
        <v>-1784.9682883293001</v>
      </c>
      <c r="I50" s="12"/>
      <c r="J50" s="47">
        <f>SUMIFS('PLAN BUDGET SAMI-JF'!BO13:BO100000,'PLAN BUDGET SAMI-JF'!D13:D100000,B50,'PLAN BUDGET SAMI-JF'!J13:J100000,A50&amp;"*")</f>
        <v>0</v>
      </c>
      <c r="K50" s="35">
        <f t="shared" si="8"/>
        <v>-1</v>
      </c>
      <c r="L50" s="7" t="s">
        <v>201</v>
      </c>
      <c r="M50" s="49">
        <f t="shared" si="9"/>
        <v>0</v>
      </c>
    </row>
    <row r="51" spans="1:13" x14ac:dyDescent="0.35">
      <c r="A51" t="s">
        <v>151</v>
      </c>
      <c r="B51" s="7" t="s">
        <v>215</v>
      </c>
      <c r="C51" s="33" t="s">
        <v>246</v>
      </c>
      <c r="D51" s="34">
        <v>224.70345473649999</v>
      </c>
      <c r="E51" s="12">
        <v>224.70345473649999</v>
      </c>
      <c r="F51" s="41">
        <f t="shared" si="5"/>
        <v>224.70345473649999</v>
      </c>
      <c r="G51" s="12">
        <f t="shared" si="6"/>
        <v>0</v>
      </c>
      <c r="H51" s="12">
        <f t="shared" si="7"/>
        <v>-224.70345473649999</v>
      </c>
      <c r="I51" s="12"/>
      <c r="J51" s="47">
        <f>SUMIFS('PLAN BUDGET SAMI-JF'!BO13:BO100000,'PLAN BUDGET SAMI-JF'!D13:D100000,B51,'PLAN BUDGET SAMI-JF'!J13:J100000,A51&amp;"*")</f>
        <v>0</v>
      </c>
      <c r="K51" s="35">
        <f t="shared" si="8"/>
        <v>-1</v>
      </c>
      <c r="L51" s="7" t="s">
        <v>201</v>
      </c>
      <c r="M51" s="49">
        <f t="shared" si="9"/>
        <v>0</v>
      </c>
    </row>
    <row r="52" spans="1:13" x14ac:dyDescent="0.35">
      <c r="A52" t="s">
        <v>151</v>
      </c>
      <c r="B52" s="7" t="s">
        <v>139</v>
      </c>
      <c r="C52" s="33" t="s">
        <v>246</v>
      </c>
      <c r="D52" s="34">
        <v>1424.1768257947001</v>
      </c>
      <c r="E52" s="12">
        <v>1746.9902396415</v>
      </c>
      <c r="F52" s="41">
        <f t="shared" si="5"/>
        <v>1746.9902396415</v>
      </c>
      <c r="G52" s="12">
        <f t="shared" si="6"/>
        <v>0</v>
      </c>
      <c r="H52" s="12">
        <f t="shared" si="7"/>
        <v>-1746.9902396415</v>
      </c>
      <c r="I52" s="12"/>
      <c r="J52" s="47">
        <f>SUMIFS('PLAN BUDGET SAMI-JF'!BO13:BO100000,'PLAN BUDGET SAMI-JF'!D13:D100000,B52,'PLAN BUDGET SAMI-JF'!J13:J100000,A52&amp;"*")</f>
        <v>0</v>
      </c>
      <c r="K52" s="35">
        <f t="shared" si="8"/>
        <v>-1</v>
      </c>
      <c r="L52" s="7" t="s">
        <v>201</v>
      </c>
      <c r="M52" s="49">
        <f t="shared" si="9"/>
        <v>0</v>
      </c>
    </row>
    <row r="53" spans="1:13" x14ac:dyDescent="0.35">
      <c r="A53" t="s">
        <v>151</v>
      </c>
      <c r="B53" s="7" t="s">
        <v>216</v>
      </c>
      <c r="C53" s="33" t="s">
        <v>246</v>
      </c>
      <c r="D53" s="34">
        <v>0</v>
      </c>
      <c r="E53" s="12">
        <v>39.598445431873998</v>
      </c>
      <c r="F53" s="41">
        <f t="shared" si="5"/>
        <v>39.598445431873998</v>
      </c>
      <c r="G53" s="12">
        <f t="shared" si="6"/>
        <v>0</v>
      </c>
      <c r="H53" s="12">
        <f t="shared" si="7"/>
        <v>-39.598445431873998</v>
      </c>
      <c r="I53" s="12"/>
      <c r="J53" s="47">
        <f>SUMIFS('PLAN BUDGET SAMI-JF'!BO13:BO100000,'PLAN BUDGET SAMI-JF'!D13:D100000,B53,'PLAN BUDGET SAMI-JF'!J13:J100000,A53&amp;"*")</f>
        <v>0</v>
      </c>
      <c r="K53" s="35">
        <f t="shared" si="8"/>
        <v>-1</v>
      </c>
      <c r="L53" s="7" t="s">
        <v>201</v>
      </c>
      <c r="M53" s="49">
        <f t="shared" si="9"/>
        <v>0</v>
      </c>
    </row>
    <row r="54" spans="1:13" x14ac:dyDescent="0.35">
      <c r="A54" t="s">
        <v>151</v>
      </c>
      <c r="B54" s="7" t="s">
        <v>217</v>
      </c>
      <c r="C54" s="33" t="s">
        <v>246</v>
      </c>
      <c r="D54" s="34">
        <v>104.43963389161</v>
      </c>
      <c r="E54" s="12">
        <v>104.43963389161</v>
      </c>
      <c r="F54" s="41">
        <f t="shared" si="5"/>
        <v>104.43963389161</v>
      </c>
      <c r="G54" s="12">
        <f t="shared" si="6"/>
        <v>0</v>
      </c>
      <c r="H54" s="12">
        <f t="shared" si="7"/>
        <v>-104.43963389161</v>
      </c>
      <c r="I54" s="12"/>
      <c r="J54" s="47">
        <f>SUMIFS('PLAN BUDGET SAMI-JF'!BO13:BO100000,'PLAN BUDGET SAMI-JF'!D13:D100000,B54,'PLAN BUDGET SAMI-JF'!J13:J100000,A54&amp;"*")</f>
        <v>0</v>
      </c>
      <c r="K54" s="35">
        <f t="shared" si="8"/>
        <v>-1</v>
      </c>
      <c r="L54" s="7" t="s">
        <v>201</v>
      </c>
      <c r="M54" s="49">
        <f t="shared" si="9"/>
        <v>0</v>
      </c>
    </row>
    <row r="55" spans="1:13" x14ac:dyDescent="0.35">
      <c r="A55" t="s">
        <v>151</v>
      </c>
      <c r="B55" s="7" t="s">
        <v>218</v>
      </c>
      <c r="C55" s="33" t="s">
        <v>246</v>
      </c>
      <c r="D55" s="34">
        <v>0</v>
      </c>
      <c r="E55" s="12">
        <v>345.63189143341998</v>
      </c>
      <c r="F55" s="41">
        <f t="shared" si="5"/>
        <v>345.63189143341998</v>
      </c>
      <c r="G55" s="12">
        <f t="shared" si="6"/>
        <v>0</v>
      </c>
      <c r="H55" s="12">
        <f t="shared" si="7"/>
        <v>-345.63189143341998</v>
      </c>
      <c r="I55" s="12"/>
      <c r="J55" s="47">
        <f>SUMIFS('PLAN BUDGET SAMI-JF'!BO13:BO100000,'PLAN BUDGET SAMI-JF'!D13:D100000,B55,'PLAN BUDGET SAMI-JF'!J13:J100000,A55&amp;"*")</f>
        <v>0</v>
      </c>
      <c r="K55" s="35">
        <f t="shared" si="8"/>
        <v>-1</v>
      </c>
      <c r="L55" s="7" t="s">
        <v>201</v>
      </c>
      <c r="M55" s="49">
        <f t="shared" si="9"/>
        <v>0</v>
      </c>
    </row>
    <row r="56" spans="1:13" x14ac:dyDescent="0.35">
      <c r="A56" t="s">
        <v>198</v>
      </c>
      <c r="B56" s="7" t="s">
        <v>219</v>
      </c>
      <c r="C56" s="33" t="s">
        <v>246</v>
      </c>
      <c r="D56" s="34">
        <v>112.94253921233999</v>
      </c>
      <c r="E56" s="12">
        <v>99.831757244312996</v>
      </c>
      <c r="F56" s="41">
        <f t="shared" si="5"/>
        <v>99.831757244312996</v>
      </c>
      <c r="G56" s="12">
        <f t="shared" si="6"/>
        <v>0</v>
      </c>
      <c r="H56" s="12">
        <f t="shared" si="7"/>
        <v>-99.831757244312996</v>
      </c>
      <c r="I56" s="12"/>
      <c r="J56" s="47">
        <f>SUMIFS('PLAN BUDGET SAMI-JF'!BO13:BO100000,'PLAN BUDGET SAMI-JF'!D13:D100000,B56,'PLAN BUDGET SAMI-JF'!J13:J100000,A56&amp;"*")</f>
        <v>0</v>
      </c>
      <c r="K56" s="35">
        <f t="shared" si="8"/>
        <v>-1</v>
      </c>
      <c r="L56" s="7" t="s">
        <v>201</v>
      </c>
      <c r="M56" s="49">
        <f t="shared" si="9"/>
        <v>0</v>
      </c>
    </row>
    <row r="57" spans="1:13" x14ac:dyDescent="0.35">
      <c r="A57" t="s">
        <v>47</v>
      </c>
      <c r="B57" s="7" t="s">
        <v>202</v>
      </c>
      <c r="C57" s="33" t="s">
        <v>246</v>
      </c>
      <c r="D57" s="34">
        <v>0</v>
      </c>
      <c r="E57" s="12">
        <v>62.030812856834999</v>
      </c>
      <c r="F57" s="41">
        <f t="shared" si="5"/>
        <v>62.030812856834999</v>
      </c>
      <c r="G57" s="12">
        <f t="shared" si="6"/>
        <v>0</v>
      </c>
      <c r="H57" s="12">
        <f t="shared" si="7"/>
        <v>-62.030812856834999</v>
      </c>
      <c r="I57" s="12"/>
      <c r="J57" s="47">
        <f>SUMIFS('PLAN BUDGET SAMI-JF'!BO13:BO100000,'PLAN BUDGET SAMI-JF'!D13:D100000,B57,'PLAN BUDGET SAMI-JF'!J13:J100000,A57&amp;"*")</f>
        <v>0</v>
      </c>
      <c r="K57" s="35">
        <f t="shared" si="8"/>
        <v>-1</v>
      </c>
      <c r="L57" s="7" t="s">
        <v>201</v>
      </c>
      <c r="M57" s="49">
        <f t="shared" si="9"/>
        <v>0</v>
      </c>
    </row>
    <row r="58" spans="1:13" x14ac:dyDescent="0.35">
      <c r="A58" t="s">
        <v>47</v>
      </c>
      <c r="B58" s="7" t="s">
        <v>220</v>
      </c>
      <c r="C58" s="33" t="s">
        <v>246</v>
      </c>
      <c r="D58" s="34">
        <v>1103.7499525274</v>
      </c>
      <c r="E58" s="12">
        <v>1103.7499525274</v>
      </c>
      <c r="F58" s="41">
        <f t="shared" si="5"/>
        <v>1103.7499525274</v>
      </c>
      <c r="G58" s="12">
        <f t="shared" si="6"/>
        <v>0</v>
      </c>
      <c r="H58" s="12">
        <f t="shared" si="7"/>
        <v>-1103.7499525274</v>
      </c>
      <c r="I58" s="12"/>
      <c r="J58" s="47">
        <f>SUMIFS('PLAN BUDGET SAMI-JF'!BO13:BO100000,'PLAN BUDGET SAMI-JF'!D13:D100000,B58,'PLAN BUDGET SAMI-JF'!J13:J100000,A58&amp;"*")</f>
        <v>0</v>
      </c>
      <c r="K58" s="35">
        <f t="shared" si="8"/>
        <v>-1</v>
      </c>
      <c r="L58" s="7" t="s">
        <v>201</v>
      </c>
      <c r="M58" s="49">
        <f t="shared" si="9"/>
        <v>0</v>
      </c>
    </row>
    <row r="59" spans="1:13" x14ac:dyDescent="0.35">
      <c r="A59" t="s">
        <v>47</v>
      </c>
      <c r="B59" s="7" t="s">
        <v>221</v>
      </c>
      <c r="C59" s="33" t="s">
        <v>246</v>
      </c>
      <c r="D59" s="34">
        <v>224.37431164787</v>
      </c>
      <c r="E59" s="12">
        <v>132.92317040750001</v>
      </c>
      <c r="F59" s="41">
        <f t="shared" si="5"/>
        <v>132.92317040750001</v>
      </c>
      <c r="G59" s="12">
        <f t="shared" si="6"/>
        <v>0</v>
      </c>
      <c r="H59" s="12">
        <f t="shared" si="7"/>
        <v>-132.92317040750001</v>
      </c>
      <c r="I59" s="12"/>
      <c r="J59" s="47">
        <f>SUMIFS('PLAN BUDGET SAMI-JF'!BO13:BO100000,'PLAN BUDGET SAMI-JF'!D13:D100000,B59,'PLAN BUDGET SAMI-JF'!J13:J100000,A59&amp;"*")</f>
        <v>0</v>
      </c>
      <c r="K59" s="35">
        <f t="shared" si="8"/>
        <v>-1</v>
      </c>
      <c r="L59" s="7" t="s">
        <v>201</v>
      </c>
      <c r="M59" s="49">
        <f t="shared" si="9"/>
        <v>0</v>
      </c>
    </row>
    <row r="60" spans="1:13" x14ac:dyDescent="0.35">
      <c r="A60" t="s">
        <v>47</v>
      </c>
      <c r="B60" s="7" t="s">
        <v>148</v>
      </c>
      <c r="C60" s="33" t="s">
        <v>246</v>
      </c>
      <c r="D60" s="34">
        <v>374.46356006228001</v>
      </c>
      <c r="E60" s="12">
        <v>212.67707265201</v>
      </c>
      <c r="F60" s="41">
        <f t="shared" si="5"/>
        <v>212.67707265201</v>
      </c>
      <c r="G60" s="12">
        <f t="shared" si="6"/>
        <v>0</v>
      </c>
      <c r="H60" s="12">
        <f t="shared" si="7"/>
        <v>-212.67707265201</v>
      </c>
      <c r="I60" s="12"/>
      <c r="J60" s="47">
        <f>SUMIFS('PLAN BUDGET SAMI-JF'!BO13:BO100000,'PLAN BUDGET SAMI-JF'!D13:D100000,B60,'PLAN BUDGET SAMI-JF'!J13:J100000,A60&amp;"*")</f>
        <v>0</v>
      </c>
      <c r="K60" s="35">
        <f t="shared" si="8"/>
        <v>-1</v>
      </c>
      <c r="L60" s="7" t="s">
        <v>201</v>
      </c>
      <c r="M60" s="49">
        <f t="shared" si="9"/>
        <v>0</v>
      </c>
    </row>
    <row r="61" spans="1:13" x14ac:dyDescent="0.35">
      <c r="A61" t="s">
        <v>47</v>
      </c>
      <c r="B61" s="7" t="s">
        <v>222</v>
      </c>
      <c r="C61" s="33" t="s">
        <v>246</v>
      </c>
      <c r="D61" s="34">
        <v>0</v>
      </c>
      <c r="E61" s="12">
        <v>3.7978048687857999</v>
      </c>
      <c r="F61" s="41">
        <f t="shared" si="5"/>
        <v>3.7978048687857999</v>
      </c>
      <c r="G61" s="12">
        <f t="shared" si="6"/>
        <v>0</v>
      </c>
      <c r="H61" s="12">
        <f t="shared" si="7"/>
        <v>-3.7978048687857999</v>
      </c>
      <c r="I61" s="12"/>
      <c r="J61" s="47">
        <f>SUMIFS('PLAN BUDGET SAMI-JF'!BO13:BO100000,'PLAN BUDGET SAMI-JF'!D13:D100000,B61,'PLAN BUDGET SAMI-JF'!J13:J100000,A61&amp;"*")</f>
        <v>0</v>
      </c>
      <c r="K61" s="35">
        <f t="shared" si="8"/>
        <v>-1</v>
      </c>
      <c r="L61" s="7" t="s">
        <v>201</v>
      </c>
      <c r="M61" s="49">
        <f t="shared" si="9"/>
        <v>0</v>
      </c>
    </row>
    <row r="62" spans="1:13" x14ac:dyDescent="0.35">
      <c r="A62" t="s">
        <v>47</v>
      </c>
      <c r="B62" s="7" t="s">
        <v>223</v>
      </c>
      <c r="C62" s="33" t="s">
        <v>246</v>
      </c>
      <c r="D62" s="34">
        <v>506.37398250477997</v>
      </c>
      <c r="E62" s="12">
        <v>506.37398250477997</v>
      </c>
      <c r="F62" s="41">
        <f t="shared" si="5"/>
        <v>506.37398250477997</v>
      </c>
      <c r="G62" s="12">
        <f t="shared" si="6"/>
        <v>0</v>
      </c>
      <c r="H62" s="12">
        <f t="shared" si="7"/>
        <v>-506.37398250477997</v>
      </c>
      <c r="I62" s="12"/>
      <c r="J62" s="47">
        <f>SUMIFS('PLAN BUDGET SAMI-JF'!BO13:BO100000,'PLAN BUDGET SAMI-JF'!D13:D100000,B62,'PLAN BUDGET SAMI-JF'!J13:J100000,A62&amp;"*")</f>
        <v>0</v>
      </c>
      <c r="K62" s="35">
        <f t="shared" si="8"/>
        <v>-1</v>
      </c>
      <c r="L62" s="7" t="s">
        <v>201</v>
      </c>
      <c r="M62" s="49">
        <f t="shared" si="9"/>
        <v>0</v>
      </c>
    </row>
    <row r="63" spans="1:13" x14ac:dyDescent="0.35">
      <c r="A63" t="s">
        <v>47</v>
      </c>
      <c r="B63" s="7" t="s">
        <v>169</v>
      </c>
      <c r="C63" s="33" t="s">
        <v>246</v>
      </c>
      <c r="D63" s="34">
        <v>45.573658425429997</v>
      </c>
      <c r="E63" s="12">
        <v>34.180243819072999</v>
      </c>
      <c r="F63" s="41">
        <f t="shared" si="5"/>
        <v>34.180243819072999</v>
      </c>
      <c r="G63" s="12">
        <f t="shared" si="6"/>
        <v>0</v>
      </c>
      <c r="H63" s="12">
        <f t="shared" si="7"/>
        <v>-34.180243819072999</v>
      </c>
      <c r="I63" s="12"/>
      <c r="J63" s="47">
        <f>SUMIFS('PLAN BUDGET SAMI-JF'!BO13:BO100000,'PLAN BUDGET SAMI-JF'!D13:D100000,B63,'PLAN BUDGET SAMI-JF'!J13:J100000,A63&amp;"*")</f>
        <v>0</v>
      </c>
      <c r="K63" s="35">
        <f t="shared" si="8"/>
        <v>-1</v>
      </c>
      <c r="L63" s="7" t="s">
        <v>201</v>
      </c>
      <c r="M63" s="49">
        <f t="shared" si="9"/>
        <v>0</v>
      </c>
    </row>
    <row r="64" spans="1:13" x14ac:dyDescent="0.35">
      <c r="A64" t="s">
        <v>47</v>
      </c>
      <c r="B64" s="7" t="s">
        <v>210</v>
      </c>
      <c r="C64" s="33" t="s">
        <v>246</v>
      </c>
      <c r="D64" s="34">
        <v>7982.1211033923</v>
      </c>
      <c r="E64" s="12">
        <v>3240.9639426278</v>
      </c>
      <c r="F64" s="41">
        <f t="shared" si="5"/>
        <v>3240.9639426278</v>
      </c>
      <c r="G64" s="12">
        <f t="shared" si="6"/>
        <v>0</v>
      </c>
      <c r="H64" s="12">
        <f t="shared" si="7"/>
        <v>-3240.9639426278</v>
      </c>
      <c r="I64" s="12"/>
      <c r="J64" s="47">
        <f>SUMIFS('PLAN BUDGET SAMI-JF'!BO13:BO100000,'PLAN BUDGET SAMI-JF'!D13:D100000,B64,'PLAN BUDGET SAMI-JF'!J13:J100000,A64&amp;"*")</f>
        <v>0</v>
      </c>
      <c r="K64" s="35">
        <f t="shared" si="8"/>
        <v>-1</v>
      </c>
      <c r="L64" s="7" t="s">
        <v>201</v>
      </c>
      <c r="M64" s="49">
        <f t="shared" si="9"/>
        <v>0</v>
      </c>
    </row>
    <row r="65" spans="1:13" x14ac:dyDescent="0.35">
      <c r="A65" t="s">
        <v>47</v>
      </c>
      <c r="B65" s="7" t="s">
        <v>224</v>
      </c>
      <c r="C65" s="33" t="s">
        <v>246</v>
      </c>
      <c r="D65" s="34">
        <v>18.989024343929</v>
      </c>
      <c r="E65" s="12">
        <v>18.989024343929</v>
      </c>
      <c r="F65" s="41">
        <f t="shared" si="5"/>
        <v>18.989024343929</v>
      </c>
      <c r="G65" s="12">
        <f t="shared" si="6"/>
        <v>0</v>
      </c>
      <c r="H65" s="12">
        <f t="shared" si="7"/>
        <v>-18.989024343929</v>
      </c>
      <c r="I65" s="12"/>
      <c r="J65" s="47">
        <f>SUMIFS('PLAN BUDGET SAMI-JF'!BO13:BO100000,'PLAN BUDGET SAMI-JF'!D13:D100000,B65,'PLAN BUDGET SAMI-JF'!J13:J100000,A65&amp;"*")</f>
        <v>0</v>
      </c>
      <c r="K65" s="35">
        <f t="shared" si="8"/>
        <v>-1</v>
      </c>
      <c r="L65" s="7" t="s">
        <v>201</v>
      </c>
      <c r="M65" s="49">
        <f t="shared" si="9"/>
        <v>0</v>
      </c>
    </row>
    <row r="66" spans="1:13" x14ac:dyDescent="0.35">
      <c r="A66" t="s">
        <v>47</v>
      </c>
      <c r="B66" s="7" t="s">
        <v>225</v>
      </c>
      <c r="C66" s="33" t="s">
        <v>246</v>
      </c>
      <c r="D66" s="34">
        <v>3459.1672679858002</v>
      </c>
      <c r="E66" s="12">
        <v>1729.5836339929001</v>
      </c>
      <c r="F66" s="41">
        <f t="shared" si="5"/>
        <v>1729.5836339929001</v>
      </c>
      <c r="G66" s="12">
        <f t="shared" si="6"/>
        <v>0</v>
      </c>
      <c r="H66" s="12">
        <f t="shared" si="7"/>
        <v>-1729.5836339929001</v>
      </c>
      <c r="I66" s="12"/>
      <c r="J66" s="47">
        <f>SUMIFS('PLAN BUDGET SAMI-JF'!BO13:BO100000,'PLAN BUDGET SAMI-JF'!D13:D100000,B66,'PLAN BUDGET SAMI-JF'!J13:J100000,A66&amp;"*")</f>
        <v>0</v>
      </c>
      <c r="K66" s="35">
        <f t="shared" si="8"/>
        <v>-1</v>
      </c>
      <c r="L66" s="7" t="s">
        <v>201</v>
      </c>
      <c r="M66" s="49">
        <f t="shared" si="9"/>
        <v>0</v>
      </c>
    </row>
    <row r="67" spans="1:13" x14ac:dyDescent="0.35">
      <c r="A67" t="s">
        <v>47</v>
      </c>
      <c r="B67" s="7" t="s">
        <v>226</v>
      </c>
      <c r="C67" s="33" t="s">
        <v>246</v>
      </c>
      <c r="D67" s="34">
        <v>0</v>
      </c>
      <c r="E67" s="12">
        <v>0.82285772157027004</v>
      </c>
      <c r="F67" s="41">
        <f t="shared" si="5"/>
        <v>0.82285772157027004</v>
      </c>
      <c r="G67" s="12">
        <f t="shared" si="6"/>
        <v>0</v>
      </c>
      <c r="H67" s="12">
        <f t="shared" si="7"/>
        <v>-0.82285772157027004</v>
      </c>
      <c r="I67" s="12"/>
      <c r="J67" s="47">
        <f>SUMIFS('PLAN BUDGET SAMI-JF'!BO13:BO100000,'PLAN BUDGET SAMI-JF'!D13:D100000,B67,'PLAN BUDGET SAMI-JF'!J13:J100000,A67&amp;"*")</f>
        <v>0</v>
      </c>
      <c r="K67" s="35">
        <f t="shared" si="8"/>
        <v>-1</v>
      </c>
      <c r="L67" s="7" t="s">
        <v>201</v>
      </c>
      <c r="M67" s="49">
        <f t="shared" si="9"/>
        <v>0</v>
      </c>
    </row>
    <row r="68" spans="1:13" x14ac:dyDescent="0.35">
      <c r="A68" t="s">
        <v>47</v>
      </c>
      <c r="B68" s="7" t="s">
        <v>227</v>
      </c>
      <c r="C68" s="33" t="s">
        <v>246</v>
      </c>
      <c r="D68" s="34">
        <v>3762.5376624988999</v>
      </c>
      <c r="E68" s="12">
        <v>2657.9547095119001</v>
      </c>
      <c r="F68" s="41">
        <f t="shared" si="5"/>
        <v>2657.9547095119001</v>
      </c>
      <c r="G68" s="12">
        <f t="shared" si="6"/>
        <v>0</v>
      </c>
      <c r="H68" s="12">
        <f t="shared" si="7"/>
        <v>-2657.9547095119001</v>
      </c>
      <c r="I68" s="12"/>
      <c r="J68" s="47">
        <f>SUMIFS('PLAN BUDGET SAMI-JF'!BO13:BO100000,'PLAN BUDGET SAMI-JF'!D13:D100000,B68,'PLAN BUDGET SAMI-JF'!J13:J100000,A68&amp;"*")</f>
        <v>0</v>
      </c>
      <c r="K68" s="35">
        <f t="shared" si="8"/>
        <v>-1</v>
      </c>
      <c r="L68" s="7" t="s">
        <v>201</v>
      </c>
      <c r="M68" s="49">
        <f t="shared" si="9"/>
        <v>0</v>
      </c>
    </row>
    <row r="69" spans="1:13" x14ac:dyDescent="0.35">
      <c r="A69" t="s">
        <v>47</v>
      </c>
      <c r="B69" s="7" t="s">
        <v>228</v>
      </c>
      <c r="C69" s="33" t="s">
        <v>246</v>
      </c>
      <c r="D69" s="34">
        <v>101.30644487486001</v>
      </c>
      <c r="E69" s="12">
        <v>96.701606471459002</v>
      </c>
      <c r="F69" s="41">
        <f t="shared" si="5"/>
        <v>96.701606471459002</v>
      </c>
      <c r="G69" s="12">
        <f t="shared" si="6"/>
        <v>0</v>
      </c>
      <c r="H69" s="12">
        <f t="shared" si="7"/>
        <v>-96.701606471459002</v>
      </c>
      <c r="I69" s="12"/>
      <c r="J69" s="47">
        <f>SUMIFS('PLAN BUDGET SAMI-JF'!BO13:BO100000,'PLAN BUDGET SAMI-JF'!D13:D100000,B69,'PLAN BUDGET SAMI-JF'!J13:J100000,A69&amp;"*")</f>
        <v>0</v>
      </c>
      <c r="K69" s="35">
        <f t="shared" si="8"/>
        <v>-1</v>
      </c>
      <c r="L69" s="7" t="s">
        <v>201</v>
      </c>
      <c r="M69" s="49">
        <f t="shared" si="9"/>
        <v>0</v>
      </c>
    </row>
    <row r="70" spans="1:13" x14ac:dyDescent="0.35">
      <c r="A70" t="s">
        <v>47</v>
      </c>
      <c r="B70" s="7" t="s">
        <v>229</v>
      </c>
      <c r="C70" s="33" t="s">
        <v>246</v>
      </c>
      <c r="D70" s="34">
        <v>0</v>
      </c>
      <c r="E70" s="12">
        <v>5.5231476206751999</v>
      </c>
      <c r="F70" s="41">
        <f t="shared" si="5"/>
        <v>5.5231476206751999</v>
      </c>
      <c r="G70" s="12">
        <f t="shared" si="6"/>
        <v>0</v>
      </c>
      <c r="H70" s="12">
        <f t="shared" si="7"/>
        <v>-5.5231476206751999</v>
      </c>
      <c r="I70" s="12"/>
      <c r="J70" s="47">
        <f>SUMIFS('PLAN BUDGET SAMI-JF'!BO13:BO100000,'PLAN BUDGET SAMI-JF'!D13:D100000,B70,'PLAN BUDGET SAMI-JF'!J13:J100000,A70&amp;"*")</f>
        <v>0</v>
      </c>
      <c r="K70" s="35">
        <f t="shared" si="8"/>
        <v>-1</v>
      </c>
      <c r="L70" s="7" t="s">
        <v>201</v>
      </c>
      <c r="M70" s="49">
        <f t="shared" si="9"/>
        <v>0</v>
      </c>
    </row>
    <row r="71" spans="1:13" x14ac:dyDescent="0.35">
      <c r="A71" t="s">
        <v>47</v>
      </c>
      <c r="B71" s="7" t="s">
        <v>230</v>
      </c>
      <c r="C71" s="33" t="s">
        <v>246</v>
      </c>
      <c r="D71" s="34">
        <v>0</v>
      </c>
      <c r="E71" s="12">
        <v>1.7723089387666999</v>
      </c>
      <c r="F71" s="41">
        <f t="shared" si="5"/>
        <v>1.7723089387666999</v>
      </c>
      <c r="G71" s="12">
        <f t="shared" si="6"/>
        <v>0</v>
      </c>
      <c r="H71" s="12">
        <f t="shared" si="7"/>
        <v>-1.7723089387666999</v>
      </c>
      <c r="I71" s="12"/>
      <c r="J71" s="47">
        <f>SUMIFS('PLAN BUDGET SAMI-JF'!BO13:BO100000,'PLAN BUDGET SAMI-JF'!D13:D100000,B71,'PLAN BUDGET SAMI-JF'!J13:J100000,A71&amp;"*")</f>
        <v>0</v>
      </c>
      <c r="K71" s="35">
        <f t="shared" si="8"/>
        <v>-1</v>
      </c>
      <c r="L71" s="7" t="s">
        <v>201</v>
      </c>
      <c r="M71" s="49">
        <f t="shared" si="9"/>
        <v>0</v>
      </c>
    </row>
    <row r="72" spans="1:13" x14ac:dyDescent="0.35">
      <c r="A72" t="s">
        <v>47</v>
      </c>
      <c r="B72" s="7" t="s">
        <v>231</v>
      </c>
      <c r="C72" s="33" t="s">
        <v>246</v>
      </c>
      <c r="D72" s="34">
        <v>1288.0888179965</v>
      </c>
      <c r="E72" s="12">
        <v>351.29695036268998</v>
      </c>
      <c r="F72" s="41">
        <f t="shared" si="5"/>
        <v>351.29695036268998</v>
      </c>
      <c r="G72" s="12">
        <f t="shared" si="6"/>
        <v>0</v>
      </c>
      <c r="H72" s="12">
        <f t="shared" si="7"/>
        <v>-351.29695036268998</v>
      </c>
      <c r="I72" s="12"/>
      <c r="J72" s="47">
        <f>SUMIFS('PLAN BUDGET SAMI-JF'!BO13:BO100000,'PLAN BUDGET SAMI-JF'!D13:D100000,B72,'PLAN BUDGET SAMI-JF'!J13:J100000,A72&amp;"*")</f>
        <v>0</v>
      </c>
      <c r="K72" s="35">
        <f t="shared" si="8"/>
        <v>-1</v>
      </c>
      <c r="L72" s="7" t="s">
        <v>201</v>
      </c>
      <c r="M72" s="49">
        <f t="shared" si="9"/>
        <v>0</v>
      </c>
    </row>
    <row r="73" spans="1:13" x14ac:dyDescent="0.35">
      <c r="A73" t="s">
        <v>47</v>
      </c>
      <c r="B73" s="7" t="s">
        <v>232</v>
      </c>
      <c r="C73" s="33" t="s">
        <v>246</v>
      </c>
      <c r="D73" s="34">
        <v>19.938475561126001</v>
      </c>
      <c r="E73" s="12">
        <v>19.938475561126001</v>
      </c>
      <c r="F73" s="41">
        <f t="shared" si="5"/>
        <v>19.938475561126001</v>
      </c>
      <c r="G73" s="12">
        <f t="shared" si="6"/>
        <v>0</v>
      </c>
      <c r="H73" s="12">
        <f t="shared" si="7"/>
        <v>-19.938475561126001</v>
      </c>
      <c r="I73" s="12"/>
      <c r="J73" s="47">
        <f>SUMIFS('PLAN BUDGET SAMI-JF'!BO13:BO100000,'PLAN BUDGET SAMI-JF'!D13:D100000,B73,'PLAN BUDGET SAMI-JF'!J13:J100000,A73&amp;"*")</f>
        <v>0</v>
      </c>
      <c r="K73" s="35">
        <f t="shared" si="8"/>
        <v>-1</v>
      </c>
      <c r="L73" s="7" t="s">
        <v>201</v>
      </c>
      <c r="M73" s="49">
        <f t="shared" si="9"/>
        <v>0</v>
      </c>
    </row>
    <row r="74" spans="1:13" x14ac:dyDescent="0.35">
      <c r="A74" t="s">
        <v>47</v>
      </c>
      <c r="B74" s="7" t="s">
        <v>233</v>
      </c>
      <c r="C74" s="33" t="s">
        <v>246</v>
      </c>
      <c r="D74" s="34">
        <v>189.89024343929</v>
      </c>
      <c r="E74" s="12">
        <v>189.89024343929</v>
      </c>
      <c r="F74" s="41">
        <f t="shared" si="5"/>
        <v>189.89024343929</v>
      </c>
      <c r="G74" s="12">
        <f t="shared" si="6"/>
        <v>0</v>
      </c>
      <c r="H74" s="12">
        <f t="shared" si="7"/>
        <v>-189.89024343929</v>
      </c>
      <c r="I74" s="12"/>
      <c r="J74" s="47">
        <f>SUMIFS('PLAN BUDGET SAMI-JF'!BO13:BO100000,'PLAN BUDGET SAMI-JF'!D13:D100000,B74,'PLAN BUDGET SAMI-JF'!J13:J100000,A74&amp;"*")</f>
        <v>0</v>
      </c>
      <c r="K74" s="35">
        <f t="shared" si="8"/>
        <v>-1</v>
      </c>
      <c r="L74" s="7" t="s">
        <v>201</v>
      </c>
      <c r="M74" s="49">
        <f t="shared" si="9"/>
        <v>0</v>
      </c>
    </row>
    <row r="75" spans="1:13" x14ac:dyDescent="0.35">
      <c r="A75" t="s">
        <v>47</v>
      </c>
      <c r="B75" s="7" t="s">
        <v>234</v>
      </c>
      <c r="C75" s="33" t="s">
        <v>246</v>
      </c>
      <c r="D75" s="34">
        <v>189.89024343929</v>
      </c>
      <c r="E75" s="12">
        <v>189.89024343929</v>
      </c>
      <c r="F75" s="41">
        <f t="shared" si="5"/>
        <v>189.89024343929</v>
      </c>
      <c r="G75" s="12">
        <f t="shared" si="6"/>
        <v>0</v>
      </c>
      <c r="H75" s="12">
        <f t="shared" si="7"/>
        <v>-189.89024343929</v>
      </c>
      <c r="I75" s="12"/>
      <c r="J75" s="47">
        <f>SUMIFS('PLAN BUDGET SAMI-JF'!BO13:BO100000,'PLAN BUDGET SAMI-JF'!D13:D100000,B75,'PLAN BUDGET SAMI-JF'!J13:J100000,A75&amp;"*")</f>
        <v>0</v>
      </c>
      <c r="K75" s="35">
        <f t="shared" si="8"/>
        <v>-1</v>
      </c>
      <c r="L75" s="7" t="s">
        <v>201</v>
      </c>
      <c r="M75" s="49">
        <f t="shared" si="9"/>
        <v>0</v>
      </c>
    </row>
    <row r="76" spans="1:13" x14ac:dyDescent="0.35">
      <c r="A76" t="s">
        <v>47</v>
      </c>
      <c r="B76" s="7" t="s">
        <v>235</v>
      </c>
      <c r="C76" s="33" t="s">
        <v>246</v>
      </c>
      <c r="D76" s="34">
        <v>39408.741721853999</v>
      </c>
      <c r="E76" s="12">
        <v>22774.701986755001</v>
      </c>
      <c r="F76" s="41">
        <f t="shared" si="5"/>
        <v>22774.701986755001</v>
      </c>
      <c r="G76" s="12">
        <f t="shared" si="6"/>
        <v>0</v>
      </c>
      <c r="H76" s="12">
        <f t="shared" si="7"/>
        <v>-22774.701986755001</v>
      </c>
      <c r="I76" s="12"/>
      <c r="J76" s="47">
        <f>SUMIFS('PLAN BUDGET SAMI-JF'!BO13:BO100000,'PLAN BUDGET SAMI-JF'!D13:D100000,B76,'PLAN BUDGET SAMI-JF'!J13:J100000,A76&amp;"*")</f>
        <v>0</v>
      </c>
      <c r="K76" s="35">
        <f t="shared" si="8"/>
        <v>-1</v>
      </c>
      <c r="L76" s="7" t="s">
        <v>201</v>
      </c>
      <c r="M76" s="49">
        <f t="shared" si="9"/>
        <v>0</v>
      </c>
    </row>
    <row r="77" spans="1:13" x14ac:dyDescent="0.35">
      <c r="A77" t="s">
        <v>47</v>
      </c>
      <c r="B77" s="7" t="s">
        <v>219</v>
      </c>
      <c r="C77" s="33" t="s">
        <v>246</v>
      </c>
      <c r="D77" s="34">
        <v>13.922752648969</v>
      </c>
      <c r="E77" s="12">
        <v>58.494550150012998</v>
      </c>
      <c r="F77" s="41">
        <f t="shared" si="5"/>
        <v>58.494550150012998</v>
      </c>
      <c r="G77" s="12">
        <f t="shared" si="6"/>
        <v>0</v>
      </c>
      <c r="H77" s="12">
        <f t="shared" si="7"/>
        <v>-58.494550150012998</v>
      </c>
      <c r="I77" s="12"/>
      <c r="J77" s="47">
        <f>SUMIFS('PLAN BUDGET SAMI-JF'!BO13:BO100000,'PLAN BUDGET SAMI-JF'!D13:D100000,B77,'PLAN BUDGET SAMI-JF'!J13:J100000,A77&amp;"*")</f>
        <v>0</v>
      </c>
      <c r="K77" s="35">
        <f t="shared" si="8"/>
        <v>-1</v>
      </c>
      <c r="L77" s="7" t="s">
        <v>201</v>
      </c>
      <c r="M77" s="49">
        <f t="shared" si="9"/>
        <v>0</v>
      </c>
    </row>
    <row r="78" spans="1:13" x14ac:dyDescent="0.35">
      <c r="A78" t="s">
        <v>47</v>
      </c>
      <c r="B78" s="7" t="s">
        <v>236</v>
      </c>
      <c r="C78" s="33" t="s">
        <v>246</v>
      </c>
      <c r="D78" s="34">
        <v>1203.9041434051001</v>
      </c>
      <c r="E78" s="12">
        <v>1005.7853227501</v>
      </c>
      <c r="F78" s="41">
        <f t="shared" ref="F78:F109" si="10">IF(C78="F",E78,E78/$E$12*$F$12)</f>
        <v>1005.7853227501</v>
      </c>
      <c r="G78" s="12">
        <f t="shared" ref="G78:G109" si="11">IF(F78&lt;J78,J78-F78,0)</f>
        <v>0</v>
      </c>
      <c r="H78" s="12">
        <f t="shared" ref="H78:H92" si="12">IF(F78&gt;J78,J78-F78,0)</f>
        <v>-1005.7853227501</v>
      </c>
      <c r="I78" s="12"/>
      <c r="J78" s="47">
        <f>SUMIFS('PLAN BUDGET SAMI-JF'!BO13:BO100000,'PLAN BUDGET SAMI-JF'!D13:D100000,B78,'PLAN BUDGET SAMI-JF'!J13:J100000,A78&amp;"*")</f>
        <v>0</v>
      </c>
      <c r="K78" s="35">
        <f t="shared" ref="K78:K109" si="13">IFERROR(IF(F78&gt;0,(J78-F78)/F78,100%),0)</f>
        <v>-1</v>
      </c>
      <c r="L78" s="7" t="s">
        <v>201</v>
      </c>
      <c r="M78" s="49">
        <f t="shared" ref="M78:M92" si="14">J78-SUM(F78:I78)</f>
        <v>0</v>
      </c>
    </row>
    <row r="79" spans="1:13" x14ac:dyDescent="0.35">
      <c r="A79" t="s">
        <v>47</v>
      </c>
      <c r="B79" s="7" t="s">
        <v>237</v>
      </c>
      <c r="C79" s="33" t="s">
        <v>246</v>
      </c>
      <c r="D79" s="34">
        <v>2791.3865785575999</v>
      </c>
      <c r="E79" s="12">
        <v>1860.9243857050999</v>
      </c>
      <c r="F79" s="41">
        <f t="shared" si="10"/>
        <v>1860.9243857050999</v>
      </c>
      <c r="G79" s="12">
        <f t="shared" si="11"/>
        <v>0</v>
      </c>
      <c r="H79" s="12">
        <f t="shared" si="12"/>
        <v>-1860.9243857050999</v>
      </c>
      <c r="I79" s="12"/>
      <c r="J79" s="47">
        <f>SUMIFS('PLAN BUDGET SAMI-JF'!BO13:BO100000,'PLAN BUDGET SAMI-JF'!D13:D100000,B79,'PLAN BUDGET SAMI-JF'!J13:J100000,A79&amp;"*")</f>
        <v>0</v>
      </c>
      <c r="K79" s="35">
        <f t="shared" si="13"/>
        <v>-1</v>
      </c>
      <c r="L79" s="7" t="s">
        <v>201</v>
      </c>
      <c r="M79" s="49">
        <f t="shared" si="14"/>
        <v>0</v>
      </c>
    </row>
    <row r="80" spans="1:13" x14ac:dyDescent="0.35">
      <c r="A80" t="s">
        <v>47</v>
      </c>
      <c r="B80" s="7" t="s">
        <v>238</v>
      </c>
      <c r="C80" s="33" t="s">
        <v>246</v>
      </c>
      <c r="D80" s="34">
        <v>227.86829212715</v>
      </c>
      <c r="E80" s="12">
        <v>227.86829212715</v>
      </c>
      <c r="F80" s="41">
        <f t="shared" si="10"/>
        <v>227.86829212715</v>
      </c>
      <c r="G80" s="12">
        <f t="shared" si="11"/>
        <v>0</v>
      </c>
      <c r="H80" s="12">
        <f t="shared" si="12"/>
        <v>-227.86829212715</v>
      </c>
      <c r="I80" s="12"/>
      <c r="J80" s="47">
        <f>SUMIFS('PLAN BUDGET SAMI-JF'!BO13:BO100000,'PLAN BUDGET SAMI-JF'!D13:D100000,B80,'PLAN BUDGET SAMI-JF'!J13:J100000,A80&amp;"*")</f>
        <v>0</v>
      </c>
      <c r="K80" s="35">
        <f t="shared" si="13"/>
        <v>-1</v>
      </c>
      <c r="L80" s="7" t="s">
        <v>201</v>
      </c>
      <c r="M80" s="49">
        <f t="shared" si="14"/>
        <v>0</v>
      </c>
    </row>
    <row r="81" spans="1:13" x14ac:dyDescent="0.35">
      <c r="A81" t="s">
        <v>47</v>
      </c>
      <c r="B81" s="7" t="s">
        <v>239</v>
      </c>
      <c r="C81" s="33" t="s">
        <v>246</v>
      </c>
      <c r="D81" s="34">
        <v>47.472560859822998</v>
      </c>
      <c r="E81" s="12">
        <v>47.472560859822998</v>
      </c>
      <c r="F81" s="41">
        <f t="shared" si="10"/>
        <v>47.472560859822998</v>
      </c>
      <c r="G81" s="12">
        <f t="shared" si="11"/>
        <v>0</v>
      </c>
      <c r="H81" s="12">
        <f t="shared" si="12"/>
        <v>-47.472560859822998</v>
      </c>
      <c r="I81" s="12"/>
      <c r="J81" s="47">
        <f>SUMIFS('PLAN BUDGET SAMI-JF'!BO13:BO100000,'PLAN BUDGET SAMI-JF'!D13:D100000,B81,'PLAN BUDGET SAMI-JF'!J13:J100000,A81&amp;"*")</f>
        <v>0</v>
      </c>
      <c r="K81" s="35">
        <f t="shared" si="13"/>
        <v>-1</v>
      </c>
      <c r="L81" s="7" t="s">
        <v>201</v>
      </c>
      <c r="M81" s="49">
        <f t="shared" si="14"/>
        <v>0</v>
      </c>
    </row>
    <row r="82" spans="1:13" x14ac:dyDescent="0.35">
      <c r="A82" t="s">
        <v>47</v>
      </c>
      <c r="B82" s="7" t="s">
        <v>240</v>
      </c>
      <c r="C82" s="33" t="s">
        <v>246</v>
      </c>
      <c r="D82" s="34">
        <v>1976.1244667249</v>
      </c>
      <c r="E82" s="12">
        <v>1556.4670287240999</v>
      </c>
      <c r="F82" s="41">
        <f t="shared" si="10"/>
        <v>1556.4670287240999</v>
      </c>
      <c r="G82" s="12">
        <f t="shared" si="11"/>
        <v>0</v>
      </c>
      <c r="H82" s="12">
        <f t="shared" si="12"/>
        <v>-1556.4670287240999</v>
      </c>
      <c r="I82" s="12"/>
      <c r="J82" s="47">
        <f>SUMIFS('PLAN BUDGET SAMI-JF'!BO13:BO100000,'PLAN BUDGET SAMI-JF'!D13:D100000,B82,'PLAN BUDGET SAMI-JF'!J13:J100000,A82&amp;"*")</f>
        <v>0</v>
      </c>
      <c r="K82" s="35">
        <f t="shared" si="13"/>
        <v>-1</v>
      </c>
      <c r="L82" s="7" t="s">
        <v>201</v>
      </c>
      <c r="M82" s="49">
        <f t="shared" si="14"/>
        <v>0</v>
      </c>
    </row>
    <row r="83" spans="1:13" x14ac:dyDescent="0.35">
      <c r="A83" t="s">
        <v>47</v>
      </c>
      <c r="B83" s="7" t="s">
        <v>153</v>
      </c>
      <c r="C83" s="33" t="s">
        <v>246</v>
      </c>
      <c r="D83" s="34">
        <v>1022.6728950667</v>
      </c>
      <c r="E83" s="12">
        <v>1014.9253731343</v>
      </c>
      <c r="F83" s="41">
        <f t="shared" si="10"/>
        <v>1014.9253731343</v>
      </c>
      <c r="G83" s="12">
        <f t="shared" si="11"/>
        <v>0</v>
      </c>
      <c r="H83" s="12">
        <f t="shared" si="12"/>
        <v>-1014.9253731343</v>
      </c>
      <c r="I83" s="12"/>
      <c r="J83" s="47">
        <f>SUMIFS('PLAN BUDGET SAMI-JF'!BO13:BO100000,'PLAN BUDGET SAMI-JF'!D13:D100000,B83,'PLAN BUDGET SAMI-JF'!J13:J100000,A83&amp;"*")</f>
        <v>0</v>
      </c>
      <c r="K83" s="35">
        <f t="shared" si="13"/>
        <v>-1</v>
      </c>
      <c r="L83" s="7" t="s">
        <v>201</v>
      </c>
      <c r="M83" s="49">
        <f t="shared" si="14"/>
        <v>0</v>
      </c>
    </row>
    <row r="84" spans="1:13" x14ac:dyDescent="0.35">
      <c r="A84" t="s">
        <v>47</v>
      </c>
      <c r="B84" s="7" t="s">
        <v>241</v>
      </c>
      <c r="C84" s="33" t="s">
        <v>246</v>
      </c>
      <c r="D84" s="34">
        <v>0</v>
      </c>
      <c r="E84" s="12">
        <v>24.749028394921002</v>
      </c>
      <c r="F84" s="41">
        <f t="shared" si="10"/>
        <v>24.749028394921002</v>
      </c>
      <c r="G84" s="12">
        <f t="shared" si="11"/>
        <v>0</v>
      </c>
      <c r="H84" s="12">
        <f t="shared" si="12"/>
        <v>-24.749028394921002</v>
      </c>
      <c r="I84" s="12"/>
      <c r="J84" s="47">
        <f>SUMIFS('PLAN BUDGET SAMI-JF'!BO13:BO100000,'PLAN BUDGET SAMI-JF'!D13:D100000,B84,'PLAN BUDGET SAMI-JF'!J13:J100000,A84&amp;"*")</f>
        <v>0</v>
      </c>
      <c r="K84" s="35">
        <f t="shared" si="13"/>
        <v>-1</v>
      </c>
      <c r="L84" s="7" t="s">
        <v>201</v>
      </c>
      <c r="M84" s="49">
        <f t="shared" si="14"/>
        <v>0</v>
      </c>
    </row>
    <row r="85" spans="1:13" x14ac:dyDescent="0.35">
      <c r="A85" t="s">
        <v>47</v>
      </c>
      <c r="B85" s="7" t="s">
        <v>159</v>
      </c>
      <c r="C85" s="33" t="s">
        <v>246</v>
      </c>
      <c r="D85" s="34">
        <v>14.241768257946999</v>
      </c>
      <c r="E85" s="12">
        <v>14.241768257946999</v>
      </c>
      <c r="F85" s="41">
        <f t="shared" si="10"/>
        <v>14.241768257946999</v>
      </c>
      <c r="G85" s="12">
        <f t="shared" si="11"/>
        <v>0</v>
      </c>
      <c r="H85" s="12">
        <f t="shared" si="12"/>
        <v>-14.241768257946999</v>
      </c>
      <c r="I85" s="12"/>
      <c r="J85" s="47">
        <f>SUMIFS('PLAN BUDGET SAMI-JF'!BO13:BO100000,'PLAN BUDGET SAMI-JF'!D13:D100000,B85,'PLAN BUDGET SAMI-JF'!J13:J100000,A85&amp;"*")</f>
        <v>0</v>
      </c>
      <c r="K85" s="35">
        <f t="shared" si="13"/>
        <v>-1</v>
      </c>
      <c r="L85" s="7" t="s">
        <v>201</v>
      </c>
      <c r="M85" s="49">
        <f t="shared" si="14"/>
        <v>0</v>
      </c>
    </row>
    <row r="86" spans="1:13" x14ac:dyDescent="0.35">
      <c r="A86" t="s">
        <v>47</v>
      </c>
      <c r="B86" s="7" t="s">
        <v>242</v>
      </c>
      <c r="C86" s="33" t="s">
        <v>246</v>
      </c>
      <c r="D86" s="34">
        <v>0</v>
      </c>
      <c r="E86" s="12">
        <v>1253.2756066992999</v>
      </c>
      <c r="F86" s="41">
        <f t="shared" si="10"/>
        <v>1253.2756066992999</v>
      </c>
      <c r="G86" s="12">
        <f t="shared" si="11"/>
        <v>0</v>
      </c>
      <c r="H86" s="12">
        <f t="shared" si="12"/>
        <v>-1253.2756066992999</v>
      </c>
      <c r="I86" s="12"/>
      <c r="J86" s="47">
        <f>SUMIFS('PLAN BUDGET SAMI-JF'!BO13:BO100000,'PLAN BUDGET SAMI-JF'!D13:D100000,B86,'PLAN BUDGET SAMI-JF'!J13:J100000,A86&amp;"*")</f>
        <v>0</v>
      </c>
      <c r="K86" s="35">
        <f t="shared" si="13"/>
        <v>-1</v>
      </c>
      <c r="L86" s="7" t="s">
        <v>201</v>
      </c>
      <c r="M86" s="49">
        <f t="shared" si="14"/>
        <v>0</v>
      </c>
    </row>
    <row r="87" spans="1:13" x14ac:dyDescent="0.35">
      <c r="A87" t="s">
        <v>47</v>
      </c>
      <c r="B87" s="7" t="s">
        <v>243</v>
      </c>
      <c r="C87" s="33" t="s">
        <v>246</v>
      </c>
      <c r="D87" s="34">
        <v>140.51878014508</v>
      </c>
      <c r="E87" s="12">
        <v>140.51878014508</v>
      </c>
      <c r="F87" s="41">
        <f t="shared" si="10"/>
        <v>140.51878014508</v>
      </c>
      <c r="G87" s="12">
        <f t="shared" si="11"/>
        <v>0</v>
      </c>
      <c r="H87" s="12">
        <f t="shared" si="12"/>
        <v>-140.51878014508</v>
      </c>
      <c r="I87" s="12"/>
      <c r="J87" s="47">
        <f>SUMIFS('PLAN BUDGET SAMI-JF'!BO13:BO100000,'PLAN BUDGET SAMI-JF'!D13:D100000,B87,'PLAN BUDGET SAMI-JF'!J13:J100000,A87&amp;"*")</f>
        <v>0</v>
      </c>
      <c r="K87" s="35">
        <f t="shared" si="13"/>
        <v>-1</v>
      </c>
      <c r="L87" s="7" t="s">
        <v>201</v>
      </c>
      <c r="M87" s="49">
        <f t="shared" si="14"/>
        <v>0</v>
      </c>
    </row>
    <row r="88" spans="1:13" x14ac:dyDescent="0.35">
      <c r="A88" t="s">
        <v>47</v>
      </c>
      <c r="B88" s="7" t="s">
        <v>172</v>
      </c>
      <c r="C88" s="33" t="s">
        <v>246</v>
      </c>
      <c r="D88" s="34">
        <v>16.457154431405002</v>
      </c>
      <c r="E88" s="12">
        <v>8.2285772157026997</v>
      </c>
      <c r="F88" s="41">
        <f t="shared" si="10"/>
        <v>8.2285772157026997</v>
      </c>
      <c r="G88" s="12">
        <f t="shared" si="11"/>
        <v>0</v>
      </c>
      <c r="H88" s="12">
        <f t="shared" si="12"/>
        <v>-8.2285772157026997</v>
      </c>
      <c r="I88" s="12"/>
      <c r="J88" s="47">
        <f>SUMIFS('PLAN BUDGET SAMI-JF'!BO13:BO100000,'PLAN BUDGET SAMI-JF'!D13:D100000,B88,'PLAN BUDGET SAMI-JF'!J13:J100000,A88&amp;"*")</f>
        <v>0</v>
      </c>
      <c r="K88" s="35">
        <f t="shared" si="13"/>
        <v>-1</v>
      </c>
      <c r="L88" s="7" t="s">
        <v>201</v>
      </c>
      <c r="M88" s="49">
        <f t="shared" si="14"/>
        <v>0</v>
      </c>
    </row>
    <row r="89" spans="1:13" x14ac:dyDescent="0.35">
      <c r="A89" t="s">
        <v>47</v>
      </c>
      <c r="B89" s="7" t="s">
        <v>216</v>
      </c>
      <c r="C89" s="33" t="s">
        <v>246</v>
      </c>
      <c r="D89" s="34">
        <v>15193.953894648999</v>
      </c>
      <c r="E89" s="12">
        <v>14007.633587786</v>
      </c>
      <c r="F89" s="41">
        <f t="shared" si="10"/>
        <v>14007.633587786</v>
      </c>
      <c r="G89" s="12">
        <f t="shared" si="11"/>
        <v>0</v>
      </c>
      <c r="H89" s="12">
        <f t="shared" si="12"/>
        <v>-14007.633587786</v>
      </c>
      <c r="I89" s="12"/>
      <c r="J89" s="47">
        <f>SUMIFS('PLAN BUDGET SAMI-JF'!BO13:BO100000,'PLAN BUDGET SAMI-JF'!D13:D100000,B89,'PLAN BUDGET SAMI-JF'!J13:J100000,A89&amp;"*")</f>
        <v>0</v>
      </c>
      <c r="K89" s="35">
        <f t="shared" si="13"/>
        <v>-1</v>
      </c>
      <c r="L89" s="7" t="s">
        <v>201</v>
      </c>
      <c r="M89" s="49">
        <f t="shared" si="14"/>
        <v>0</v>
      </c>
    </row>
    <row r="90" spans="1:13" x14ac:dyDescent="0.35">
      <c r="A90" t="s">
        <v>47</v>
      </c>
      <c r="B90" s="7" t="s">
        <v>244</v>
      </c>
      <c r="C90" s="33" t="s">
        <v>246</v>
      </c>
      <c r="D90" s="34">
        <v>253.18699125238999</v>
      </c>
      <c r="E90" s="12">
        <v>253.18699125238999</v>
      </c>
      <c r="F90" s="41">
        <f t="shared" si="10"/>
        <v>253.18699125238999</v>
      </c>
      <c r="G90" s="12">
        <f t="shared" si="11"/>
        <v>0</v>
      </c>
      <c r="H90" s="12">
        <f t="shared" si="12"/>
        <v>-253.18699125238999</v>
      </c>
      <c r="I90" s="12"/>
      <c r="J90" s="47">
        <f>SUMIFS('PLAN BUDGET SAMI-JF'!BO13:BO100000,'PLAN BUDGET SAMI-JF'!D13:D100000,B90,'PLAN BUDGET SAMI-JF'!J13:J100000,A90&amp;"*")</f>
        <v>0</v>
      </c>
      <c r="K90" s="35">
        <f t="shared" si="13"/>
        <v>-1</v>
      </c>
      <c r="L90" s="7" t="s">
        <v>201</v>
      </c>
      <c r="M90" s="49">
        <f t="shared" si="14"/>
        <v>0</v>
      </c>
    </row>
    <row r="91" spans="1:13" x14ac:dyDescent="0.35">
      <c r="A91" t="s">
        <v>47</v>
      </c>
      <c r="B91" s="7" t="s">
        <v>218</v>
      </c>
      <c r="C91" s="33" t="s">
        <v>246</v>
      </c>
      <c r="D91" s="34">
        <v>3314.8923677787998</v>
      </c>
      <c r="E91" s="12">
        <v>3087.0087586770001</v>
      </c>
      <c r="F91" s="41">
        <f t="shared" si="10"/>
        <v>3087.0087586770001</v>
      </c>
      <c r="G91" s="12">
        <f t="shared" si="11"/>
        <v>0</v>
      </c>
      <c r="H91" s="12">
        <f t="shared" si="12"/>
        <v>-3087.0087586770001</v>
      </c>
      <c r="I91" s="12"/>
      <c r="J91" s="47">
        <f>SUMIFS('PLAN BUDGET SAMI-JF'!BO13:BO100000,'PLAN BUDGET SAMI-JF'!D13:D100000,B91,'PLAN BUDGET SAMI-JF'!J13:J100000,A91&amp;"*")</f>
        <v>0</v>
      </c>
      <c r="K91" s="35">
        <f t="shared" si="13"/>
        <v>-1</v>
      </c>
      <c r="L91" s="7" t="s">
        <v>201</v>
      </c>
      <c r="M91" s="49">
        <f t="shared" si="14"/>
        <v>0</v>
      </c>
    </row>
    <row r="92" spans="1:13" x14ac:dyDescent="0.35">
      <c r="A92" t="s">
        <v>47</v>
      </c>
      <c r="B92" s="7" t="s">
        <v>161</v>
      </c>
      <c r="C92" s="33" t="s">
        <v>246</v>
      </c>
      <c r="D92" s="34">
        <v>557.51775473776001</v>
      </c>
      <c r="E92" s="12">
        <v>417.75853556644</v>
      </c>
      <c r="F92" s="41">
        <f t="shared" si="10"/>
        <v>417.75853556644</v>
      </c>
      <c r="G92" s="12">
        <f t="shared" si="11"/>
        <v>0</v>
      </c>
      <c r="H92" s="12">
        <f t="shared" si="12"/>
        <v>-417.75853556644</v>
      </c>
      <c r="I92" s="12"/>
      <c r="J92" s="47">
        <f>SUMIFS('PLAN BUDGET SAMI-JF'!BO13:BO100000,'PLAN BUDGET SAMI-JF'!D13:D100000,B92,'PLAN BUDGET SAMI-JF'!J13:J100000,A92&amp;"*")</f>
        <v>0</v>
      </c>
      <c r="K92" s="35">
        <f t="shared" si="13"/>
        <v>-1</v>
      </c>
      <c r="L92" s="7" t="s">
        <v>201</v>
      </c>
      <c r="M92" s="49">
        <f t="shared" si="14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8" sqref="A8"/>
    </sheetView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275</v>
      </c>
      <c r="C1" s="1" t="s">
        <v>276</v>
      </c>
      <c r="D1" s="1" t="s">
        <v>277</v>
      </c>
      <c r="E1" s="1"/>
      <c r="F1" s="1"/>
    </row>
    <row r="2" spans="1:7" x14ac:dyDescent="0.35">
      <c r="A2" s="1"/>
      <c r="B2" s="1" t="s">
        <v>278</v>
      </c>
      <c r="C2" s="1" t="s">
        <v>279</v>
      </c>
      <c r="D2" s="1" t="s">
        <v>280</v>
      </c>
      <c r="E2" s="1" t="s">
        <v>281</v>
      </c>
      <c r="F2" s="1" t="s">
        <v>267</v>
      </c>
    </row>
    <row r="8" spans="1:7" x14ac:dyDescent="0.35">
      <c r="A8" s="1" t="s">
        <v>282</v>
      </c>
      <c r="B8" s="1" t="s">
        <v>283</v>
      </c>
      <c r="C8" s="1" t="s">
        <v>269</v>
      </c>
      <c r="D8" s="1" t="s">
        <v>284</v>
      </c>
      <c r="E8" s="1" t="s">
        <v>285</v>
      </c>
      <c r="F8" s="1" t="s">
        <v>286</v>
      </c>
      <c r="G8" s="1" t="s">
        <v>287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SAMI-JF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SAMI-JF</dc:creator>
  <cp:keywords/>
  <dc:description/>
  <cp:lastModifiedBy>TRN-JF05</cp:lastModifiedBy>
  <dcterms:created xsi:type="dcterms:W3CDTF">2025-04-09T09:16:29Z</dcterms:created>
  <dcterms:modified xsi:type="dcterms:W3CDTF">2025-04-09T09:31:19Z</dcterms:modified>
  <cp:category/>
</cp:coreProperties>
</file>