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RN-JF05\Downloads\"/>
    </mc:Choice>
  </mc:AlternateContent>
  <bookViews>
    <workbookView xWindow="0" yWindow="0" windowWidth="19200" windowHeight="9120" firstSheet="1" activeTab="1"/>
    <workbookView xWindow="0" yWindow="0" windowWidth="9600" windowHeight="9120" firstSheet="1" activeTab="2"/>
  </bookViews>
  <sheets>
    <sheet name="PLAN BUDGET SAMI-JF" sheetId="1" r:id="rId1"/>
    <sheet name="SUMMARY" sheetId="2" r:id="rId2"/>
    <sheet name="ANALYSIS" sheetId="3" r:id="rId3"/>
    <sheet name="TAKI GRAPH" sheetId="4" r:id="rId4"/>
  </sheets>
  <calcPr calcId="162913"/>
</workbook>
</file>

<file path=xl/calcChain.xml><?xml version="1.0" encoding="utf-8"?>
<calcChain xmlns="http://schemas.openxmlformats.org/spreadsheetml/2006/main">
  <c r="J107" i="3" l="1"/>
  <c r="G107" i="3"/>
  <c r="F107" i="3"/>
  <c r="K107" i="3" s="1"/>
  <c r="J106" i="3"/>
  <c r="G106" i="3" s="1"/>
  <c r="F106" i="3"/>
  <c r="H106" i="3" s="1"/>
  <c r="J105" i="3"/>
  <c r="K105" i="3" s="1"/>
  <c r="H105" i="3"/>
  <c r="G105" i="3"/>
  <c r="M105" i="3" s="1"/>
  <c r="F105" i="3"/>
  <c r="J104" i="3"/>
  <c r="F104" i="3"/>
  <c r="K104" i="3" s="1"/>
  <c r="J103" i="3"/>
  <c r="G103" i="3"/>
  <c r="F103" i="3"/>
  <c r="K103" i="3" s="1"/>
  <c r="J102" i="3"/>
  <c r="F102" i="3"/>
  <c r="J101" i="3"/>
  <c r="K101" i="3" s="1"/>
  <c r="H101" i="3"/>
  <c r="G101" i="3"/>
  <c r="M101" i="3" s="1"/>
  <c r="F101" i="3"/>
  <c r="J100" i="3"/>
  <c r="F100" i="3"/>
  <c r="K100" i="3" s="1"/>
  <c r="J99" i="3"/>
  <c r="G99" i="3"/>
  <c r="F99" i="3"/>
  <c r="K99" i="3" s="1"/>
  <c r="J98" i="3"/>
  <c r="F98" i="3"/>
  <c r="H98" i="3" s="1"/>
  <c r="J97" i="3"/>
  <c r="K97" i="3" s="1"/>
  <c r="H97" i="3"/>
  <c r="G97" i="3"/>
  <c r="M97" i="3" s="1"/>
  <c r="F97" i="3"/>
  <c r="J96" i="3"/>
  <c r="F96" i="3"/>
  <c r="K96" i="3" s="1"/>
  <c r="J95" i="3"/>
  <c r="G95" i="3"/>
  <c r="F95" i="3"/>
  <c r="K95" i="3" s="1"/>
  <c r="J94" i="3"/>
  <c r="F94" i="3"/>
  <c r="J93" i="3"/>
  <c r="K93" i="3" s="1"/>
  <c r="H93" i="3"/>
  <c r="G93" i="3"/>
  <c r="M93" i="3" s="1"/>
  <c r="F93" i="3"/>
  <c r="J92" i="3"/>
  <c r="F92" i="3"/>
  <c r="K92" i="3" s="1"/>
  <c r="J91" i="3"/>
  <c r="G91" i="3"/>
  <c r="F91" i="3"/>
  <c r="K91" i="3" s="1"/>
  <c r="J90" i="3"/>
  <c r="F90" i="3"/>
  <c r="H90" i="3" s="1"/>
  <c r="J89" i="3"/>
  <c r="K89" i="3" s="1"/>
  <c r="H89" i="3"/>
  <c r="G89" i="3"/>
  <c r="M89" i="3" s="1"/>
  <c r="F89" i="3"/>
  <c r="J88" i="3"/>
  <c r="F88" i="3"/>
  <c r="K88" i="3" s="1"/>
  <c r="J87" i="3"/>
  <c r="G87" i="3"/>
  <c r="F87" i="3"/>
  <c r="K87" i="3" s="1"/>
  <c r="J86" i="3"/>
  <c r="F86" i="3"/>
  <c r="J85" i="3"/>
  <c r="K85" i="3" s="1"/>
  <c r="H85" i="3"/>
  <c r="G85" i="3"/>
  <c r="M85" i="3" s="1"/>
  <c r="F85" i="3"/>
  <c r="J84" i="3"/>
  <c r="F84" i="3"/>
  <c r="K84" i="3" s="1"/>
  <c r="J83" i="3"/>
  <c r="G83" i="3"/>
  <c r="F83" i="3"/>
  <c r="K83" i="3" s="1"/>
  <c r="J82" i="3"/>
  <c r="F82" i="3"/>
  <c r="H82" i="3" s="1"/>
  <c r="J81" i="3"/>
  <c r="K81" i="3" s="1"/>
  <c r="H81" i="3"/>
  <c r="G81" i="3"/>
  <c r="M81" i="3" s="1"/>
  <c r="F81" i="3"/>
  <c r="J80" i="3"/>
  <c r="F80" i="3"/>
  <c r="K80" i="3" s="1"/>
  <c r="J79" i="3"/>
  <c r="G79" i="3"/>
  <c r="F79" i="3"/>
  <c r="K79" i="3" s="1"/>
  <c r="J78" i="3"/>
  <c r="F78" i="3"/>
  <c r="J77" i="3"/>
  <c r="K77" i="3" s="1"/>
  <c r="H77" i="3"/>
  <c r="G77" i="3"/>
  <c r="M77" i="3" s="1"/>
  <c r="F77" i="3"/>
  <c r="J76" i="3"/>
  <c r="F76" i="3"/>
  <c r="K76" i="3" s="1"/>
  <c r="J75" i="3"/>
  <c r="G75" i="3"/>
  <c r="F75" i="3"/>
  <c r="K75" i="3" s="1"/>
  <c r="J74" i="3"/>
  <c r="F74" i="3"/>
  <c r="H74" i="3" s="1"/>
  <c r="J73" i="3"/>
  <c r="K73" i="3" s="1"/>
  <c r="H73" i="3"/>
  <c r="G73" i="3"/>
  <c r="M73" i="3" s="1"/>
  <c r="F73" i="3"/>
  <c r="J72" i="3"/>
  <c r="F72" i="3"/>
  <c r="K72" i="3" s="1"/>
  <c r="J71" i="3"/>
  <c r="G71" i="3"/>
  <c r="F71" i="3"/>
  <c r="K71" i="3" s="1"/>
  <c r="J70" i="3"/>
  <c r="F70" i="3"/>
  <c r="J69" i="3"/>
  <c r="K69" i="3" s="1"/>
  <c r="H69" i="3"/>
  <c r="G69" i="3"/>
  <c r="M69" i="3" s="1"/>
  <c r="F69" i="3"/>
  <c r="F68" i="3"/>
  <c r="F64" i="3"/>
  <c r="F60" i="3"/>
  <c r="K60" i="3" s="1"/>
  <c r="J58" i="3"/>
  <c r="F56" i="3"/>
  <c r="F52" i="3"/>
  <c r="K52" i="3" s="1"/>
  <c r="F48" i="3"/>
  <c r="K48" i="3" s="1"/>
  <c r="F44" i="3"/>
  <c r="K44" i="3" s="1"/>
  <c r="F40" i="3"/>
  <c r="F36" i="3"/>
  <c r="K36" i="3" s="1"/>
  <c r="J34" i="3"/>
  <c r="F32" i="3"/>
  <c r="K32" i="3" s="1"/>
  <c r="F28" i="3"/>
  <c r="K28" i="3" s="1"/>
  <c r="J26" i="3"/>
  <c r="F24" i="3"/>
  <c r="F20" i="3"/>
  <c r="J18" i="3"/>
  <c r="F16" i="3"/>
  <c r="J12" i="3"/>
  <c r="F12" i="3"/>
  <c r="E12" i="3"/>
  <c r="F65" i="3" s="1"/>
  <c r="D12" i="3"/>
  <c r="AB102" i="2"/>
  <c r="AA102" i="2"/>
  <c r="Z102" i="2"/>
  <c r="Y102" i="2"/>
  <c r="X102" i="2"/>
  <c r="W102" i="2"/>
  <c r="V102" i="2"/>
  <c r="U102" i="2"/>
  <c r="T102" i="2"/>
  <c r="S102" i="2"/>
  <c r="R102" i="2"/>
  <c r="Q102" i="2"/>
  <c r="AD102" i="2" s="1"/>
  <c r="AI102" i="2" s="1"/>
  <c r="P102" i="2"/>
  <c r="O102" i="2"/>
  <c r="N102" i="2"/>
  <c r="M102" i="2"/>
  <c r="L102" i="2"/>
  <c r="K102" i="2"/>
  <c r="J102" i="2"/>
  <c r="I102" i="2"/>
  <c r="H102" i="2"/>
  <c r="G102" i="2"/>
  <c r="F102" i="2"/>
  <c r="E102" i="2"/>
  <c r="AB101" i="2"/>
  <c r="AA101" i="2"/>
  <c r="Z101" i="2"/>
  <c r="Y101" i="2"/>
  <c r="X101" i="2"/>
  <c r="W101" i="2"/>
  <c r="V101" i="2"/>
  <c r="U101" i="2"/>
  <c r="T101" i="2"/>
  <c r="AD101" i="2" s="1"/>
  <c r="AI101" i="2" s="1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AI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AD100" i="2" s="1"/>
  <c r="P100" i="2"/>
  <c r="O100" i="2"/>
  <c r="N100" i="2"/>
  <c r="M100" i="2"/>
  <c r="L100" i="2"/>
  <c r="K100" i="2"/>
  <c r="J100" i="2"/>
  <c r="I100" i="2"/>
  <c r="H100" i="2"/>
  <c r="G100" i="2"/>
  <c r="F100" i="2"/>
  <c r="E100" i="2"/>
  <c r="AC100" i="2" s="1"/>
  <c r="AH100" i="2" s="1"/>
  <c r="AB99" i="2"/>
  <c r="AA99" i="2"/>
  <c r="Z99" i="2"/>
  <c r="Y99" i="2"/>
  <c r="X99" i="2"/>
  <c r="W99" i="2"/>
  <c r="V99" i="2"/>
  <c r="U99" i="2"/>
  <c r="T99" i="2"/>
  <c r="AD99" i="2" s="1"/>
  <c r="AI99" i="2" s="1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AC99" i="2" s="1"/>
  <c r="AH99" i="2" s="1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AB97" i="2"/>
  <c r="AA97" i="2"/>
  <c r="Z97" i="2"/>
  <c r="Y97" i="2"/>
  <c r="X97" i="2"/>
  <c r="W97" i="2"/>
  <c r="V97" i="2"/>
  <c r="U97" i="2"/>
  <c r="T97" i="2"/>
  <c r="AD97" i="2" s="1"/>
  <c r="AI97" i="2" s="1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AB96" i="2"/>
  <c r="AA96" i="2"/>
  <c r="Z96" i="2"/>
  <c r="Y96" i="2"/>
  <c r="X96" i="2"/>
  <c r="W96" i="2"/>
  <c r="V96" i="2"/>
  <c r="U96" i="2"/>
  <c r="T96" i="2"/>
  <c r="S96" i="2"/>
  <c r="R96" i="2"/>
  <c r="Q96" i="2"/>
  <c r="AD96" i="2" s="1"/>
  <c r="AI96" i="2" s="1"/>
  <c r="P96" i="2"/>
  <c r="O96" i="2"/>
  <c r="N96" i="2"/>
  <c r="M96" i="2"/>
  <c r="L96" i="2"/>
  <c r="K96" i="2"/>
  <c r="J96" i="2"/>
  <c r="I96" i="2"/>
  <c r="H96" i="2"/>
  <c r="G96" i="2"/>
  <c r="F96" i="2"/>
  <c r="E96" i="2"/>
  <c r="AC96" i="2" s="1"/>
  <c r="AH96" i="2" s="1"/>
  <c r="AB95" i="2"/>
  <c r="AA95" i="2"/>
  <c r="Z95" i="2"/>
  <c r="Y95" i="2"/>
  <c r="X95" i="2"/>
  <c r="W95" i="2"/>
  <c r="V95" i="2"/>
  <c r="U95" i="2"/>
  <c r="T95" i="2"/>
  <c r="AD95" i="2" s="1"/>
  <c r="AI95" i="2" s="1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AI94" i="2"/>
  <c r="AB94" i="2"/>
  <c r="AA94" i="2"/>
  <c r="Z94" i="2"/>
  <c r="Y94" i="2"/>
  <c r="X94" i="2"/>
  <c r="W94" i="2"/>
  <c r="V94" i="2"/>
  <c r="U94" i="2"/>
  <c r="T94" i="2"/>
  <c r="S94" i="2"/>
  <c r="R94" i="2"/>
  <c r="Q94" i="2"/>
  <c r="AD94" i="2" s="1"/>
  <c r="P94" i="2"/>
  <c r="O94" i="2"/>
  <c r="N94" i="2"/>
  <c r="M94" i="2"/>
  <c r="L94" i="2"/>
  <c r="K94" i="2"/>
  <c r="J94" i="2"/>
  <c r="I94" i="2"/>
  <c r="H94" i="2"/>
  <c r="G94" i="2"/>
  <c r="F94" i="2"/>
  <c r="E94" i="2"/>
  <c r="AC94" i="2" s="1"/>
  <c r="AH94" i="2" s="1"/>
  <c r="AB93" i="2"/>
  <c r="AA93" i="2"/>
  <c r="Z93" i="2"/>
  <c r="Y93" i="2"/>
  <c r="X93" i="2"/>
  <c r="W93" i="2"/>
  <c r="V93" i="2"/>
  <c r="U93" i="2"/>
  <c r="T93" i="2"/>
  <c r="AD93" i="2" s="1"/>
  <c r="AI93" i="2" s="1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AC93" i="2" s="1"/>
  <c r="AH93" i="2" s="1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AC91" i="2" s="1"/>
  <c r="AH91" i="2" s="1"/>
  <c r="AB90" i="2"/>
  <c r="AA90" i="2"/>
  <c r="Z90" i="2"/>
  <c r="Y90" i="2"/>
  <c r="X90" i="2"/>
  <c r="W90" i="2"/>
  <c r="V90" i="2"/>
  <c r="U90" i="2"/>
  <c r="T90" i="2"/>
  <c r="S90" i="2"/>
  <c r="R90" i="2"/>
  <c r="Q90" i="2"/>
  <c r="AD90" i="2" s="1"/>
  <c r="AI90" i="2" s="1"/>
  <c r="P90" i="2"/>
  <c r="O90" i="2"/>
  <c r="N90" i="2"/>
  <c r="M90" i="2"/>
  <c r="L90" i="2"/>
  <c r="K90" i="2"/>
  <c r="J90" i="2"/>
  <c r="I90" i="2"/>
  <c r="H90" i="2"/>
  <c r="G90" i="2"/>
  <c r="F90" i="2"/>
  <c r="E90" i="2"/>
  <c r="AB89" i="2"/>
  <c r="AA89" i="2"/>
  <c r="Z89" i="2"/>
  <c r="Y89" i="2"/>
  <c r="X89" i="2"/>
  <c r="W89" i="2"/>
  <c r="V89" i="2"/>
  <c r="U89" i="2"/>
  <c r="T89" i="2"/>
  <c r="AD89" i="2" s="1"/>
  <c r="AI89" i="2" s="1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AC89" i="2" s="1"/>
  <c r="AH89" i="2" s="1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AB87" i="2"/>
  <c r="AA87" i="2"/>
  <c r="Z87" i="2"/>
  <c r="Y87" i="2"/>
  <c r="X87" i="2"/>
  <c r="W87" i="2"/>
  <c r="V87" i="2"/>
  <c r="U87" i="2"/>
  <c r="T87" i="2"/>
  <c r="AD87" i="2" s="1"/>
  <c r="AI87" i="2" s="1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AC87" i="2" s="1"/>
  <c r="AH87" i="2" s="1"/>
  <c r="AI86" i="2"/>
  <c r="AB86" i="2"/>
  <c r="AA86" i="2"/>
  <c r="Z86" i="2"/>
  <c r="Y86" i="2"/>
  <c r="X86" i="2"/>
  <c r="W86" i="2"/>
  <c r="V86" i="2"/>
  <c r="U86" i="2"/>
  <c r="T86" i="2"/>
  <c r="S86" i="2"/>
  <c r="R86" i="2"/>
  <c r="Q86" i="2"/>
  <c r="AD86" i="2" s="1"/>
  <c r="P86" i="2"/>
  <c r="O86" i="2"/>
  <c r="N86" i="2"/>
  <c r="M86" i="2"/>
  <c r="L86" i="2"/>
  <c r="K86" i="2"/>
  <c r="J86" i="2"/>
  <c r="I86" i="2"/>
  <c r="H86" i="2"/>
  <c r="G86" i="2"/>
  <c r="F86" i="2"/>
  <c r="E86" i="2"/>
  <c r="AC86" i="2" s="1"/>
  <c r="AH86" i="2" s="1"/>
  <c r="AB85" i="2"/>
  <c r="AA85" i="2"/>
  <c r="Z85" i="2"/>
  <c r="Y85" i="2"/>
  <c r="X85" i="2"/>
  <c r="W85" i="2"/>
  <c r="V85" i="2"/>
  <c r="U85" i="2"/>
  <c r="T85" i="2"/>
  <c r="AD85" i="2" s="1"/>
  <c r="AI85" i="2" s="1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AC85" i="2" s="1"/>
  <c r="AH85" i="2" s="1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AC83" i="2" s="1"/>
  <c r="AH83" i="2" s="1"/>
  <c r="AB82" i="2"/>
  <c r="AA82" i="2"/>
  <c r="Z82" i="2"/>
  <c r="Y82" i="2"/>
  <c r="X82" i="2"/>
  <c r="W82" i="2"/>
  <c r="V82" i="2"/>
  <c r="U82" i="2"/>
  <c r="T82" i="2"/>
  <c r="S82" i="2"/>
  <c r="R82" i="2"/>
  <c r="Q82" i="2"/>
  <c r="AD82" i="2" s="1"/>
  <c r="AI82" i="2" s="1"/>
  <c r="P82" i="2"/>
  <c r="O82" i="2"/>
  <c r="N82" i="2"/>
  <c r="M82" i="2"/>
  <c r="L82" i="2"/>
  <c r="K82" i="2"/>
  <c r="J82" i="2"/>
  <c r="I82" i="2"/>
  <c r="H82" i="2"/>
  <c r="G82" i="2"/>
  <c r="F82" i="2"/>
  <c r="E82" i="2"/>
  <c r="AB81" i="2"/>
  <c r="AA81" i="2"/>
  <c r="Z81" i="2"/>
  <c r="Y81" i="2"/>
  <c r="X81" i="2"/>
  <c r="W81" i="2"/>
  <c r="V81" i="2"/>
  <c r="U81" i="2"/>
  <c r="T81" i="2"/>
  <c r="AD81" i="2" s="1"/>
  <c r="AI81" i="2" s="1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AC81" i="2" s="1"/>
  <c r="AH81" i="2" s="1"/>
  <c r="AB80" i="2"/>
  <c r="AA80" i="2"/>
  <c r="Z80" i="2"/>
  <c r="Y80" i="2"/>
  <c r="X80" i="2"/>
  <c r="W80" i="2"/>
  <c r="V80" i="2"/>
  <c r="U80" i="2"/>
  <c r="T80" i="2"/>
  <c r="S80" i="2"/>
  <c r="R80" i="2"/>
  <c r="Q80" i="2"/>
  <c r="AD80" i="2" s="1"/>
  <c r="AI80" i="2" s="1"/>
  <c r="P80" i="2"/>
  <c r="O80" i="2"/>
  <c r="N80" i="2"/>
  <c r="M80" i="2"/>
  <c r="L80" i="2"/>
  <c r="K80" i="2"/>
  <c r="J80" i="2"/>
  <c r="I80" i="2"/>
  <c r="H80" i="2"/>
  <c r="G80" i="2"/>
  <c r="F80" i="2"/>
  <c r="E80" i="2"/>
  <c r="AB79" i="2"/>
  <c r="AA79" i="2"/>
  <c r="Z79" i="2"/>
  <c r="Y79" i="2"/>
  <c r="X79" i="2"/>
  <c r="W79" i="2"/>
  <c r="V79" i="2"/>
  <c r="AD79" i="2" s="1"/>
  <c r="AI79" i="2" s="1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AC79" i="2" s="1"/>
  <c r="AH79" i="2" s="1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AD77" i="2"/>
  <c r="AI77" i="2" s="1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AC77" i="2" s="1"/>
  <c r="AH77" i="2" s="1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AB75" i="2"/>
  <c r="AA75" i="2"/>
  <c r="Z75" i="2"/>
  <c r="Y75" i="2"/>
  <c r="X75" i="2"/>
  <c r="W75" i="2"/>
  <c r="V75" i="2"/>
  <c r="U75" i="2"/>
  <c r="AD75" i="2" s="1"/>
  <c r="AI75" i="2" s="1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AC75" i="2" s="1"/>
  <c r="AH75" i="2" s="1"/>
  <c r="AB74" i="2"/>
  <c r="AA74" i="2"/>
  <c r="Z74" i="2"/>
  <c r="Y74" i="2"/>
  <c r="X74" i="2"/>
  <c r="W74" i="2"/>
  <c r="V74" i="2"/>
  <c r="U74" i="2"/>
  <c r="T74" i="2"/>
  <c r="S74" i="2"/>
  <c r="R74" i="2"/>
  <c r="Q74" i="2"/>
  <c r="AD74" i="2" s="1"/>
  <c r="AI74" i="2" s="1"/>
  <c r="P74" i="2"/>
  <c r="O74" i="2"/>
  <c r="N74" i="2"/>
  <c r="M74" i="2"/>
  <c r="L74" i="2"/>
  <c r="K74" i="2"/>
  <c r="J74" i="2"/>
  <c r="I74" i="2"/>
  <c r="H74" i="2"/>
  <c r="G74" i="2"/>
  <c r="F74" i="2"/>
  <c r="E74" i="2"/>
  <c r="AB73" i="2"/>
  <c r="AA73" i="2"/>
  <c r="Z73" i="2"/>
  <c r="Y73" i="2"/>
  <c r="X73" i="2"/>
  <c r="W73" i="2"/>
  <c r="V73" i="2"/>
  <c r="AD73" i="2" s="1"/>
  <c r="AI73" i="2" s="1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AB71" i="2"/>
  <c r="AA71" i="2"/>
  <c r="Z71" i="2"/>
  <c r="Y71" i="2"/>
  <c r="X71" i="2"/>
  <c r="W71" i="2"/>
  <c r="V71" i="2"/>
  <c r="U71" i="2"/>
  <c r="AD71" i="2" s="1"/>
  <c r="AI71" i="2" s="1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AC71" i="2" s="1"/>
  <c r="AH71" i="2" s="1"/>
  <c r="AB70" i="2"/>
  <c r="AA70" i="2"/>
  <c r="Z70" i="2"/>
  <c r="Y70" i="2"/>
  <c r="X70" i="2"/>
  <c r="W70" i="2"/>
  <c r="V70" i="2"/>
  <c r="U70" i="2"/>
  <c r="T70" i="2"/>
  <c r="S70" i="2"/>
  <c r="R70" i="2"/>
  <c r="Q70" i="2"/>
  <c r="AD70" i="2" s="1"/>
  <c r="AI70" i="2" s="1"/>
  <c r="P70" i="2"/>
  <c r="O70" i="2"/>
  <c r="N70" i="2"/>
  <c r="M70" i="2"/>
  <c r="L70" i="2"/>
  <c r="K70" i="2"/>
  <c r="J70" i="2"/>
  <c r="I70" i="2"/>
  <c r="H70" i="2"/>
  <c r="G70" i="2"/>
  <c r="F70" i="2"/>
  <c r="E70" i="2"/>
  <c r="AD69" i="2"/>
  <c r="AI69" i="2" s="1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AC69" i="2" s="1"/>
  <c r="AH69" i="2" s="1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AB67" i="2"/>
  <c r="AA67" i="2"/>
  <c r="Z67" i="2"/>
  <c r="Y67" i="2"/>
  <c r="X67" i="2"/>
  <c r="W67" i="2"/>
  <c r="V67" i="2"/>
  <c r="U67" i="2"/>
  <c r="AD67" i="2" s="1"/>
  <c r="AI67" i="2" s="1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AC67" i="2" s="1"/>
  <c r="AH67" i="2" s="1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AB63" i="2"/>
  <c r="AA63" i="2"/>
  <c r="Z63" i="2"/>
  <c r="Y63" i="2"/>
  <c r="X63" i="2"/>
  <c r="W63" i="2"/>
  <c r="V63" i="2"/>
  <c r="U63" i="2"/>
  <c r="T63" i="2"/>
  <c r="AD63" i="2" s="1"/>
  <c r="AI63" i="2" s="1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AB62" i="2"/>
  <c r="AA62" i="2"/>
  <c r="Z62" i="2"/>
  <c r="Y62" i="2"/>
  <c r="X62" i="2"/>
  <c r="W62" i="2"/>
  <c r="V62" i="2"/>
  <c r="U62" i="2"/>
  <c r="T62" i="2"/>
  <c r="S62" i="2"/>
  <c r="R62" i="2"/>
  <c r="Q62" i="2"/>
  <c r="AD62" i="2" s="1"/>
  <c r="AI62" i="2" s="1"/>
  <c r="P62" i="2"/>
  <c r="O62" i="2"/>
  <c r="N62" i="2"/>
  <c r="M62" i="2"/>
  <c r="L62" i="2"/>
  <c r="K62" i="2"/>
  <c r="J62" i="2"/>
  <c r="I62" i="2"/>
  <c r="H62" i="2"/>
  <c r="G62" i="2"/>
  <c r="F62" i="2"/>
  <c r="E62" i="2"/>
  <c r="AB61" i="2"/>
  <c r="AA61" i="2"/>
  <c r="Z61" i="2"/>
  <c r="Y61" i="2"/>
  <c r="X61" i="2"/>
  <c r="W61" i="2"/>
  <c r="V61" i="2"/>
  <c r="U61" i="2"/>
  <c r="T61" i="2"/>
  <c r="S61" i="2"/>
  <c r="R61" i="2"/>
  <c r="AD61" i="2" s="1"/>
  <c r="AI61" i="2" s="1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AB60" i="2"/>
  <c r="AA60" i="2"/>
  <c r="Z60" i="2"/>
  <c r="Y60" i="2"/>
  <c r="X60" i="2"/>
  <c r="W60" i="2"/>
  <c r="V60" i="2"/>
  <c r="U60" i="2"/>
  <c r="T60" i="2"/>
  <c r="AD60" i="2" s="1"/>
  <c r="AI60" i="2" s="1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AC59" i="2" s="1"/>
  <c r="AH59" i="2" s="1"/>
  <c r="AB58" i="2"/>
  <c r="AA58" i="2"/>
  <c r="Z58" i="2"/>
  <c r="Y58" i="2"/>
  <c r="X58" i="2"/>
  <c r="W58" i="2"/>
  <c r="V58" i="2"/>
  <c r="U58" i="2"/>
  <c r="T58" i="2"/>
  <c r="S58" i="2"/>
  <c r="R58" i="2"/>
  <c r="AD58" i="2" s="1"/>
  <c r="AI58" i="2" s="1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AB57" i="2"/>
  <c r="AA57" i="2"/>
  <c r="Z57" i="2"/>
  <c r="Y57" i="2"/>
  <c r="X57" i="2"/>
  <c r="W57" i="2"/>
  <c r="V57" i="2"/>
  <c r="AD57" i="2" s="1"/>
  <c r="AI57" i="2" s="1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AB56" i="2"/>
  <c r="AA56" i="2"/>
  <c r="Z56" i="2"/>
  <c r="Y56" i="2"/>
  <c r="X56" i="2"/>
  <c r="W56" i="2"/>
  <c r="V56" i="2"/>
  <c r="U56" i="2"/>
  <c r="T56" i="2"/>
  <c r="S56" i="2"/>
  <c r="R56" i="2"/>
  <c r="Q56" i="2"/>
  <c r="AD56" i="2" s="1"/>
  <c r="AI56" i="2" s="1"/>
  <c r="P56" i="2"/>
  <c r="O56" i="2"/>
  <c r="N56" i="2"/>
  <c r="M56" i="2"/>
  <c r="L56" i="2"/>
  <c r="K56" i="2"/>
  <c r="J56" i="2"/>
  <c r="I56" i="2"/>
  <c r="H56" i="2"/>
  <c r="G56" i="2"/>
  <c r="F56" i="2"/>
  <c r="E56" i="2"/>
  <c r="AB55" i="2"/>
  <c r="AA55" i="2"/>
  <c r="Z55" i="2"/>
  <c r="Y55" i="2"/>
  <c r="X55" i="2"/>
  <c r="W55" i="2"/>
  <c r="V55" i="2"/>
  <c r="U55" i="2"/>
  <c r="AD55" i="2" s="1"/>
  <c r="AI55" i="2" s="1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AC55" i="2" s="1"/>
  <c r="AH55" i="2" s="1"/>
  <c r="AB54" i="2"/>
  <c r="AA54" i="2"/>
  <c r="Z54" i="2"/>
  <c r="Y54" i="2"/>
  <c r="X54" i="2"/>
  <c r="W54" i="2"/>
  <c r="V54" i="2"/>
  <c r="U54" i="2"/>
  <c r="T54" i="2"/>
  <c r="S54" i="2"/>
  <c r="R54" i="2"/>
  <c r="Q54" i="2"/>
  <c r="AD54" i="2" s="1"/>
  <c r="AI54" i="2" s="1"/>
  <c r="P54" i="2"/>
  <c r="O54" i="2"/>
  <c r="N54" i="2"/>
  <c r="M54" i="2"/>
  <c r="L54" i="2"/>
  <c r="K54" i="2"/>
  <c r="J54" i="2"/>
  <c r="I54" i="2"/>
  <c r="H54" i="2"/>
  <c r="G54" i="2"/>
  <c r="F54" i="2"/>
  <c r="E54" i="2"/>
  <c r="AC54" i="2" s="1"/>
  <c r="AH54" i="2" s="1"/>
  <c r="AB53" i="2"/>
  <c r="AA53" i="2"/>
  <c r="Z53" i="2"/>
  <c r="Y53" i="2"/>
  <c r="X53" i="2"/>
  <c r="W53" i="2"/>
  <c r="V53" i="2"/>
  <c r="U53" i="2"/>
  <c r="AD53" i="2" s="1"/>
  <c r="AI53" i="2" s="1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AC53" i="2" s="1"/>
  <c r="AH53" i="2" s="1"/>
  <c r="AB52" i="2"/>
  <c r="AA52" i="2"/>
  <c r="Z52" i="2"/>
  <c r="Y52" i="2"/>
  <c r="X52" i="2"/>
  <c r="W52" i="2"/>
  <c r="V52" i="2"/>
  <c r="U52" i="2"/>
  <c r="T52" i="2"/>
  <c r="S52" i="2"/>
  <c r="R52" i="2"/>
  <c r="Q52" i="2"/>
  <c r="AD52" i="2" s="1"/>
  <c r="AI52" i="2" s="1"/>
  <c r="P52" i="2"/>
  <c r="O52" i="2"/>
  <c r="N52" i="2"/>
  <c r="M52" i="2"/>
  <c r="L52" i="2"/>
  <c r="K52" i="2"/>
  <c r="J52" i="2"/>
  <c r="I52" i="2"/>
  <c r="H52" i="2"/>
  <c r="G52" i="2"/>
  <c r="F52" i="2"/>
  <c r="E52" i="2"/>
  <c r="AC52" i="2" s="1"/>
  <c r="AH52" i="2" s="1"/>
  <c r="AB51" i="2"/>
  <c r="AA51" i="2"/>
  <c r="Z51" i="2"/>
  <c r="Y51" i="2"/>
  <c r="X51" i="2"/>
  <c r="W51" i="2"/>
  <c r="V51" i="2"/>
  <c r="U51" i="2"/>
  <c r="AD51" i="2" s="1"/>
  <c r="AI51" i="2" s="1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AC51" i="2" s="1"/>
  <c r="AH51" i="2" s="1"/>
  <c r="AB50" i="2"/>
  <c r="AA50" i="2"/>
  <c r="Z50" i="2"/>
  <c r="Y50" i="2"/>
  <c r="X50" i="2"/>
  <c r="W50" i="2"/>
  <c r="V50" i="2"/>
  <c r="U50" i="2"/>
  <c r="T50" i="2"/>
  <c r="S50" i="2"/>
  <c r="R50" i="2"/>
  <c r="Q50" i="2"/>
  <c r="AD50" i="2" s="1"/>
  <c r="AI50" i="2" s="1"/>
  <c r="P50" i="2"/>
  <c r="O50" i="2"/>
  <c r="N50" i="2"/>
  <c r="M50" i="2"/>
  <c r="L50" i="2"/>
  <c r="K50" i="2"/>
  <c r="J50" i="2"/>
  <c r="I50" i="2"/>
  <c r="H50" i="2"/>
  <c r="G50" i="2"/>
  <c r="F50" i="2"/>
  <c r="E50" i="2"/>
  <c r="AB49" i="2"/>
  <c r="AA49" i="2"/>
  <c r="Z49" i="2"/>
  <c r="Y49" i="2"/>
  <c r="X49" i="2"/>
  <c r="W49" i="2"/>
  <c r="V49" i="2"/>
  <c r="U49" i="2"/>
  <c r="AD49" i="2" s="1"/>
  <c r="AI49" i="2" s="1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AC49" i="2" s="1"/>
  <c r="AH49" i="2" s="1"/>
  <c r="AB48" i="2"/>
  <c r="AA48" i="2"/>
  <c r="Z48" i="2"/>
  <c r="Y48" i="2"/>
  <c r="X48" i="2"/>
  <c r="W48" i="2"/>
  <c r="V48" i="2"/>
  <c r="U48" i="2"/>
  <c r="T48" i="2"/>
  <c r="S48" i="2"/>
  <c r="R48" i="2"/>
  <c r="Q48" i="2"/>
  <c r="AD48" i="2" s="1"/>
  <c r="AI48" i="2" s="1"/>
  <c r="P48" i="2"/>
  <c r="O48" i="2"/>
  <c r="N48" i="2"/>
  <c r="M48" i="2"/>
  <c r="L48" i="2"/>
  <c r="K48" i="2"/>
  <c r="J48" i="2"/>
  <c r="I48" i="2"/>
  <c r="H48" i="2"/>
  <c r="G48" i="2"/>
  <c r="F48" i="2"/>
  <c r="E48" i="2"/>
  <c r="AC48" i="2" s="1"/>
  <c r="AH48" i="2" s="1"/>
  <c r="AB47" i="2"/>
  <c r="AA47" i="2"/>
  <c r="Z47" i="2"/>
  <c r="Y47" i="2"/>
  <c r="X47" i="2"/>
  <c r="W47" i="2"/>
  <c r="V47" i="2"/>
  <c r="U47" i="2"/>
  <c r="AD47" i="2" s="1"/>
  <c r="AI47" i="2" s="1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AC47" i="2" s="1"/>
  <c r="AH47" i="2" s="1"/>
  <c r="AB46" i="2"/>
  <c r="AA46" i="2"/>
  <c r="Z46" i="2"/>
  <c r="Y46" i="2"/>
  <c r="X46" i="2"/>
  <c r="W46" i="2"/>
  <c r="V46" i="2"/>
  <c r="U46" i="2"/>
  <c r="T46" i="2"/>
  <c r="S46" i="2"/>
  <c r="R46" i="2"/>
  <c r="Q46" i="2"/>
  <c r="AD46" i="2" s="1"/>
  <c r="AI46" i="2" s="1"/>
  <c r="P46" i="2"/>
  <c r="O46" i="2"/>
  <c r="N46" i="2"/>
  <c r="M46" i="2"/>
  <c r="L46" i="2"/>
  <c r="K46" i="2"/>
  <c r="J46" i="2"/>
  <c r="I46" i="2"/>
  <c r="H46" i="2"/>
  <c r="G46" i="2"/>
  <c r="F46" i="2"/>
  <c r="E46" i="2"/>
  <c r="AB45" i="2"/>
  <c r="AA45" i="2"/>
  <c r="Z45" i="2"/>
  <c r="Y45" i="2"/>
  <c r="X45" i="2"/>
  <c r="W45" i="2"/>
  <c r="V45" i="2"/>
  <c r="U45" i="2"/>
  <c r="AD45" i="2" s="1"/>
  <c r="AI45" i="2" s="1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AC45" i="2" s="1"/>
  <c r="AH45" i="2" s="1"/>
  <c r="AB44" i="2"/>
  <c r="AA44" i="2"/>
  <c r="Z44" i="2"/>
  <c r="Y44" i="2"/>
  <c r="X44" i="2"/>
  <c r="W44" i="2"/>
  <c r="V44" i="2"/>
  <c r="U44" i="2"/>
  <c r="T44" i="2"/>
  <c r="S44" i="2"/>
  <c r="R44" i="2"/>
  <c r="Q44" i="2"/>
  <c r="AD44" i="2" s="1"/>
  <c r="AI44" i="2" s="1"/>
  <c r="P44" i="2"/>
  <c r="O44" i="2"/>
  <c r="N44" i="2"/>
  <c r="M44" i="2"/>
  <c r="L44" i="2"/>
  <c r="K44" i="2"/>
  <c r="J44" i="2"/>
  <c r="I44" i="2"/>
  <c r="H44" i="2"/>
  <c r="G44" i="2"/>
  <c r="F44" i="2"/>
  <c r="E44" i="2"/>
  <c r="AB43" i="2"/>
  <c r="AA43" i="2"/>
  <c r="Z43" i="2"/>
  <c r="Y43" i="2"/>
  <c r="X43" i="2"/>
  <c r="W43" i="2"/>
  <c r="V43" i="2"/>
  <c r="U43" i="2"/>
  <c r="AD43" i="2" s="1"/>
  <c r="AI43" i="2" s="1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AC43" i="2" s="1"/>
  <c r="AH43" i="2" s="1"/>
  <c r="AB42" i="2"/>
  <c r="AA42" i="2"/>
  <c r="Z42" i="2"/>
  <c r="Y42" i="2"/>
  <c r="X42" i="2"/>
  <c r="W42" i="2"/>
  <c r="V42" i="2"/>
  <c r="U42" i="2"/>
  <c r="T42" i="2"/>
  <c r="S42" i="2"/>
  <c r="R42" i="2"/>
  <c r="Q42" i="2"/>
  <c r="AD42" i="2" s="1"/>
  <c r="AI42" i="2" s="1"/>
  <c r="P42" i="2"/>
  <c r="O42" i="2"/>
  <c r="N42" i="2"/>
  <c r="M42" i="2"/>
  <c r="L42" i="2"/>
  <c r="K42" i="2"/>
  <c r="J42" i="2"/>
  <c r="I42" i="2"/>
  <c r="H42" i="2"/>
  <c r="G42" i="2"/>
  <c r="F42" i="2"/>
  <c r="E42" i="2"/>
  <c r="AC42" i="2" s="1"/>
  <c r="AH42" i="2" s="1"/>
  <c r="AB41" i="2"/>
  <c r="AA41" i="2"/>
  <c r="Z41" i="2"/>
  <c r="Y41" i="2"/>
  <c r="X41" i="2"/>
  <c r="W41" i="2"/>
  <c r="V41" i="2"/>
  <c r="U41" i="2"/>
  <c r="AD41" i="2" s="1"/>
  <c r="AI41" i="2" s="1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AC41" i="2" s="1"/>
  <c r="AH41" i="2" s="1"/>
  <c r="AB40" i="2"/>
  <c r="AA40" i="2"/>
  <c r="Z40" i="2"/>
  <c r="Y40" i="2"/>
  <c r="X40" i="2"/>
  <c r="W40" i="2"/>
  <c r="V40" i="2"/>
  <c r="U40" i="2"/>
  <c r="T40" i="2"/>
  <c r="S40" i="2"/>
  <c r="R40" i="2"/>
  <c r="Q40" i="2"/>
  <c r="AD40" i="2" s="1"/>
  <c r="AI40" i="2" s="1"/>
  <c r="P40" i="2"/>
  <c r="O40" i="2"/>
  <c r="N40" i="2"/>
  <c r="M40" i="2"/>
  <c r="L40" i="2"/>
  <c r="K40" i="2"/>
  <c r="J40" i="2"/>
  <c r="I40" i="2"/>
  <c r="H40" i="2"/>
  <c r="G40" i="2"/>
  <c r="F40" i="2"/>
  <c r="E40" i="2"/>
  <c r="AB39" i="2"/>
  <c r="AA39" i="2"/>
  <c r="Z39" i="2"/>
  <c r="Y39" i="2"/>
  <c r="X39" i="2"/>
  <c r="W39" i="2"/>
  <c r="V39" i="2"/>
  <c r="U39" i="2"/>
  <c r="T39" i="2"/>
  <c r="AD39" i="2" s="1"/>
  <c r="AI39" i="2" s="1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AC39" i="2" s="1"/>
  <c r="AH39" i="2" s="1"/>
  <c r="AB38" i="2"/>
  <c r="AA38" i="2"/>
  <c r="Z38" i="2"/>
  <c r="Y38" i="2"/>
  <c r="X38" i="2"/>
  <c r="W38" i="2"/>
  <c r="V38" i="2"/>
  <c r="U38" i="2"/>
  <c r="T38" i="2"/>
  <c r="S38" i="2"/>
  <c r="R38" i="2"/>
  <c r="Q38" i="2"/>
  <c r="AD38" i="2" s="1"/>
  <c r="AI38" i="2" s="1"/>
  <c r="P38" i="2"/>
  <c r="O38" i="2"/>
  <c r="N38" i="2"/>
  <c r="M38" i="2"/>
  <c r="L38" i="2"/>
  <c r="K38" i="2"/>
  <c r="J38" i="2"/>
  <c r="I38" i="2"/>
  <c r="H38" i="2"/>
  <c r="G38" i="2"/>
  <c r="F38" i="2"/>
  <c r="E38" i="2"/>
  <c r="AC38" i="2" s="1"/>
  <c r="AH38" i="2" s="1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AC37" i="2" s="1"/>
  <c r="AH37" i="2" s="1"/>
  <c r="AB36" i="2"/>
  <c r="AA36" i="2"/>
  <c r="Z36" i="2"/>
  <c r="Y36" i="2"/>
  <c r="X36" i="2"/>
  <c r="W36" i="2"/>
  <c r="V36" i="2"/>
  <c r="U36" i="2"/>
  <c r="T36" i="2"/>
  <c r="S36" i="2"/>
  <c r="R36" i="2"/>
  <c r="Q36" i="2"/>
  <c r="AD36" i="2" s="1"/>
  <c r="AI36" i="2" s="1"/>
  <c r="P36" i="2"/>
  <c r="O36" i="2"/>
  <c r="N36" i="2"/>
  <c r="M36" i="2"/>
  <c r="L36" i="2"/>
  <c r="K36" i="2"/>
  <c r="J36" i="2"/>
  <c r="I36" i="2"/>
  <c r="H36" i="2"/>
  <c r="G36" i="2"/>
  <c r="F36" i="2"/>
  <c r="E36" i="2"/>
  <c r="AC36" i="2" s="1"/>
  <c r="AH36" i="2" s="1"/>
  <c r="AB35" i="2"/>
  <c r="AA35" i="2"/>
  <c r="Z35" i="2"/>
  <c r="Y35" i="2"/>
  <c r="X35" i="2"/>
  <c r="W35" i="2"/>
  <c r="V35" i="2"/>
  <c r="U35" i="2"/>
  <c r="T35" i="2"/>
  <c r="AD35" i="2" s="1"/>
  <c r="AI35" i="2" s="1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AC35" i="2" s="1"/>
  <c r="AH35" i="2" s="1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AB33" i="2"/>
  <c r="AA33" i="2"/>
  <c r="Z33" i="2"/>
  <c r="Y33" i="2"/>
  <c r="X33" i="2"/>
  <c r="W33" i="2"/>
  <c r="V33" i="2"/>
  <c r="U33" i="2"/>
  <c r="T33" i="2"/>
  <c r="AD33" i="2" s="1"/>
  <c r="AI33" i="2" s="1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AC33" i="2" s="1"/>
  <c r="AH33" i="2" s="1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AB31" i="2"/>
  <c r="AA31" i="2"/>
  <c r="Z31" i="2"/>
  <c r="Y31" i="2"/>
  <c r="X31" i="2"/>
  <c r="W31" i="2"/>
  <c r="V31" i="2"/>
  <c r="U31" i="2"/>
  <c r="T31" i="2"/>
  <c r="AD31" i="2" s="1"/>
  <c r="AI31" i="2" s="1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AC31" i="2" s="1"/>
  <c r="AH31" i="2" s="1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AC30" i="2" s="1"/>
  <c r="AH30" i="2" s="1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AC29" i="2" s="1"/>
  <c r="AH29" i="2" s="1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AC27" i="2" s="1"/>
  <c r="AH27" i="2" s="1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AC25" i="2" s="1"/>
  <c r="AH25" i="2" s="1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AC23" i="2" s="1"/>
  <c r="AH23" i="2" s="1"/>
  <c r="AB22" i="2"/>
  <c r="AA22" i="2"/>
  <c r="Z22" i="2"/>
  <c r="Y22" i="2"/>
  <c r="X22" i="2"/>
  <c r="W22" i="2"/>
  <c r="V22" i="2"/>
  <c r="U22" i="2"/>
  <c r="T22" i="2"/>
  <c r="S22" i="2"/>
  <c r="R22" i="2"/>
  <c r="Q22" i="2"/>
  <c r="AD22" i="2" s="1"/>
  <c r="AI22" i="2" s="1"/>
  <c r="P22" i="2"/>
  <c r="O22" i="2"/>
  <c r="N22" i="2"/>
  <c r="M22" i="2"/>
  <c r="L22" i="2"/>
  <c r="K22" i="2"/>
  <c r="J22" i="2"/>
  <c r="I22" i="2"/>
  <c r="H22" i="2"/>
  <c r="G22" i="2"/>
  <c r="F22" i="2"/>
  <c r="E22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AC21" i="2" s="1"/>
  <c r="AH21" i="2" s="1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AB19" i="2"/>
  <c r="AA19" i="2"/>
  <c r="Z19" i="2"/>
  <c r="Y19" i="2"/>
  <c r="X19" i="2"/>
  <c r="W19" i="2"/>
  <c r="V19" i="2"/>
  <c r="U19" i="2"/>
  <c r="T19" i="2"/>
  <c r="AD19" i="2" s="1"/>
  <c r="AI19" i="2" s="1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AC19" i="2" s="1"/>
  <c r="AH19" i="2" s="1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AB17" i="2"/>
  <c r="AA17" i="2"/>
  <c r="Z17" i="2"/>
  <c r="Y17" i="2"/>
  <c r="X17" i="2"/>
  <c r="W17" i="2"/>
  <c r="V17" i="2"/>
  <c r="U17" i="2"/>
  <c r="T17" i="2"/>
  <c r="AD17" i="2" s="1"/>
  <c r="AI17" i="2" s="1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AC17" i="2" s="1"/>
  <c r="AH17" i="2" s="1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AB15" i="2"/>
  <c r="AA15" i="2"/>
  <c r="Z15" i="2"/>
  <c r="Y15" i="2"/>
  <c r="X15" i="2"/>
  <c r="W15" i="2"/>
  <c r="V15" i="2"/>
  <c r="U15" i="2"/>
  <c r="T15" i="2"/>
  <c r="AD15" i="2" s="1"/>
  <c r="AI15" i="2" s="1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AC15" i="2" s="1"/>
  <c r="AH15" i="2" s="1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AB13" i="2"/>
  <c r="AA13" i="2"/>
  <c r="Z13" i="2"/>
  <c r="Y13" i="2"/>
  <c r="X13" i="2"/>
  <c r="W13" i="2"/>
  <c r="V13" i="2"/>
  <c r="U13" i="2"/>
  <c r="T13" i="2"/>
  <c r="S13" i="2"/>
  <c r="R13" i="2"/>
  <c r="Q13" i="2"/>
  <c r="AD13" i="2" s="1"/>
  <c r="AI13" i="2" s="1"/>
  <c r="P13" i="2"/>
  <c r="O13" i="2"/>
  <c r="N13" i="2"/>
  <c r="M13" i="2"/>
  <c r="L13" i="2"/>
  <c r="K13" i="2"/>
  <c r="J13" i="2"/>
  <c r="I13" i="2"/>
  <c r="H13" i="2"/>
  <c r="G13" i="2"/>
  <c r="F13" i="2"/>
  <c r="E13" i="2"/>
  <c r="AC13" i="2" s="1"/>
  <c r="AH13" i="2" s="1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AC12" i="2" s="1"/>
  <c r="AH12" i="2" s="1"/>
  <c r="AB11" i="2"/>
  <c r="AA11" i="2"/>
  <c r="Z11" i="2"/>
  <c r="Y11" i="2"/>
  <c r="X11" i="2"/>
  <c r="W11" i="2"/>
  <c r="V11" i="2"/>
  <c r="U11" i="2"/>
  <c r="T11" i="2"/>
  <c r="S11" i="2"/>
  <c r="R11" i="2"/>
  <c r="Q11" i="2"/>
  <c r="AD11" i="2" s="1"/>
  <c r="AI11" i="2" s="1"/>
  <c r="P11" i="2"/>
  <c r="O11" i="2"/>
  <c r="N11" i="2"/>
  <c r="M11" i="2"/>
  <c r="L11" i="2"/>
  <c r="K11" i="2"/>
  <c r="J11" i="2"/>
  <c r="I11" i="2"/>
  <c r="H11" i="2"/>
  <c r="G11" i="2"/>
  <c r="F11" i="2"/>
  <c r="E11" i="2"/>
  <c r="AC11" i="2" s="1"/>
  <c r="AH11" i="2" s="1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AC10" i="2" s="1"/>
  <c r="AH10" i="2" s="1"/>
  <c r="AB9" i="2"/>
  <c r="AA9" i="2"/>
  <c r="Z9" i="2"/>
  <c r="Y9" i="2"/>
  <c r="X9" i="2"/>
  <c r="W9" i="2"/>
  <c r="V9" i="2"/>
  <c r="U9" i="2"/>
  <c r="T9" i="2"/>
  <c r="S9" i="2"/>
  <c r="R9" i="2"/>
  <c r="Q9" i="2"/>
  <c r="AD9" i="2" s="1"/>
  <c r="AI9" i="2" s="1"/>
  <c r="P9" i="2"/>
  <c r="O9" i="2"/>
  <c r="N9" i="2"/>
  <c r="M9" i="2"/>
  <c r="L9" i="2"/>
  <c r="K9" i="2"/>
  <c r="J9" i="2"/>
  <c r="I9" i="2"/>
  <c r="H9" i="2"/>
  <c r="G9" i="2"/>
  <c r="F9" i="2"/>
  <c r="E9" i="2"/>
  <c r="AC9" i="2" s="1"/>
  <c r="AH9" i="2" s="1"/>
  <c r="BP201" i="1"/>
  <c r="BO201" i="1"/>
  <c r="AZ201" i="1"/>
  <c r="BA201" i="1" s="1"/>
  <c r="BP200" i="1"/>
  <c r="BO200" i="1"/>
  <c r="BA200" i="1"/>
  <c r="AZ200" i="1"/>
  <c r="BO199" i="1"/>
  <c r="BP199" i="1" s="1"/>
  <c r="AZ199" i="1"/>
  <c r="BA199" i="1" s="1"/>
  <c r="BP198" i="1"/>
  <c r="BO198" i="1"/>
  <c r="AZ198" i="1"/>
  <c r="BA198" i="1" s="1"/>
  <c r="BO197" i="1"/>
  <c r="BP197" i="1" s="1"/>
  <c r="AZ197" i="1"/>
  <c r="BA197" i="1" s="1"/>
  <c r="BP196" i="1"/>
  <c r="BO196" i="1"/>
  <c r="AZ196" i="1"/>
  <c r="BA196" i="1" s="1"/>
  <c r="BP195" i="1"/>
  <c r="BO195" i="1"/>
  <c r="AZ195" i="1"/>
  <c r="BA195" i="1" s="1"/>
  <c r="BP194" i="1"/>
  <c r="BO194" i="1"/>
  <c r="BA194" i="1"/>
  <c r="AZ194" i="1"/>
  <c r="BO193" i="1"/>
  <c r="J64" i="3" s="1"/>
  <c r="AZ193" i="1"/>
  <c r="BA193" i="1" s="1"/>
  <c r="BP192" i="1"/>
  <c r="BO192" i="1"/>
  <c r="AZ192" i="1"/>
  <c r="BA192" i="1" s="1"/>
  <c r="BO191" i="1"/>
  <c r="J67" i="3" s="1"/>
  <c r="AZ191" i="1"/>
  <c r="BA191" i="1" s="1"/>
  <c r="BP190" i="1"/>
  <c r="BO190" i="1"/>
  <c r="BA190" i="1"/>
  <c r="AZ190" i="1"/>
  <c r="BP189" i="1"/>
  <c r="BO189" i="1"/>
  <c r="J66" i="3" s="1"/>
  <c r="AZ189" i="1"/>
  <c r="BA189" i="1" s="1"/>
  <c r="BP188" i="1"/>
  <c r="BO188" i="1"/>
  <c r="AZ188" i="1"/>
  <c r="BA188" i="1" s="1"/>
  <c r="BO187" i="1"/>
  <c r="AZ187" i="1"/>
  <c r="BA187" i="1" s="1"/>
  <c r="BP186" i="1"/>
  <c r="BO186" i="1"/>
  <c r="AZ186" i="1"/>
  <c r="BA186" i="1" s="1"/>
  <c r="BP185" i="1"/>
  <c r="BO185" i="1"/>
  <c r="AZ185" i="1"/>
  <c r="BA185" i="1" s="1"/>
  <c r="BP184" i="1"/>
  <c r="BO184" i="1"/>
  <c r="BA184" i="1"/>
  <c r="AZ184" i="1"/>
  <c r="BO183" i="1"/>
  <c r="BP183" i="1" s="1"/>
  <c r="AZ183" i="1"/>
  <c r="BA183" i="1" s="1"/>
  <c r="BP182" i="1"/>
  <c r="BO182" i="1"/>
  <c r="AZ182" i="1"/>
  <c r="BA182" i="1" s="1"/>
  <c r="BO181" i="1"/>
  <c r="BP181" i="1" s="1"/>
  <c r="AZ181" i="1"/>
  <c r="BA181" i="1" s="1"/>
  <c r="BP180" i="1"/>
  <c r="BO180" i="1"/>
  <c r="AZ180" i="1"/>
  <c r="BA180" i="1" s="1"/>
  <c r="BP179" i="1"/>
  <c r="BO179" i="1"/>
  <c r="AZ179" i="1"/>
  <c r="BA179" i="1" s="1"/>
  <c r="BP178" i="1"/>
  <c r="BO178" i="1"/>
  <c r="BA178" i="1"/>
  <c r="AZ178" i="1"/>
  <c r="BO177" i="1"/>
  <c r="BP177" i="1" s="1"/>
  <c r="AZ177" i="1"/>
  <c r="BA177" i="1" s="1"/>
  <c r="BP176" i="1"/>
  <c r="BO176" i="1"/>
  <c r="AZ176" i="1"/>
  <c r="BA176" i="1" s="1"/>
  <c r="BO175" i="1"/>
  <c r="J63" i="3" s="1"/>
  <c r="AZ175" i="1"/>
  <c r="BA175" i="1" s="1"/>
  <c r="BP174" i="1"/>
  <c r="BO174" i="1"/>
  <c r="BA174" i="1"/>
  <c r="AZ174" i="1"/>
  <c r="BP173" i="1"/>
  <c r="BO173" i="1"/>
  <c r="AZ173" i="1"/>
  <c r="BA173" i="1" s="1"/>
  <c r="BP172" i="1"/>
  <c r="BO172" i="1"/>
  <c r="AZ172" i="1"/>
  <c r="BA172" i="1" s="1"/>
  <c r="BO171" i="1"/>
  <c r="AZ171" i="1"/>
  <c r="BA171" i="1" s="1"/>
  <c r="BP170" i="1"/>
  <c r="BO170" i="1"/>
  <c r="J53" i="3" s="1"/>
  <c r="AZ170" i="1"/>
  <c r="BA170" i="1" s="1"/>
  <c r="BP169" i="1"/>
  <c r="BO169" i="1"/>
  <c r="AZ169" i="1"/>
  <c r="BA169" i="1" s="1"/>
  <c r="BP168" i="1"/>
  <c r="BO168" i="1"/>
  <c r="BA168" i="1"/>
  <c r="AZ168" i="1"/>
  <c r="BO167" i="1"/>
  <c r="BP167" i="1" s="1"/>
  <c r="AZ167" i="1"/>
  <c r="BA167" i="1" s="1"/>
  <c r="BP166" i="1"/>
  <c r="BO166" i="1"/>
  <c r="AZ166" i="1"/>
  <c r="BA166" i="1" s="1"/>
  <c r="BO165" i="1"/>
  <c r="J57" i="3" s="1"/>
  <c r="AZ165" i="1"/>
  <c r="BA165" i="1" s="1"/>
  <c r="BP164" i="1"/>
  <c r="BO164" i="1"/>
  <c r="AZ164" i="1"/>
  <c r="BA164" i="1" s="1"/>
  <c r="BP163" i="1"/>
  <c r="BO163" i="1"/>
  <c r="AZ163" i="1"/>
  <c r="BA163" i="1" s="1"/>
  <c r="BP162" i="1"/>
  <c r="BO162" i="1"/>
  <c r="BA162" i="1"/>
  <c r="AZ162" i="1"/>
  <c r="BO161" i="1"/>
  <c r="BP161" i="1" s="1"/>
  <c r="AZ161" i="1"/>
  <c r="BA161" i="1" s="1"/>
  <c r="BP160" i="1"/>
  <c r="BO160" i="1"/>
  <c r="AZ160" i="1"/>
  <c r="BA160" i="1" s="1"/>
  <c r="BO159" i="1"/>
  <c r="BP159" i="1" s="1"/>
  <c r="AZ159" i="1"/>
  <c r="BA159" i="1" s="1"/>
  <c r="BP158" i="1"/>
  <c r="BO158" i="1"/>
  <c r="BA158" i="1"/>
  <c r="AZ158" i="1"/>
  <c r="BP157" i="1"/>
  <c r="BO157" i="1"/>
  <c r="AZ157" i="1"/>
  <c r="BA157" i="1" s="1"/>
  <c r="BP156" i="1"/>
  <c r="BO156" i="1"/>
  <c r="AZ156" i="1"/>
  <c r="BA156" i="1" s="1"/>
  <c r="BO155" i="1"/>
  <c r="BP155" i="1" s="1"/>
  <c r="AZ155" i="1"/>
  <c r="BA155" i="1" s="1"/>
  <c r="BP154" i="1"/>
  <c r="BO154" i="1"/>
  <c r="AZ154" i="1"/>
  <c r="BA154" i="1" s="1"/>
  <c r="BP153" i="1"/>
  <c r="BO153" i="1"/>
  <c r="AZ153" i="1"/>
  <c r="BA153" i="1" s="1"/>
  <c r="BP152" i="1"/>
  <c r="BO152" i="1"/>
  <c r="BA152" i="1"/>
  <c r="AZ152" i="1"/>
  <c r="BO151" i="1"/>
  <c r="J56" i="3" s="1"/>
  <c r="AZ151" i="1"/>
  <c r="BA151" i="1" s="1"/>
  <c r="BP150" i="1"/>
  <c r="BO150" i="1"/>
  <c r="AZ150" i="1"/>
  <c r="BA150" i="1" s="1"/>
  <c r="BO149" i="1"/>
  <c r="BP149" i="1" s="1"/>
  <c r="AZ149" i="1"/>
  <c r="BA149" i="1" s="1"/>
  <c r="BP148" i="1"/>
  <c r="BO148" i="1"/>
  <c r="J60" i="3" s="1"/>
  <c r="AZ148" i="1"/>
  <c r="BA148" i="1" s="1"/>
  <c r="BP147" i="1"/>
  <c r="BO147" i="1"/>
  <c r="AZ147" i="1"/>
  <c r="BA147" i="1" s="1"/>
  <c r="BP146" i="1"/>
  <c r="BO146" i="1"/>
  <c r="BA146" i="1"/>
  <c r="AZ146" i="1"/>
  <c r="BO145" i="1"/>
  <c r="BP145" i="1" s="1"/>
  <c r="AZ145" i="1"/>
  <c r="BA145" i="1" s="1"/>
  <c r="BP144" i="1"/>
  <c r="BO144" i="1"/>
  <c r="AZ144" i="1"/>
  <c r="BA144" i="1" s="1"/>
  <c r="BO143" i="1"/>
  <c r="J55" i="3" s="1"/>
  <c r="AZ143" i="1"/>
  <c r="BA143" i="1" s="1"/>
  <c r="BP142" i="1"/>
  <c r="BO142" i="1"/>
  <c r="BA142" i="1"/>
  <c r="AZ142" i="1"/>
  <c r="BP141" i="1"/>
  <c r="BO141" i="1"/>
  <c r="J54" i="3" s="1"/>
  <c r="AZ141" i="1"/>
  <c r="BA141" i="1" s="1"/>
  <c r="BP140" i="1"/>
  <c r="BO140" i="1"/>
  <c r="AZ140" i="1"/>
  <c r="BA140" i="1" s="1"/>
  <c r="BO139" i="1"/>
  <c r="AZ139" i="1"/>
  <c r="BA139" i="1" s="1"/>
  <c r="BP138" i="1"/>
  <c r="BO138" i="1"/>
  <c r="J59" i="3" s="1"/>
  <c r="AZ138" i="1"/>
  <c r="BA138" i="1" s="1"/>
  <c r="BP137" i="1"/>
  <c r="BO137" i="1"/>
  <c r="AZ137" i="1"/>
  <c r="BA137" i="1" s="1"/>
  <c r="BP136" i="1"/>
  <c r="BO136" i="1"/>
  <c r="BA136" i="1"/>
  <c r="AZ136" i="1"/>
  <c r="BO135" i="1"/>
  <c r="BP135" i="1" s="1"/>
  <c r="AZ135" i="1"/>
  <c r="BA135" i="1" s="1"/>
  <c r="BP134" i="1"/>
  <c r="BO134" i="1"/>
  <c r="AZ134" i="1"/>
  <c r="BA134" i="1" s="1"/>
  <c r="BO133" i="1"/>
  <c r="BP133" i="1" s="1"/>
  <c r="AZ133" i="1"/>
  <c r="BA133" i="1" s="1"/>
  <c r="BP132" i="1"/>
  <c r="BO132" i="1"/>
  <c r="J49" i="3" s="1"/>
  <c r="AZ132" i="1"/>
  <c r="BA132" i="1" s="1"/>
  <c r="BP131" i="1"/>
  <c r="BO131" i="1"/>
  <c r="AZ131" i="1"/>
  <c r="BA131" i="1" s="1"/>
  <c r="BP130" i="1"/>
  <c r="BO130" i="1"/>
  <c r="BA130" i="1"/>
  <c r="AZ130" i="1"/>
  <c r="BO129" i="1"/>
  <c r="BP129" i="1" s="1"/>
  <c r="AZ129" i="1"/>
  <c r="BA129" i="1" s="1"/>
  <c r="BP128" i="1"/>
  <c r="BO128" i="1"/>
  <c r="AZ128" i="1"/>
  <c r="BA128" i="1" s="1"/>
  <c r="BO127" i="1"/>
  <c r="J45" i="3" s="1"/>
  <c r="AZ127" i="1"/>
  <c r="BA127" i="1" s="1"/>
  <c r="BP126" i="1"/>
  <c r="BO126" i="1"/>
  <c r="BA126" i="1"/>
  <c r="AZ126" i="1"/>
  <c r="BP125" i="1"/>
  <c r="BO125" i="1"/>
  <c r="AZ125" i="1"/>
  <c r="BA125" i="1" s="1"/>
  <c r="BP124" i="1"/>
  <c r="BO124" i="1"/>
  <c r="J48" i="3" s="1"/>
  <c r="BA124" i="1"/>
  <c r="AZ124" i="1"/>
  <c r="BP123" i="1"/>
  <c r="BO123" i="1"/>
  <c r="J19" i="3" s="1"/>
  <c r="AZ123" i="1"/>
  <c r="BA123" i="1" s="1"/>
  <c r="BP122" i="1"/>
  <c r="BO122" i="1"/>
  <c r="BA122" i="1"/>
  <c r="AZ122" i="1"/>
  <c r="BP121" i="1"/>
  <c r="BO121" i="1"/>
  <c r="AZ121" i="1"/>
  <c r="BA121" i="1" s="1"/>
  <c r="BP120" i="1"/>
  <c r="BO120" i="1"/>
  <c r="BA120" i="1"/>
  <c r="AZ120" i="1"/>
  <c r="BP119" i="1"/>
  <c r="BO119" i="1"/>
  <c r="AZ119" i="1"/>
  <c r="BA119" i="1" s="1"/>
  <c r="BP118" i="1"/>
  <c r="BO118" i="1"/>
  <c r="BA118" i="1"/>
  <c r="AZ118" i="1"/>
  <c r="BP117" i="1"/>
  <c r="BO117" i="1"/>
  <c r="J28" i="3" s="1"/>
  <c r="AZ117" i="1"/>
  <c r="BA117" i="1" s="1"/>
  <c r="BP116" i="1"/>
  <c r="BO116" i="1"/>
  <c r="J22" i="3" s="1"/>
  <c r="BA116" i="1"/>
  <c r="AZ116" i="1"/>
  <c r="BP115" i="1"/>
  <c r="BO115" i="1"/>
  <c r="AZ115" i="1"/>
  <c r="BA115" i="1" s="1"/>
  <c r="BP114" i="1"/>
  <c r="BO114" i="1"/>
  <c r="BA114" i="1"/>
  <c r="AZ114" i="1"/>
  <c r="BP113" i="1"/>
  <c r="BO113" i="1"/>
  <c r="AZ113" i="1"/>
  <c r="BA113" i="1" s="1"/>
  <c r="BP112" i="1"/>
  <c r="BO112" i="1"/>
  <c r="BA112" i="1"/>
  <c r="AZ112" i="1"/>
  <c r="BP111" i="1"/>
  <c r="BO111" i="1"/>
  <c r="AZ111" i="1"/>
  <c r="BA111" i="1" s="1"/>
  <c r="BP110" i="1"/>
  <c r="BO110" i="1"/>
  <c r="BA110" i="1"/>
  <c r="AZ110" i="1"/>
  <c r="BP109" i="1"/>
  <c r="BO109" i="1"/>
  <c r="J32" i="3" s="1"/>
  <c r="AZ109" i="1"/>
  <c r="BA109" i="1" s="1"/>
  <c r="BP108" i="1"/>
  <c r="BO108" i="1"/>
  <c r="BA108" i="1"/>
  <c r="AZ108" i="1"/>
  <c r="BP107" i="1"/>
  <c r="BO107" i="1"/>
  <c r="J27" i="3" s="1"/>
  <c r="AZ107" i="1"/>
  <c r="BA107" i="1" s="1"/>
  <c r="BP106" i="1"/>
  <c r="BO106" i="1"/>
  <c r="BA106" i="1"/>
  <c r="AZ106" i="1"/>
  <c r="BP105" i="1"/>
  <c r="BO105" i="1"/>
  <c r="J42" i="3" s="1"/>
  <c r="AZ105" i="1"/>
  <c r="BA105" i="1" s="1"/>
  <c r="BP104" i="1"/>
  <c r="BO104" i="1"/>
  <c r="BA104" i="1"/>
  <c r="AZ104" i="1"/>
  <c r="BP103" i="1"/>
  <c r="BO103" i="1"/>
  <c r="AZ103" i="1"/>
  <c r="BA103" i="1" s="1"/>
  <c r="BP102" i="1"/>
  <c r="BO102" i="1"/>
  <c r="BA102" i="1"/>
  <c r="AZ102" i="1"/>
  <c r="BP101" i="1"/>
  <c r="BO101" i="1"/>
  <c r="AZ101" i="1"/>
  <c r="BA101" i="1" s="1"/>
  <c r="BP100" i="1"/>
  <c r="BO100" i="1"/>
  <c r="BA100" i="1"/>
  <c r="AZ100" i="1"/>
  <c r="BP99" i="1"/>
  <c r="BO99" i="1"/>
  <c r="AZ99" i="1"/>
  <c r="BA99" i="1" s="1"/>
  <c r="BP98" i="1"/>
  <c r="BO98" i="1"/>
  <c r="BA98" i="1"/>
  <c r="AZ98" i="1"/>
  <c r="BP97" i="1"/>
  <c r="BO97" i="1"/>
  <c r="AZ97" i="1"/>
  <c r="BA97" i="1" s="1"/>
  <c r="BP96" i="1"/>
  <c r="BO96" i="1"/>
  <c r="J30" i="3" s="1"/>
  <c r="BA96" i="1"/>
  <c r="AZ96" i="1"/>
  <c r="BP95" i="1"/>
  <c r="BO95" i="1"/>
  <c r="J43" i="3" s="1"/>
  <c r="AZ95" i="1"/>
  <c r="BA95" i="1" s="1"/>
  <c r="BP94" i="1"/>
  <c r="BO94" i="1"/>
  <c r="BA94" i="1"/>
  <c r="AZ94" i="1"/>
  <c r="BP93" i="1"/>
  <c r="BO93" i="1"/>
  <c r="AZ93" i="1"/>
  <c r="BA93" i="1" s="1"/>
  <c r="BP92" i="1"/>
  <c r="BO92" i="1"/>
  <c r="BA92" i="1"/>
  <c r="AZ92" i="1"/>
  <c r="BP91" i="1"/>
  <c r="BO91" i="1"/>
  <c r="J50" i="3" s="1"/>
  <c r="AZ91" i="1"/>
  <c r="BA91" i="1" s="1"/>
  <c r="BP90" i="1"/>
  <c r="BO90" i="1"/>
  <c r="BA90" i="1"/>
  <c r="AZ90" i="1"/>
  <c r="BP89" i="1"/>
  <c r="BO89" i="1"/>
  <c r="AZ89" i="1"/>
  <c r="BA89" i="1" s="1"/>
  <c r="BP88" i="1"/>
  <c r="BO88" i="1"/>
  <c r="BA88" i="1"/>
  <c r="AZ88" i="1"/>
  <c r="BP87" i="1"/>
  <c r="BO87" i="1"/>
  <c r="AZ87" i="1"/>
  <c r="BA87" i="1" s="1"/>
  <c r="BP86" i="1"/>
  <c r="BO86" i="1"/>
  <c r="BA86" i="1"/>
  <c r="AZ86" i="1"/>
  <c r="BP85" i="1"/>
  <c r="BO85" i="1"/>
  <c r="AZ85" i="1"/>
  <c r="BA85" i="1" s="1"/>
  <c r="BP84" i="1"/>
  <c r="BO84" i="1"/>
  <c r="BA84" i="1"/>
  <c r="AZ84" i="1"/>
  <c r="BP83" i="1"/>
  <c r="BO83" i="1"/>
  <c r="J39" i="3" s="1"/>
  <c r="AZ83" i="1"/>
  <c r="BA83" i="1" s="1"/>
  <c r="BP82" i="1"/>
  <c r="BO82" i="1"/>
  <c r="J16" i="3" s="1"/>
  <c r="BA82" i="1"/>
  <c r="AZ82" i="1"/>
  <c r="BP81" i="1"/>
  <c r="BO81" i="1"/>
  <c r="AZ81" i="1"/>
  <c r="BA81" i="1" s="1"/>
  <c r="BP80" i="1"/>
  <c r="BO80" i="1"/>
  <c r="BA80" i="1"/>
  <c r="AZ80" i="1"/>
  <c r="BP79" i="1"/>
  <c r="BO79" i="1"/>
  <c r="AZ79" i="1"/>
  <c r="BA79" i="1" s="1"/>
  <c r="BP78" i="1"/>
  <c r="BO78" i="1"/>
  <c r="BA78" i="1"/>
  <c r="AZ78" i="1"/>
  <c r="BO77" i="1"/>
  <c r="BP77" i="1" s="1"/>
  <c r="AZ77" i="1"/>
  <c r="BA77" i="1" s="1"/>
  <c r="BP76" i="1"/>
  <c r="BO76" i="1"/>
  <c r="BA76" i="1"/>
  <c r="AZ76" i="1"/>
  <c r="BO75" i="1"/>
  <c r="BP75" i="1" s="1"/>
  <c r="AZ75" i="1"/>
  <c r="BA75" i="1" s="1"/>
  <c r="BP74" i="1"/>
  <c r="BO74" i="1"/>
  <c r="J52" i="3" s="1"/>
  <c r="BA74" i="1"/>
  <c r="AZ74" i="1"/>
  <c r="BO73" i="1"/>
  <c r="BP73" i="1" s="1"/>
  <c r="AZ73" i="1"/>
  <c r="BA73" i="1" s="1"/>
  <c r="BP72" i="1"/>
  <c r="BO72" i="1"/>
  <c r="J44" i="3" s="1"/>
  <c r="BA72" i="1"/>
  <c r="AZ72" i="1"/>
  <c r="BO71" i="1"/>
  <c r="BP71" i="1" s="1"/>
  <c r="AZ71" i="1"/>
  <c r="BA71" i="1" s="1"/>
  <c r="BP70" i="1"/>
  <c r="BO70" i="1"/>
  <c r="BA70" i="1"/>
  <c r="AZ70" i="1"/>
  <c r="BO69" i="1"/>
  <c r="J36" i="3" s="1"/>
  <c r="AZ69" i="1"/>
  <c r="BA69" i="1" s="1"/>
  <c r="BP68" i="1"/>
  <c r="BO68" i="1"/>
  <c r="BA68" i="1"/>
  <c r="AZ68" i="1"/>
  <c r="BO67" i="1"/>
  <c r="J21" i="3" s="1"/>
  <c r="AZ67" i="1"/>
  <c r="BA67" i="1" s="1"/>
  <c r="BP66" i="1"/>
  <c r="BO66" i="1"/>
  <c r="J40" i="3" s="1"/>
  <c r="BA66" i="1"/>
  <c r="AZ66" i="1"/>
  <c r="BO65" i="1"/>
  <c r="J31" i="3" s="1"/>
  <c r="AZ65" i="1"/>
  <c r="BA65" i="1" s="1"/>
  <c r="BP64" i="1"/>
  <c r="BO64" i="1"/>
  <c r="BA64" i="1"/>
  <c r="AZ64" i="1"/>
  <c r="BO63" i="1"/>
  <c r="J24" i="3" s="1"/>
  <c r="AZ63" i="1"/>
  <c r="BA63" i="1" s="1"/>
  <c r="BP62" i="1"/>
  <c r="BO62" i="1"/>
  <c r="BA62" i="1"/>
  <c r="AZ62" i="1"/>
  <c r="BO61" i="1"/>
  <c r="J25" i="3" s="1"/>
  <c r="AZ61" i="1"/>
  <c r="BA61" i="1" s="1"/>
  <c r="BP60" i="1"/>
  <c r="BO60" i="1"/>
  <c r="BA60" i="1"/>
  <c r="AZ60" i="1"/>
  <c r="BO59" i="1"/>
  <c r="BP59" i="1" s="1"/>
  <c r="AZ59" i="1"/>
  <c r="BA59" i="1" s="1"/>
  <c r="BP58" i="1"/>
  <c r="BO58" i="1"/>
  <c r="J47" i="3" s="1"/>
  <c r="BA58" i="1"/>
  <c r="AZ58" i="1"/>
  <c r="BO57" i="1"/>
  <c r="BP57" i="1" s="1"/>
  <c r="AZ57" i="1"/>
  <c r="BA57" i="1" s="1"/>
  <c r="BP56" i="1"/>
  <c r="BO56" i="1"/>
  <c r="BA56" i="1"/>
  <c r="AZ56" i="1"/>
  <c r="BO55" i="1"/>
  <c r="BP55" i="1" s="1"/>
  <c r="AZ55" i="1"/>
  <c r="BA55" i="1" s="1"/>
  <c r="BP54" i="1"/>
  <c r="BO54" i="1"/>
  <c r="BA54" i="1"/>
  <c r="AZ54" i="1"/>
  <c r="BO53" i="1"/>
  <c r="BP53" i="1" s="1"/>
  <c r="AZ53" i="1"/>
  <c r="BA53" i="1" s="1"/>
  <c r="BP52" i="1"/>
  <c r="BO52" i="1"/>
  <c r="BA52" i="1"/>
  <c r="AZ52" i="1"/>
  <c r="BO51" i="1"/>
  <c r="BP51" i="1" s="1"/>
  <c r="AZ51" i="1"/>
  <c r="BA51" i="1" s="1"/>
  <c r="BP50" i="1"/>
  <c r="BO50" i="1"/>
  <c r="BA50" i="1"/>
  <c r="AZ50" i="1"/>
  <c r="BO49" i="1"/>
  <c r="BP49" i="1" s="1"/>
  <c r="AZ49" i="1"/>
  <c r="BA49" i="1" s="1"/>
  <c r="BP48" i="1"/>
  <c r="BO48" i="1"/>
  <c r="BA48" i="1"/>
  <c r="AZ48" i="1"/>
  <c r="BO47" i="1"/>
  <c r="BP47" i="1" s="1"/>
  <c r="AZ47" i="1"/>
  <c r="BA47" i="1" s="1"/>
  <c r="BP46" i="1"/>
  <c r="BO46" i="1"/>
  <c r="BA46" i="1"/>
  <c r="AZ46" i="1"/>
  <c r="BO45" i="1"/>
  <c r="BP45" i="1" s="1"/>
  <c r="AZ45" i="1"/>
  <c r="BA45" i="1" s="1"/>
  <c r="BP44" i="1"/>
  <c r="BO44" i="1"/>
  <c r="BA44" i="1"/>
  <c r="AZ44" i="1"/>
  <c r="BO43" i="1"/>
  <c r="BP43" i="1" s="1"/>
  <c r="AZ43" i="1"/>
  <c r="BA43" i="1" s="1"/>
  <c r="BP42" i="1"/>
  <c r="BO42" i="1"/>
  <c r="J14" i="3" s="1"/>
  <c r="BA42" i="1"/>
  <c r="AZ42" i="1"/>
  <c r="BO41" i="1"/>
  <c r="BP41" i="1" s="1"/>
  <c r="AZ41" i="1"/>
  <c r="BA41" i="1" s="1"/>
  <c r="BP40" i="1"/>
  <c r="BO40" i="1"/>
  <c r="BA40" i="1"/>
  <c r="AZ40" i="1"/>
  <c r="BO39" i="1"/>
  <c r="BP39" i="1" s="1"/>
  <c r="AZ39" i="1"/>
  <c r="BA39" i="1" s="1"/>
  <c r="BP38" i="1"/>
  <c r="BO38" i="1"/>
  <c r="BA38" i="1"/>
  <c r="AZ38" i="1"/>
  <c r="BO37" i="1"/>
  <c r="BP37" i="1" s="1"/>
  <c r="AZ37" i="1"/>
  <c r="BA37" i="1" s="1"/>
  <c r="BP36" i="1"/>
  <c r="BO36" i="1"/>
  <c r="BA36" i="1"/>
  <c r="AZ36" i="1"/>
  <c r="BO35" i="1"/>
  <c r="BP35" i="1" s="1"/>
  <c r="AZ35" i="1"/>
  <c r="BA35" i="1" s="1"/>
  <c r="BP34" i="1"/>
  <c r="BO34" i="1"/>
  <c r="BA34" i="1"/>
  <c r="AZ34" i="1"/>
  <c r="BO33" i="1"/>
  <c r="BP33" i="1" s="1"/>
  <c r="AZ33" i="1"/>
  <c r="BA33" i="1" s="1"/>
  <c r="BP32" i="1"/>
  <c r="BO32" i="1"/>
  <c r="BA32" i="1"/>
  <c r="AZ32" i="1"/>
  <c r="BO31" i="1"/>
  <c r="BP31" i="1" s="1"/>
  <c r="AZ31" i="1"/>
  <c r="BA31" i="1" s="1"/>
  <c r="BP30" i="1"/>
  <c r="BO30" i="1"/>
  <c r="BA30" i="1"/>
  <c r="AZ30" i="1"/>
  <c r="BO29" i="1"/>
  <c r="J29" i="3" s="1"/>
  <c r="AZ29" i="1"/>
  <c r="BA29" i="1" s="1"/>
  <c r="BP28" i="1"/>
  <c r="BO28" i="1"/>
  <c r="BA28" i="1"/>
  <c r="AZ28" i="1"/>
  <c r="BO27" i="1"/>
  <c r="BP27" i="1" s="1"/>
  <c r="AZ27" i="1"/>
  <c r="BA27" i="1" s="1"/>
  <c r="BP26" i="1"/>
  <c r="BO26" i="1"/>
  <c r="BA26" i="1"/>
  <c r="AZ26" i="1"/>
  <c r="BO25" i="1"/>
  <c r="BP25" i="1" s="1"/>
  <c r="AZ25" i="1"/>
  <c r="BA25" i="1" s="1"/>
  <c r="BP24" i="1"/>
  <c r="BO24" i="1"/>
  <c r="BA24" i="1"/>
  <c r="AZ24" i="1"/>
  <c r="BO23" i="1"/>
  <c r="BP23" i="1" s="1"/>
  <c r="AZ23" i="1"/>
  <c r="BA23" i="1" s="1"/>
  <c r="BP22" i="1"/>
  <c r="BO22" i="1"/>
  <c r="J51" i="3" s="1"/>
  <c r="BA22" i="1"/>
  <c r="AZ22" i="1"/>
  <c r="BO21" i="1"/>
  <c r="BP21" i="1" s="1"/>
  <c r="AZ21" i="1"/>
  <c r="BA21" i="1" s="1"/>
  <c r="BP20" i="1"/>
  <c r="BO20" i="1"/>
  <c r="BA20" i="1"/>
  <c r="AZ20" i="1"/>
  <c r="BO19" i="1"/>
  <c r="J17" i="3" s="1"/>
  <c r="AZ19" i="1"/>
  <c r="BA19" i="1" s="1"/>
  <c r="BP18" i="1"/>
  <c r="BO18" i="1"/>
  <c r="J46" i="3" s="1"/>
  <c r="BA18" i="1"/>
  <c r="AZ18" i="1"/>
  <c r="BO17" i="1"/>
  <c r="J35" i="3" s="1"/>
  <c r="AZ17" i="1"/>
  <c r="BA17" i="1" s="1"/>
  <c r="BP16" i="1"/>
  <c r="BO16" i="1"/>
  <c r="BA16" i="1"/>
  <c r="AZ16" i="1"/>
  <c r="BO15" i="1"/>
  <c r="AZ15" i="1"/>
  <c r="BA15" i="1" s="1"/>
  <c r="BP14" i="1"/>
  <c r="BO14" i="1"/>
  <c r="J38" i="3" s="1"/>
  <c r="BA14" i="1"/>
  <c r="AZ14" i="1"/>
  <c r="BO13" i="1"/>
  <c r="BP13" i="1" s="1"/>
  <c r="AZ13" i="1"/>
  <c r="BA13" i="1" s="1"/>
  <c r="AC20" i="2" l="1"/>
  <c r="AH20" i="2" s="1"/>
  <c r="AD28" i="2"/>
  <c r="AI28" i="2" s="1"/>
  <c r="BP165" i="1"/>
  <c r="AC24" i="2"/>
  <c r="AH24" i="2" s="1"/>
  <c r="AD25" i="2"/>
  <c r="AI25" i="2" s="1"/>
  <c r="AD32" i="2"/>
  <c r="AI32" i="2" s="1"/>
  <c r="AD37" i="2"/>
  <c r="AI37" i="2" s="1"/>
  <c r="AC50" i="2"/>
  <c r="AH50" i="2" s="1"/>
  <c r="AC73" i="2"/>
  <c r="AH73" i="2" s="1"/>
  <c r="G94" i="3"/>
  <c r="K94" i="3"/>
  <c r="BP127" i="1"/>
  <c r="BP143" i="1"/>
  <c r="BP175" i="1"/>
  <c r="BP191" i="1"/>
  <c r="AC26" i="2"/>
  <c r="AH26" i="2" s="1"/>
  <c r="AD27" i="2"/>
  <c r="AI27" i="2" s="1"/>
  <c r="AD34" i="2"/>
  <c r="AI34" i="2" s="1"/>
  <c r="AC40" i="2"/>
  <c r="AH40" i="2" s="1"/>
  <c r="AC56" i="2"/>
  <c r="AH56" i="2" s="1"/>
  <c r="AC57" i="2"/>
  <c r="AH57" i="2" s="1"/>
  <c r="AD59" i="2"/>
  <c r="AI59" i="2" s="1"/>
  <c r="G86" i="3"/>
  <c r="M86" i="3"/>
  <c r="K86" i="3"/>
  <c r="J33" i="3"/>
  <c r="BP15" i="1"/>
  <c r="BP19" i="1"/>
  <c r="BP61" i="1"/>
  <c r="BP65" i="1"/>
  <c r="J61" i="3"/>
  <c r="AD12" i="2"/>
  <c r="AI12" i="2" s="1"/>
  <c r="AD24" i="2"/>
  <c r="AI24" i="2" s="1"/>
  <c r="AC32" i="2"/>
  <c r="AH32" i="2" s="1"/>
  <c r="G78" i="3"/>
  <c r="K78" i="3"/>
  <c r="AC16" i="2"/>
  <c r="AH16" i="2" s="1"/>
  <c r="AD21" i="2"/>
  <c r="AI21" i="2" s="1"/>
  <c r="J41" i="3"/>
  <c r="BP17" i="1"/>
  <c r="BP29" i="1"/>
  <c r="BP63" i="1"/>
  <c r="BP67" i="1"/>
  <c r="BP69" i="1"/>
  <c r="J62" i="3"/>
  <c r="J65" i="3"/>
  <c r="BP139" i="1"/>
  <c r="BP171" i="1"/>
  <c r="BP187" i="1"/>
  <c r="AC22" i="2"/>
  <c r="AH22" i="2" s="1"/>
  <c r="AD23" i="2"/>
  <c r="AI23" i="2" s="1"/>
  <c r="AD30" i="2"/>
  <c r="AI30" i="2" s="1"/>
  <c r="AC44" i="2"/>
  <c r="AH44" i="2" s="1"/>
  <c r="AC61" i="2"/>
  <c r="AH61" i="2" s="1"/>
  <c r="AD65" i="2"/>
  <c r="AI65" i="2" s="1"/>
  <c r="H70" i="3"/>
  <c r="M70" i="3" s="1"/>
  <c r="G70" i="3"/>
  <c r="K70" i="3"/>
  <c r="BP193" i="1"/>
  <c r="AD10" i="2"/>
  <c r="AI10" i="2" s="1"/>
  <c r="AC14" i="2"/>
  <c r="AH14" i="2" s="1"/>
  <c r="AD16" i="2"/>
  <c r="AI16" i="2" s="1"/>
  <c r="AC18" i="2"/>
  <c r="AH18" i="2" s="1"/>
  <c r="AD20" i="2"/>
  <c r="AI20" i="2" s="1"/>
  <c r="AC28" i="2"/>
  <c r="AH28" i="2" s="1"/>
  <c r="AD29" i="2"/>
  <c r="AI29" i="2" s="1"/>
  <c r="AC46" i="2"/>
  <c r="AH46" i="2" s="1"/>
  <c r="AC63" i="2"/>
  <c r="AH63" i="2" s="1"/>
  <c r="AC65" i="2"/>
  <c r="AH65" i="2" s="1"/>
  <c r="G102" i="3"/>
  <c r="K102" i="3"/>
  <c r="AD14" i="2"/>
  <c r="AI14" i="2" s="1"/>
  <c r="AD18" i="2"/>
  <c r="AI18" i="2" s="1"/>
  <c r="BP151" i="1"/>
  <c r="AD26" i="2"/>
  <c r="AI26" i="2" s="1"/>
  <c r="AC34" i="2"/>
  <c r="AH34" i="2" s="1"/>
  <c r="AC60" i="2"/>
  <c r="AH60" i="2" s="1"/>
  <c r="AD64" i="2"/>
  <c r="AI64" i="2" s="1"/>
  <c r="AC78" i="2"/>
  <c r="AH78" i="2" s="1"/>
  <c r="AC84" i="2"/>
  <c r="AH84" i="2" s="1"/>
  <c r="AD88" i="2"/>
  <c r="AI88" i="2" s="1"/>
  <c r="AC92" i="2"/>
  <c r="AH92" i="2" s="1"/>
  <c r="AD98" i="2"/>
  <c r="AI98" i="2" s="1"/>
  <c r="K65" i="3"/>
  <c r="H65" i="3"/>
  <c r="J23" i="3"/>
  <c r="J37" i="3"/>
  <c r="J20" i="3"/>
  <c r="H20" i="3" s="1"/>
  <c r="J15" i="3"/>
  <c r="J68" i="3"/>
  <c r="H68" i="3" s="1"/>
  <c r="AC66" i="2"/>
  <c r="AH66" i="2" s="1"/>
  <c r="AD68" i="2"/>
  <c r="AI68" i="2" s="1"/>
  <c r="AC70" i="2"/>
  <c r="AH70" i="2" s="1"/>
  <c r="AD72" i="2"/>
  <c r="AI72" i="2" s="1"/>
  <c r="AC74" i="2"/>
  <c r="AH74" i="2" s="1"/>
  <c r="AD76" i="2"/>
  <c r="AI76" i="2" s="1"/>
  <c r="K20" i="3"/>
  <c r="K68" i="3"/>
  <c r="M100" i="3"/>
  <c r="AC58" i="2"/>
  <c r="AH58" i="2" s="1"/>
  <c r="AC80" i="2"/>
  <c r="AH80" i="2" s="1"/>
  <c r="AC95" i="2"/>
  <c r="AH95" i="2" s="1"/>
  <c r="G74" i="3"/>
  <c r="M74" i="3" s="1"/>
  <c r="K74" i="3"/>
  <c r="G82" i="3"/>
  <c r="M82" i="3"/>
  <c r="K82" i="3"/>
  <c r="G90" i="3"/>
  <c r="M90" i="3"/>
  <c r="K90" i="3"/>
  <c r="G98" i="3"/>
  <c r="M98" i="3"/>
  <c r="K98" i="3"/>
  <c r="AC64" i="2"/>
  <c r="AH64" i="2" s="1"/>
  <c r="AD78" i="2"/>
  <c r="AI78" i="2" s="1"/>
  <c r="AD84" i="2"/>
  <c r="AI84" i="2" s="1"/>
  <c r="AC88" i="2"/>
  <c r="AH88" i="2" s="1"/>
  <c r="AD92" i="2"/>
  <c r="AI92" i="2" s="1"/>
  <c r="AC97" i="2"/>
  <c r="AH97" i="2" s="1"/>
  <c r="AC98" i="2"/>
  <c r="AH98" i="2" s="1"/>
  <c r="AD66" i="2"/>
  <c r="AI66" i="2" s="1"/>
  <c r="AC68" i="2"/>
  <c r="AH68" i="2" s="1"/>
  <c r="AC72" i="2"/>
  <c r="AH72" i="2" s="1"/>
  <c r="AC76" i="2"/>
  <c r="AH76" i="2" s="1"/>
  <c r="K16" i="3"/>
  <c r="K24" i="3"/>
  <c r="K40" i="3"/>
  <c r="K56" i="3"/>
  <c r="K64" i="3"/>
  <c r="M96" i="3"/>
  <c r="AC62" i="2"/>
  <c r="AH62" i="2" s="1"/>
  <c r="AC82" i="2"/>
  <c r="AH82" i="2" s="1"/>
  <c r="AD83" i="2"/>
  <c r="AI83" i="2" s="1"/>
  <c r="AC90" i="2"/>
  <c r="AH90" i="2" s="1"/>
  <c r="AD91" i="2"/>
  <c r="AI91" i="2" s="1"/>
  <c r="AC101" i="2"/>
  <c r="AH101" i="2" s="1"/>
  <c r="AC102" i="2"/>
  <c r="AH102" i="2" s="1"/>
  <c r="H78" i="3"/>
  <c r="M78" i="3" s="1"/>
  <c r="H86" i="3"/>
  <c r="H94" i="3"/>
  <c r="M94" i="3" s="1"/>
  <c r="H102" i="3"/>
  <c r="M102" i="3" s="1"/>
  <c r="M107" i="3"/>
  <c r="K106" i="3"/>
  <c r="G16" i="3"/>
  <c r="M16" i="3" s="1"/>
  <c r="G20" i="3"/>
  <c r="G24" i="3"/>
  <c r="G28" i="3"/>
  <c r="G32" i="3"/>
  <c r="M32" i="3" s="1"/>
  <c r="G36" i="3"/>
  <c r="G40" i="3"/>
  <c r="G44" i="3"/>
  <c r="M44" i="3" s="1"/>
  <c r="G48" i="3"/>
  <c r="G52" i="3"/>
  <c r="M52" i="3" s="1"/>
  <c r="G56" i="3"/>
  <c r="G60" i="3"/>
  <c r="G64" i="3"/>
  <c r="M64" i="3" s="1"/>
  <c r="G68" i="3"/>
  <c r="G72" i="3"/>
  <c r="M72" i="3" s="1"/>
  <c r="G76" i="3"/>
  <c r="M76" i="3" s="1"/>
  <c r="G80" i="3"/>
  <c r="M80" i="3" s="1"/>
  <c r="G84" i="3"/>
  <c r="M84" i="3" s="1"/>
  <c r="G88" i="3"/>
  <c r="G92" i="3"/>
  <c r="G96" i="3"/>
  <c r="G100" i="3"/>
  <c r="G104" i="3"/>
  <c r="M104" i="3" s="1"/>
  <c r="M106" i="3"/>
  <c r="F15" i="3"/>
  <c r="H16" i="3"/>
  <c r="F19" i="3"/>
  <c r="F23" i="3"/>
  <c r="H24" i="3"/>
  <c r="F27" i="3"/>
  <c r="H28" i="3"/>
  <c r="M28" i="3" s="1"/>
  <c r="F31" i="3"/>
  <c r="H32" i="3"/>
  <c r="F35" i="3"/>
  <c r="H36" i="3"/>
  <c r="F39" i="3"/>
  <c r="H40" i="3"/>
  <c r="F43" i="3"/>
  <c r="H44" i="3"/>
  <c r="F47" i="3"/>
  <c r="H48" i="3"/>
  <c r="M48" i="3" s="1"/>
  <c r="F51" i="3"/>
  <c r="H52" i="3"/>
  <c r="F55" i="3"/>
  <c r="H56" i="3"/>
  <c r="F59" i="3"/>
  <c r="H60" i="3"/>
  <c r="M60" i="3" s="1"/>
  <c r="F63" i="3"/>
  <c r="H64" i="3"/>
  <c r="F67" i="3"/>
  <c r="H72" i="3"/>
  <c r="H76" i="3"/>
  <c r="H80" i="3"/>
  <c r="H84" i="3"/>
  <c r="H88" i="3"/>
  <c r="M88" i="3" s="1"/>
  <c r="H92" i="3"/>
  <c r="M92" i="3" s="1"/>
  <c r="H96" i="3"/>
  <c r="H100" i="3"/>
  <c r="H104" i="3"/>
  <c r="F14" i="3"/>
  <c r="F18" i="3"/>
  <c r="F22" i="3"/>
  <c r="F26" i="3"/>
  <c r="F30" i="3"/>
  <c r="F34" i="3"/>
  <c r="F38" i="3"/>
  <c r="F42" i="3"/>
  <c r="F46" i="3"/>
  <c r="F50" i="3"/>
  <c r="F54" i="3"/>
  <c r="F58" i="3"/>
  <c r="F62" i="3"/>
  <c r="F66" i="3"/>
  <c r="H71" i="3"/>
  <c r="M71" i="3" s="1"/>
  <c r="H75" i="3"/>
  <c r="M75" i="3" s="1"/>
  <c r="H79" i="3"/>
  <c r="M79" i="3" s="1"/>
  <c r="H83" i="3"/>
  <c r="M83" i="3" s="1"/>
  <c r="H87" i="3"/>
  <c r="M87" i="3" s="1"/>
  <c r="H91" i="3"/>
  <c r="M91" i="3" s="1"/>
  <c r="H95" i="3"/>
  <c r="M95" i="3" s="1"/>
  <c r="H99" i="3"/>
  <c r="M99" i="3" s="1"/>
  <c r="H103" i="3"/>
  <c r="M103" i="3" s="1"/>
  <c r="H107" i="3"/>
  <c r="F17" i="3"/>
  <c r="F21" i="3"/>
  <c r="F25" i="3"/>
  <c r="F29" i="3"/>
  <c r="F33" i="3"/>
  <c r="F37" i="3"/>
  <c r="F41" i="3"/>
  <c r="F45" i="3"/>
  <c r="F49" i="3"/>
  <c r="F53" i="3"/>
  <c r="F57" i="3"/>
  <c r="F61" i="3"/>
  <c r="M40" i="3" l="1"/>
  <c r="M36" i="3"/>
  <c r="M56" i="3"/>
  <c r="M24" i="3"/>
  <c r="H62" i="3"/>
  <c r="G62" i="3"/>
  <c r="M62" i="3" s="1"/>
  <c r="K62" i="3"/>
  <c r="H54" i="3"/>
  <c r="G54" i="3"/>
  <c r="K54" i="3"/>
  <c r="H22" i="3"/>
  <c r="G22" i="3"/>
  <c r="K22" i="3"/>
  <c r="H30" i="3"/>
  <c r="G30" i="3"/>
  <c r="K30" i="3"/>
  <c r="K53" i="3"/>
  <c r="H53" i="3"/>
  <c r="G53" i="3"/>
  <c r="H50" i="3"/>
  <c r="G50" i="3"/>
  <c r="K50" i="3"/>
  <c r="K43" i="3"/>
  <c r="H43" i="3"/>
  <c r="G43" i="3"/>
  <c r="G65" i="3"/>
  <c r="M65" i="3" s="1"/>
  <c r="K33" i="3"/>
  <c r="H33" i="3"/>
  <c r="G33" i="3"/>
  <c r="M33" i="3" s="1"/>
  <c r="K25" i="3"/>
  <c r="H25" i="3"/>
  <c r="M25" i="3" s="1"/>
  <c r="G25" i="3"/>
  <c r="K21" i="3"/>
  <c r="H21" i="3"/>
  <c r="G21" i="3"/>
  <c r="M21" i="3" s="1"/>
  <c r="K59" i="3"/>
  <c r="H59" i="3"/>
  <c r="G59" i="3"/>
  <c r="K57" i="3"/>
  <c r="H57" i="3"/>
  <c r="G57" i="3"/>
  <c r="H18" i="3"/>
  <c r="G18" i="3"/>
  <c r="M18" i="3" s="1"/>
  <c r="K18" i="3"/>
  <c r="K27" i="3"/>
  <c r="H27" i="3"/>
  <c r="G27" i="3"/>
  <c r="K49" i="3"/>
  <c r="H49" i="3"/>
  <c r="G49" i="3"/>
  <c r="M49" i="3" s="1"/>
  <c r="H46" i="3"/>
  <c r="G46" i="3"/>
  <c r="M46" i="3" s="1"/>
  <c r="K46" i="3"/>
  <c r="H42" i="3"/>
  <c r="M42" i="3" s="1"/>
  <c r="G42" i="3"/>
  <c r="K42" i="3"/>
  <c r="K55" i="3"/>
  <c r="H55" i="3"/>
  <c r="G55" i="3"/>
  <c r="M55" i="3" s="1"/>
  <c r="K39" i="3"/>
  <c r="H39" i="3"/>
  <c r="G39" i="3"/>
  <c r="K23" i="3"/>
  <c r="H23" i="3"/>
  <c r="G23" i="3"/>
  <c r="K41" i="3"/>
  <c r="H41" i="3"/>
  <c r="G41" i="3"/>
  <c r="M41" i="3" s="1"/>
  <c r="H38" i="3"/>
  <c r="G38" i="3"/>
  <c r="M38" i="3" s="1"/>
  <c r="K38" i="3"/>
  <c r="M23" i="3"/>
  <c r="K17" i="3"/>
  <c r="H17" i="3"/>
  <c r="G17" i="3"/>
  <c r="M17" i="3" s="1"/>
  <c r="H14" i="3"/>
  <c r="G14" i="3"/>
  <c r="M14" i="3" s="1"/>
  <c r="K14" i="3"/>
  <c r="K45" i="3"/>
  <c r="H45" i="3"/>
  <c r="G45" i="3"/>
  <c r="K37" i="3"/>
  <c r="H37" i="3"/>
  <c r="G37" i="3"/>
  <c r="M37" i="3" s="1"/>
  <c r="H66" i="3"/>
  <c r="G66" i="3"/>
  <c r="M66" i="3" s="1"/>
  <c r="K66" i="3"/>
  <c r="H34" i="3"/>
  <c r="G34" i="3"/>
  <c r="K34" i="3"/>
  <c r="K67" i="3"/>
  <c r="H67" i="3"/>
  <c r="G67" i="3"/>
  <c r="K51" i="3"/>
  <c r="H51" i="3"/>
  <c r="G51" i="3"/>
  <c r="M51" i="3" s="1"/>
  <c r="K35" i="3"/>
  <c r="H35" i="3"/>
  <c r="G35" i="3"/>
  <c r="M35" i="3" s="1"/>
  <c r="K19" i="3"/>
  <c r="H19" i="3"/>
  <c r="G19" i="3"/>
  <c r="M19" i="3" s="1"/>
  <c r="M68" i="3"/>
  <c r="M39" i="3"/>
  <c r="M30" i="3"/>
  <c r="M54" i="3"/>
  <c r="M53" i="3"/>
  <c r="K61" i="3"/>
  <c r="H61" i="3"/>
  <c r="G61" i="3"/>
  <c r="M61" i="3" s="1"/>
  <c r="K29" i="3"/>
  <c r="H29" i="3"/>
  <c r="G29" i="3"/>
  <c r="M29" i="3" s="1"/>
  <c r="H58" i="3"/>
  <c r="G58" i="3"/>
  <c r="M58" i="3" s="1"/>
  <c r="K58" i="3"/>
  <c r="H26" i="3"/>
  <c r="G26" i="3"/>
  <c r="K26" i="3"/>
  <c r="K63" i="3"/>
  <c r="H63" i="3"/>
  <c r="G63" i="3"/>
  <c r="M63" i="3" s="1"/>
  <c r="K47" i="3"/>
  <c r="H47" i="3"/>
  <c r="G47" i="3"/>
  <c r="K31" i="3"/>
  <c r="H31" i="3"/>
  <c r="G31" i="3"/>
  <c r="M31" i="3" s="1"/>
  <c r="K15" i="3"/>
  <c r="H15" i="3"/>
  <c r="G15" i="3"/>
  <c r="M15" i="3" s="1"/>
  <c r="M20" i="3"/>
  <c r="M22" i="3"/>
  <c r="M34" i="3" l="1"/>
  <c r="M45" i="3"/>
  <c r="M57" i="3"/>
  <c r="M50" i="3"/>
  <c r="M27" i="3"/>
  <c r="M43" i="3"/>
  <c r="M47" i="3"/>
  <c r="M26" i="3"/>
  <c r="M67" i="3"/>
  <c r="M59" i="3"/>
</calcChain>
</file>

<file path=xl/sharedStrings.xml><?xml version="1.0" encoding="utf-8"?>
<sst xmlns="http://schemas.openxmlformats.org/spreadsheetml/2006/main" count="3447" uniqueCount="591">
  <si>
    <t>PT. SEMARANG AUTOCOMP MANUFACTURING INDONESIA</t>
  </si>
  <si>
    <t>BUDGET EXPENSE FORM</t>
  </si>
  <si>
    <t>EXCHANGE RATE TO USD</t>
  </si>
  <si>
    <t>PERIODE Jul-25 SD Jun-26</t>
  </si>
  <si>
    <t>IDR</t>
  </si>
  <si>
    <t>DEPARTMENT-SECTION : PGA-TRN</t>
  </si>
  <si>
    <t>JPY</t>
  </si>
  <si>
    <t>THB</t>
  </si>
  <si>
    <t>USD</t>
  </si>
  <si>
    <t>EUR</t>
  </si>
  <si>
    <t>CHF</t>
  </si>
  <si>
    <t>SECTION</t>
  </si>
  <si>
    <t>BUDGET REF NO</t>
  </si>
  <si>
    <t>PART_NO</t>
  </si>
  <si>
    <t>PART  NAME</t>
  </si>
  <si>
    <t>DETAIL PART</t>
  </si>
  <si>
    <t>FUNGSI / TUJUAN</t>
  </si>
  <si>
    <t>SECTION CATEGORY</t>
  </si>
  <si>
    <t>ACC NO.</t>
  </si>
  <si>
    <t>ACCOUNT DESCRIPTION</t>
  </si>
  <si>
    <t>CATEGORY</t>
  </si>
  <si>
    <t>COST CENTER</t>
  </si>
  <si>
    <t>CARLINE</t>
  </si>
  <si>
    <t>CARMAKER</t>
  </si>
  <si>
    <t>UOM</t>
  </si>
  <si>
    <t>ORG CURR</t>
  </si>
  <si>
    <t>PRICE ORG CURR</t>
  </si>
  <si>
    <t>PRICE USD</t>
  </si>
  <si>
    <t>TOTAL</t>
  </si>
  <si>
    <t>AVERAGE</t>
  </si>
  <si>
    <t>SUB ACCOUNT</t>
  </si>
  <si>
    <t>KODE PROSES</t>
  </si>
  <si>
    <t>PURCHASING</t>
  </si>
  <si>
    <t>LEADTIME</t>
  </si>
  <si>
    <t>QTY</t>
  </si>
  <si>
    <t>AMT</t>
  </si>
  <si>
    <t>PENAWARAN</t>
  </si>
  <si>
    <t>PR</t>
  </si>
  <si>
    <t>PO</t>
  </si>
  <si>
    <t>KEDATANGAN</t>
  </si>
  <si>
    <t>VP</t>
  </si>
  <si>
    <t>PGA-TRN</t>
  </si>
  <si>
    <t>A-03149</t>
  </si>
  <si>
    <t>PLASTIK ID CARD</t>
  </si>
  <si>
    <t>PLASTIK ID CARD DEPAN SOBEK SAMPING</t>
  </si>
  <si>
    <t>INCLASS LICENSE</t>
  </si>
  <si>
    <t>OPEX</t>
  </si>
  <si>
    <t>RUTIN</t>
  </si>
  <si>
    <t>JPI000</t>
  </si>
  <si>
    <t>ALL</t>
  </si>
  <si>
    <t>PCS</t>
  </si>
  <si>
    <t>C</t>
  </si>
  <si>
    <t>GA</t>
  </si>
  <si>
    <t>A-03374</t>
  </si>
  <si>
    <t>REWARD KONTES SKILL</t>
  </si>
  <si>
    <t>LOMBA KONTES SKILL JUARA 2</t>
  </si>
  <si>
    <t>KONTES SKILL</t>
  </si>
  <si>
    <t>E</t>
  </si>
  <si>
    <t>A-03442</t>
  </si>
  <si>
    <t>PERJALANAN DINAS</t>
  </si>
  <si>
    <t>HOTEL DALAM NEGERI (TRAVELING/MEETING) GOL IV</t>
  </si>
  <si>
    <t>KAIZEN FESTIVAL TMC</t>
  </si>
  <si>
    <t>DAY</t>
  </si>
  <si>
    <t>D</t>
  </si>
  <si>
    <t>A-00979</t>
  </si>
  <si>
    <t>ENTERTAIN</t>
  </si>
  <si>
    <t>MAKAN SIANG</t>
  </si>
  <si>
    <t>MOTO AUDITOR</t>
  </si>
  <si>
    <t>MEAL</t>
  </si>
  <si>
    <t>A-01223</t>
  </si>
  <si>
    <t>POINTER</t>
  </si>
  <si>
    <t>INCLASS TRAINING KELAS</t>
  </si>
  <si>
    <t>A-03642</t>
  </si>
  <si>
    <t xml:space="preserve">SKILL UP TRAINING JAPAN </t>
  </si>
  <si>
    <t>MEDICAL EXAMINATION EXPENSES GOL IV</t>
  </si>
  <si>
    <t>OVERSEAS JEPANG SKILL UP SPV</t>
  </si>
  <si>
    <t>MONTH</t>
  </si>
  <si>
    <t>A-03708</t>
  </si>
  <si>
    <t>BIAYA PENGAMBILAN PAKET DOKUMEN</t>
  </si>
  <si>
    <t>PROMOTOR OLS</t>
  </si>
  <si>
    <t>B</t>
  </si>
  <si>
    <t>A-04095</t>
  </si>
  <si>
    <t>UNIFORM COST GOL IV</t>
  </si>
  <si>
    <t>A-00418</t>
  </si>
  <si>
    <t>TUNJANGAN MUSIM DINGIN &gt; 1 BULAN (TRAINING)</t>
  </si>
  <si>
    <t>PEOPLE</t>
  </si>
  <si>
    <t>A-02960</t>
  </si>
  <si>
    <t>VACUM CLEANER</t>
  </si>
  <si>
    <t>VACUM CLEANER MAYAKA</t>
  </si>
  <si>
    <t>MOTO ALAT 5S WHS</t>
  </si>
  <si>
    <t>UNIT</t>
  </si>
  <si>
    <t>A-03946</t>
  </si>
  <si>
    <t>UANG MAKAN SIANG PD DALAM NEGERI (TRAVELLING &amp; MEETING)  GOL III</t>
  </si>
  <si>
    <t>A-03959</t>
  </si>
  <si>
    <t>UANG MAKAN SIANG PD DALAM NEGERI (TRAVELLING &amp; MEETING) GOL IV</t>
  </si>
  <si>
    <t>A-03961</t>
  </si>
  <si>
    <t>UANG MAKAN MALAM PD DALAM NEGERI (TRAVELLING &amp; MEETING) GOL IV</t>
  </si>
  <si>
    <t>QCC KONVENSI YIG</t>
  </si>
  <si>
    <t>A-04085</t>
  </si>
  <si>
    <t>MONTHLY FEE GOL IV</t>
  </si>
  <si>
    <t>A-04114</t>
  </si>
  <si>
    <t>REWARD QCC</t>
  </si>
  <si>
    <t>REWARD THE BEST ACHIEVER QCC</t>
  </si>
  <si>
    <t xml:space="preserve">Renewal IL 1 </t>
  </si>
  <si>
    <t>OVERSEAS JEPANG I-III</t>
  </si>
  <si>
    <t>A-00704</t>
  </si>
  <si>
    <t>MASKER</t>
  </si>
  <si>
    <t>SAFETY MASK CARBON ACTIVE - LONG</t>
  </si>
  <si>
    <t>NEOP SIMULASI B3</t>
  </si>
  <si>
    <t>A-02907</t>
  </si>
  <si>
    <t>REWARD KAIZEN</t>
  </si>
  <si>
    <t>REWARD PEMENANG KONTES KIZUKAI KAIZEN JUARA 2</t>
  </si>
  <si>
    <t xml:space="preserve">KIZUKAI JUARA KONTES </t>
  </si>
  <si>
    <t>A-03039</t>
  </si>
  <si>
    <t>PAKET ROAMING LUAR NEGERI</t>
  </si>
  <si>
    <t>A-03641</t>
  </si>
  <si>
    <t>PURCHASE OF DAILY NECESSITIES GOL IV</t>
  </si>
  <si>
    <t>A-03944</t>
  </si>
  <si>
    <t>UANG MAKAN PAGI PD DALAM NEGERI (TRAVELLING &amp; MEETING) GOL III</t>
  </si>
  <si>
    <t>A-03955</t>
  </si>
  <si>
    <t>UANG MAKAN PAGI PD DALAM NEGERI (TRAVELLING &amp; MEETING) GOL IV</t>
  </si>
  <si>
    <t>Audit eksternal Promotor OLS</t>
  </si>
  <si>
    <t>A-02916</t>
  </si>
  <si>
    <t>BIAYA TRAINING</t>
  </si>
  <si>
    <t>TRAINING PUBLIC SPEAKING</t>
  </si>
  <si>
    <t>A</t>
  </si>
  <si>
    <t>A-03939</t>
  </si>
  <si>
    <t>UANG MAKAN SIANG PD DALAM NEGERI (TRAVELLING &amp; MEETING) GOL I-II</t>
  </si>
  <si>
    <t>A-03941</t>
  </si>
  <si>
    <t>UANG MAKAN MALAM PD DALAM NEGERI (TRAVELLING &amp; MEETING) GOL I-II</t>
  </si>
  <si>
    <t>A-04041</t>
  </si>
  <si>
    <t>BICYCLES, HELMETS GOL IV</t>
  </si>
  <si>
    <t>A-04052</t>
  </si>
  <si>
    <t>AKRILIK</t>
  </si>
  <si>
    <t>AKRILIK VISUALISASI 190X90</t>
  </si>
  <si>
    <t>VISUALISASI OC</t>
  </si>
  <si>
    <t>A-04053</t>
  </si>
  <si>
    <t>AKRILIK VISUALISASI 100X90</t>
  </si>
  <si>
    <t>KIZUKAI KONTES ENTERTAIN</t>
  </si>
  <si>
    <t>A-01154</t>
  </si>
  <si>
    <t>REWARD KAIZEN 4</t>
  </si>
  <si>
    <t xml:space="preserve">KIZUKAI REWARD KAIZEN </t>
  </si>
  <si>
    <t>A-02908</t>
  </si>
  <si>
    <t>REWARD PEMENANG KONTES KIZUKAI KAIZEN JUARA 3</t>
  </si>
  <si>
    <t>A-03951</t>
  </si>
  <si>
    <t>UANG MAKAN MALAM PD DALAM NEGERI (TRAVELLING &amp; MEETING) GOL III</t>
  </si>
  <si>
    <t>A-03964</t>
  </si>
  <si>
    <t>UANG MAKAN PAGI PD DALAM NEGERI (TRAVELLING &amp; MEETING) GOL V</t>
  </si>
  <si>
    <t>A-04102</t>
  </si>
  <si>
    <t>WI-FI (WI-FI SAKU) GOL IV</t>
  </si>
  <si>
    <t>A-00409</t>
  </si>
  <si>
    <t>UANG SAKU + MAKAN (ASIA KECUALI JEPANG) (TRAVELING/MEETING) GOL IV</t>
  </si>
  <si>
    <t>A-03659</t>
  </si>
  <si>
    <t>DOORPRIZE QCC</t>
  </si>
  <si>
    <t>QCC DORPRICE KONVENSI</t>
  </si>
  <si>
    <t>A-01159</t>
  </si>
  <si>
    <t>REWARD KAIZEN 9</t>
  </si>
  <si>
    <t>A-01312</t>
  </si>
  <si>
    <t>HANDMOP</t>
  </si>
  <si>
    <t>MOTO ALAT 5S</t>
  </si>
  <si>
    <t>A-03428</t>
  </si>
  <si>
    <t>TIKET PERJALANAN DINAS LUAR NEGERI ASIA KECUALI JEPANG IV (TRAVELLING/MEETING)</t>
  </si>
  <si>
    <t>A-03899</t>
  </si>
  <si>
    <t>SOUVENIR BULAN MOTO</t>
  </si>
  <si>
    <t>MOTO BULAN MOTO</t>
  </si>
  <si>
    <t>A-03992</t>
  </si>
  <si>
    <t>HOTEL LUAR NEGERI (ASIA KECUALI JEPANG) (TRAVELLING/MEETING) GOL IV</t>
  </si>
  <si>
    <t>A-04101</t>
  </si>
  <si>
    <t>BIAYA BULANAN UNTUK AREA UMUM DI GEDUNG APARTEMEN (PENERANGAN, DLL.) GOL IV</t>
  </si>
  <si>
    <t>A-00451</t>
  </si>
  <si>
    <t>FORM</t>
  </si>
  <si>
    <t>FORMULIR DAFTAR HADIR TRAINING</t>
  </si>
  <si>
    <t>RECORD TRAINING</t>
  </si>
  <si>
    <t>RIM</t>
  </si>
  <si>
    <t>A-00641</t>
  </si>
  <si>
    <t>BATTERY</t>
  </si>
  <si>
    <t>BATTERY CR2032 3V</t>
  </si>
  <si>
    <t>NEOP BATERAI STOPWATCH</t>
  </si>
  <si>
    <t>A-01388</t>
  </si>
  <si>
    <t>FAREWELL PARTY</t>
  </si>
  <si>
    <t>FAREWELL PARTY MAGANG JEPANG</t>
  </si>
  <si>
    <t>A-03050</t>
  </si>
  <si>
    <t>TES BAHASA ASING</t>
  </si>
  <si>
    <t>JLPT N5</t>
  </si>
  <si>
    <t>BAHASA JEPANG JLPT</t>
  </si>
  <si>
    <t>A-03069</t>
  </si>
  <si>
    <t>MMT</t>
  </si>
  <si>
    <t>MMT 3X3</t>
  </si>
  <si>
    <t>A-03365</t>
  </si>
  <si>
    <t>REWARD MOTO</t>
  </si>
  <si>
    <t>REWARD AUDITOR MOTO</t>
  </si>
  <si>
    <t>MOTO AWARD</t>
  </si>
  <si>
    <t>A-03610</t>
  </si>
  <si>
    <t>BULAN COMPLIANCE</t>
  </si>
  <si>
    <t>AKTIFITAS BULAN COMPLIANCE</t>
  </si>
  <si>
    <t>PAKET</t>
  </si>
  <si>
    <t>A-04013</t>
  </si>
  <si>
    <t>AUDIT PROMOTOR OLS EKSTERNAL</t>
  </si>
  <si>
    <t>A-04100</t>
  </si>
  <si>
    <t>BIAYA PERJALANAN DI DALAM JEPANG SELAMA MENINGGALKAN RUMAH GOL IV</t>
  </si>
  <si>
    <t>A-04109</t>
  </si>
  <si>
    <t>TRANSPORTATION TOCHIGI → AIRPORT</t>
  </si>
  <si>
    <t>SN008905</t>
  </si>
  <si>
    <t>SENAR</t>
  </si>
  <si>
    <t>SENAR PANCING</t>
  </si>
  <si>
    <t>NEOP SIMULASI PRAKTEK</t>
  </si>
  <si>
    <t>MTP</t>
  </si>
  <si>
    <t>A-03422</t>
  </si>
  <si>
    <t>TIKET PERJALANAN DINAS DALAM NEGERI  (TRAVELLING/MEETING) GOL IV</t>
  </si>
  <si>
    <t>A-00778</t>
  </si>
  <si>
    <t>WELCOME PARTY</t>
  </si>
  <si>
    <t>WELCOME PARTY MAGANG JEPANG</t>
  </si>
  <si>
    <t>A-04108</t>
  </si>
  <si>
    <t>TIKET PERJALANAN DINAS LUAR NEGERI VIETNAM GOL IV</t>
  </si>
  <si>
    <t>A-00452</t>
  </si>
  <si>
    <t>FORMULIR PERMOHONAN 4M &amp; 5S</t>
  </si>
  <si>
    <t>MOTO FORMULIR REQUEST</t>
  </si>
  <si>
    <t>A-00637</t>
  </si>
  <si>
    <t>BATTERY AAA</t>
  </si>
  <si>
    <t>INCLASS BATERAI POINTER</t>
  </si>
  <si>
    <t>SET</t>
  </si>
  <si>
    <t>A-00980</t>
  </si>
  <si>
    <t>MAKAN MALAM</t>
  </si>
  <si>
    <t>A-01456</t>
  </si>
  <si>
    <t>OLEH-OLEH TAMU</t>
  </si>
  <si>
    <t>A-02906</t>
  </si>
  <si>
    <t>REWARD PEMENANG KONTES KIZUKAI KAIZEN JUARA 1</t>
  </si>
  <si>
    <t>A-02910</t>
  </si>
  <si>
    <t>REWARD FINISH STORY QCC</t>
  </si>
  <si>
    <t>QCC REWARD FINISH STORY</t>
  </si>
  <si>
    <t>A-03369</t>
  </si>
  <si>
    <t>BENCHMARK QCC</t>
  </si>
  <si>
    <t>A-03411</t>
  </si>
  <si>
    <t>REWARD LOMBA MOTO</t>
  </si>
  <si>
    <t>REWARD LOMBA MOTO JUARA 1</t>
  </si>
  <si>
    <t>A-03423</t>
  </si>
  <si>
    <t>TIKET PERJALANAN DINAS DALAM NEGERI  (TRAVELLING/MEETING) GOL V</t>
  </si>
  <si>
    <t>A-04110</t>
  </si>
  <si>
    <t>ACOMODATION VIETNAM (INCLUDED POCKET MONEY &amp; FOOD)</t>
  </si>
  <si>
    <t>A-00380</t>
  </si>
  <si>
    <t>UANG CADANGAN DALAM NEGERI (TRAVELLING/MEETING)</t>
  </si>
  <si>
    <t>A-01272</t>
  </si>
  <si>
    <t>BIAYA PROSES VISA</t>
  </si>
  <si>
    <t>VISA JEPANG  (TRAINING)</t>
  </si>
  <si>
    <t>A-01385</t>
  </si>
  <si>
    <t>TRAINING BAHASA JEPANG MAGANG 1 TAHUN KE JEPANG</t>
  </si>
  <si>
    <t>A-01627</t>
  </si>
  <si>
    <t>HOTEL DALAM NEGERI (TRAINING) GOL III</t>
  </si>
  <si>
    <t>OVERSEAS JEPANG I-III EXTEND CGK</t>
  </si>
  <si>
    <t>A-02609</t>
  </si>
  <si>
    <t>TES TOEIC</t>
  </si>
  <si>
    <t>A-03373</t>
  </si>
  <si>
    <t>LOMBA KONTES SKILL JUARA 1</t>
  </si>
  <si>
    <t>A-03937</t>
  </si>
  <si>
    <t>UANG MAKAN PAGI PD DALAM NEGERI (TRAVELLING &amp; MEETING) GOL I-II</t>
  </si>
  <si>
    <t>A-04115</t>
  </si>
  <si>
    <t>REWARD JUARA KONVENSI QCC YIG</t>
  </si>
  <si>
    <t xml:space="preserve">Review bulanan IL 1 </t>
  </si>
  <si>
    <t>SN009201</t>
  </si>
  <si>
    <t>SELANG</t>
  </si>
  <si>
    <t>SELANG SEAGULE 1 1/4" (BERSERAT)</t>
  </si>
  <si>
    <t>ROLL</t>
  </si>
  <si>
    <t>A-00223</t>
  </si>
  <si>
    <t>MEDICAL CHECK UP</t>
  </si>
  <si>
    <t>MEDICAL CHECK UP MAGANG JEPANG</t>
  </si>
  <si>
    <t>A-00777</t>
  </si>
  <si>
    <t>TRAINING SKILL UP BAHASA JEPANG N5</t>
  </si>
  <si>
    <t>BAHASA JEPANG N5</t>
  </si>
  <si>
    <t>PACK</t>
  </si>
  <si>
    <t>QCC KONVENSI ENTERTAIN</t>
  </si>
  <si>
    <t>A-01163</t>
  </si>
  <si>
    <t>REWARD PEMENANG JUARA 3 QCC</t>
  </si>
  <si>
    <t>QCC REWARD JUARA</t>
  </si>
  <si>
    <t>A-03376</t>
  </si>
  <si>
    <t>LOMBA KONTES SKILL PARTICIPANT</t>
  </si>
  <si>
    <t>A-03412</t>
  </si>
  <si>
    <t>REWARD LOMBA MOTO JUARA 2</t>
  </si>
  <si>
    <t>A-03413</t>
  </si>
  <si>
    <t>REWARD LOMBA MOTO JUARA 3</t>
  </si>
  <si>
    <t>A-00362</t>
  </si>
  <si>
    <t>TIKET PERJALANAN DINAS LUAR NEGERI (JEPANG) (TRAINING) GOL I-III</t>
  </si>
  <si>
    <t>A-00725</t>
  </si>
  <si>
    <t>SAPU</t>
  </si>
  <si>
    <t>A-01571</t>
  </si>
  <si>
    <t>UANG CADANGAN LUAR NEGERI (AUS,USA,EUR) (TRAVELLING/MEETING)</t>
  </si>
  <si>
    <t>A-02017</t>
  </si>
  <si>
    <t>KERTAS</t>
  </si>
  <si>
    <t>KERTAS UKURAN A5</t>
  </si>
  <si>
    <t>NEOP SERTIFIKAT</t>
  </si>
  <si>
    <t>A-03375</t>
  </si>
  <si>
    <t>LOMBA KONTES SKILL JUARA 3</t>
  </si>
  <si>
    <t>A-03435</t>
  </si>
  <si>
    <t>PASPOR</t>
  </si>
  <si>
    <t>E-PASPOR IMIGRASI (TRAINING)</t>
  </si>
  <si>
    <t>A-03631</t>
  </si>
  <si>
    <t>1 YEAR BICYCLE INSURANCE GOL IV</t>
  </si>
  <si>
    <t>A-03898</t>
  </si>
  <si>
    <t>BAHASA JEPANG CONVERSATION</t>
  </si>
  <si>
    <t>PAX</t>
  </si>
  <si>
    <t>A-04107</t>
  </si>
  <si>
    <t>COST PERJALANAN DINAS DALAM NEGERI (Cost jika ada perjalanan dinas dalam negeri selama training) GOL IV</t>
  </si>
  <si>
    <t>A-00416</t>
  </si>
  <si>
    <t>Uang Saku Dinas ke SAMI – JF/TF/BBF (Gol I-III)</t>
  </si>
  <si>
    <t>KE SAMI TF</t>
  </si>
  <si>
    <t>A-00443</t>
  </si>
  <si>
    <t>C/S FORMULIR PEMBERITAHUAN RAPAT QCC</t>
  </si>
  <si>
    <t>QCC RECORD PERTEMUAN</t>
  </si>
  <si>
    <t>A-03634</t>
  </si>
  <si>
    <t>APARTMENT RENT GOL IV</t>
  </si>
  <si>
    <t>A-03793</t>
  </si>
  <si>
    <t>CARGER TABLET</t>
  </si>
  <si>
    <t>CHARGER TABLET TYPE C UGREEN</t>
  </si>
  <si>
    <t>TABLET CARGER</t>
  </si>
  <si>
    <t>A-03890</t>
  </si>
  <si>
    <t>LAMPU</t>
  </si>
  <si>
    <t>LAMPU LED STRIP 12 VOLT</t>
  </si>
  <si>
    <t>A-03978</t>
  </si>
  <si>
    <t>UANG MAKAN SIANG PD DALAM NEGERI (TRAVELLING &amp; MEETING) GOL V</t>
  </si>
  <si>
    <t>A-04084</t>
  </si>
  <si>
    <t>RENT OF FURNITURE AND APPLIANCES GOL IV</t>
  </si>
  <si>
    <t>A-04106</t>
  </si>
  <si>
    <t>COST PERJALANAN DINAS DALAM NEGERI (MC→Hiroshima/Hiroshima→MC) GOL IV</t>
  </si>
  <si>
    <t>A-03113</t>
  </si>
  <si>
    <t>BIAYA TEST RECRUITMENT</t>
  </si>
  <si>
    <t>BIAYA PSIKOTEST KE LUAR NEGERI SPV UP</t>
  </si>
  <si>
    <t>A-03378</t>
  </si>
  <si>
    <t>STAND TABLET</t>
  </si>
  <si>
    <t>A-03443</t>
  </si>
  <si>
    <t>HOTEL DALAM NEGERI (TRAVELING/MEETING) GOL V</t>
  </si>
  <si>
    <t>A-00727</t>
  </si>
  <si>
    <t>SEROKAN</t>
  </si>
  <si>
    <t>MOTO INSTRUKTUR</t>
  </si>
  <si>
    <t>A-03980</t>
  </si>
  <si>
    <t>UANG MAKAN MALAM PD DALAM NEGERI (TRAVELLING &amp; MEETING)  GOL V</t>
  </si>
  <si>
    <t>A-04105</t>
  </si>
  <si>
    <t>COST PERJALANAN DINAS DALAM NEGERI (Haneda→MC/MC→Haneda) GOL IV</t>
  </si>
  <si>
    <t>A-00636</t>
  </si>
  <si>
    <t>BATTERY AA</t>
  </si>
  <si>
    <t>INCLASS MOUSE</t>
  </si>
  <si>
    <t>A-00736</t>
  </si>
  <si>
    <t>STOPWATCH</t>
  </si>
  <si>
    <t>STOPWATCH ROX</t>
  </si>
  <si>
    <t>NEOP SIMULASI CT</t>
  </si>
  <si>
    <t>KONTES SKILL ENTERTAIN</t>
  </si>
  <si>
    <t>QCC PRAKONVENSI ENTERTAIN</t>
  </si>
  <si>
    <t>A-01161</t>
  </si>
  <si>
    <t>REWARD PEMENANG JUARA 1 QCC</t>
  </si>
  <si>
    <t>A-01162</t>
  </si>
  <si>
    <t>REWARD PEMENANG JUARA 2 QCC</t>
  </si>
  <si>
    <t>A-01383</t>
  </si>
  <si>
    <t>REWARD PARTICIPANT QCC</t>
  </si>
  <si>
    <t>QCC REWARD PARTICIPANT</t>
  </si>
  <si>
    <t>A-03897</t>
  </si>
  <si>
    <t>HEADPHONE</t>
  </si>
  <si>
    <t>PEMBUATAN VIDIO</t>
  </si>
  <si>
    <t>INSIDENTAL</t>
  </si>
  <si>
    <t>A-04096</t>
  </si>
  <si>
    <t>BUKU TEKS BAHASA JEPANG GOL V</t>
  </si>
  <si>
    <t>NEXT GENERATION FM</t>
  </si>
  <si>
    <t>A-04097</t>
  </si>
  <si>
    <t>EKSTERNAL TRAINING MANAGEMENT GOL V</t>
  </si>
  <si>
    <t>A-04098</t>
  </si>
  <si>
    <t>INTERPRETER TRAINING MANAGEMENTGOL V</t>
  </si>
  <si>
    <t>A-03630</t>
  </si>
  <si>
    <t>1 YEAR BICYCLE INSURANCE GOL V</t>
  </si>
  <si>
    <t>A-03628</t>
  </si>
  <si>
    <t>INVITATION DOCUMENT SHIPPING FEE (ASEAN) GOL V</t>
  </si>
  <si>
    <t>A-03635</t>
  </si>
  <si>
    <t>MEDICAL EXAMINATION EXPENSES GOL V</t>
  </si>
  <si>
    <t>A-04092</t>
  </si>
  <si>
    <t>TAX RETURN COMMISSION GOL V</t>
  </si>
  <si>
    <t>A-03896</t>
  </si>
  <si>
    <t>MICROPHONE</t>
  </si>
  <si>
    <t xml:space="preserve">MICROPHONE WIRELESS </t>
  </si>
  <si>
    <t>BATERAI CADANGAN</t>
  </si>
  <si>
    <t>A-04083</t>
  </si>
  <si>
    <t>RENT OF FURNITURE AND APPLIANCES GOL V</t>
  </si>
  <si>
    <t>A-04094</t>
  </si>
  <si>
    <t>UNIFORM COST GOL V</t>
  </si>
  <si>
    <t>A-03893</t>
  </si>
  <si>
    <t>CAMERA</t>
  </si>
  <si>
    <t>ADAPTER LENSA CANON EOS EF EFS MEIKE ANDOER AF AUTO AUTOFOCUS MIROLESS E-MOUNT A6000</t>
  </si>
  <si>
    <t>A-04044</t>
  </si>
  <si>
    <t>DOMESTIC BUSINESS EXPENSES (OTHER BUSINESS EXPENSES) GOL V</t>
  </si>
  <si>
    <t>A-04089</t>
  </si>
  <si>
    <t>SUITCASE COURIER (MC TO AIRPORT) GOL V</t>
  </si>
  <si>
    <t>A-03633</t>
  </si>
  <si>
    <t>APARTMENT RENT GOL V</t>
  </si>
  <si>
    <t>A-03640</t>
  </si>
  <si>
    <t>PURCHASE OF DAILY NECESSITIES GOL V</t>
  </si>
  <si>
    <t>A-03632</t>
  </si>
  <si>
    <t>APARTMENT REMOVAL COST GOL V</t>
  </si>
  <si>
    <t>A-03636</t>
  </si>
  <si>
    <t>APARTMENT RENT, INITIAL COST GOL V</t>
  </si>
  <si>
    <t>A-04042</t>
  </si>
  <si>
    <t>CERTIFICATE OF RESIDENCE ISSUANCE FEE GOL V</t>
  </si>
  <si>
    <t>A-04046</t>
  </si>
  <si>
    <t>DOMESTIC BUSINESS EXPENSES NARITA →MC GOL V</t>
  </si>
  <si>
    <t>A-04099</t>
  </si>
  <si>
    <t>PERUMAHAN SOSIAL TERMASUK MATERI ASURANSIGOL V</t>
  </si>
  <si>
    <t>A-03638</t>
  </si>
  <si>
    <t>LUNCH FOR 1 MONTH (SUBSIDIARY) * CALCULATES 370 YEN/MEAL GOL V</t>
  </si>
  <si>
    <t>A-03639</t>
  </si>
  <si>
    <t>BICYCLES, HELMETS GOL V</t>
  </si>
  <si>
    <t>A-04048</t>
  </si>
  <si>
    <t>DOMESTIC TRAVEL EXPENSES TRAINING DESTINATION →MC GOL V</t>
  </si>
  <si>
    <t>A-03629</t>
  </si>
  <si>
    <t>JAPANESE CULTURAL EXPERIENCE EXPENSES GOL V</t>
  </si>
  <si>
    <t>A-03363</t>
  </si>
  <si>
    <t>EXTENDER</t>
  </si>
  <si>
    <t>EXTENDER HDMI RJ45</t>
  </si>
  <si>
    <t>A-04087</t>
  </si>
  <si>
    <t>SMARTPHONE USAGE FEE GOL V</t>
  </si>
  <si>
    <t>A-04103</t>
  </si>
  <si>
    <t>WI-FI (WI-FI SAKU) GOL V</t>
  </si>
  <si>
    <t>A-04090</t>
  </si>
  <si>
    <t>SUITCASE DELIVERY SERVICE (MC→ TRAINING SITE) GOL V</t>
  </si>
  <si>
    <t>A-04093</t>
  </si>
  <si>
    <t>TAX RETURN FEE GOL V</t>
  </si>
  <si>
    <t>SN008822</t>
  </si>
  <si>
    <t>ACRYLIC</t>
  </si>
  <si>
    <t>ACRYLIC CLEAR 2 MM X 122 X 244 CM</t>
  </si>
  <si>
    <t>MOTO PERUBAHAN 4M</t>
  </si>
  <si>
    <t>ST</t>
  </si>
  <si>
    <t>A-03891</t>
  </si>
  <si>
    <t>SONY E 50MM F1.8 LENSA FIX SONY APSC</t>
  </si>
  <si>
    <t>TRAINING, KONVENSI QCC</t>
  </si>
  <si>
    <t>A-03894</t>
  </si>
  <si>
    <t>CAMERA CLEANING KIT</t>
  </si>
  <si>
    <t>PERAWATAN CAMERA</t>
  </si>
  <si>
    <t>A-04086</t>
  </si>
  <si>
    <t>MONTHLY FEE GOL V</t>
  </si>
  <si>
    <t>A-03637</t>
  </si>
  <si>
    <t>APPLICATION FOR RECOGNITION OF STATUS OF RESIDENCE, INVITATION DOCUMENT COSTS GOL V</t>
  </si>
  <si>
    <t>A-04043</t>
  </si>
  <si>
    <t>COST OF THE SMARTPHONE GOL V</t>
  </si>
  <si>
    <t>A-04045</t>
  </si>
  <si>
    <t>DOMESTIC BUSINESS EXPENSES MC→ AIRPORT GOL V</t>
  </si>
  <si>
    <t>A-04088</t>
  </si>
  <si>
    <t>SUITCASE COURIER (AIRPORT →MC) GOL V</t>
  </si>
  <si>
    <t>A-03362</t>
  </si>
  <si>
    <t>HDMI</t>
  </si>
  <si>
    <t>HDMI CAPTURE NYK HC5</t>
  </si>
  <si>
    <t>A-03426</t>
  </si>
  <si>
    <t>TIKET PERJALANAN DINAS LUAR NEGERI (JEPANG) (TRAVELLING/MEETING) GOL V</t>
  </si>
  <si>
    <t>A-03895</t>
  </si>
  <si>
    <t>BATERAI CANON 800D PAKET 2 PACK BATERAI CANON 800D 2280MAH</t>
  </si>
  <si>
    <t>A-04047</t>
  </si>
  <si>
    <t>DOMESTIC TRAVEL EXPENSES MC→ TRAINING DESTINATION GOL V</t>
  </si>
  <si>
    <t>A-03892</t>
  </si>
  <si>
    <t xml:space="preserve">LENSA CANON EF-S 55-250MM F/4-5.6 IS STM </t>
  </si>
  <si>
    <t>A-04049</t>
  </si>
  <si>
    <t>HOMESTAY FOR 2 WEEKS (INCLUDING FOOD AND TRANSPORTATION) GOL V</t>
  </si>
  <si>
    <t>A-04091</t>
  </si>
  <si>
    <t>SUITCASE DELIVERY SERVICE (TRAINING SITE →MC) GOL V</t>
  </si>
  <si>
    <t>PA MAZDA J69</t>
  </si>
  <si>
    <t>PROJECT HVPT</t>
  </si>
  <si>
    <t>MJFPA</t>
  </si>
  <si>
    <t>MAZDA6, CX-3</t>
  </si>
  <si>
    <t>Mazda - Mazda-Japan, Mazda - AAT: Auto Alliance Thailand (Mazda)</t>
  </si>
  <si>
    <t>MZ03</t>
  </si>
  <si>
    <t>MAZDA J69</t>
  </si>
  <si>
    <t>Mazda - Mazda-Japan</t>
  </si>
  <si>
    <t>MZ04</t>
  </si>
  <si>
    <t>A-01866</t>
  </si>
  <si>
    <t>TEMPAT SAMPAH</t>
  </si>
  <si>
    <t>TEMPAT SAMPAH INJAK</t>
  </si>
  <si>
    <t>STP QTY</t>
  </si>
  <si>
    <t>STP AMT</t>
  </si>
  <si>
    <t>TERM 85</t>
  </si>
  <si>
    <t>TERM 84</t>
  </si>
  <si>
    <t>ACC NO</t>
  </si>
  <si>
    <t>ACC DESCRIPTION</t>
  </si>
  <si>
    <t>PART NAME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</si>
  <si>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</si>
  <si>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</si>
  <si>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</si>
  <si>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</si>
  <si>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</si>
  <si>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</si>
  <si>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</si>
  <si>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</si>
  <si>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</si>
  <si>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</si>
  <si>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</si>
  <si>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</si>
  <si>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TOTAL QTY</t>
  </si>
  <si>
    <t>TOTAL AMT</t>
  </si>
  <si>
    <t>PERCENTAGE QTY</t>
  </si>
  <si>
    <t>PERCENTAGE AMT</t>
  </si>
  <si>
    <t>REMARKS</t>
  </si>
  <si>
    <t>PROJECT</t>
  </si>
  <si>
    <t>IMPROVEMENT</t>
  </si>
  <si>
    <t>TABLET</t>
  </si>
  <si>
    <t>Budget di Term 85 tidak ada, sedangkan di Term 84 ada.</t>
  </si>
  <si>
    <t>BATERAY</t>
  </si>
  <si>
    <t>BATTERY CAMERA</t>
  </si>
  <si>
    <t>BUTTON</t>
  </si>
  <si>
    <t>HOTEL</t>
  </si>
  <si>
    <t>KURSI</t>
  </si>
  <si>
    <t>MESIN SCREW BATERAY</t>
  </si>
  <si>
    <t>SCANNER</t>
  </si>
  <si>
    <t>SOFTCASE</t>
  </si>
  <si>
    <t>STABILIZER</t>
  </si>
  <si>
    <t>TIKET PERJALANAN DINAS</t>
  </si>
  <si>
    <t>TRIPOD</t>
  </si>
  <si>
    <t>UANG SAKU PERJALANAN DINAS</t>
  </si>
  <si>
    <t>PLASTIK FOTO 4M</t>
  </si>
  <si>
    <t>BIAYA PROSES PASPORT</t>
  </si>
  <si>
    <t>BOLT</t>
  </si>
  <si>
    <t>KERTAS MODUL</t>
  </si>
  <si>
    <t>KURSUS BAHASA INGGRIS</t>
  </si>
  <si>
    <t>LAUNDRY</t>
  </si>
  <si>
    <t>LOCAL TRANSPORT</t>
  </si>
  <si>
    <t>MAJUN</t>
  </si>
  <si>
    <t>MATA BOR</t>
  </si>
  <si>
    <t>MATA SCREW</t>
  </si>
  <si>
    <t>PAKET DATA</t>
  </si>
  <si>
    <t>PERJALANAN DINAS JEPANG</t>
  </si>
  <si>
    <t>REWARD KEHADIRAN QCC</t>
  </si>
  <si>
    <t>SEKRUP</t>
  </si>
  <si>
    <t>SEWA KENDARAAN</t>
  </si>
  <si>
    <t>STICKER</t>
  </si>
  <si>
    <t>TUNJANGAN MUSIM DINGIN</t>
  </si>
  <si>
    <t>BUDGET ANALYSIS SHEETS</t>
  </si>
  <si>
    <t>F</t>
  </si>
  <si>
    <t>FIXED COST</t>
  </si>
  <si>
    <t>CHECKED 2</t>
  </si>
  <si>
    <t>CHECKED 1</t>
  </si>
  <si>
    <t>PREPARED</t>
  </si>
  <si>
    <t>TERM 85 (JULY 2025 - JUNE 2026)</t>
  </si>
  <si>
    <t>V</t>
  </si>
  <si>
    <t>VARIABLE COST</t>
  </si>
  <si>
    <t>DEPART/SECT : PGA-TRN</t>
  </si>
  <si>
    <t>MGR/SM</t>
  </si>
  <si>
    <t>CO SPV/ASMAN</t>
  </si>
  <si>
    <t>SPV</t>
  </si>
  <si>
    <t>CTG</t>
  </si>
  <si>
    <t>Term 84</t>
  </si>
  <si>
    <t>Term 85</t>
  </si>
  <si>
    <t>PERCENTAGE</t>
  </si>
  <si>
    <t>Remarks</t>
  </si>
  <si>
    <t>STP</t>
  </si>
  <si>
    <t>Act+Forecast</t>
  </si>
  <si>
    <t>Nariyuki</t>
  </si>
  <si>
    <t>Cost Push</t>
  </si>
  <si>
    <t>Cost Reduction</t>
  </si>
  <si>
    <t>Other</t>
  </si>
  <si>
    <t>Amount</t>
  </si>
  <si>
    <t>G</t>
  </si>
  <si>
    <t>H=(G-C)/C</t>
  </si>
  <si>
    <t>Production Manhour Total</t>
  </si>
  <si>
    <t>Production Manhour / Month</t>
  </si>
  <si>
    <t>CEK (Harus 0)</t>
  </si>
  <si>
    <t>Refleksi Term 84</t>
  </si>
  <si>
    <t>Additional Budget</t>
  </si>
  <si>
    <t>Item Tidak Dipakai</t>
  </si>
  <si>
    <t>STP Term 85</t>
  </si>
  <si>
    <t>Cost Push Harga Naik</t>
  </si>
  <si>
    <t>Cost Push Qty Naik</t>
  </si>
  <si>
    <t>Cost Push Item Baru</t>
  </si>
  <si>
    <t>No</t>
  </si>
  <si>
    <t>Item</t>
  </si>
  <si>
    <t>Remark</t>
  </si>
  <si>
    <t>Term</t>
  </si>
  <si>
    <t>Keterangan</t>
  </si>
  <si>
    <t>Measure for FY85 STP</t>
  </si>
  <si>
    <t>BANYAK ADDITIONAL DI TERM 84</t>
  </si>
  <si>
    <t>TERM 84 BELUM DI PLAN KAN</t>
  </si>
  <si>
    <t>PINDAHAN DARI LA</t>
  </si>
  <si>
    <t>UNTUK PENGGANTI SPARE RUSAK</t>
  </si>
  <si>
    <t>NEW IMPROVEMEN SIMULASI</t>
  </si>
  <si>
    <t>SEBELUMNYA MINTA PRD</t>
  </si>
  <si>
    <t>TERM SEBELUMNYA TIDAK DI PLAN KAN UNTUK BULAN MOTO</t>
  </si>
  <si>
    <t>TERM 84 TIDAK ADA KARENA MENGGUNAKAN BUDGET TERM 83</t>
  </si>
  <si>
    <t>TERM 84 BELUM DI PLAN KAN, NEW GENERATION FM</t>
  </si>
  <si>
    <t>PERUBAHAN TEMPAT TUJUAN TRAINING</t>
  </si>
  <si>
    <t>NOMINAL NAIK MENYAMAKAN TUGU</t>
  </si>
  <si>
    <t>TERM SEBELUMNYA TIDAK DI PLAN KAN</t>
  </si>
  <si>
    <t>CEK LAGI QTY KARENA TERM 84 MASIH MENGGUNAKAN REUSE</t>
  </si>
  <si>
    <t>TERM 84 BELUM DI PLAN KAN (PERUBAHAN PARTNAME)</t>
  </si>
  <si>
    <t>ADDITIONAL DI TERM 84</t>
  </si>
  <si>
    <t>KENAIKAN HARGA DARI VENDOR</t>
  </si>
  <si>
    <t>TERM 84 TIDAK ADA</t>
  </si>
  <si>
    <t>PENAMBAHAN QTY</t>
  </si>
  <si>
    <t>TERM SEBELUMNYA IKUT BUDGET TERM 83</t>
  </si>
  <si>
    <t>TERM 84 PLAN TRAINING DELAY</t>
  </si>
  <si>
    <t>PENAMBAHAN EQUIPMENT DOKUMENTASI</t>
  </si>
  <si>
    <t>TERM 84 MENGGUNAKAN REUSE</t>
  </si>
  <si>
    <t>MENGGUNAKAN BUDGET T-83</t>
  </si>
  <si>
    <t>SEBELUMNYA MINTA KE PRD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</si>
</sst>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_ * #,##0.00_ ;_ * \-#,##0.00_ ;_ * &quot;-&quot;_ ;_ @_ "/>
  </numFmts>
  <fonts count="5" x14ac:knownFonts="1">
    <font>
      <sz val="11"/>
      <color rgb="FF000000"/>
      <name val="Calibri"/>
    </font>
    <font>
      <b/>
      <sz val="11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11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92CDDC"/>
        <bgColor rgb="FF000000"/>
      </patternFill>
    </fill>
    <fill>
      <patternFill patternType="solid">
        <fgColor rgb="FFFF66CC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FF99"/>
        <bgColor rgb="FF0000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4" fontId="0" fillId="0" borderId="1" xfId="0" applyNumberFormat="1" applyBorder="1"/>
    <xf numFmtId="164" fontId="0" fillId="0" borderId="1" xfId="0" applyNumberFormat="1" applyBorder="1"/>
    <xf numFmtId="3" fontId="0" fillId="0" borderId="1" xfId="0" applyNumberFormat="1" applyBorder="1"/>
    <xf numFmtId="165" fontId="0" fillId="0" borderId="1" xfId="0" applyNumberFormat="1" applyBorder="1"/>
    <xf numFmtId="166" fontId="3" fillId="3" borderId="0" xfId="0" applyNumberFormat="1" applyFont="1" applyFill="1"/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0" fontId="0" fillId="0" borderId="1" xfId="0" applyNumberFormat="1" applyBorder="1"/>
    <xf numFmtId="0" fontId="0" fillId="6" borderId="0" xfId="0" applyFill="1"/>
    <xf numFmtId="0" fontId="1" fillId="7" borderId="2" xfId="0" applyFont="1" applyFill="1" applyBorder="1"/>
    <xf numFmtId="0" fontId="1" fillId="7" borderId="3" xfId="0" applyFont="1" applyFill="1" applyBorder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3" fontId="1" fillId="7" borderId="3" xfId="0" applyNumberFormat="1" applyFont="1" applyFill="1" applyBorder="1"/>
    <xf numFmtId="43" fontId="0" fillId="0" borderId="0" xfId="0" applyNumberFormat="1"/>
    <xf numFmtId="0" fontId="0" fillId="6" borderId="0" xfId="0" applyFill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0" fillId="0" borderId="1" xfId="0" applyNumberFormat="1" applyBorder="1"/>
    <xf numFmtId="9" fontId="0" fillId="0" borderId="1" xfId="0" applyNumberFormat="1" applyBorder="1"/>
    <xf numFmtId="165" fontId="0" fillId="0" borderId="1" xfId="0" applyNumberFormat="1" applyBorder="1" applyAlignment="1">
      <alignment wrapText="1"/>
    </xf>
    <xf numFmtId="0" fontId="1" fillId="8" borderId="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2" xfId="0" applyFont="1" applyFill="1" applyBorder="1"/>
    <xf numFmtId="0" fontId="1" fillId="8" borderId="3" xfId="0" applyFont="1" applyFill="1" applyBorder="1"/>
    <xf numFmtId="0" fontId="0" fillId="8" borderId="0" xfId="0" applyFill="1"/>
    <xf numFmtId="165" fontId="0" fillId="8" borderId="1" xfId="0" applyNumberFormat="1" applyFill="1" applyBorder="1"/>
    <xf numFmtId="0" fontId="1" fillId="9" borderId="8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2" xfId="0" applyFont="1" applyFill="1" applyBorder="1"/>
    <xf numFmtId="0" fontId="1" fillId="9" borderId="3" xfId="0" applyFont="1" applyFill="1" applyBorder="1"/>
    <xf numFmtId="0" fontId="0" fillId="9" borderId="0" xfId="0" applyFill="1"/>
    <xf numFmtId="165" fontId="0" fillId="9" borderId="1" xfId="0" applyNumberFormat="1" applyFill="1" applyBorder="1"/>
    <xf numFmtId="0" fontId="4" fillId="0" borderId="0" xfId="0" applyFont="1"/>
    <xf numFmtId="165" fontId="4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201"/>
  <sheetViews>
    <sheetView topLeftCell="A76" zoomScale="70" workbookViewId="0">
      <selection activeCell="E111" sqref="E111"/>
    </sheetView>
    <sheetView workbookViewId="1"/>
  </sheetViews>
  <sheetFormatPr defaultRowHeight="14.5" x14ac:dyDescent="0.35"/>
  <cols>
    <col min="1" max="1" width="8.453125" customWidth="1"/>
    <col min="2" max="3" width="17.453125" customWidth="1"/>
    <col min="4" max="4" width="28.453125" customWidth="1"/>
    <col min="5" max="5" width="50" customWidth="1"/>
    <col min="6" max="6" width="18.453125" customWidth="1"/>
    <col min="7" max="7" width="13" customWidth="1"/>
    <col min="8" max="8" width="12" customWidth="1"/>
    <col min="9" max="9" width="30" customWidth="1"/>
    <col min="10" max="13" width="19" customWidth="1"/>
    <col min="14" max="14" width="10" customWidth="1"/>
    <col min="15" max="66" width="12" customWidth="1"/>
    <col min="67" max="69" width="18" customWidth="1"/>
    <col min="70" max="78" width="9" customWidth="1"/>
  </cols>
  <sheetData>
    <row r="1" spans="1:78" x14ac:dyDescent="0.35">
      <c r="A1" s="3" t="s">
        <v>0</v>
      </c>
    </row>
    <row r="2" spans="1:78" x14ac:dyDescent="0.35">
      <c r="A2" s="3" t="s">
        <v>1</v>
      </c>
      <c r="N2" s="13" t="s">
        <v>2</v>
      </c>
      <c r="O2" s="13"/>
    </row>
    <row r="3" spans="1:78" x14ac:dyDescent="0.35">
      <c r="A3" s="3" t="s">
        <v>3</v>
      </c>
      <c r="N3" s="13" t="s">
        <v>4</v>
      </c>
      <c r="O3" s="13">
        <v>15798.6</v>
      </c>
    </row>
    <row r="4" spans="1:78" x14ac:dyDescent="0.35">
      <c r="A4" s="3" t="s">
        <v>5</v>
      </c>
      <c r="N4" s="13" t="s">
        <v>6</v>
      </c>
      <c r="O4" s="13">
        <v>151</v>
      </c>
    </row>
    <row r="5" spans="1:78" x14ac:dyDescent="0.35">
      <c r="A5" s="3"/>
      <c r="N5" s="13" t="s">
        <v>7</v>
      </c>
      <c r="O5" s="13">
        <v>34.372999999999998</v>
      </c>
    </row>
    <row r="6" spans="1:78" x14ac:dyDescent="0.35">
      <c r="N6" s="13" t="s">
        <v>8</v>
      </c>
      <c r="O6" s="13">
        <v>1</v>
      </c>
    </row>
    <row r="7" spans="1:78" x14ac:dyDescent="0.35">
      <c r="N7" s="13" t="s">
        <v>9</v>
      </c>
      <c r="O7" s="13">
        <v>0.92600000000000005</v>
      </c>
    </row>
    <row r="8" spans="1:78" x14ac:dyDescent="0.35">
      <c r="N8" s="13" t="s">
        <v>10</v>
      </c>
      <c r="O8" s="13">
        <v>0.872</v>
      </c>
    </row>
    <row r="10" spans="1:78" x14ac:dyDescent="0.35">
      <c r="A10" s="51" t="s">
        <v>11</v>
      </c>
      <c r="B10" s="51" t="s">
        <v>12</v>
      </c>
      <c r="C10" s="51" t="s">
        <v>13</v>
      </c>
      <c r="D10" s="51" t="s">
        <v>14</v>
      </c>
      <c r="E10" s="51" t="s">
        <v>15</v>
      </c>
      <c r="F10" s="51" t="s">
        <v>16</v>
      </c>
      <c r="G10" s="52" t="s">
        <v>17</v>
      </c>
      <c r="H10" s="51" t="s">
        <v>18</v>
      </c>
      <c r="I10" s="51" t="s">
        <v>19</v>
      </c>
      <c r="J10" s="51" t="s">
        <v>20</v>
      </c>
      <c r="K10" s="51" t="s">
        <v>21</v>
      </c>
      <c r="L10" s="51" t="s">
        <v>22</v>
      </c>
      <c r="M10" s="51" t="s">
        <v>23</v>
      </c>
      <c r="N10" s="51" t="s">
        <v>24</v>
      </c>
      <c r="O10" s="51" t="s">
        <v>25</v>
      </c>
      <c r="P10" s="51" t="s">
        <v>26</v>
      </c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 t="s">
        <v>27</v>
      </c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6">
        <v>202507</v>
      </c>
      <c r="AO10" s="6">
        <v>202508</v>
      </c>
      <c r="AP10" s="6">
        <v>202509</v>
      </c>
      <c r="AQ10" s="6">
        <v>202510</v>
      </c>
      <c r="AR10" s="6">
        <v>202511</v>
      </c>
      <c r="AS10" s="6">
        <v>202512</v>
      </c>
      <c r="AT10" s="6">
        <v>202601</v>
      </c>
      <c r="AU10" s="6">
        <v>202602</v>
      </c>
      <c r="AV10" s="6">
        <v>202603</v>
      </c>
      <c r="AW10" s="6">
        <v>202604</v>
      </c>
      <c r="AX10" s="6">
        <v>202605</v>
      </c>
      <c r="AY10" s="6">
        <v>202606</v>
      </c>
      <c r="AZ10" s="51" t="s">
        <v>28</v>
      </c>
      <c r="BA10" s="51" t="s">
        <v>29</v>
      </c>
      <c r="BB10" s="5"/>
      <c r="BC10" s="6">
        <v>202507</v>
      </c>
      <c r="BD10" s="6">
        <v>202508</v>
      </c>
      <c r="BE10" s="6">
        <v>202509</v>
      </c>
      <c r="BF10" s="6">
        <v>202510</v>
      </c>
      <c r="BG10" s="6">
        <v>202511</v>
      </c>
      <c r="BH10" s="6">
        <v>202512</v>
      </c>
      <c r="BI10" s="6">
        <v>202601</v>
      </c>
      <c r="BJ10" s="6">
        <v>202602</v>
      </c>
      <c r="BK10" s="6">
        <v>202603</v>
      </c>
      <c r="BL10" s="6">
        <v>202604</v>
      </c>
      <c r="BM10" s="6">
        <v>202605</v>
      </c>
      <c r="BN10" s="6">
        <v>202606</v>
      </c>
      <c r="BO10" s="51" t="s">
        <v>28</v>
      </c>
      <c r="BP10" s="51" t="s">
        <v>29</v>
      </c>
      <c r="BQ10" s="6"/>
      <c r="BR10" s="53" t="s">
        <v>30</v>
      </c>
      <c r="BS10" s="53" t="s">
        <v>31</v>
      </c>
      <c r="BT10" s="53" t="s">
        <v>32</v>
      </c>
      <c r="BU10" s="53" t="s">
        <v>33</v>
      </c>
      <c r="BV10" s="53"/>
      <c r="BW10" s="53"/>
      <c r="BX10" s="53"/>
      <c r="BY10" s="53"/>
      <c r="BZ10" s="53"/>
    </row>
    <row r="11" spans="1:78" ht="30" customHeight="1" x14ac:dyDescent="0.35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6">
        <v>202507</v>
      </c>
      <c r="Q11" s="6">
        <v>202508</v>
      </c>
      <c r="R11" s="6">
        <v>202509</v>
      </c>
      <c r="S11" s="6">
        <v>202510</v>
      </c>
      <c r="T11" s="6">
        <v>202511</v>
      </c>
      <c r="U11" s="6">
        <v>202512</v>
      </c>
      <c r="V11" s="6">
        <v>202601</v>
      </c>
      <c r="W11" s="6">
        <v>202602</v>
      </c>
      <c r="X11" s="6">
        <v>202603</v>
      </c>
      <c r="Y11" s="6">
        <v>202604</v>
      </c>
      <c r="Z11" s="6">
        <v>202605</v>
      </c>
      <c r="AA11" s="6">
        <v>202606</v>
      </c>
      <c r="AB11" s="6">
        <v>202507</v>
      </c>
      <c r="AC11" s="6">
        <v>202508</v>
      </c>
      <c r="AD11" s="6">
        <v>202509</v>
      </c>
      <c r="AE11" s="6">
        <v>202510</v>
      </c>
      <c r="AF11" s="6">
        <v>202511</v>
      </c>
      <c r="AG11" s="6">
        <v>202512</v>
      </c>
      <c r="AH11" s="6">
        <v>202601</v>
      </c>
      <c r="AI11" s="6">
        <v>202602</v>
      </c>
      <c r="AJ11" s="6">
        <v>202603</v>
      </c>
      <c r="AK11" s="6">
        <v>202604</v>
      </c>
      <c r="AL11" s="6">
        <v>202605</v>
      </c>
      <c r="AM11" s="6">
        <v>202606</v>
      </c>
      <c r="AN11" s="6" t="s">
        <v>34</v>
      </c>
      <c r="AO11" s="6" t="s">
        <v>34</v>
      </c>
      <c r="AP11" s="6" t="s">
        <v>34</v>
      </c>
      <c r="AQ11" s="6" t="s">
        <v>34</v>
      </c>
      <c r="AR11" s="6" t="s">
        <v>34</v>
      </c>
      <c r="AS11" s="6" t="s">
        <v>34</v>
      </c>
      <c r="AT11" s="6" t="s">
        <v>34</v>
      </c>
      <c r="AU11" s="6" t="s">
        <v>34</v>
      </c>
      <c r="AV11" s="6" t="s">
        <v>34</v>
      </c>
      <c r="AW11" s="6" t="s">
        <v>34</v>
      </c>
      <c r="AX11" s="6" t="s">
        <v>34</v>
      </c>
      <c r="AY11" s="6" t="s">
        <v>34</v>
      </c>
      <c r="AZ11" s="51"/>
      <c r="BA11" s="51"/>
      <c r="BB11" s="5"/>
      <c r="BC11" s="6" t="s">
        <v>35</v>
      </c>
      <c r="BD11" s="6" t="s">
        <v>35</v>
      </c>
      <c r="BE11" s="6" t="s">
        <v>35</v>
      </c>
      <c r="BF11" s="6" t="s">
        <v>35</v>
      </c>
      <c r="BG11" s="6" t="s">
        <v>35</v>
      </c>
      <c r="BH11" s="6" t="s">
        <v>35</v>
      </c>
      <c r="BI11" s="6" t="s">
        <v>35</v>
      </c>
      <c r="BJ11" s="6" t="s">
        <v>35</v>
      </c>
      <c r="BK11" s="6" t="s">
        <v>35</v>
      </c>
      <c r="BL11" s="6" t="s">
        <v>35</v>
      </c>
      <c r="BM11" s="6" t="s">
        <v>35</v>
      </c>
      <c r="BN11" s="6" t="s">
        <v>35</v>
      </c>
      <c r="BO11" s="51"/>
      <c r="BP11" s="51"/>
      <c r="BQ11" s="6"/>
      <c r="BR11" s="53"/>
      <c r="BS11" s="53"/>
      <c r="BT11" s="53"/>
      <c r="BU11" s="8" t="s">
        <v>36</v>
      </c>
      <c r="BV11" s="8" t="s">
        <v>37</v>
      </c>
      <c r="BW11" s="8" t="s">
        <v>38</v>
      </c>
      <c r="BX11" s="8" t="s">
        <v>39</v>
      </c>
      <c r="BY11" s="8" t="s">
        <v>40</v>
      </c>
      <c r="BZ11" s="8"/>
    </row>
    <row r="12" spans="1:78" ht="20.5" customHeight="1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</row>
    <row r="13" spans="1:78" x14ac:dyDescent="0.35">
      <c r="A13" s="7" t="s">
        <v>41</v>
      </c>
      <c r="B13" s="7"/>
      <c r="C13" s="7" t="s">
        <v>42</v>
      </c>
      <c r="D13" s="7" t="s">
        <v>43</v>
      </c>
      <c r="E13" s="7" t="s">
        <v>44</v>
      </c>
      <c r="F13" s="7" t="s">
        <v>45</v>
      </c>
      <c r="G13" s="7" t="s">
        <v>46</v>
      </c>
      <c r="H13" s="7"/>
      <c r="I13" s="7"/>
      <c r="J13" s="7" t="s">
        <v>47</v>
      </c>
      <c r="K13" s="7" t="s">
        <v>48</v>
      </c>
      <c r="L13" s="7" t="s">
        <v>49</v>
      </c>
      <c r="M13" s="7" t="s">
        <v>49</v>
      </c>
      <c r="N13" s="7" t="s">
        <v>50</v>
      </c>
      <c r="O13" s="7" t="s">
        <v>4</v>
      </c>
      <c r="P13" s="7">
        <v>1670</v>
      </c>
      <c r="Q13" s="7">
        <v>1670</v>
      </c>
      <c r="R13" s="7">
        <v>1670</v>
      </c>
      <c r="S13" s="7">
        <v>1670</v>
      </c>
      <c r="T13" s="7">
        <v>1670</v>
      </c>
      <c r="U13" s="7">
        <v>1670</v>
      </c>
      <c r="V13" s="7">
        <v>1670</v>
      </c>
      <c r="W13" s="7">
        <v>1670</v>
      </c>
      <c r="X13" s="7">
        <v>1670</v>
      </c>
      <c r="Y13" s="7">
        <v>1670</v>
      </c>
      <c r="Z13" s="7">
        <v>1670</v>
      </c>
      <c r="AA13" s="7">
        <v>1670</v>
      </c>
      <c r="AB13" s="9">
        <v>0.10570556884787</v>
      </c>
      <c r="AC13" s="9">
        <v>0.10570556884787</v>
      </c>
      <c r="AD13" s="9">
        <v>0.10570556884787</v>
      </c>
      <c r="AE13" s="9">
        <v>0.10570556884787</v>
      </c>
      <c r="AF13" s="9">
        <v>0.10570556884787</v>
      </c>
      <c r="AG13" s="9">
        <v>0.10570556884787</v>
      </c>
      <c r="AH13" s="9">
        <v>0.10570556884787</v>
      </c>
      <c r="AI13" s="9">
        <v>0.10570556884787</v>
      </c>
      <c r="AJ13" s="9">
        <v>0.10570556884787</v>
      </c>
      <c r="AK13" s="9">
        <v>0.10570556884787</v>
      </c>
      <c r="AL13" s="9">
        <v>0.10570556884787</v>
      </c>
      <c r="AM13" s="9">
        <v>0.10570556884787</v>
      </c>
      <c r="AN13" s="10">
        <v>0</v>
      </c>
      <c r="AO13" s="10">
        <v>560</v>
      </c>
      <c r="AP13" s="10">
        <v>0</v>
      </c>
      <c r="AQ13" s="10">
        <v>0</v>
      </c>
      <c r="AR13" s="10">
        <v>552</v>
      </c>
      <c r="AS13" s="10">
        <v>0</v>
      </c>
      <c r="AT13" s="10">
        <v>0</v>
      </c>
      <c r="AU13" s="10">
        <v>0</v>
      </c>
      <c r="AV13" s="10">
        <v>300</v>
      </c>
      <c r="AW13" s="10">
        <v>0</v>
      </c>
      <c r="AX13" s="10">
        <v>0</v>
      </c>
      <c r="AY13" s="10">
        <v>300</v>
      </c>
      <c r="AZ13" s="7">
        <f t="shared" ref="AZ13:AZ44" si="0">SUM(AN13:AY13)</f>
        <v>1712</v>
      </c>
      <c r="BA13" s="11">
        <f t="shared" ref="BA13:BA44" si="1">AZ13/12</f>
        <v>142.66666666666666</v>
      </c>
      <c r="BC13" s="12">
        <v>0</v>
      </c>
      <c r="BD13" s="12">
        <v>59.195118554809</v>
      </c>
      <c r="BE13" s="12">
        <v>0</v>
      </c>
      <c r="BF13" s="12">
        <v>0</v>
      </c>
      <c r="BG13" s="12">
        <v>58.349474004026</v>
      </c>
      <c r="BH13" s="12">
        <v>0</v>
      </c>
      <c r="BI13" s="12">
        <v>0</v>
      </c>
      <c r="BJ13" s="12">
        <v>0</v>
      </c>
      <c r="BK13" s="12">
        <v>31.711670654361999</v>
      </c>
      <c r="BL13" s="12">
        <v>0</v>
      </c>
      <c r="BM13" s="12">
        <v>0</v>
      </c>
      <c r="BN13" s="12">
        <v>31.711670654361999</v>
      </c>
      <c r="BO13" s="12">
        <f t="shared" ref="BO13:BO44" si="2">SUM(BC13:BN13)</f>
        <v>180.967933867559</v>
      </c>
      <c r="BP13" s="12">
        <f t="shared" ref="BP13:BP44" si="3">BO13/12</f>
        <v>15.080661155629917</v>
      </c>
      <c r="BQ13" s="7"/>
      <c r="BR13" s="7"/>
      <c r="BS13" s="7" t="s">
        <v>51</v>
      </c>
      <c r="BT13" s="7" t="s">
        <v>52</v>
      </c>
      <c r="BU13" s="7">
        <v>15</v>
      </c>
      <c r="BV13" s="7">
        <v>10</v>
      </c>
      <c r="BW13" s="7">
        <v>5</v>
      </c>
      <c r="BX13" s="7">
        <v>20</v>
      </c>
      <c r="BY13" s="7">
        <v>5</v>
      </c>
      <c r="BZ13" s="7"/>
    </row>
    <row r="14" spans="1:78" x14ac:dyDescent="0.35">
      <c r="A14" s="7" t="s">
        <v>41</v>
      </c>
      <c r="B14" s="7"/>
      <c r="C14" s="7" t="s">
        <v>53</v>
      </c>
      <c r="D14" s="7" t="s">
        <v>54</v>
      </c>
      <c r="E14" s="7" t="s">
        <v>55</v>
      </c>
      <c r="F14" s="7" t="s">
        <v>56</v>
      </c>
      <c r="G14" s="7" t="s">
        <v>46</v>
      </c>
      <c r="H14" s="7"/>
      <c r="I14" s="7"/>
      <c r="J14" s="7" t="s">
        <v>47</v>
      </c>
      <c r="K14" s="7" t="s">
        <v>48</v>
      </c>
      <c r="L14" s="7" t="s">
        <v>49</v>
      </c>
      <c r="M14" s="7" t="s">
        <v>49</v>
      </c>
      <c r="N14" s="7" t="s">
        <v>50</v>
      </c>
      <c r="O14" s="7" t="s">
        <v>4</v>
      </c>
      <c r="P14" s="7">
        <v>300000</v>
      </c>
      <c r="Q14" s="7">
        <v>300000</v>
      </c>
      <c r="R14" s="7">
        <v>300000</v>
      </c>
      <c r="S14" s="7">
        <v>300000</v>
      </c>
      <c r="T14" s="7">
        <v>300000</v>
      </c>
      <c r="U14" s="7">
        <v>300000</v>
      </c>
      <c r="V14" s="7">
        <v>300000</v>
      </c>
      <c r="W14" s="7">
        <v>300000</v>
      </c>
      <c r="X14" s="7">
        <v>300000</v>
      </c>
      <c r="Y14" s="7">
        <v>300000</v>
      </c>
      <c r="Z14" s="7">
        <v>300000</v>
      </c>
      <c r="AA14" s="7">
        <v>300000</v>
      </c>
      <c r="AB14" s="9">
        <v>18.989024343929</v>
      </c>
      <c r="AC14" s="9">
        <v>18.989024343929</v>
      </c>
      <c r="AD14" s="9">
        <v>18.989024343929</v>
      </c>
      <c r="AE14" s="9">
        <v>18.989024343929</v>
      </c>
      <c r="AF14" s="9">
        <v>18.989024343929</v>
      </c>
      <c r="AG14" s="9">
        <v>18.989024343929</v>
      </c>
      <c r="AH14" s="9">
        <v>18.989024343929</v>
      </c>
      <c r="AI14" s="9">
        <v>18.989024343929</v>
      </c>
      <c r="AJ14" s="9">
        <v>18.989024343929</v>
      </c>
      <c r="AK14" s="9">
        <v>18.989024343929</v>
      </c>
      <c r="AL14" s="9">
        <v>18.989024343929</v>
      </c>
      <c r="AM14" s="9">
        <v>18.989024343929</v>
      </c>
      <c r="AN14" s="10">
        <v>0</v>
      </c>
      <c r="AO14" s="10">
        <v>0</v>
      </c>
      <c r="AP14" s="10">
        <v>2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7">
        <f t="shared" si="0"/>
        <v>2</v>
      </c>
      <c r="BA14" s="11">
        <f t="shared" si="1"/>
        <v>0.16666666666666666</v>
      </c>
      <c r="BC14" s="12">
        <v>0</v>
      </c>
      <c r="BD14" s="12">
        <v>0</v>
      </c>
      <c r="BE14" s="12">
        <v>37.978048687857999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f t="shared" si="2"/>
        <v>37.978048687857999</v>
      </c>
      <c r="BP14" s="12">
        <f t="shared" si="3"/>
        <v>3.1648373906548333</v>
      </c>
      <c r="BQ14" s="7"/>
      <c r="BR14" s="7"/>
      <c r="BS14" s="7" t="s">
        <v>57</v>
      </c>
      <c r="BT14" s="7" t="s">
        <v>52</v>
      </c>
      <c r="BU14" s="7">
        <v>0</v>
      </c>
      <c r="BV14" s="7">
        <v>10</v>
      </c>
      <c r="BW14" s="7">
        <v>0</v>
      </c>
      <c r="BX14" s="7">
        <v>10</v>
      </c>
      <c r="BY14" s="7">
        <v>5</v>
      </c>
      <c r="BZ14" s="7"/>
    </row>
    <row r="15" spans="1:78" x14ac:dyDescent="0.35">
      <c r="A15" s="7" t="s">
        <v>41</v>
      </c>
      <c r="B15" s="7"/>
      <c r="C15" s="7" t="s">
        <v>58</v>
      </c>
      <c r="D15" s="7" t="s">
        <v>59</v>
      </c>
      <c r="E15" s="7" t="s">
        <v>60</v>
      </c>
      <c r="F15" s="7" t="s">
        <v>61</v>
      </c>
      <c r="G15" s="7" t="s">
        <v>46</v>
      </c>
      <c r="H15" s="7"/>
      <c r="I15" s="7"/>
      <c r="J15" s="7" t="s">
        <v>47</v>
      </c>
      <c r="K15" s="7" t="s">
        <v>48</v>
      </c>
      <c r="L15" s="7" t="s">
        <v>49</v>
      </c>
      <c r="M15" s="7" t="s">
        <v>49</v>
      </c>
      <c r="N15" s="7" t="s">
        <v>62</v>
      </c>
      <c r="O15" s="7" t="s">
        <v>4</v>
      </c>
      <c r="P15" s="7">
        <v>1200000</v>
      </c>
      <c r="Q15" s="7">
        <v>1200000</v>
      </c>
      <c r="R15" s="7">
        <v>1200000</v>
      </c>
      <c r="S15" s="7">
        <v>1200000</v>
      </c>
      <c r="T15" s="7">
        <v>1200000</v>
      </c>
      <c r="U15" s="7">
        <v>1200000</v>
      </c>
      <c r="V15" s="7">
        <v>1200000</v>
      </c>
      <c r="W15" s="7">
        <v>1200000</v>
      </c>
      <c r="X15" s="7">
        <v>1200000</v>
      </c>
      <c r="Y15" s="7">
        <v>1200000</v>
      </c>
      <c r="Z15" s="7">
        <v>1200000</v>
      </c>
      <c r="AA15" s="7">
        <v>1200000</v>
      </c>
      <c r="AB15" s="9">
        <v>75.956097375716993</v>
      </c>
      <c r="AC15" s="9">
        <v>75.956097375716993</v>
      </c>
      <c r="AD15" s="9">
        <v>75.956097375716993</v>
      </c>
      <c r="AE15" s="9">
        <v>75.956097375716993</v>
      </c>
      <c r="AF15" s="9">
        <v>75.956097375716993</v>
      </c>
      <c r="AG15" s="9">
        <v>75.956097375716993</v>
      </c>
      <c r="AH15" s="9">
        <v>75.956097375716993</v>
      </c>
      <c r="AI15" s="9">
        <v>75.956097375716993</v>
      </c>
      <c r="AJ15" s="9">
        <v>75.956097375716993</v>
      </c>
      <c r="AK15" s="9">
        <v>75.956097375716993</v>
      </c>
      <c r="AL15" s="9">
        <v>75.956097375716993</v>
      </c>
      <c r="AM15" s="9">
        <v>75.956097375716993</v>
      </c>
      <c r="AN15" s="10">
        <v>0</v>
      </c>
      <c r="AO15" s="10">
        <v>0</v>
      </c>
      <c r="AP15" s="10">
        <v>0</v>
      </c>
      <c r="AQ15" s="10">
        <v>0</v>
      </c>
      <c r="AR15" s="10">
        <v>2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7">
        <f t="shared" si="0"/>
        <v>2</v>
      </c>
      <c r="BA15" s="11">
        <f t="shared" si="1"/>
        <v>0.16666666666666666</v>
      </c>
      <c r="BC15" s="12">
        <v>0</v>
      </c>
      <c r="BD15" s="12">
        <v>0</v>
      </c>
      <c r="BE15" s="12">
        <v>0</v>
      </c>
      <c r="BF15" s="12">
        <v>0</v>
      </c>
      <c r="BG15" s="12">
        <v>151.91219475143001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f t="shared" si="2"/>
        <v>151.91219475143001</v>
      </c>
      <c r="BP15" s="12">
        <f t="shared" si="3"/>
        <v>12.659349562619168</v>
      </c>
      <c r="BQ15" s="7"/>
      <c r="BR15" s="7"/>
      <c r="BS15" s="7" t="s">
        <v>63</v>
      </c>
      <c r="BT15" s="7" t="s">
        <v>52</v>
      </c>
      <c r="BU15" s="7">
        <v>0</v>
      </c>
      <c r="BV15" s="7">
        <v>10</v>
      </c>
      <c r="BW15" s="7">
        <v>0</v>
      </c>
      <c r="BX15" s="7">
        <v>0</v>
      </c>
      <c r="BY15" s="7">
        <v>5</v>
      </c>
      <c r="BZ15" s="7"/>
    </row>
    <row r="16" spans="1:78" x14ac:dyDescent="0.35">
      <c r="A16" s="7" t="s">
        <v>41</v>
      </c>
      <c r="B16" s="7"/>
      <c r="C16" s="7" t="s">
        <v>64</v>
      </c>
      <c r="D16" s="7" t="s">
        <v>65</v>
      </c>
      <c r="E16" s="7" t="s">
        <v>66</v>
      </c>
      <c r="F16" s="7" t="s">
        <v>67</v>
      </c>
      <c r="G16" s="7" t="s">
        <v>46</v>
      </c>
      <c r="H16" s="7"/>
      <c r="I16" s="7"/>
      <c r="J16" s="7" t="s">
        <v>47</v>
      </c>
      <c r="K16" s="7" t="s">
        <v>48</v>
      </c>
      <c r="L16" s="7" t="s">
        <v>49</v>
      </c>
      <c r="M16" s="7" t="s">
        <v>49</v>
      </c>
      <c r="N16" s="7" t="s">
        <v>68</v>
      </c>
      <c r="O16" s="7" t="s">
        <v>4</v>
      </c>
      <c r="P16" s="7">
        <v>50000</v>
      </c>
      <c r="Q16" s="7">
        <v>50000</v>
      </c>
      <c r="R16" s="7">
        <v>50000</v>
      </c>
      <c r="S16" s="7">
        <v>50000</v>
      </c>
      <c r="T16" s="7">
        <v>50000</v>
      </c>
      <c r="U16" s="7">
        <v>50000</v>
      </c>
      <c r="V16" s="7">
        <v>50000</v>
      </c>
      <c r="W16" s="7">
        <v>50000</v>
      </c>
      <c r="X16" s="7">
        <v>50000</v>
      </c>
      <c r="Y16" s="7">
        <v>50000</v>
      </c>
      <c r="Z16" s="7">
        <v>50000</v>
      </c>
      <c r="AA16" s="7">
        <v>50000</v>
      </c>
      <c r="AB16" s="9">
        <v>3.1648373906548999</v>
      </c>
      <c r="AC16" s="9">
        <v>3.1648373906548999</v>
      </c>
      <c r="AD16" s="9">
        <v>3.1648373906548999</v>
      </c>
      <c r="AE16" s="9">
        <v>3.1648373906548999</v>
      </c>
      <c r="AF16" s="9">
        <v>3.1648373906548999</v>
      </c>
      <c r="AG16" s="9">
        <v>3.1648373906548999</v>
      </c>
      <c r="AH16" s="9">
        <v>3.1648373906548999</v>
      </c>
      <c r="AI16" s="9">
        <v>3.1648373906548999</v>
      </c>
      <c r="AJ16" s="9">
        <v>3.1648373906548999</v>
      </c>
      <c r="AK16" s="9">
        <v>3.1648373906548999</v>
      </c>
      <c r="AL16" s="9">
        <v>3.1648373906548999</v>
      </c>
      <c r="AM16" s="9">
        <v>3.1648373906548999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25</v>
      </c>
      <c r="AY16" s="10">
        <v>0</v>
      </c>
      <c r="AZ16" s="7">
        <f t="shared" si="0"/>
        <v>25</v>
      </c>
      <c r="BA16" s="11">
        <f t="shared" si="1"/>
        <v>2.0833333333333335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79.120934766372002</v>
      </c>
      <c r="BN16" s="12">
        <v>0</v>
      </c>
      <c r="BO16" s="12">
        <f t="shared" si="2"/>
        <v>79.120934766372002</v>
      </c>
      <c r="BP16" s="12">
        <f t="shared" si="3"/>
        <v>6.5934112305310002</v>
      </c>
      <c r="BQ16" s="7"/>
      <c r="BR16" s="7"/>
      <c r="BS16" s="7" t="s">
        <v>63</v>
      </c>
      <c r="BT16" s="7" t="s">
        <v>52</v>
      </c>
      <c r="BU16" s="7">
        <v>0</v>
      </c>
      <c r="BV16" s="7">
        <v>10</v>
      </c>
      <c r="BW16" s="7">
        <v>0</v>
      </c>
      <c r="BX16" s="7">
        <v>0</v>
      </c>
      <c r="BY16" s="7">
        <v>5</v>
      </c>
      <c r="BZ16" s="7"/>
    </row>
    <row r="17" spans="1:78" x14ac:dyDescent="0.35">
      <c r="A17" s="7" t="s">
        <v>41</v>
      </c>
      <c r="B17" s="7"/>
      <c r="C17" s="7" t="s">
        <v>69</v>
      </c>
      <c r="D17" s="7" t="s">
        <v>70</v>
      </c>
      <c r="E17" s="7" t="s">
        <v>70</v>
      </c>
      <c r="F17" s="7" t="s">
        <v>71</v>
      </c>
      <c r="G17" s="7" t="s">
        <v>46</v>
      </c>
      <c r="H17" s="7"/>
      <c r="I17" s="7"/>
      <c r="J17" s="7" t="s">
        <v>47</v>
      </c>
      <c r="K17" s="7" t="s">
        <v>48</v>
      </c>
      <c r="L17" s="7" t="s">
        <v>49</v>
      </c>
      <c r="M17" s="7" t="s">
        <v>49</v>
      </c>
      <c r="N17" s="7" t="s">
        <v>50</v>
      </c>
      <c r="O17" s="7" t="s">
        <v>4</v>
      </c>
      <c r="P17" s="7">
        <v>473800</v>
      </c>
      <c r="Q17" s="7">
        <v>473800</v>
      </c>
      <c r="R17" s="7">
        <v>473800</v>
      </c>
      <c r="S17" s="7">
        <v>473800</v>
      </c>
      <c r="T17" s="7">
        <v>473800</v>
      </c>
      <c r="U17" s="7">
        <v>473800</v>
      </c>
      <c r="V17" s="7">
        <v>473800</v>
      </c>
      <c r="W17" s="7">
        <v>473800</v>
      </c>
      <c r="X17" s="7">
        <v>473800</v>
      </c>
      <c r="Y17" s="7">
        <v>473800</v>
      </c>
      <c r="Z17" s="7">
        <v>473800</v>
      </c>
      <c r="AA17" s="7">
        <v>473800</v>
      </c>
      <c r="AB17" s="9">
        <v>29.989999113846</v>
      </c>
      <c r="AC17" s="9">
        <v>29.989999113846</v>
      </c>
      <c r="AD17" s="9">
        <v>29.989999113846</v>
      </c>
      <c r="AE17" s="9">
        <v>29.989999113846</v>
      </c>
      <c r="AF17" s="9">
        <v>29.989999113846</v>
      </c>
      <c r="AG17" s="9">
        <v>29.989999113846</v>
      </c>
      <c r="AH17" s="9">
        <v>29.989999113846</v>
      </c>
      <c r="AI17" s="9">
        <v>29.989999113846</v>
      </c>
      <c r="AJ17" s="9">
        <v>29.989999113846</v>
      </c>
      <c r="AK17" s="9">
        <v>29.989999113846</v>
      </c>
      <c r="AL17" s="9">
        <v>29.989999113846</v>
      </c>
      <c r="AM17" s="9">
        <v>29.989999113846</v>
      </c>
      <c r="AN17" s="10">
        <v>0</v>
      </c>
      <c r="AO17" s="10">
        <v>0</v>
      </c>
      <c r="AP17" s="10">
        <v>2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7">
        <f t="shared" si="0"/>
        <v>2</v>
      </c>
      <c r="BA17" s="11">
        <f t="shared" si="1"/>
        <v>0.16666666666666666</v>
      </c>
      <c r="BC17" s="12">
        <v>0</v>
      </c>
      <c r="BD17" s="12">
        <v>0</v>
      </c>
      <c r="BE17" s="12">
        <v>59.979998227690999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f t="shared" si="2"/>
        <v>59.979998227690999</v>
      </c>
      <c r="BP17" s="12">
        <f t="shared" si="3"/>
        <v>4.9983331856409166</v>
      </c>
      <c r="BQ17" s="7"/>
      <c r="BR17" s="7"/>
      <c r="BS17" s="7" t="s">
        <v>51</v>
      </c>
      <c r="BT17" s="7" t="s">
        <v>52</v>
      </c>
      <c r="BU17" s="7">
        <v>15</v>
      </c>
      <c r="BV17" s="7">
        <v>10</v>
      </c>
      <c r="BW17" s="7">
        <v>5</v>
      </c>
      <c r="BX17" s="7">
        <v>20</v>
      </c>
      <c r="BY17" s="7">
        <v>5</v>
      </c>
      <c r="BZ17" s="7"/>
    </row>
    <row r="18" spans="1:78" x14ac:dyDescent="0.35">
      <c r="A18" s="7" t="s">
        <v>41</v>
      </c>
      <c r="B18" s="7"/>
      <c r="C18" s="7" t="s">
        <v>72</v>
      </c>
      <c r="D18" s="7" t="s">
        <v>73</v>
      </c>
      <c r="E18" s="7" t="s">
        <v>74</v>
      </c>
      <c r="F18" s="7" t="s">
        <v>75</v>
      </c>
      <c r="G18" s="7" t="s">
        <v>46</v>
      </c>
      <c r="H18" s="7"/>
      <c r="I18" s="7"/>
      <c r="J18" s="7" t="s">
        <v>47</v>
      </c>
      <c r="K18" s="7" t="s">
        <v>48</v>
      </c>
      <c r="L18" s="7" t="s">
        <v>49</v>
      </c>
      <c r="M18" s="7" t="s">
        <v>49</v>
      </c>
      <c r="N18" s="7" t="s">
        <v>76</v>
      </c>
      <c r="O18" s="7" t="s">
        <v>6</v>
      </c>
      <c r="P18" s="7">
        <v>8772.5</v>
      </c>
      <c r="Q18" s="7">
        <v>8772.5</v>
      </c>
      <c r="R18" s="7">
        <v>8772.5</v>
      </c>
      <c r="S18" s="7">
        <v>8772.5</v>
      </c>
      <c r="T18" s="7">
        <v>8772.5</v>
      </c>
      <c r="U18" s="7">
        <v>8772.5</v>
      </c>
      <c r="V18" s="7">
        <v>8772.5</v>
      </c>
      <c r="W18" s="7">
        <v>8772.5</v>
      </c>
      <c r="X18" s="7">
        <v>8772.5</v>
      </c>
      <c r="Y18" s="7">
        <v>8772.5</v>
      </c>
      <c r="Z18" s="7">
        <v>8772.5</v>
      </c>
      <c r="AA18" s="7">
        <v>8772.5</v>
      </c>
      <c r="AB18" s="9">
        <v>58.096026490066002</v>
      </c>
      <c r="AC18" s="9">
        <v>58.096026490066002</v>
      </c>
      <c r="AD18" s="9">
        <v>58.096026490066002</v>
      </c>
      <c r="AE18" s="9">
        <v>58.096026490066002</v>
      </c>
      <c r="AF18" s="9">
        <v>58.096026490066002</v>
      </c>
      <c r="AG18" s="9">
        <v>58.096026490066002</v>
      </c>
      <c r="AH18" s="9">
        <v>58.096026490066002</v>
      </c>
      <c r="AI18" s="9">
        <v>58.096026490066002</v>
      </c>
      <c r="AJ18" s="9">
        <v>58.096026490066002</v>
      </c>
      <c r="AK18" s="9">
        <v>58.096026490066002</v>
      </c>
      <c r="AL18" s="9">
        <v>58.096026490066002</v>
      </c>
      <c r="AM18" s="9">
        <v>58.096026490066002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1</v>
      </c>
      <c r="AZ18" s="7">
        <f t="shared" si="0"/>
        <v>1</v>
      </c>
      <c r="BA18" s="11">
        <f t="shared" si="1"/>
        <v>8.3333333333333329E-2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58.096026490066002</v>
      </c>
      <c r="BO18" s="12">
        <f t="shared" si="2"/>
        <v>58.096026490066002</v>
      </c>
      <c r="BP18" s="12">
        <f t="shared" si="3"/>
        <v>4.8413355408388332</v>
      </c>
      <c r="BQ18" s="7"/>
      <c r="BR18" s="7"/>
      <c r="BS18" s="7" t="s">
        <v>63</v>
      </c>
      <c r="BT18" s="7" t="s">
        <v>52</v>
      </c>
      <c r="BU18" s="7">
        <v>0</v>
      </c>
      <c r="BV18" s="7">
        <v>10</v>
      </c>
      <c r="BW18" s="7">
        <v>0</v>
      </c>
      <c r="BX18" s="7">
        <v>0</v>
      </c>
      <c r="BY18" s="7">
        <v>5</v>
      </c>
      <c r="BZ18" s="7"/>
    </row>
    <row r="19" spans="1:78" x14ac:dyDescent="0.35">
      <c r="A19" s="7" t="s">
        <v>41</v>
      </c>
      <c r="B19" s="7"/>
      <c r="C19" s="7" t="s">
        <v>77</v>
      </c>
      <c r="D19" s="7" t="s">
        <v>78</v>
      </c>
      <c r="E19" s="7" t="s">
        <v>78</v>
      </c>
      <c r="F19" s="7" t="s">
        <v>79</v>
      </c>
      <c r="G19" s="7" t="s">
        <v>46</v>
      </c>
      <c r="H19" s="7"/>
      <c r="I19" s="7"/>
      <c r="J19" s="7" t="s">
        <v>47</v>
      </c>
      <c r="K19" s="7" t="s">
        <v>48</v>
      </c>
      <c r="L19" s="7" t="s">
        <v>49</v>
      </c>
      <c r="M19" s="7" t="s">
        <v>49</v>
      </c>
      <c r="N19" s="7" t="s">
        <v>50</v>
      </c>
      <c r="O19" s="7" t="s">
        <v>4</v>
      </c>
      <c r="P19" s="7">
        <v>45510</v>
      </c>
      <c r="Q19" s="7">
        <v>45510</v>
      </c>
      <c r="R19" s="7">
        <v>45510</v>
      </c>
      <c r="S19" s="7">
        <v>45510</v>
      </c>
      <c r="T19" s="7">
        <v>45510</v>
      </c>
      <c r="U19" s="7">
        <v>45510</v>
      </c>
      <c r="V19" s="7">
        <v>45510</v>
      </c>
      <c r="W19" s="7">
        <v>45510</v>
      </c>
      <c r="X19" s="7">
        <v>45510</v>
      </c>
      <c r="Y19" s="7">
        <v>45510</v>
      </c>
      <c r="Z19" s="7">
        <v>45510</v>
      </c>
      <c r="AA19" s="7">
        <v>45510</v>
      </c>
      <c r="AB19" s="9">
        <v>2.8806349929741</v>
      </c>
      <c r="AC19" s="9">
        <v>2.8806349929741</v>
      </c>
      <c r="AD19" s="9">
        <v>2.8806349929741</v>
      </c>
      <c r="AE19" s="9">
        <v>2.8806349929741</v>
      </c>
      <c r="AF19" s="9">
        <v>2.8806349929741</v>
      </c>
      <c r="AG19" s="9">
        <v>2.8806349929741</v>
      </c>
      <c r="AH19" s="9">
        <v>2.8806349929741</v>
      </c>
      <c r="AI19" s="9">
        <v>2.8806349929741</v>
      </c>
      <c r="AJ19" s="9">
        <v>2.8806349929741</v>
      </c>
      <c r="AK19" s="9">
        <v>2.8806349929741</v>
      </c>
      <c r="AL19" s="9">
        <v>2.8806349929741</v>
      </c>
      <c r="AM19" s="9">
        <v>2.8806349929741</v>
      </c>
      <c r="AN19" s="10">
        <v>0</v>
      </c>
      <c r="AO19" s="10">
        <v>0</v>
      </c>
      <c r="AP19" s="10">
        <v>1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7">
        <f t="shared" si="0"/>
        <v>1</v>
      </c>
      <c r="BA19" s="11">
        <f t="shared" si="1"/>
        <v>8.3333333333333329E-2</v>
      </c>
      <c r="BC19" s="12">
        <v>0</v>
      </c>
      <c r="BD19" s="12">
        <v>0</v>
      </c>
      <c r="BE19" s="12">
        <v>2.8806349929741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f t="shared" si="2"/>
        <v>2.8806349929741</v>
      </c>
      <c r="BP19" s="12">
        <f t="shared" si="3"/>
        <v>0.24005291608117499</v>
      </c>
      <c r="BQ19" s="7"/>
      <c r="BR19" s="7"/>
      <c r="BS19" s="7" t="s">
        <v>80</v>
      </c>
      <c r="BT19" s="7" t="s">
        <v>52</v>
      </c>
      <c r="BU19" s="7">
        <v>0</v>
      </c>
      <c r="BV19" s="7">
        <v>5</v>
      </c>
      <c r="BW19" s="7">
        <v>0</v>
      </c>
      <c r="BX19" s="7">
        <v>15</v>
      </c>
      <c r="BY19" s="7">
        <v>15</v>
      </c>
      <c r="BZ19" s="7"/>
    </row>
    <row r="20" spans="1:78" x14ac:dyDescent="0.35">
      <c r="A20" s="7" t="s">
        <v>41</v>
      </c>
      <c r="B20" s="7"/>
      <c r="C20" s="7" t="s">
        <v>81</v>
      </c>
      <c r="D20" s="7" t="s">
        <v>73</v>
      </c>
      <c r="E20" s="7" t="s">
        <v>82</v>
      </c>
      <c r="F20" s="7" t="s">
        <v>75</v>
      </c>
      <c r="G20" s="7" t="s">
        <v>46</v>
      </c>
      <c r="H20" s="7"/>
      <c r="I20" s="7"/>
      <c r="J20" s="7" t="s">
        <v>47</v>
      </c>
      <c r="K20" s="7" t="s">
        <v>48</v>
      </c>
      <c r="L20" s="7" t="s">
        <v>49</v>
      </c>
      <c r="M20" s="7" t="s">
        <v>49</v>
      </c>
      <c r="N20" s="7" t="s">
        <v>76</v>
      </c>
      <c r="O20" s="7" t="s">
        <v>6</v>
      </c>
      <c r="P20" s="7">
        <v>33000</v>
      </c>
      <c r="Q20" s="7">
        <v>33000</v>
      </c>
      <c r="R20" s="7">
        <v>33000</v>
      </c>
      <c r="S20" s="7">
        <v>33000</v>
      </c>
      <c r="T20" s="7">
        <v>33000</v>
      </c>
      <c r="U20" s="7">
        <v>33000</v>
      </c>
      <c r="V20" s="7">
        <v>33000</v>
      </c>
      <c r="W20" s="7">
        <v>33000</v>
      </c>
      <c r="X20" s="7">
        <v>33000</v>
      </c>
      <c r="Y20" s="7">
        <v>33000</v>
      </c>
      <c r="Z20" s="7">
        <v>33000</v>
      </c>
      <c r="AA20" s="7">
        <v>33000</v>
      </c>
      <c r="AB20" s="9">
        <v>218.54304635762</v>
      </c>
      <c r="AC20" s="9">
        <v>218.54304635762</v>
      </c>
      <c r="AD20" s="9">
        <v>218.54304635762</v>
      </c>
      <c r="AE20" s="9">
        <v>218.54304635762</v>
      </c>
      <c r="AF20" s="9">
        <v>218.54304635762</v>
      </c>
      <c r="AG20" s="9">
        <v>218.54304635762</v>
      </c>
      <c r="AH20" s="9">
        <v>218.54304635762</v>
      </c>
      <c r="AI20" s="9">
        <v>218.54304635762</v>
      </c>
      <c r="AJ20" s="9">
        <v>218.54304635762</v>
      </c>
      <c r="AK20" s="9">
        <v>218.54304635762</v>
      </c>
      <c r="AL20" s="9">
        <v>218.54304635762</v>
      </c>
      <c r="AM20" s="9">
        <v>218.54304635762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1</v>
      </c>
      <c r="AZ20" s="7">
        <f t="shared" si="0"/>
        <v>1</v>
      </c>
      <c r="BA20" s="11">
        <f t="shared" si="1"/>
        <v>8.3333333333333329E-2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218.54304635762</v>
      </c>
      <c r="BO20" s="12">
        <f t="shared" si="2"/>
        <v>218.54304635762</v>
      </c>
      <c r="BP20" s="12">
        <f t="shared" si="3"/>
        <v>18.211920529801667</v>
      </c>
      <c r="BQ20" s="7"/>
      <c r="BR20" s="7"/>
      <c r="BS20" s="7" t="s">
        <v>63</v>
      </c>
      <c r="BT20" s="7" t="s">
        <v>52</v>
      </c>
      <c r="BU20" s="7">
        <v>0</v>
      </c>
      <c r="BV20" s="7">
        <v>10</v>
      </c>
      <c r="BW20" s="7">
        <v>0</v>
      </c>
      <c r="BX20" s="7">
        <v>0</v>
      </c>
      <c r="BY20" s="7">
        <v>5</v>
      </c>
      <c r="BZ20" s="7"/>
    </row>
    <row r="21" spans="1:78" x14ac:dyDescent="0.35">
      <c r="A21" s="7" t="s">
        <v>41</v>
      </c>
      <c r="B21" s="7"/>
      <c r="C21" s="7" t="s">
        <v>83</v>
      </c>
      <c r="D21" s="7" t="s">
        <v>59</v>
      </c>
      <c r="E21" s="7" t="s">
        <v>84</v>
      </c>
      <c r="F21" s="7" t="s">
        <v>75</v>
      </c>
      <c r="G21" s="7" t="s">
        <v>46</v>
      </c>
      <c r="H21" s="7"/>
      <c r="I21" s="7"/>
      <c r="J21" s="7" t="s">
        <v>47</v>
      </c>
      <c r="K21" s="7" t="s">
        <v>48</v>
      </c>
      <c r="L21" s="7" t="s">
        <v>49</v>
      </c>
      <c r="M21" s="7" t="s">
        <v>49</v>
      </c>
      <c r="N21" s="7" t="s">
        <v>85</v>
      </c>
      <c r="O21" s="7" t="s">
        <v>4</v>
      </c>
      <c r="P21" s="7">
        <v>1000000</v>
      </c>
      <c r="Q21" s="7">
        <v>1000000</v>
      </c>
      <c r="R21" s="7">
        <v>1000000</v>
      </c>
      <c r="S21" s="7">
        <v>1000000</v>
      </c>
      <c r="T21" s="7">
        <v>1000000</v>
      </c>
      <c r="U21" s="7">
        <v>1000000</v>
      </c>
      <c r="V21" s="7">
        <v>1000000</v>
      </c>
      <c r="W21" s="7">
        <v>1000000</v>
      </c>
      <c r="X21" s="7">
        <v>1000000</v>
      </c>
      <c r="Y21" s="7">
        <v>1000000</v>
      </c>
      <c r="Z21" s="7">
        <v>1000000</v>
      </c>
      <c r="AA21" s="7">
        <v>1000000</v>
      </c>
      <c r="AB21" s="9">
        <v>63.296747813096999</v>
      </c>
      <c r="AC21" s="9">
        <v>63.296747813096999</v>
      </c>
      <c r="AD21" s="9">
        <v>63.296747813096999</v>
      </c>
      <c r="AE21" s="9">
        <v>63.296747813096999</v>
      </c>
      <c r="AF21" s="9">
        <v>63.296747813096999</v>
      </c>
      <c r="AG21" s="9">
        <v>63.296747813096999</v>
      </c>
      <c r="AH21" s="9">
        <v>63.296747813096999</v>
      </c>
      <c r="AI21" s="9">
        <v>63.296747813096999</v>
      </c>
      <c r="AJ21" s="9">
        <v>63.296747813096999</v>
      </c>
      <c r="AK21" s="9">
        <v>63.296747813096999</v>
      </c>
      <c r="AL21" s="9">
        <v>63.296747813096999</v>
      </c>
      <c r="AM21" s="9">
        <v>63.296747813096999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1</v>
      </c>
      <c r="AZ21" s="7">
        <f t="shared" si="0"/>
        <v>1</v>
      </c>
      <c r="BA21" s="11">
        <f t="shared" si="1"/>
        <v>8.3333333333333329E-2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63.296747813096999</v>
      </c>
      <c r="BO21" s="12">
        <f t="shared" si="2"/>
        <v>63.296747813096999</v>
      </c>
      <c r="BP21" s="12">
        <f t="shared" si="3"/>
        <v>5.2747289844247502</v>
      </c>
      <c r="BQ21" s="7"/>
      <c r="BR21" s="7"/>
      <c r="BS21" s="7" t="s">
        <v>63</v>
      </c>
      <c r="BT21" s="7" t="s">
        <v>52</v>
      </c>
      <c r="BU21" s="7">
        <v>0</v>
      </c>
      <c r="BV21" s="7">
        <v>10</v>
      </c>
      <c r="BW21" s="7">
        <v>0</v>
      </c>
      <c r="BX21" s="7">
        <v>0</v>
      </c>
      <c r="BY21" s="7">
        <v>5</v>
      </c>
      <c r="BZ21" s="7"/>
    </row>
    <row r="22" spans="1:78" x14ac:dyDescent="0.35">
      <c r="A22" s="7" t="s">
        <v>41</v>
      </c>
      <c r="B22" s="7"/>
      <c r="C22" s="7" t="s">
        <v>86</v>
      </c>
      <c r="D22" s="7" t="s">
        <v>87</v>
      </c>
      <c r="E22" s="7" t="s">
        <v>88</v>
      </c>
      <c r="F22" s="7" t="s">
        <v>89</v>
      </c>
      <c r="G22" s="7" t="s">
        <v>46</v>
      </c>
      <c r="H22" s="7"/>
      <c r="I22" s="7"/>
      <c r="J22" s="7" t="s">
        <v>47</v>
      </c>
      <c r="K22" s="7" t="s">
        <v>48</v>
      </c>
      <c r="L22" s="7" t="s">
        <v>49</v>
      </c>
      <c r="M22" s="7" t="s">
        <v>49</v>
      </c>
      <c r="N22" s="7" t="s">
        <v>90</v>
      </c>
      <c r="O22" s="7" t="s">
        <v>4</v>
      </c>
      <c r="P22" s="7">
        <v>1210000</v>
      </c>
      <c r="Q22" s="7">
        <v>1210000</v>
      </c>
      <c r="R22" s="7">
        <v>1210000</v>
      </c>
      <c r="S22" s="7">
        <v>1210000</v>
      </c>
      <c r="T22" s="7">
        <v>1210000</v>
      </c>
      <c r="U22" s="7">
        <v>1210000</v>
      </c>
      <c r="V22" s="7">
        <v>1210000</v>
      </c>
      <c r="W22" s="7">
        <v>1210000</v>
      </c>
      <c r="X22" s="7">
        <v>1210000</v>
      </c>
      <c r="Y22" s="7">
        <v>1210000</v>
      </c>
      <c r="Z22" s="7">
        <v>1210000</v>
      </c>
      <c r="AA22" s="7">
        <v>1210000</v>
      </c>
      <c r="AB22" s="9">
        <v>76.589064853848001</v>
      </c>
      <c r="AC22" s="9">
        <v>76.589064853848001</v>
      </c>
      <c r="AD22" s="9">
        <v>76.589064853848001</v>
      </c>
      <c r="AE22" s="9">
        <v>76.589064853848001</v>
      </c>
      <c r="AF22" s="9">
        <v>76.589064853848001</v>
      </c>
      <c r="AG22" s="9">
        <v>76.589064853848001</v>
      </c>
      <c r="AH22" s="9">
        <v>76.589064853848001</v>
      </c>
      <c r="AI22" s="9">
        <v>76.589064853848001</v>
      </c>
      <c r="AJ22" s="9">
        <v>76.589064853848001</v>
      </c>
      <c r="AK22" s="9">
        <v>76.589064853848001</v>
      </c>
      <c r="AL22" s="9">
        <v>76.589064853848001</v>
      </c>
      <c r="AM22" s="9">
        <v>76.589064853848001</v>
      </c>
      <c r="AN22" s="10">
        <v>1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7">
        <f t="shared" si="0"/>
        <v>1</v>
      </c>
      <c r="BA22" s="11">
        <f t="shared" si="1"/>
        <v>8.3333333333333329E-2</v>
      </c>
      <c r="BC22" s="12">
        <v>76.589064853848001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f t="shared" si="2"/>
        <v>76.589064853848001</v>
      </c>
      <c r="BP22" s="12">
        <f t="shared" si="3"/>
        <v>6.3824220711540001</v>
      </c>
      <c r="BQ22" s="7"/>
      <c r="BR22" s="7"/>
      <c r="BS22" s="7" t="s">
        <v>51</v>
      </c>
      <c r="BT22" s="7" t="s">
        <v>52</v>
      </c>
      <c r="BU22" s="7">
        <v>15</v>
      </c>
      <c r="BV22" s="7">
        <v>10</v>
      </c>
      <c r="BW22" s="7">
        <v>5</v>
      </c>
      <c r="BX22" s="7">
        <v>20</v>
      </c>
      <c r="BY22" s="7">
        <v>5</v>
      </c>
      <c r="BZ22" s="7"/>
    </row>
    <row r="23" spans="1:78" x14ac:dyDescent="0.35">
      <c r="A23" s="7" t="s">
        <v>41</v>
      </c>
      <c r="B23" s="7"/>
      <c r="C23" s="7" t="s">
        <v>91</v>
      </c>
      <c r="D23" s="7" t="s">
        <v>59</v>
      </c>
      <c r="E23" s="7" t="s">
        <v>92</v>
      </c>
      <c r="F23" s="7" t="s">
        <v>61</v>
      </c>
      <c r="G23" s="7" t="s">
        <v>46</v>
      </c>
      <c r="H23" s="7"/>
      <c r="I23" s="7"/>
      <c r="J23" s="7" t="s">
        <v>47</v>
      </c>
      <c r="K23" s="7" t="s">
        <v>48</v>
      </c>
      <c r="L23" s="7" t="s">
        <v>49</v>
      </c>
      <c r="M23" s="7" t="s">
        <v>49</v>
      </c>
      <c r="N23" s="7" t="s">
        <v>62</v>
      </c>
      <c r="O23" s="7" t="s">
        <v>4</v>
      </c>
      <c r="P23" s="7">
        <v>20000</v>
      </c>
      <c r="Q23" s="7">
        <v>20000</v>
      </c>
      <c r="R23" s="7">
        <v>20000</v>
      </c>
      <c r="S23" s="7">
        <v>20000</v>
      </c>
      <c r="T23" s="7">
        <v>20000</v>
      </c>
      <c r="U23" s="7">
        <v>20000</v>
      </c>
      <c r="V23" s="7">
        <v>20000</v>
      </c>
      <c r="W23" s="7">
        <v>20000</v>
      </c>
      <c r="X23" s="7">
        <v>20000</v>
      </c>
      <c r="Y23" s="7">
        <v>20000</v>
      </c>
      <c r="Z23" s="7">
        <v>20000</v>
      </c>
      <c r="AA23" s="7">
        <v>20000</v>
      </c>
      <c r="AB23" s="9">
        <v>1.2659349562619</v>
      </c>
      <c r="AC23" s="9">
        <v>1.2659349562619</v>
      </c>
      <c r="AD23" s="9">
        <v>1.2659349562619</v>
      </c>
      <c r="AE23" s="9">
        <v>1.2659349562619</v>
      </c>
      <c r="AF23" s="9">
        <v>1.2659349562619</v>
      </c>
      <c r="AG23" s="9">
        <v>1.2659349562619</v>
      </c>
      <c r="AH23" s="9">
        <v>1.2659349562619</v>
      </c>
      <c r="AI23" s="9">
        <v>1.2659349562619</v>
      </c>
      <c r="AJ23" s="9">
        <v>1.2659349562619</v>
      </c>
      <c r="AK23" s="9">
        <v>1.2659349562619</v>
      </c>
      <c r="AL23" s="9">
        <v>1.2659349562619</v>
      </c>
      <c r="AM23" s="9">
        <v>1.2659349562619</v>
      </c>
      <c r="AN23" s="10">
        <v>0</v>
      </c>
      <c r="AO23" s="10">
        <v>0</v>
      </c>
      <c r="AP23" s="10">
        <v>0</v>
      </c>
      <c r="AQ23" s="10">
        <v>0</v>
      </c>
      <c r="AR23" s="10">
        <v>3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7">
        <f t="shared" si="0"/>
        <v>3</v>
      </c>
      <c r="BA23" s="11">
        <f t="shared" si="1"/>
        <v>0.25</v>
      </c>
      <c r="BC23" s="12">
        <v>0</v>
      </c>
      <c r="BD23" s="12">
        <v>0</v>
      </c>
      <c r="BE23" s="12">
        <v>0</v>
      </c>
      <c r="BF23" s="12">
        <v>0</v>
      </c>
      <c r="BG23" s="12">
        <v>3.7978048687857999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f t="shared" si="2"/>
        <v>3.7978048687857999</v>
      </c>
      <c r="BP23" s="12">
        <f t="shared" si="3"/>
        <v>0.31648373906548333</v>
      </c>
      <c r="BQ23" s="7"/>
      <c r="BR23" s="7"/>
      <c r="BS23" s="7" t="s">
        <v>63</v>
      </c>
      <c r="BT23" s="7" t="s">
        <v>52</v>
      </c>
      <c r="BU23" s="7">
        <v>0</v>
      </c>
      <c r="BV23" s="7">
        <v>10</v>
      </c>
      <c r="BW23" s="7">
        <v>0</v>
      </c>
      <c r="BX23" s="7">
        <v>0</v>
      </c>
      <c r="BY23" s="7">
        <v>5</v>
      </c>
      <c r="BZ23" s="7"/>
    </row>
    <row r="24" spans="1:78" x14ac:dyDescent="0.35">
      <c r="A24" s="7" t="s">
        <v>41</v>
      </c>
      <c r="B24" s="7"/>
      <c r="C24" s="7" t="s">
        <v>93</v>
      </c>
      <c r="D24" s="7" t="s">
        <v>59</v>
      </c>
      <c r="E24" s="7" t="s">
        <v>94</v>
      </c>
      <c r="F24" s="7" t="s">
        <v>61</v>
      </c>
      <c r="G24" s="7" t="s">
        <v>46</v>
      </c>
      <c r="H24" s="7"/>
      <c r="I24" s="7"/>
      <c r="J24" s="7" t="s">
        <v>47</v>
      </c>
      <c r="K24" s="7" t="s">
        <v>48</v>
      </c>
      <c r="L24" s="7" t="s">
        <v>49</v>
      </c>
      <c r="M24" s="7" t="s">
        <v>49</v>
      </c>
      <c r="N24" s="7" t="s">
        <v>62</v>
      </c>
      <c r="O24" s="7" t="s">
        <v>4</v>
      </c>
      <c r="P24" s="7">
        <v>27500</v>
      </c>
      <c r="Q24" s="7">
        <v>27500</v>
      </c>
      <c r="R24" s="7">
        <v>27500</v>
      </c>
      <c r="S24" s="7">
        <v>27500</v>
      </c>
      <c r="T24" s="7">
        <v>27500</v>
      </c>
      <c r="U24" s="7">
        <v>27500</v>
      </c>
      <c r="V24" s="7">
        <v>27500</v>
      </c>
      <c r="W24" s="7">
        <v>27500</v>
      </c>
      <c r="X24" s="7">
        <v>27500</v>
      </c>
      <c r="Y24" s="7">
        <v>27500</v>
      </c>
      <c r="Z24" s="7">
        <v>27500</v>
      </c>
      <c r="AA24" s="7">
        <v>27500</v>
      </c>
      <c r="AB24" s="9">
        <v>1.7406605648602</v>
      </c>
      <c r="AC24" s="9">
        <v>1.7406605648602</v>
      </c>
      <c r="AD24" s="9">
        <v>1.7406605648602</v>
      </c>
      <c r="AE24" s="9">
        <v>1.7406605648602</v>
      </c>
      <c r="AF24" s="9">
        <v>1.7406605648602</v>
      </c>
      <c r="AG24" s="9">
        <v>1.7406605648602</v>
      </c>
      <c r="AH24" s="9">
        <v>1.7406605648602</v>
      </c>
      <c r="AI24" s="9">
        <v>1.7406605648602</v>
      </c>
      <c r="AJ24" s="9">
        <v>1.7406605648602</v>
      </c>
      <c r="AK24" s="9">
        <v>1.7406605648602</v>
      </c>
      <c r="AL24" s="9">
        <v>1.7406605648602</v>
      </c>
      <c r="AM24" s="9">
        <v>1.7406605648602</v>
      </c>
      <c r="AN24" s="10">
        <v>0</v>
      </c>
      <c r="AO24" s="10">
        <v>0</v>
      </c>
      <c r="AP24" s="10">
        <v>0</v>
      </c>
      <c r="AQ24" s="10">
        <v>0</v>
      </c>
      <c r="AR24" s="10">
        <v>3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7">
        <f t="shared" si="0"/>
        <v>3</v>
      </c>
      <c r="BA24" s="11">
        <f t="shared" si="1"/>
        <v>0.25</v>
      </c>
      <c r="BC24" s="12">
        <v>0</v>
      </c>
      <c r="BD24" s="12">
        <v>0</v>
      </c>
      <c r="BE24" s="12">
        <v>0</v>
      </c>
      <c r="BF24" s="12">
        <v>0</v>
      </c>
      <c r="BG24" s="12">
        <v>5.2219816945805002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f t="shared" si="2"/>
        <v>5.2219816945805002</v>
      </c>
      <c r="BP24" s="12">
        <f t="shared" si="3"/>
        <v>0.43516514121504168</v>
      </c>
      <c r="BQ24" s="7"/>
      <c r="BR24" s="7"/>
      <c r="BS24" s="7" t="s">
        <v>63</v>
      </c>
      <c r="BT24" s="7" t="s">
        <v>52</v>
      </c>
      <c r="BU24" s="7">
        <v>0</v>
      </c>
      <c r="BV24" s="7">
        <v>10</v>
      </c>
      <c r="BW24" s="7">
        <v>0</v>
      </c>
      <c r="BX24" s="7">
        <v>0</v>
      </c>
      <c r="BY24" s="7">
        <v>5</v>
      </c>
      <c r="BZ24" s="7"/>
    </row>
    <row r="25" spans="1:78" x14ac:dyDescent="0.35">
      <c r="A25" s="7" t="s">
        <v>41</v>
      </c>
      <c r="B25" s="7"/>
      <c r="C25" s="7" t="s">
        <v>95</v>
      </c>
      <c r="D25" s="7" t="s">
        <v>59</v>
      </c>
      <c r="E25" s="7" t="s">
        <v>96</v>
      </c>
      <c r="F25" s="7" t="s">
        <v>97</v>
      </c>
      <c r="G25" s="7" t="s">
        <v>46</v>
      </c>
      <c r="H25" s="7"/>
      <c r="I25" s="7"/>
      <c r="J25" s="7" t="s">
        <v>47</v>
      </c>
      <c r="K25" s="7" t="s">
        <v>48</v>
      </c>
      <c r="L25" s="7" t="s">
        <v>49</v>
      </c>
      <c r="M25" s="7" t="s">
        <v>49</v>
      </c>
      <c r="N25" s="7" t="s">
        <v>62</v>
      </c>
      <c r="O25" s="7" t="s">
        <v>4</v>
      </c>
      <c r="P25" s="7">
        <v>27500</v>
      </c>
      <c r="Q25" s="7">
        <v>27500</v>
      </c>
      <c r="R25" s="7">
        <v>27500</v>
      </c>
      <c r="S25" s="7">
        <v>27500</v>
      </c>
      <c r="T25" s="7">
        <v>27500</v>
      </c>
      <c r="U25" s="7">
        <v>27500</v>
      </c>
      <c r="V25" s="7">
        <v>27500</v>
      </c>
      <c r="W25" s="7">
        <v>27500</v>
      </c>
      <c r="X25" s="7">
        <v>27500</v>
      </c>
      <c r="Y25" s="7">
        <v>27500</v>
      </c>
      <c r="Z25" s="7">
        <v>27500</v>
      </c>
      <c r="AA25" s="7">
        <v>27500</v>
      </c>
      <c r="AB25" s="9">
        <v>1.7406605648602</v>
      </c>
      <c r="AC25" s="9">
        <v>1.7406605648602</v>
      </c>
      <c r="AD25" s="9">
        <v>1.7406605648602</v>
      </c>
      <c r="AE25" s="9">
        <v>1.7406605648602</v>
      </c>
      <c r="AF25" s="9">
        <v>1.7406605648602</v>
      </c>
      <c r="AG25" s="9">
        <v>1.7406605648602</v>
      </c>
      <c r="AH25" s="9">
        <v>1.7406605648602</v>
      </c>
      <c r="AI25" s="9">
        <v>1.7406605648602</v>
      </c>
      <c r="AJ25" s="9">
        <v>1.7406605648602</v>
      </c>
      <c r="AK25" s="9">
        <v>1.7406605648602</v>
      </c>
      <c r="AL25" s="9">
        <v>1.7406605648602</v>
      </c>
      <c r="AM25" s="9">
        <v>1.7406605648602</v>
      </c>
      <c r="AN25" s="10">
        <v>0</v>
      </c>
      <c r="AO25" s="10">
        <v>0</v>
      </c>
      <c r="AP25" s="10">
        <v>0</v>
      </c>
      <c r="AQ25" s="10">
        <v>0</v>
      </c>
      <c r="AR25" s="10">
        <v>6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7">
        <f t="shared" si="0"/>
        <v>6</v>
      </c>
      <c r="BA25" s="11">
        <f t="shared" si="1"/>
        <v>0.5</v>
      </c>
      <c r="BC25" s="12">
        <v>0</v>
      </c>
      <c r="BD25" s="12">
        <v>0</v>
      </c>
      <c r="BE25" s="12">
        <v>0</v>
      </c>
      <c r="BF25" s="12">
        <v>0</v>
      </c>
      <c r="BG25" s="12">
        <v>10.443963389161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f t="shared" si="2"/>
        <v>10.443963389161</v>
      </c>
      <c r="BP25" s="12">
        <f t="shared" si="3"/>
        <v>0.87033028243008337</v>
      </c>
      <c r="BQ25" s="7"/>
      <c r="BR25" s="7"/>
      <c r="BS25" s="7" t="s">
        <v>63</v>
      </c>
      <c r="BT25" s="7" t="s">
        <v>52</v>
      </c>
      <c r="BU25" s="7">
        <v>0</v>
      </c>
      <c r="BV25" s="7">
        <v>10</v>
      </c>
      <c r="BW25" s="7">
        <v>0</v>
      </c>
      <c r="BX25" s="7">
        <v>0</v>
      </c>
      <c r="BY25" s="7">
        <v>5</v>
      </c>
      <c r="BZ25" s="7"/>
    </row>
    <row r="26" spans="1:78" x14ac:dyDescent="0.35">
      <c r="A26" s="7" t="s">
        <v>41</v>
      </c>
      <c r="B26" s="7"/>
      <c r="C26" s="7" t="s">
        <v>98</v>
      </c>
      <c r="D26" s="7" t="s">
        <v>73</v>
      </c>
      <c r="E26" s="7" t="s">
        <v>99</v>
      </c>
      <c r="F26" s="7" t="s">
        <v>75</v>
      </c>
      <c r="G26" s="7" t="s">
        <v>46</v>
      </c>
      <c r="H26" s="7"/>
      <c r="I26" s="7"/>
      <c r="J26" s="7" t="s">
        <v>47</v>
      </c>
      <c r="K26" s="7" t="s">
        <v>48</v>
      </c>
      <c r="L26" s="7" t="s">
        <v>49</v>
      </c>
      <c r="M26" s="7" t="s">
        <v>49</v>
      </c>
      <c r="N26" s="7" t="s">
        <v>76</v>
      </c>
      <c r="O26" s="7" t="s">
        <v>6</v>
      </c>
      <c r="P26" s="7">
        <v>348820</v>
      </c>
      <c r="Q26" s="7">
        <v>348820</v>
      </c>
      <c r="R26" s="7">
        <v>348820</v>
      </c>
      <c r="S26" s="7">
        <v>348820</v>
      </c>
      <c r="T26" s="7">
        <v>348820</v>
      </c>
      <c r="U26" s="7">
        <v>348820</v>
      </c>
      <c r="V26" s="7">
        <v>348820</v>
      </c>
      <c r="W26" s="7">
        <v>348820</v>
      </c>
      <c r="X26" s="7">
        <v>348820</v>
      </c>
      <c r="Y26" s="7">
        <v>348820</v>
      </c>
      <c r="Z26" s="7">
        <v>348820</v>
      </c>
      <c r="AA26" s="7">
        <v>348820</v>
      </c>
      <c r="AB26" s="9">
        <v>2310.0662251655999</v>
      </c>
      <c r="AC26" s="9">
        <v>2310.0662251655999</v>
      </c>
      <c r="AD26" s="9">
        <v>2310.0662251655999</v>
      </c>
      <c r="AE26" s="9">
        <v>2310.0662251655999</v>
      </c>
      <c r="AF26" s="9">
        <v>2310.0662251655999</v>
      </c>
      <c r="AG26" s="9">
        <v>2310.0662251655999</v>
      </c>
      <c r="AH26" s="9">
        <v>2310.0662251655999</v>
      </c>
      <c r="AI26" s="9">
        <v>2310.0662251655999</v>
      </c>
      <c r="AJ26" s="9">
        <v>2310.0662251655999</v>
      </c>
      <c r="AK26" s="9">
        <v>2310.0662251655999</v>
      </c>
      <c r="AL26" s="9">
        <v>2310.0662251655999</v>
      </c>
      <c r="AM26" s="9">
        <v>2310.0662251655999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6</v>
      </c>
      <c r="AV26" s="10">
        <v>0</v>
      </c>
      <c r="AW26" s="10">
        <v>0</v>
      </c>
      <c r="AX26" s="10">
        <v>0</v>
      </c>
      <c r="AY26" s="10">
        <v>6</v>
      </c>
      <c r="AZ26" s="7">
        <f t="shared" si="0"/>
        <v>12</v>
      </c>
      <c r="BA26" s="11">
        <f t="shared" si="1"/>
        <v>1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13860.397350993</v>
      </c>
      <c r="BK26" s="12">
        <v>0</v>
      </c>
      <c r="BL26" s="12">
        <v>0</v>
      </c>
      <c r="BM26" s="12">
        <v>0</v>
      </c>
      <c r="BN26" s="12">
        <v>13860.397350993</v>
      </c>
      <c r="BO26" s="12">
        <f t="shared" si="2"/>
        <v>27720.794701986</v>
      </c>
      <c r="BP26" s="12">
        <f t="shared" si="3"/>
        <v>2310.0662251654999</v>
      </c>
      <c r="BQ26" s="7"/>
      <c r="BR26" s="7"/>
      <c r="BS26" s="7" t="s">
        <v>63</v>
      </c>
      <c r="BT26" s="7" t="s">
        <v>52</v>
      </c>
      <c r="BU26" s="7">
        <v>0</v>
      </c>
      <c r="BV26" s="7">
        <v>10</v>
      </c>
      <c r="BW26" s="7">
        <v>0</v>
      </c>
      <c r="BX26" s="7">
        <v>0</v>
      </c>
      <c r="BY26" s="7">
        <v>5</v>
      </c>
      <c r="BZ26" s="7"/>
    </row>
    <row r="27" spans="1:78" x14ac:dyDescent="0.35">
      <c r="A27" s="7" t="s">
        <v>41</v>
      </c>
      <c r="B27" s="7"/>
      <c r="C27" s="7" t="s">
        <v>100</v>
      </c>
      <c r="D27" s="7" t="s">
        <v>101</v>
      </c>
      <c r="E27" s="7" t="s">
        <v>102</v>
      </c>
      <c r="F27" s="7" t="s">
        <v>103</v>
      </c>
      <c r="G27" s="7" t="s">
        <v>46</v>
      </c>
      <c r="H27" s="7"/>
      <c r="I27" s="7"/>
      <c r="J27" s="7" t="s">
        <v>47</v>
      </c>
      <c r="K27" s="7" t="s">
        <v>48</v>
      </c>
      <c r="L27" s="7" t="s">
        <v>49</v>
      </c>
      <c r="M27" s="7" t="s">
        <v>49</v>
      </c>
      <c r="N27" s="7" t="s">
        <v>50</v>
      </c>
      <c r="O27" s="7" t="s">
        <v>4</v>
      </c>
      <c r="P27" s="7">
        <v>500000</v>
      </c>
      <c r="Q27" s="7">
        <v>500000</v>
      </c>
      <c r="R27" s="7">
        <v>500000</v>
      </c>
      <c r="S27" s="7">
        <v>500000</v>
      </c>
      <c r="T27" s="7">
        <v>500000</v>
      </c>
      <c r="U27" s="7">
        <v>500000</v>
      </c>
      <c r="V27" s="7">
        <v>500000</v>
      </c>
      <c r="W27" s="7">
        <v>500000</v>
      </c>
      <c r="X27" s="7">
        <v>500000</v>
      </c>
      <c r="Y27" s="7">
        <v>500000</v>
      </c>
      <c r="Z27" s="7">
        <v>500000</v>
      </c>
      <c r="AA27" s="7">
        <v>500000</v>
      </c>
      <c r="AB27" s="9">
        <v>31.648373906549001</v>
      </c>
      <c r="AC27" s="9">
        <v>31.648373906549001</v>
      </c>
      <c r="AD27" s="9">
        <v>31.648373906549001</v>
      </c>
      <c r="AE27" s="9">
        <v>31.648373906549001</v>
      </c>
      <c r="AF27" s="9">
        <v>31.648373906549001</v>
      </c>
      <c r="AG27" s="9">
        <v>31.648373906549001</v>
      </c>
      <c r="AH27" s="9">
        <v>31.648373906549001</v>
      </c>
      <c r="AI27" s="9">
        <v>31.648373906549001</v>
      </c>
      <c r="AJ27" s="9">
        <v>31.648373906549001</v>
      </c>
      <c r="AK27" s="9">
        <v>31.648373906549001</v>
      </c>
      <c r="AL27" s="9">
        <v>31.648373906549001</v>
      </c>
      <c r="AM27" s="9">
        <v>31.648373906549001</v>
      </c>
      <c r="AN27" s="10">
        <v>0</v>
      </c>
      <c r="AO27" s="10">
        <v>0</v>
      </c>
      <c r="AP27" s="10">
        <v>1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1</v>
      </c>
      <c r="AW27" s="10">
        <v>0</v>
      </c>
      <c r="AX27" s="10">
        <v>0</v>
      </c>
      <c r="AY27" s="10">
        <v>0</v>
      </c>
      <c r="AZ27" s="7">
        <f t="shared" si="0"/>
        <v>2</v>
      </c>
      <c r="BA27" s="11">
        <f t="shared" si="1"/>
        <v>0.16666666666666666</v>
      </c>
      <c r="BC27" s="12">
        <v>0</v>
      </c>
      <c r="BD27" s="12">
        <v>0</v>
      </c>
      <c r="BE27" s="12">
        <v>31.648373906549001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31.648373906549001</v>
      </c>
      <c r="BL27" s="12">
        <v>0</v>
      </c>
      <c r="BM27" s="12">
        <v>0</v>
      </c>
      <c r="BN27" s="12">
        <v>0</v>
      </c>
      <c r="BO27" s="12">
        <f t="shared" si="2"/>
        <v>63.296747813098001</v>
      </c>
      <c r="BP27" s="12">
        <f t="shared" si="3"/>
        <v>5.2747289844248337</v>
      </c>
      <c r="BQ27" s="7"/>
      <c r="BR27" s="7"/>
      <c r="BS27" s="7" t="s">
        <v>57</v>
      </c>
      <c r="BT27" s="7" t="s">
        <v>52</v>
      </c>
      <c r="BU27" s="7">
        <v>0</v>
      </c>
      <c r="BV27" s="7">
        <v>10</v>
      </c>
      <c r="BW27" s="7">
        <v>0</v>
      </c>
      <c r="BX27" s="7">
        <v>10</v>
      </c>
      <c r="BY27" s="7">
        <v>5</v>
      </c>
      <c r="BZ27" s="7"/>
    </row>
    <row r="28" spans="1:78" x14ac:dyDescent="0.35">
      <c r="A28" s="7" t="s">
        <v>41</v>
      </c>
      <c r="B28" s="7"/>
      <c r="C28" s="7" t="s">
        <v>83</v>
      </c>
      <c r="D28" s="7" t="s">
        <v>59</v>
      </c>
      <c r="E28" s="7" t="s">
        <v>84</v>
      </c>
      <c r="F28" s="7" t="s">
        <v>104</v>
      </c>
      <c r="G28" s="7" t="s">
        <v>46</v>
      </c>
      <c r="H28" s="7"/>
      <c r="I28" s="7"/>
      <c r="J28" s="7" t="s">
        <v>47</v>
      </c>
      <c r="K28" s="7" t="s">
        <v>48</v>
      </c>
      <c r="L28" s="7" t="s">
        <v>49</v>
      </c>
      <c r="M28" s="7" t="s">
        <v>49</v>
      </c>
      <c r="N28" s="7" t="s">
        <v>85</v>
      </c>
      <c r="O28" s="7" t="s">
        <v>4</v>
      </c>
      <c r="P28" s="7">
        <v>1000000</v>
      </c>
      <c r="Q28" s="7">
        <v>1000000</v>
      </c>
      <c r="R28" s="7">
        <v>1000000</v>
      </c>
      <c r="S28" s="7">
        <v>1000000</v>
      </c>
      <c r="T28" s="7">
        <v>1000000</v>
      </c>
      <c r="U28" s="7">
        <v>1000000</v>
      </c>
      <c r="V28" s="7">
        <v>1000000</v>
      </c>
      <c r="W28" s="7">
        <v>1000000</v>
      </c>
      <c r="X28" s="7">
        <v>1000000</v>
      </c>
      <c r="Y28" s="7">
        <v>1000000</v>
      </c>
      <c r="Z28" s="7">
        <v>1000000</v>
      </c>
      <c r="AA28" s="7">
        <v>1000000</v>
      </c>
      <c r="AB28" s="9">
        <v>63.296747813096999</v>
      </c>
      <c r="AC28" s="9">
        <v>63.296747813096999</v>
      </c>
      <c r="AD28" s="9">
        <v>63.296747813096999</v>
      </c>
      <c r="AE28" s="9">
        <v>63.296747813096999</v>
      </c>
      <c r="AF28" s="9">
        <v>63.296747813096999</v>
      </c>
      <c r="AG28" s="9">
        <v>63.296747813096999</v>
      </c>
      <c r="AH28" s="9">
        <v>63.296747813096999</v>
      </c>
      <c r="AI28" s="9">
        <v>63.296747813096999</v>
      </c>
      <c r="AJ28" s="9">
        <v>63.296747813096999</v>
      </c>
      <c r="AK28" s="9">
        <v>63.296747813096999</v>
      </c>
      <c r="AL28" s="9">
        <v>63.296747813096999</v>
      </c>
      <c r="AM28" s="9">
        <v>63.296747813096999</v>
      </c>
      <c r="AN28" s="10">
        <v>2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7">
        <f t="shared" si="0"/>
        <v>2</v>
      </c>
      <c r="BA28" s="11">
        <f t="shared" si="1"/>
        <v>0.16666666666666666</v>
      </c>
      <c r="BC28" s="12">
        <v>126.59349562619001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f t="shared" si="2"/>
        <v>126.59349562619001</v>
      </c>
      <c r="BP28" s="12">
        <f t="shared" si="3"/>
        <v>10.549457968849167</v>
      </c>
      <c r="BQ28" s="7"/>
      <c r="BR28" s="7"/>
      <c r="BS28" s="7" t="s">
        <v>63</v>
      </c>
      <c r="BT28" s="7" t="s">
        <v>52</v>
      </c>
      <c r="BU28" s="7">
        <v>0</v>
      </c>
      <c r="BV28" s="7">
        <v>10</v>
      </c>
      <c r="BW28" s="7">
        <v>0</v>
      </c>
      <c r="BX28" s="7">
        <v>0</v>
      </c>
      <c r="BY28" s="7">
        <v>5</v>
      </c>
      <c r="BZ28" s="7"/>
    </row>
    <row r="29" spans="1:78" x14ac:dyDescent="0.35">
      <c r="A29" s="7" t="s">
        <v>41</v>
      </c>
      <c r="B29" s="7"/>
      <c r="C29" s="7" t="s">
        <v>105</v>
      </c>
      <c r="D29" s="7" t="s">
        <v>106</v>
      </c>
      <c r="E29" s="7" t="s">
        <v>107</v>
      </c>
      <c r="F29" s="7" t="s">
        <v>108</v>
      </c>
      <c r="G29" s="7" t="s">
        <v>46</v>
      </c>
      <c r="H29" s="7"/>
      <c r="I29" s="7"/>
      <c r="J29" s="7" t="s">
        <v>47</v>
      </c>
      <c r="K29" s="7" t="s">
        <v>48</v>
      </c>
      <c r="L29" s="7" t="s">
        <v>49</v>
      </c>
      <c r="M29" s="7" t="s">
        <v>49</v>
      </c>
      <c r="N29" s="7" t="s">
        <v>50</v>
      </c>
      <c r="O29" s="7" t="s">
        <v>4</v>
      </c>
      <c r="P29" s="7">
        <v>33000</v>
      </c>
      <c r="Q29" s="7">
        <v>33000</v>
      </c>
      <c r="R29" s="7">
        <v>33000</v>
      </c>
      <c r="S29" s="7">
        <v>33000</v>
      </c>
      <c r="T29" s="7">
        <v>33000</v>
      </c>
      <c r="U29" s="7">
        <v>33000</v>
      </c>
      <c r="V29" s="7">
        <v>33000</v>
      </c>
      <c r="W29" s="7">
        <v>33000</v>
      </c>
      <c r="X29" s="7">
        <v>33000</v>
      </c>
      <c r="Y29" s="7">
        <v>33000</v>
      </c>
      <c r="Z29" s="7">
        <v>33000</v>
      </c>
      <c r="AA29" s="7">
        <v>33000</v>
      </c>
      <c r="AB29" s="9">
        <v>2.0887926778321999</v>
      </c>
      <c r="AC29" s="9">
        <v>2.0887926778321999</v>
      </c>
      <c r="AD29" s="9">
        <v>2.0887926778321999</v>
      </c>
      <c r="AE29" s="9">
        <v>2.0887926778321999</v>
      </c>
      <c r="AF29" s="9">
        <v>2.0887926778321999</v>
      </c>
      <c r="AG29" s="9">
        <v>2.0887926778321999</v>
      </c>
      <c r="AH29" s="9">
        <v>2.0887926778321999</v>
      </c>
      <c r="AI29" s="9">
        <v>2.0887926778321999</v>
      </c>
      <c r="AJ29" s="9">
        <v>2.0887926778321999</v>
      </c>
      <c r="AK29" s="9">
        <v>2.0887926778321999</v>
      </c>
      <c r="AL29" s="9">
        <v>2.0887926778321999</v>
      </c>
      <c r="AM29" s="9">
        <v>2.0887926778321999</v>
      </c>
      <c r="AN29" s="10">
        <v>0</v>
      </c>
      <c r="AO29" s="10">
        <v>0</v>
      </c>
      <c r="AP29" s="10">
        <v>13</v>
      </c>
      <c r="AQ29" s="10">
        <v>0</v>
      </c>
      <c r="AR29" s="10">
        <v>0</v>
      </c>
      <c r="AS29" s="10">
        <v>0</v>
      </c>
      <c r="AT29" s="10">
        <v>0</v>
      </c>
      <c r="AU29" s="10">
        <v>13</v>
      </c>
      <c r="AV29" s="10">
        <v>0</v>
      </c>
      <c r="AW29" s="10">
        <v>0</v>
      </c>
      <c r="AX29" s="10">
        <v>0</v>
      </c>
      <c r="AY29" s="10">
        <v>0</v>
      </c>
      <c r="AZ29" s="7">
        <f t="shared" si="0"/>
        <v>26</v>
      </c>
      <c r="BA29" s="11">
        <f t="shared" si="1"/>
        <v>2.1666666666666665</v>
      </c>
      <c r="BC29" s="12">
        <v>0</v>
      </c>
      <c r="BD29" s="12">
        <v>0</v>
      </c>
      <c r="BE29" s="12">
        <v>27.154304811818999</v>
      </c>
      <c r="BF29" s="12">
        <v>0</v>
      </c>
      <c r="BG29" s="12">
        <v>0</v>
      </c>
      <c r="BH29" s="12">
        <v>0</v>
      </c>
      <c r="BI29" s="12">
        <v>0</v>
      </c>
      <c r="BJ29" s="12">
        <v>27.154304811818999</v>
      </c>
      <c r="BK29" s="12">
        <v>0</v>
      </c>
      <c r="BL29" s="12">
        <v>0</v>
      </c>
      <c r="BM29" s="12">
        <v>0</v>
      </c>
      <c r="BN29" s="12">
        <v>0</v>
      </c>
      <c r="BO29" s="12">
        <f t="shared" si="2"/>
        <v>54.308609623637999</v>
      </c>
      <c r="BP29" s="12">
        <f t="shared" si="3"/>
        <v>4.5257174686364996</v>
      </c>
      <c r="BQ29" s="7"/>
      <c r="BR29" s="7"/>
      <c r="BS29" s="7" t="s">
        <v>51</v>
      </c>
      <c r="BT29" s="7" t="s">
        <v>52</v>
      </c>
      <c r="BU29" s="7">
        <v>15</v>
      </c>
      <c r="BV29" s="7">
        <v>10</v>
      </c>
      <c r="BW29" s="7">
        <v>5</v>
      </c>
      <c r="BX29" s="7">
        <v>20</v>
      </c>
      <c r="BY29" s="7">
        <v>5</v>
      </c>
      <c r="BZ29" s="7"/>
    </row>
    <row r="30" spans="1:78" x14ac:dyDescent="0.35">
      <c r="A30" s="7" t="s">
        <v>41</v>
      </c>
      <c r="B30" s="7"/>
      <c r="C30" s="7" t="s">
        <v>109</v>
      </c>
      <c r="D30" s="7" t="s">
        <v>110</v>
      </c>
      <c r="E30" s="7" t="s">
        <v>111</v>
      </c>
      <c r="F30" s="7" t="s">
        <v>112</v>
      </c>
      <c r="G30" s="7" t="s">
        <v>46</v>
      </c>
      <c r="H30" s="7"/>
      <c r="I30" s="7"/>
      <c r="J30" s="7" t="s">
        <v>47</v>
      </c>
      <c r="K30" s="7" t="s">
        <v>48</v>
      </c>
      <c r="L30" s="7" t="s">
        <v>49</v>
      </c>
      <c r="M30" s="7" t="s">
        <v>49</v>
      </c>
      <c r="N30" s="7" t="s">
        <v>85</v>
      </c>
      <c r="O30" s="7" t="s">
        <v>4</v>
      </c>
      <c r="P30" s="7">
        <v>200000</v>
      </c>
      <c r="Q30" s="7">
        <v>200000</v>
      </c>
      <c r="R30" s="7">
        <v>200000</v>
      </c>
      <c r="S30" s="7">
        <v>200000</v>
      </c>
      <c r="T30" s="7">
        <v>200000</v>
      </c>
      <c r="U30" s="7">
        <v>200000</v>
      </c>
      <c r="V30" s="7">
        <v>200000</v>
      </c>
      <c r="W30" s="7">
        <v>200000</v>
      </c>
      <c r="X30" s="7">
        <v>200000</v>
      </c>
      <c r="Y30" s="7">
        <v>200000</v>
      </c>
      <c r="Z30" s="7">
        <v>200000</v>
      </c>
      <c r="AA30" s="7">
        <v>200000</v>
      </c>
      <c r="AB30" s="9">
        <v>12.659349562618999</v>
      </c>
      <c r="AC30" s="9">
        <v>12.659349562618999</v>
      </c>
      <c r="AD30" s="9">
        <v>12.659349562618999</v>
      </c>
      <c r="AE30" s="9">
        <v>12.659349562618999</v>
      </c>
      <c r="AF30" s="9">
        <v>12.659349562618999</v>
      </c>
      <c r="AG30" s="9">
        <v>12.659349562618999</v>
      </c>
      <c r="AH30" s="9">
        <v>12.659349562618999</v>
      </c>
      <c r="AI30" s="9">
        <v>12.659349562618999</v>
      </c>
      <c r="AJ30" s="9">
        <v>12.659349562618999</v>
      </c>
      <c r="AK30" s="9">
        <v>12.659349562618999</v>
      </c>
      <c r="AL30" s="9">
        <v>12.659349562618999</v>
      </c>
      <c r="AM30" s="9">
        <v>12.659349562618999</v>
      </c>
      <c r="AN30" s="10">
        <v>2</v>
      </c>
      <c r="AO30" s="10">
        <v>0</v>
      </c>
      <c r="AP30" s="10">
        <v>0</v>
      </c>
      <c r="AQ30" s="10">
        <v>2</v>
      </c>
      <c r="AR30" s="10">
        <v>0</v>
      </c>
      <c r="AS30" s="10">
        <v>0</v>
      </c>
      <c r="AT30" s="10">
        <v>2</v>
      </c>
      <c r="AU30" s="10">
        <v>0</v>
      </c>
      <c r="AV30" s="10">
        <v>0</v>
      </c>
      <c r="AW30" s="10">
        <v>2</v>
      </c>
      <c r="AX30" s="10">
        <v>0</v>
      </c>
      <c r="AY30" s="10">
        <v>0</v>
      </c>
      <c r="AZ30" s="7">
        <f t="shared" si="0"/>
        <v>8</v>
      </c>
      <c r="BA30" s="11">
        <f t="shared" si="1"/>
        <v>0.66666666666666663</v>
      </c>
      <c r="BC30" s="12">
        <v>25.318699125239</v>
      </c>
      <c r="BD30" s="12">
        <v>0</v>
      </c>
      <c r="BE30" s="12">
        <v>0</v>
      </c>
      <c r="BF30" s="12">
        <v>25.318699125239</v>
      </c>
      <c r="BG30" s="12">
        <v>0</v>
      </c>
      <c r="BH30" s="12">
        <v>0</v>
      </c>
      <c r="BI30" s="12">
        <v>25.318699125239</v>
      </c>
      <c r="BJ30" s="12">
        <v>0</v>
      </c>
      <c r="BK30" s="12">
        <v>0</v>
      </c>
      <c r="BL30" s="12">
        <v>25.318699125239</v>
      </c>
      <c r="BM30" s="12">
        <v>0</v>
      </c>
      <c r="BN30" s="12">
        <v>0</v>
      </c>
      <c r="BO30" s="12">
        <f t="shared" si="2"/>
        <v>101.274796500956</v>
      </c>
      <c r="BP30" s="12">
        <f t="shared" si="3"/>
        <v>8.4395663750796661</v>
      </c>
      <c r="BQ30" s="7"/>
      <c r="BR30" s="7"/>
      <c r="BS30" s="7" t="s">
        <v>57</v>
      </c>
      <c r="BT30" s="7" t="s">
        <v>52</v>
      </c>
      <c r="BU30" s="7">
        <v>0</v>
      </c>
      <c r="BV30" s="7">
        <v>10</v>
      </c>
      <c r="BW30" s="7">
        <v>0</v>
      </c>
      <c r="BX30" s="7">
        <v>10</v>
      </c>
      <c r="BY30" s="7">
        <v>5</v>
      </c>
      <c r="BZ30" s="7"/>
    </row>
    <row r="31" spans="1:78" x14ac:dyDescent="0.35">
      <c r="A31" s="7" t="s">
        <v>41</v>
      </c>
      <c r="B31" s="7"/>
      <c r="C31" s="7" t="s">
        <v>113</v>
      </c>
      <c r="D31" s="7" t="s">
        <v>59</v>
      </c>
      <c r="E31" s="7" t="s">
        <v>114</v>
      </c>
      <c r="F31" s="7" t="s">
        <v>79</v>
      </c>
      <c r="G31" s="7" t="s">
        <v>46</v>
      </c>
      <c r="H31" s="7"/>
      <c r="I31" s="7"/>
      <c r="J31" s="7" t="s">
        <v>47</v>
      </c>
      <c r="K31" s="7" t="s">
        <v>48</v>
      </c>
      <c r="L31" s="7" t="s">
        <v>49</v>
      </c>
      <c r="M31" s="7" t="s">
        <v>49</v>
      </c>
      <c r="N31" s="7" t="s">
        <v>85</v>
      </c>
      <c r="O31" s="7" t="s">
        <v>4</v>
      </c>
      <c r="P31" s="7">
        <v>500000</v>
      </c>
      <c r="Q31" s="7">
        <v>500000</v>
      </c>
      <c r="R31" s="7">
        <v>500000</v>
      </c>
      <c r="S31" s="7">
        <v>500000</v>
      </c>
      <c r="T31" s="7">
        <v>500000</v>
      </c>
      <c r="U31" s="7">
        <v>500000</v>
      </c>
      <c r="V31" s="7">
        <v>500000</v>
      </c>
      <c r="W31" s="7">
        <v>500000</v>
      </c>
      <c r="X31" s="7">
        <v>500000</v>
      </c>
      <c r="Y31" s="7">
        <v>500000</v>
      </c>
      <c r="Z31" s="7">
        <v>500000</v>
      </c>
      <c r="AA31" s="7">
        <v>500000</v>
      </c>
      <c r="AB31" s="9">
        <v>31.648373906549001</v>
      </c>
      <c r="AC31" s="9">
        <v>31.648373906549001</v>
      </c>
      <c r="AD31" s="9">
        <v>31.648373906549001</v>
      </c>
      <c r="AE31" s="9">
        <v>31.648373906549001</v>
      </c>
      <c r="AF31" s="9">
        <v>31.648373906549001</v>
      </c>
      <c r="AG31" s="9">
        <v>31.648373906549001</v>
      </c>
      <c r="AH31" s="9">
        <v>31.648373906549001</v>
      </c>
      <c r="AI31" s="9">
        <v>31.648373906549001</v>
      </c>
      <c r="AJ31" s="9">
        <v>31.648373906549001</v>
      </c>
      <c r="AK31" s="9">
        <v>31.648373906549001</v>
      </c>
      <c r="AL31" s="9">
        <v>31.648373906549001</v>
      </c>
      <c r="AM31" s="9">
        <v>31.648373906549001</v>
      </c>
      <c r="AN31" s="10">
        <v>0</v>
      </c>
      <c r="AO31" s="10">
        <v>0</v>
      </c>
      <c r="AP31" s="10">
        <v>2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7">
        <f t="shared" si="0"/>
        <v>2</v>
      </c>
      <c r="BA31" s="11">
        <f t="shared" si="1"/>
        <v>0.16666666666666666</v>
      </c>
      <c r="BC31" s="12">
        <v>0</v>
      </c>
      <c r="BD31" s="12">
        <v>0</v>
      </c>
      <c r="BE31" s="12">
        <v>63.296747813096999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f t="shared" si="2"/>
        <v>63.296747813096999</v>
      </c>
      <c r="BP31" s="12">
        <f t="shared" si="3"/>
        <v>5.2747289844247502</v>
      </c>
      <c r="BQ31" s="7"/>
      <c r="BR31" s="7"/>
      <c r="BS31" s="7" t="s">
        <v>63</v>
      </c>
      <c r="BT31" s="7" t="s">
        <v>52</v>
      </c>
      <c r="BU31" s="7">
        <v>0</v>
      </c>
      <c r="BV31" s="7">
        <v>10</v>
      </c>
      <c r="BW31" s="7">
        <v>0</v>
      </c>
      <c r="BX31" s="7">
        <v>0</v>
      </c>
      <c r="BY31" s="7">
        <v>5</v>
      </c>
      <c r="BZ31" s="7"/>
    </row>
    <row r="32" spans="1:78" x14ac:dyDescent="0.35">
      <c r="A32" s="7" t="s">
        <v>41</v>
      </c>
      <c r="B32" s="7"/>
      <c r="C32" s="7" t="s">
        <v>115</v>
      </c>
      <c r="D32" s="7" t="s">
        <v>73</v>
      </c>
      <c r="E32" s="7" t="s">
        <v>116</v>
      </c>
      <c r="F32" s="7" t="s">
        <v>75</v>
      </c>
      <c r="G32" s="7" t="s">
        <v>46</v>
      </c>
      <c r="H32" s="7"/>
      <c r="I32" s="7"/>
      <c r="J32" s="7" t="s">
        <v>47</v>
      </c>
      <c r="K32" s="7" t="s">
        <v>48</v>
      </c>
      <c r="L32" s="7" t="s">
        <v>49</v>
      </c>
      <c r="M32" s="7" t="s">
        <v>49</v>
      </c>
      <c r="N32" s="7" t="s">
        <v>76</v>
      </c>
      <c r="O32" s="7" t="s">
        <v>6</v>
      </c>
      <c r="P32" s="7">
        <v>50000</v>
      </c>
      <c r="Q32" s="7">
        <v>50000</v>
      </c>
      <c r="R32" s="7">
        <v>50000</v>
      </c>
      <c r="S32" s="7">
        <v>50000</v>
      </c>
      <c r="T32" s="7">
        <v>50000</v>
      </c>
      <c r="U32" s="7">
        <v>50000</v>
      </c>
      <c r="V32" s="7">
        <v>50000</v>
      </c>
      <c r="W32" s="7">
        <v>50000</v>
      </c>
      <c r="X32" s="7">
        <v>50000</v>
      </c>
      <c r="Y32" s="7">
        <v>50000</v>
      </c>
      <c r="Z32" s="7">
        <v>50000</v>
      </c>
      <c r="AA32" s="7">
        <v>50000</v>
      </c>
      <c r="AB32" s="9">
        <v>331.12582781457002</v>
      </c>
      <c r="AC32" s="9">
        <v>331.12582781457002</v>
      </c>
      <c r="AD32" s="9">
        <v>331.12582781457002</v>
      </c>
      <c r="AE32" s="9">
        <v>331.12582781457002</v>
      </c>
      <c r="AF32" s="9">
        <v>331.12582781457002</v>
      </c>
      <c r="AG32" s="9">
        <v>331.12582781457002</v>
      </c>
      <c r="AH32" s="9">
        <v>331.12582781457002</v>
      </c>
      <c r="AI32" s="9">
        <v>331.12582781457002</v>
      </c>
      <c r="AJ32" s="9">
        <v>331.12582781457002</v>
      </c>
      <c r="AK32" s="9">
        <v>331.12582781457002</v>
      </c>
      <c r="AL32" s="9">
        <v>331.12582781457002</v>
      </c>
      <c r="AM32" s="9">
        <v>331.12582781457002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6</v>
      </c>
      <c r="AV32" s="10">
        <v>0</v>
      </c>
      <c r="AW32" s="10">
        <v>0</v>
      </c>
      <c r="AX32" s="10">
        <v>0</v>
      </c>
      <c r="AY32" s="10">
        <v>6</v>
      </c>
      <c r="AZ32" s="7">
        <f t="shared" si="0"/>
        <v>12</v>
      </c>
      <c r="BA32" s="11">
        <f t="shared" si="1"/>
        <v>1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1986.7549668874001</v>
      </c>
      <c r="BK32" s="12">
        <v>0</v>
      </c>
      <c r="BL32" s="12">
        <v>0</v>
      </c>
      <c r="BM32" s="12">
        <v>0</v>
      </c>
      <c r="BN32" s="12">
        <v>1986.7549668874001</v>
      </c>
      <c r="BO32" s="12">
        <f t="shared" si="2"/>
        <v>3973.5099337748002</v>
      </c>
      <c r="BP32" s="12">
        <f t="shared" si="3"/>
        <v>331.12582781456666</v>
      </c>
      <c r="BQ32" s="7"/>
      <c r="BR32" s="7"/>
      <c r="BS32" s="7" t="s">
        <v>63</v>
      </c>
      <c r="BT32" s="7" t="s">
        <v>52</v>
      </c>
      <c r="BU32" s="7">
        <v>0</v>
      </c>
      <c r="BV32" s="7">
        <v>10</v>
      </c>
      <c r="BW32" s="7">
        <v>0</v>
      </c>
      <c r="BX32" s="7">
        <v>0</v>
      </c>
      <c r="BY32" s="7">
        <v>5</v>
      </c>
      <c r="BZ32" s="7"/>
    </row>
    <row r="33" spans="1:78" x14ac:dyDescent="0.35">
      <c r="A33" s="7" t="s">
        <v>41</v>
      </c>
      <c r="B33" s="7"/>
      <c r="C33" s="7" t="s">
        <v>117</v>
      </c>
      <c r="D33" s="7" t="s">
        <v>59</v>
      </c>
      <c r="E33" s="7" t="s">
        <v>118</v>
      </c>
      <c r="F33" s="7" t="s">
        <v>61</v>
      </c>
      <c r="G33" s="7" t="s">
        <v>46</v>
      </c>
      <c r="H33" s="7"/>
      <c r="I33" s="7"/>
      <c r="J33" s="7" t="s">
        <v>47</v>
      </c>
      <c r="K33" s="7" t="s">
        <v>48</v>
      </c>
      <c r="L33" s="7" t="s">
        <v>49</v>
      </c>
      <c r="M33" s="7" t="s">
        <v>49</v>
      </c>
      <c r="N33" s="7" t="s">
        <v>62</v>
      </c>
      <c r="O33" s="7" t="s">
        <v>4</v>
      </c>
      <c r="P33" s="7">
        <v>12500</v>
      </c>
      <c r="Q33" s="7">
        <v>12500</v>
      </c>
      <c r="R33" s="7">
        <v>12500</v>
      </c>
      <c r="S33" s="7">
        <v>12500</v>
      </c>
      <c r="T33" s="7">
        <v>12500</v>
      </c>
      <c r="U33" s="7">
        <v>12500</v>
      </c>
      <c r="V33" s="7">
        <v>12500</v>
      </c>
      <c r="W33" s="7">
        <v>12500</v>
      </c>
      <c r="X33" s="7">
        <v>12500</v>
      </c>
      <c r="Y33" s="7">
        <v>12500</v>
      </c>
      <c r="Z33" s="7">
        <v>12500</v>
      </c>
      <c r="AA33" s="7">
        <v>12500</v>
      </c>
      <c r="AB33" s="9">
        <v>0.79120934766371998</v>
      </c>
      <c r="AC33" s="9">
        <v>0.79120934766371998</v>
      </c>
      <c r="AD33" s="9">
        <v>0.79120934766371998</v>
      </c>
      <c r="AE33" s="9">
        <v>0.79120934766371998</v>
      </c>
      <c r="AF33" s="9">
        <v>0.79120934766371998</v>
      </c>
      <c r="AG33" s="9">
        <v>0.79120934766371998</v>
      </c>
      <c r="AH33" s="9">
        <v>0.79120934766371998</v>
      </c>
      <c r="AI33" s="9">
        <v>0.79120934766371998</v>
      </c>
      <c r="AJ33" s="9">
        <v>0.79120934766371998</v>
      </c>
      <c r="AK33" s="9">
        <v>0.79120934766371998</v>
      </c>
      <c r="AL33" s="9">
        <v>0.79120934766371998</v>
      </c>
      <c r="AM33" s="9">
        <v>0.79120934766371998</v>
      </c>
      <c r="AN33" s="10">
        <v>0</v>
      </c>
      <c r="AO33" s="10">
        <v>0</v>
      </c>
      <c r="AP33" s="10">
        <v>0</v>
      </c>
      <c r="AQ33" s="10">
        <v>0</v>
      </c>
      <c r="AR33" s="10">
        <v>3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7">
        <f t="shared" si="0"/>
        <v>3</v>
      </c>
      <c r="BA33" s="11">
        <f t="shared" si="1"/>
        <v>0.25</v>
      </c>
      <c r="BC33" s="12">
        <v>0</v>
      </c>
      <c r="BD33" s="12">
        <v>0</v>
      </c>
      <c r="BE33" s="12">
        <v>0</v>
      </c>
      <c r="BF33" s="12">
        <v>0</v>
      </c>
      <c r="BG33" s="12">
        <v>2.3736280429912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f t="shared" si="2"/>
        <v>2.3736280429912</v>
      </c>
      <c r="BP33" s="12">
        <f t="shared" si="3"/>
        <v>0.19780233691593332</v>
      </c>
      <c r="BQ33" s="7"/>
      <c r="BR33" s="7"/>
      <c r="BS33" s="7" t="s">
        <v>63</v>
      </c>
      <c r="BT33" s="7" t="s">
        <v>52</v>
      </c>
      <c r="BU33" s="7">
        <v>0</v>
      </c>
      <c r="BV33" s="7">
        <v>10</v>
      </c>
      <c r="BW33" s="7">
        <v>0</v>
      </c>
      <c r="BX33" s="7">
        <v>0</v>
      </c>
      <c r="BY33" s="7">
        <v>5</v>
      </c>
      <c r="BZ33" s="7"/>
    </row>
    <row r="34" spans="1:78" x14ac:dyDescent="0.35">
      <c r="A34" s="7" t="s">
        <v>41</v>
      </c>
      <c r="B34" s="7"/>
      <c r="C34" s="7" t="s">
        <v>119</v>
      </c>
      <c r="D34" s="7" t="s">
        <v>59</v>
      </c>
      <c r="E34" s="7" t="s">
        <v>120</v>
      </c>
      <c r="F34" s="7" t="s">
        <v>97</v>
      </c>
      <c r="G34" s="7" t="s">
        <v>46</v>
      </c>
      <c r="H34" s="7"/>
      <c r="I34" s="7"/>
      <c r="J34" s="7" t="s">
        <v>47</v>
      </c>
      <c r="K34" s="7" t="s">
        <v>48</v>
      </c>
      <c r="L34" s="7" t="s">
        <v>49</v>
      </c>
      <c r="M34" s="7" t="s">
        <v>49</v>
      </c>
      <c r="N34" s="7" t="s">
        <v>62</v>
      </c>
      <c r="O34" s="7" t="s">
        <v>4</v>
      </c>
      <c r="P34" s="7">
        <v>12500</v>
      </c>
      <c r="Q34" s="7">
        <v>12500</v>
      </c>
      <c r="R34" s="7">
        <v>12500</v>
      </c>
      <c r="S34" s="7">
        <v>12500</v>
      </c>
      <c r="T34" s="7">
        <v>12500</v>
      </c>
      <c r="U34" s="7">
        <v>12500</v>
      </c>
      <c r="V34" s="7">
        <v>12500</v>
      </c>
      <c r="W34" s="7">
        <v>12500</v>
      </c>
      <c r="X34" s="7">
        <v>12500</v>
      </c>
      <c r="Y34" s="7">
        <v>12500</v>
      </c>
      <c r="Z34" s="7">
        <v>12500</v>
      </c>
      <c r="AA34" s="7">
        <v>12500</v>
      </c>
      <c r="AB34" s="9">
        <v>0.79120934766371998</v>
      </c>
      <c r="AC34" s="9">
        <v>0.79120934766371998</v>
      </c>
      <c r="AD34" s="9">
        <v>0.79120934766371998</v>
      </c>
      <c r="AE34" s="9">
        <v>0.79120934766371998</v>
      </c>
      <c r="AF34" s="9">
        <v>0.79120934766371998</v>
      </c>
      <c r="AG34" s="9">
        <v>0.79120934766371998</v>
      </c>
      <c r="AH34" s="9">
        <v>0.79120934766371998</v>
      </c>
      <c r="AI34" s="9">
        <v>0.79120934766371998</v>
      </c>
      <c r="AJ34" s="9">
        <v>0.79120934766371998</v>
      </c>
      <c r="AK34" s="9">
        <v>0.79120934766371998</v>
      </c>
      <c r="AL34" s="9">
        <v>0.79120934766371998</v>
      </c>
      <c r="AM34" s="9">
        <v>0.79120934766371998</v>
      </c>
      <c r="AN34" s="10">
        <v>0</v>
      </c>
      <c r="AO34" s="10">
        <v>0</v>
      </c>
      <c r="AP34" s="10">
        <v>0</v>
      </c>
      <c r="AQ34" s="10">
        <v>0</v>
      </c>
      <c r="AR34" s="10">
        <v>6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7">
        <f t="shared" si="0"/>
        <v>6</v>
      </c>
      <c r="BA34" s="11">
        <f t="shared" si="1"/>
        <v>0.5</v>
      </c>
      <c r="BC34" s="12">
        <v>0</v>
      </c>
      <c r="BD34" s="12">
        <v>0</v>
      </c>
      <c r="BE34" s="12">
        <v>0</v>
      </c>
      <c r="BF34" s="12">
        <v>0</v>
      </c>
      <c r="BG34" s="12">
        <v>4.7472560859822996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f t="shared" si="2"/>
        <v>4.7472560859822996</v>
      </c>
      <c r="BP34" s="12">
        <f t="shared" si="3"/>
        <v>0.39560467383185832</v>
      </c>
      <c r="BQ34" s="7"/>
      <c r="BR34" s="7"/>
      <c r="BS34" s="7" t="s">
        <v>63</v>
      </c>
      <c r="BT34" s="7" t="s">
        <v>52</v>
      </c>
      <c r="BU34" s="7">
        <v>0</v>
      </c>
      <c r="BV34" s="7">
        <v>10</v>
      </c>
      <c r="BW34" s="7">
        <v>0</v>
      </c>
      <c r="BX34" s="7">
        <v>0</v>
      </c>
      <c r="BY34" s="7">
        <v>5</v>
      </c>
      <c r="BZ34" s="7"/>
    </row>
    <row r="35" spans="1:78" x14ac:dyDescent="0.35">
      <c r="A35" s="7" t="s">
        <v>41</v>
      </c>
      <c r="B35" s="7"/>
      <c r="C35" s="7" t="s">
        <v>64</v>
      </c>
      <c r="D35" s="7" t="s">
        <v>65</v>
      </c>
      <c r="E35" s="7" t="s">
        <v>66</v>
      </c>
      <c r="F35" s="7" t="s">
        <v>121</v>
      </c>
      <c r="G35" s="7" t="s">
        <v>46</v>
      </c>
      <c r="H35" s="7"/>
      <c r="I35" s="7"/>
      <c r="J35" s="7" t="s">
        <v>47</v>
      </c>
      <c r="K35" s="7" t="s">
        <v>48</v>
      </c>
      <c r="L35" s="7" t="s">
        <v>49</v>
      </c>
      <c r="M35" s="7" t="s">
        <v>49</v>
      </c>
      <c r="N35" s="7" t="s">
        <v>68</v>
      </c>
      <c r="O35" s="7" t="s">
        <v>4</v>
      </c>
      <c r="P35" s="7">
        <v>50000</v>
      </c>
      <c r="Q35" s="7">
        <v>50000</v>
      </c>
      <c r="R35" s="7">
        <v>50000</v>
      </c>
      <c r="S35" s="7">
        <v>50000</v>
      </c>
      <c r="T35" s="7">
        <v>50000</v>
      </c>
      <c r="U35" s="7">
        <v>50000</v>
      </c>
      <c r="V35" s="7">
        <v>50000</v>
      </c>
      <c r="W35" s="7">
        <v>50000</v>
      </c>
      <c r="X35" s="7">
        <v>50000</v>
      </c>
      <c r="Y35" s="7">
        <v>50000</v>
      </c>
      <c r="Z35" s="7">
        <v>50000</v>
      </c>
      <c r="AA35" s="7">
        <v>50000</v>
      </c>
      <c r="AB35" s="9">
        <v>3.1648373906548999</v>
      </c>
      <c r="AC35" s="9">
        <v>3.1648373906548999</v>
      </c>
      <c r="AD35" s="9">
        <v>3.1648373906548999</v>
      </c>
      <c r="AE35" s="9">
        <v>3.1648373906548999</v>
      </c>
      <c r="AF35" s="9">
        <v>3.1648373906548999</v>
      </c>
      <c r="AG35" s="9">
        <v>3.1648373906548999</v>
      </c>
      <c r="AH35" s="9">
        <v>3.1648373906548999</v>
      </c>
      <c r="AI35" s="9">
        <v>3.1648373906548999</v>
      </c>
      <c r="AJ35" s="9">
        <v>3.1648373906548999</v>
      </c>
      <c r="AK35" s="9">
        <v>3.1648373906548999</v>
      </c>
      <c r="AL35" s="9">
        <v>3.1648373906548999</v>
      </c>
      <c r="AM35" s="9">
        <v>3.1648373906548999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10</v>
      </c>
      <c r="AY35" s="10">
        <v>0</v>
      </c>
      <c r="AZ35" s="7">
        <f t="shared" si="0"/>
        <v>10</v>
      </c>
      <c r="BA35" s="11">
        <f t="shared" si="1"/>
        <v>0.83333333333333337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31.648373906549001</v>
      </c>
      <c r="BN35" s="12">
        <v>0</v>
      </c>
      <c r="BO35" s="12">
        <f t="shared" si="2"/>
        <v>31.648373906549001</v>
      </c>
      <c r="BP35" s="12">
        <f t="shared" si="3"/>
        <v>2.6373644922124169</v>
      </c>
      <c r="BQ35" s="7"/>
      <c r="BR35" s="7"/>
      <c r="BS35" s="7" t="s">
        <v>63</v>
      </c>
      <c r="BT35" s="7" t="s">
        <v>52</v>
      </c>
      <c r="BU35" s="7">
        <v>0</v>
      </c>
      <c r="BV35" s="7">
        <v>10</v>
      </c>
      <c r="BW35" s="7">
        <v>0</v>
      </c>
      <c r="BX35" s="7">
        <v>0</v>
      </c>
      <c r="BY35" s="7">
        <v>5</v>
      </c>
      <c r="BZ35" s="7"/>
    </row>
    <row r="36" spans="1:78" x14ac:dyDescent="0.35">
      <c r="A36" s="7" t="s">
        <v>41</v>
      </c>
      <c r="B36" s="7"/>
      <c r="C36" s="7" t="s">
        <v>122</v>
      </c>
      <c r="D36" s="7" t="s">
        <v>123</v>
      </c>
      <c r="E36" s="7" t="s">
        <v>124</v>
      </c>
      <c r="F36" s="7" t="s">
        <v>124</v>
      </c>
      <c r="G36" s="7" t="s">
        <v>46</v>
      </c>
      <c r="H36" s="7"/>
      <c r="I36" s="7"/>
      <c r="J36" s="7" t="s">
        <v>47</v>
      </c>
      <c r="K36" s="7" t="s">
        <v>48</v>
      </c>
      <c r="L36" s="7" t="s">
        <v>49</v>
      </c>
      <c r="M36" s="7" t="s">
        <v>49</v>
      </c>
      <c r="N36" s="7" t="s">
        <v>62</v>
      </c>
      <c r="O36" s="7" t="s">
        <v>4</v>
      </c>
      <c r="P36" s="7">
        <v>14237250</v>
      </c>
      <c r="Q36" s="7">
        <v>14237250</v>
      </c>
      <c r="R36" s="7">
        <v>14237250</v>
      </c>
      <c r="S36" s="7">
        <v>14237250</v>
      </c>
      <c r="T36" s="7">
        <v>14237250</v>
      </c>
      <c r="U36" s="7">
        <v>14237250</v>
      </c>
      <c r="V36" s="7">
        <v>14237250</v>
      </c>
      <c r="W36" s="7">
        <v>14237250</v>
      </c>
      <c r="X36" s="7">
        <v>14237250</v>
      </c>
      <c r="Y36" s="7">
        <v>14237250</v>
      </c>
      <c r="Z36" s="7">
        <v>14237250</v>
      </c>
      <c r="AA36" s="7">
        <v>14237250</v>
      </c>
      <c r="AB36" s="9">
        <v>901.17162280202001</v>
      </c>
      <c r="AC36" s="9">
        <v>901.17162280202001</v>
      </c>
      <c r="AD36" s="9">
        <v>901.17162280202001</v>
      </c>
      <c r="AE36" s="9">
        <v>901.17162280202001</v>
      </c>
      <c r="AF36" s="9">
        <v>901.17162280202001</v>
      </c>
      <c r="AG36" s="9">
        <v>901.17162280202001</v>
      </c>
      <c r="AH36" s="9">
        <v>901.17162280202001</v>
      </c>
      <c r="AI36" s="9">
        <v>901.17162280202001</v>
      </c>
      <c r="AJ36" s="9">
        <v>901.17162280202001</v>
      </c>
      <c r="AK36" s="9">
        <v>901.17162280202001</v>
      </c>
      <c r="AL36" s="9">
        <v>901.17162280202001</v>
      </c>
      <c r="AM36" s="9">
        <v>901.17162280202001</v>
      </c>
      <c r="AN36" s="10">
        <v>0</v>
      </c>
      <c r="AO36" s="10">
        <v>0</v>
      </c>
      <c r="AP36" s="10">
        <v>0</v>
      </c>
      <c r="AQ36" s="10">
        <v>0</v>
      </c>
      <c r="AR36" s="10">
        <v>1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7">
        <f t="shared" si="0"/>
        <v>1</v>
      </c>
      <c r="BA36" s="11">
        <f t="shared" si="1"/>
        <v>8.3333333333333329E-2</v>
      </c>
      <c r="BC36" s="12">
        <v>0</v>
      </c>
      <c r="BD36" s="12">
        <v>0</v>
      </c>
      <c r="BE36" s="12">
        <v>0</v>
      </c>
      <c r="BF36" s="12">
        <v>0</v>
      </c>
      <c r="BG36" s="12">
        <v>901.17162280202001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f t="shared" si="2"/>
        <v>901.17162280202001</v>
      </c>
      <c r="BP36" s="12">
        <f t="shared" si="3"/>
        <v>75.097635233501663</v>
      </c>
      <c r="BQ36" s="7"/>
      <c r="BR36" s="7"/>
      <c r="BS36" s="7" t="s">
        <v>125</v>
      </c>
      <c r="BT36" s="7" t="s">
        <v>52</v>
      </c>
      <c r="BU36" s="7">
        <v>15</v>
      </c>
      <c r="BV36" s="7">
        <v>10</v>
      </c>
      <c r="BW36" s="7">
        <v>5</v>
      </c>
      <c r="BX36" s="7">
        <v>20</v>
      </c>
      <c r="BY36" s="7">
        <v>5</v>
      </c>
      <c r="BZ36" s="7"/>
    </row>
    <row r="37" spans="1:78" x14ac:dyDescent="0.35">
      <c r="A37" s="7" t="s">
        <v>41</v>
      </c>
      <c r="B37" s="7"/>
      <c r="C37" s="7" t="s">
        <v>126</v>
      </c>
      <c r="D37" s="7" t="s">
        <v>59</v>
      </c>
      <c r="E37" s="7" t="s">
        <v>127</v>
      </c>
      <c r="F37" s="7" t="s">
        <v>97</v>
      </c>
      <c r="G37" s="7" t="s">
        <v>46</v>
      </c>
      <c r="H37" s="7"/>
      <c r="I37" s="7"/>
      <c r="J37" s="7" t="s">
        <v>47</v>
      </c>
      <c r="K37" s="7" t="s">
        <v>48</v>
      </c>
      <c r="L37" s="7" t="s">
        <v>49</v>
      </c>
      <c r="M37" s="7" t="s">
        <v>49</v>
      </c>
      <c r="N37" s="7" t="s">
        <v>62</v>
      </c>
      <c r="O37" s="7" t="s">
        <v>4</v>
      </c>
      <c r="P37" s="7">
        <v>20000</v>
      </c>
      <c r="Q37" s="7">
        <v>20000</v>
      </c>
      <c r="R37" s="7">
        <v>20000</v>
      </c>
      <c r="S37" s="7">
        <v>20000</v>
      </c>
      <c r="T37" s="7">
        <v>20000</v>
      </c>
      <c r="U37" s="7">
        <v>20000</v>
      </c>
      <c r="V37" s="7">
        <v>20000</v>
      </c>
      <c r="W37" s="7">
        <v>20000</v>
      </c>
      <c r="X37" s="7">
        <v>20000</v>
      </c>
      <c r="Y37" s="7">
        <v>20000</v>
      </c>
      <c r="Z37" s="7">
        <v>20000</v>
      </c>
      <c r="AA37" s="7">
        <v>20000</v>
      </c>
      <c r="AB37" s="9">
        <v>1.2659349562619</v>
      </c>
      <c r="AC37" s="9">
        <v>1.2659349562619</v>
      </c>
      <c r="AD37" s="9">
        <v>1.2659349562619</v>
      </c>
      <c r="AE37" s="9">
        <v>1.2659349562619</v>
      </c>
      <c r="AF37" s="9">
        <v>1.2659349562619</v>
      </c>
      <c r="AG37" s="9">
        <v>1.2659349562619</v>
      </c>
      <c r="AH37" s="9">
        <v>1.2659349562619</v>
      </c>
      <c r="AI37" s="9">
        <v>1.2659349562619</v>
      </c>
      <c r="AJ37" s="9">
        <v>1.2659349562619</v>
      </c>
      <c r="AK37" s="9">
        <v>1.2659349562619</v>
      </c>
      <c r="AL37" s="9">
        <v>1.2659349562619</v>
      </c>
      <c r="AM37" s="9">
        <v>1.2659349562619</v>
      </c>
      <c r="AN37" s="10">
        <v>0</v>
      </c>
      <c r="AO37" s="10">
        <v>0</v>
      </c>
      <c r="AP37" s="10">
        <v>0</v>
      </c>
      <c r="AQ37" s="10">
        <v>0</v>
      </c>
      <c r="AR37" s="10">
        <v>2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7">
        <f t="shared" si="0"/>
        <v>2</v>
      </c>
      <c r="BA37" s="11">
        <f t="shared" si="1"/>
        <v>0.16666666666666666</v>
      </c>
      <c r="BC37" s="12">
        <v>0</v>
      </c>
      <c r="BD37" s="12">
        <v>0</v>
      </c>
      <c r="BE37" s="12">
        <v>0</v>
      </c>
      <c r="BF37" s="12">
        <v>0</v>
      </c>
      <c r="BG37" s="12">
        <v>2.5318699125238999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f t="shared" si="2"/>
        <v>2.5318699125238999</v>
      </c>
      <c r="BP37" s="12">
        <f t="shared" si="3"/>
        <v>0.21098915937699167</v>
      </c>
      <c r="BQ37" s="7"/>
      <c r="BR37" s="7"/>
      <c r="BS37" s="7" t="s">
        <v>63</v>
      </c>
      <c r="BT37" s="7" t="s">
        <v>52</v>
      </c>
      <c r="BU37" s="7">
        <v>0</v>
      </c>
      <c r="BV37" s="7">
        <v>10</v>
      </c>
      <c r="BW37" s="7">
        <v>0</v>
      </c>
      <c r="BX37" s="7">
        <v>0</v>
      </c>
      <c r="BY37" s="7">
        <v>5</v>
      </c>
      <c r="BZ37" s="7"/>
    </row>
    <row r="38" spans="1:78" x14ac:dyDescent="0.35">
      <c r="A38" s="7" t="s">
        <v>41</v>
      </c>
      <c r="B38" s="7"/>
      <c r="C38" s="7" t="s">
        <v>128</v>
      </c>
      <c r="D38" s="7" t="s">
        <v>59</v>
      </c>
      <c r="E38" s="7" t="s">
        <v>129</v>
      </c>
      <c r="F38" s="7" t="s">
        <v>97</v>
      </c>
      <c r="G38" s="7" t="s">
        <v>46</v>
      </c>
      <c r="H38" s="7"/>
      <c r="I38" s="7"/>
      <c r="J38" s="7" t="s">
        <v>47</v>
      </c>
      <c r="K38" s="7" t="s">
        <v>48</v>
      </c>
      <c r="L38" s="7" t="s">
        <v>49</v>
      </c>
      <c r="M38" s="7" t="s">
        <v>49</v>
      </c>
      <c r="N38" s="7" t="s">
        <v>62</v>
      </c>
      <c r="O38" s="7" t="s">
        <v>4</v>
      </c>
      <c r="P38" s="7">
        <v>20000</v>
      </c>
      <c r="Q38" s="7">
        <v>20000</v>
      </c>
      <c r="R38" s="7">
        <v>20000</v>
      </c>
      <c r="S38" s="7">
        <v>20000</v>
      </c>
      <c r="T38" s="7">
        <v>20000</v>
      </c>
      <c r="U38" s="7">
        <v>20000</v>
      </c>
      <c r="V38" s="7">
        <v>20000</v>
      </c>
      <c r="W38" s="7">
        <v>20000</v>
      </c>
      <c r="X38" s="7">
        <v>20000</v>
      </c>
      <c r="Y38" s="7">
        <v>20000</v>
      </c>
      <c r="Z38" s="7">
        <v>20000</v>
      </c>
      <c r="AA38" s="7">
        <v>20000</v>
      </c>
      <c r="AB38" s="9">
        <v>1.2659349562619</v>
      </c>
      <c r="AC38" s="9">
        <v>1.2659349562619</v>
      </c>
      <c r="AD38" s="9">
        <v>1.2659349562619</v>
      </c>
      <c r="AE38" s="9">
        <v>1.2659349562619</v>
      </c>
      <c r="AF38" s="9">
        <v>1.2659349562619</v>
      </c>
      <c r="AG38" s="9">
        <v>1.2659349562619</v>
      </c>
      <c r="AH38" s="9">
        <v>1.2659349562619</v>
      </c>
      <c r="AI38" s="9">
        <v>1.2659349562619</v>
      </c>
      <c r="AJ38" s="9">
        <v>1.2659349562619</v>
      </c>
      <c r="AK38" s="9">
        <v>1.2659349562619</v>
      </c>
      <c r="AL38" s="9">
        <v>1.2659349562619</v>
      </c>
      <c r="AM38" s="9">
        <v>1.2659349562619</v>
      </c>
      <c r="AN38" s="10">
        <v>0</v>
      </c>
      <c r="AO38" s="10">
        <v>0</v>
      </c>
      <c r="AP38" s="10">
        <v>0</v>
      </c>
      <c r="AQ38" s="10">
        <v>0</v>
      </c>
      <c r="AR38" s="10">
        <v>2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7">
        <f t="shared" si="0"/>
        <v>2</v>
      </c>
      <c r="BA38" s="11">
        <f t="shared" si="1"/>
        <v>0.16666666666666666</v>
      </c>
      <c r="BC38" s="12">
        <v>0</v>
      </c>
      <c r="BD38" s="12">
        <v>0</v>
      </c>
      <c r="BE38" s="12">
        <v>0</v>
      </c>
      <c r="BF38" s="12">
        <v>0</v>
      </c>
      <c r="BG38" s="12">
        <v>2.5318699125238999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f t="shared" si="2"/>
        <v>2.5318699125238999</v>
      </c>
      <c r="BP38" s="12">
        <f t="shared" si="3"/>
        <v>0.21098915937699167</v>
      </c>
      <c r="BQ38" s="7"/>
      <c r="BR38" s="7"/>
      <c r="BS38" s="7" t="s">
        <v>63</v>
      </c>
      <c r="BT38" s="7" t="s">
        <v>52</v>
      </c>
      <c r="BU38" s="7">
        <v>0</v>
      </c>
      <c r="BV38" s="7">
        <v>10</v>
      </c>
      <c r="BW38" s="7">
        <v>0</v>
      </c>
      <c r="BX38" s="7">
        <v>0</v>
      </c>
      <c r="BY38" s="7">
        <v>5</v>
      </c>
      <c r="BZ38" s="7"/>
    </row>
    <row r="39" spans="1:78" x14ac:dyDescent="0.35">
      <c r="A39" s="7" t="s">
        <v>41</v>
      </c>
      <c r="B39" s="7"/>
      <c r="C39" s="7" t="s">
        <v>93</v>
      </c>
      <c r="D39" s="7" t="s">
        <v>59</v>
      </c>
      <c r="E39" s="7" t="s">
        <v>94</v>
      </c>
      <c r="F39" s="7" t="s">
        <v>97</v>
      </c>
      <c r="G39" s="7" t="s">
        <v>46</v>
      </c>
      <c r="H39" s="7"/>
      <c r="I39" s="7"/>
      <c r="J39" s="7" t="s">
        <v>47</v>
      </c>
      <c r="K39" s="7" t="s">
        <v>48</v>
      </c>
      <c r="L39" s="7" t="s">
        <v>49</v>
      </c>
      <c r="M39" s="7" t="s">
        <v>49</v>
      </c>
      <c r="N39" s="7" t="s">
        <v>62</v>
      </c>
      <c r="O39" s="7" t="s">
        <v>4</v>
      </c>
      <c r="P39" s="7">
        <v>27500</v>
      </c>
      <c r="Q39" s="7">
        <v>27500</v>
      </c>
      <c r="R39" s="7">
        <v>27500</v>
      </c>
      <c r="S39" s="7">
        <v>27500</v>
      </c>
      <c r="T39" s="7">
        <v>27500</v>
      </c>
      <c r="U39" s="7">
        <v>27500</v>
      </c>
      <c r="V39" s="7">
        <v>27500</v>
      </c>
      <c r="W39" s="7">
        <v>27500</v>
      </c>
      <c r="X39" s="7">
        <v>27500</v>
      </c>
      <c r="Y39" s="7">
        <v>27500</v>
      </c>
      <c r="Z39" s="7">
        <v>27500</v>
      </c>
      <c r="AA39" s="7">
        <v>27500</v>
      </c>
      <c r="AB39" s="9">
        <v>1.7406605648602</v>
      </c>
      <c r="AC39" s="9">
        <v>1.7406605648602</v>
      </c>
      <c r="AD39" s="9">
        <v>1.7406605648602</v>
      </c>
      <c r="AE39" s="9">
        <v>1.7406605648602</v>
      </c>
      <c r="AF39" s="9">
        <v>1.7406605648602</v>
      </c>
      <c r="AG39" s="9">
        <v>1.7406605648602</v>
      </c>
      <c r="AH39" s="9">
        <v>1.7406605648602</v>
      </c>
      <c r="AI39" s="9">
        <v>1.7406605648602</v>
      </c>
      <c r="AJ39" s="9">
        <v>1.7406605648602</v>
      </c>
      <c r="AK39" s="9">
        <v>1.7406605648602</v>
      </c>
      <c r="AL39" s="9">
        <v>1.7406605648602</v>
      </c>
      <c r="AM39" s="9">
        <v>1.7406605648602</v>
      </c>
      <c r="AN39" s="10">
        <v>0</v>
      </c>
      <c r="AO39" s="10">
        <v>0</v>
      </c>
      <c r="AP39" s="10">
        <v>0</v>
      </c>
      <c r="AQ39" s="10">
        <v>0</v>
      </c>
      <c r="AR39" s="10">
        <v>6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7">
        <f t="shared" si="0"/>
        <v>6</v>
      </c>
      <c r="BA39" s="11">
        <f t="shared" si="1"/>
        <v>0.5</v>
      </c>
      <c r="BC39" s="12">
        <v>0</v>
      </c>
      <c r="BD39" s="12">
        <v>0</v>
      </c>
      <c r="BE39" s="12">
        <v>0</v>
      </c>
      <c r="BF39" s="12">
        <v>0</v>
      </c>
      <c r="BG39" s="12">
        <v>10.443963389161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f t="shared" si="2"/>
        <v>10.443963389161</v>
      </c>
      <c r="BP39" s="12">
        <f t="shared" si="3"/>
        <v>0.87033028243008337</v>
      </c>
      <c r="BQ39" s="7"/>
      <c r="BR39" s="7"/>
      <c r="BS39" s="7" t="s">
        <v>63</v>
      </c>
      <c r="BT39" s="7" t="s">
        <v>52</v>
      </c>
      <c r="BU39" s="7">
        <v>0</v>
      </c>
      <c r="BV39" s="7">
        <v>10</v>
      </c>
      <c r="BW39" s="7">
        <v>0</v>
      </c>
      <c r="BX39" s="7">
        <v>0</v>
      </c>
      <c r="BY39" s="7">
        <v>5</v>
      </c>
      <c r="BZ39" s="7"/>
    </row>
    <row r="40" spans="1:78" x14ac:dyDescent="0.35">
      <c r="A40" s="7" t="s">
        <v>41</v>
      </c>
      <c r="B40" s="7"/>
      <c r="C40" s="7" t="s">
        <v>95</v>
      </c>
      <c r="D40" s="7" t="s">
        <v>59</v>
      </c>
      <c r="E40" s="7" t="s">
        <v>96</v>
      </c>
      <c r="F40" s="7" t="s">
        <v>61</v>
      </c>
      <c r="G40" s="7" t="s">
        <v>46</v>
      </c>
      <c r="H40" s="7"/>
      <c r="I40" s="7"/>
      <c r="J40" s="7" t="s">
        <v>47</v>
      </c>
      <c r="K40" s="7" t="s">
        <v>48</v>
      </c>
      <c r="L40" s="7" t="s">
        <v>49</v>
      </c>
      <c r="M40" s="7" t="s">
        <v>49</v>
      </c>
      <c r="N40" s="7" t="s">
        <v>62</v>
      </c>
      <c r="O40" s="7" t="s">
        <v>4</v>
      </c>
      <c r="P40" s="7">
        <v>27500</v>
      </c>
      <c r="Q40" s="7">
        <v>27500</v>
      </c>
      <c r="R40" s="7">
        <v>27500</v>
      </c>
      <c r="S40" s="7">
        <v>27500</v>
      </c>
      <c r="T40" s="7">
        <v>27500</v>
      </c>
      <c r="U40" s="7">
        <v>27500</v>
      </c>
      <c r="V40" s="7">
        <v>27500</v>
      </c>
      <c r="W40" s="7">
        <v>27500</v>
      </c>
      <c r="X40" s="7">
        <v>27500</v>
      </c>
      <c r="Y40" s="7">
        <v>27500</v>
      </c>
      <c r="Z40" s="7">
        <v>27500</v>
      </c>
      <c r="AA40" s="7">
        <v>27500</v>
      </c>
      <c r="AB40" s="9">
        <v>1.7406605648602</v>
      </c>
      <c r="AC40" s="9">
        <v>1.7406605648602</v>
      </c>
      <c r="AD40" s="9">
        <v>1.7406605648602</v>
      </c>
      <c r="AE40" s="9">
        <v>1.7406605648602</v>
      </c>
      <c r="AF40" s="9">
        <v>1.7406605648602</v>
      </c>
      <c r="AG40" s="9">
        <v>1.7406605648602</v>
      </c>
      <c r="AH40" s="9">
        <v>1.7406605648602</v>
      </c>
      <c r="AI40" s="9">
        <v>1.7406605648602</v>
      </c>
      <c r="AJ40" s="9">
        <v>1.7406605648602</v>
      </c>
      <c r="AK40" s="9">
        <v>1.7406605648602</v>
      </c>
      <c r="AL40" s="9">
        <v>1.7406605648602</v>
      </c>
      <c r="AM40" s="9">
        <v>1.7406605648602</v>
      </c>
      <c r="AN40" s="10">
        <v>0</v>
      </c>
      <c r="AO40" s="10">
        <v>0</v>
      </c>
      <c r="AP40" s="10">
        <v>0</v>
      </c>
      <c r="AQ40" s="10">
        <v>0</v>
      </c>
      <c r="AR40" s="10">
        <v>3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7">
        <f t="shared" si="0"/>
        <v>3</v>
      </c>
      <c r="BA40" s="11">
        <f t="shared" si="1"/>
        <v>0.25</v>
      </c>
      <c r="BC40" s="12">
        <v>0</v>
      </c>
      <c r="BD40" s="12">
        <v>0</v>
      </c>
      <c r="BE40" s="12">
        <v>0</v>
      </c>
      <c r="BF40" s="12">
        <v>0</v>
      </c>
      <c r="BG40" s="12">
        <v>5.2219816945805002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f t="shared" si="2"/>
        <v>5.2219816945805002</v>
      </c>
      <c r="BP40" s="12">
        <f t="shared" si="3"/>
        <v>0.43516514121504168</v>
      </c>
      <c r="BQ40" s="7"/>
      <c r="BR40" s="7"/>
      <c r="BS40" s="7" t="s">
        <v>63</v>
      </c>
      <c r="BT40" s="7" t="s">
        <v>52</v>
      </c>
      <c r="BU40" s="7">
        <v>0</v>
      </c>
      <c r="BV40" s="7">
        <v>10</v>
      </c>
      <c r="BW40" s="7">
        <v>0</v>
      </c>
      <c r="BX40" s="7">
        <v>0</v>
      </c>
      <c r="BY40" s="7">
        <v>5</v>
      </c>
      <c r="BZ40" s="7"/>
    </row>
    <row r="41" spans="1:78" x14ac:dyDescent="0.35">
      <c r="A41" s="7" t="s">
        <v>41</v>
      </c>
      <c r="B41" s="7"/>
      <c r="C41" s="7" t="s">
        <v>130</v>
      </c>
      <c r="D41" s="7" t="s">
        <v>73</v>
      </c>
      <c r="E41" s="7" t="s">
        <v>131</v>
      </c>
      <c r="F41" s="7" t="s">
        <v>75</v>
      </c>
      <c r="G41" s="7" t="s">
        <v>46</v>
      </c>
      <c r="H41" s="7"/>
      <c r="I41" s="7"/>
      <c r="J41" s="7" t="s">
        <v>47</v>
      </c>
      <c r="K41" s="7" t="s">
        <v>48</v>
      </c>
      <c r="L41" s="7" t="s">
        <v>49</v>
      </c>
      <c r="M41" s="7" t="s">
        <v>49</v>
      </c>
      <c r="N41" s="7" t="s">
        <v>76</v>
      </c>
      <c r="O41" s="7" t="s">
        <v>6</v>
      </c>
      <c r="P41" s="7">
        <v>30000</v>
      </c>
      <c r="Q41" s="7">
        <v>30000</v>
      </c>
      <c r="R41" s="7">
        <v>30000</v>
      </c>
      <c r="S41" s="7">
        <v>30000</v>
      </c>
      <c r="T41" s="7">
        <v>30000</v>
      </c>
      <c r="U41" s="7">
        <v>30000</v>
      </c>
      <c r="V41" s="7">
        <v>30000</v>
      </c>
      <c r="W41" s="7">
        <v>30000</v>
      </c>
      <c r="X41" s="7">
        <v>30000</v>
      </c>
      <c r="Y41" s="7">
        <v>30000</v>
      </c>
      <c r="Z41" s="7">
        <v>30000</v>
      </c>
      <c r="AA41" s="7">
        <v>30000</v>
      </c>
      <c r="AB41" s="9">
        <v>198.67549668874</v>
      </c>
      <c r="AC41" s="9">
        <v>198.67549668874</v>
      </c>
      <c r="AD41" s="9">
        <v>198.67549668874</v>
      </c>
      <c r="AE41" s="9">
        <v>198.67549668874</v>
      </c>
      <c r="AF41" s="9">
        <v>198.67549668874</v>
      </c>
      <c r="AG41" s="9">
        <v>198.67549668874</v>
      </c>
      <c r="AH41" s="9">
        <v>198.67549668874</v>
      </c>
      <c r="AI41" s="9">
        <v>198.67549668874</v>
      </c>
      <c r="AJ41" s="9">
        <v>198.67549668874</v>
      </c>
      <c r="AK41" s="9">
        <v>198.67549668874</v>
      </c>
      <c r="AL41" s="9">
        <v>198.67549668874</v>
      </c>
      <c r="AM41" s="9">
        <v>198.67549668874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1</v>
      </c>
      <c r="AZ41" s="7">
        <f t="shared" si="0"/>
        <v>1</v>
      </c>
      <c r="BA41" s="11">
        <f t="shared" si="1"/>
        <v>8.3333333333333329E-2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198.67549668874</v>
      </c>
      <c r="BO41" s="12">
        <f t="shared" si="2"/>
        <v>198.67549668874</v>
      </c>
      <c r="BP41" s="12">
        <f t="shared" si="3"/>
        <v>16.556291390728333</v>
      </c>
      <c r="BQ41" s="7"/>
      <c r="BR41" s="7"/>
      <c r="BS41" s="7" t="s">
        <v>63</v>
      </c>
      <c r="BT41" s="7" t="s">
        <v>52</v>
      </c>
      <c r="BU41" s="7">
        <v>0</v>
      </c>
      <c r="BV41" s="7">
        <v>10</v>
      </c>
      <c r="BW41" s="7">
        <v>0</v>
      </c>
      <c r="BX41" s="7">
        <v>0</v>
      </c>
      <c r="BY41" s="7">
        <v>5</v>
      </c>
      <c r="BZ41" s="7"/>
    </row>
    <row r="42" spans="1:78" x14ac:dyDescent="0.35">
      <c r="A42" s="7" t="s">
        <v>41</v>
      </c>
      <c r="B42" s="7"/>
      <c r="C42" s="7" t="s">
        <v>132</v>
      </c>
      <c r="D42" s="7" t="s">
        <v>133</v>
      </c>
      <c r="E42" s="7" t="s">
        <v>134</v>
      </c>
      <c r="F42" s="7" t="s">
        <v>135</v>
      </c>
      <c r="G42" s="7" t="s">
        <v>46</v>
      </c>
      <c r="H42" s="7"/>
      <c r="I42" s="7"/>
      <c r="J42" s="7" t="s">
        <v>47</v>
      </c>
      <c r="K42" s="7" t="s">
        <v>48</v>
      </c>
      <c r="L42" s="7" t="s">
        <v>49</v>
      </c>
      <c r="M42" s="7" t="s">
        <v>49</v>
      </c>
      <c r="N42" s="7" t="s">
        <v>50</v>
      </c>
      <c r="O42" s="7" t="s">
        <v>4</v>
      </c>
      <c r="P42" s="7">
        <v>6000000</v>
      </c>
      <c r="Q42" s="7">
        <v>6000000</v>
      </c>
      <c r="R42" s="7">
        <v>6000000</v>
      </c>
      <c r="S42" s="7">
        <v>6000000</v>
      </c>
      <c r="T42" s="7">
        <v>6000000</v>
      </c>
      <c r="U42" s="7">
        <v>6000000</v>
      </c>
      <c r="V42" s="7">
        <v>6000000</v>
      </c>
      <c r="W42" s="7">
        <v>6000000</v>
      </c>
      <c r="X42" s="7">
        <v>6000000</v>
      </c>
      <c r="Y42" s="7">
        <v>6000000</v>
      </c>
      <c r="Z42" s="7">
        <v>6000000</v>
      </c>
      <c r="AA42" s="7">
        <v>6000000</v>
      </c>
      <c r="AB42" s="9">
        <v>379.78048687858001</v>
      </c>
      <c r="AC42" s="9">
        <v>379.78048687858001</v>
      </c>
      <c r="AD42" s="9">
        <v>379.78048687858001</v>
      </c>
      <c r="AE42" s="9">
        <v>379.78048687858001</v>
      </c>
      <c r="AF42" s="9">
        <v>379.78048687858001</v>
      </c>
      <c r="AG42" s="9">
        <v>379.78048687858001</v>
      </c>
      <c r="AH42" s="9">
        <v>379.78048687858001</v>
      </c>
      <c r="AI42" s="9">
        <v>379.78048687858001</v>
      </c>
      <c r="AJ42" s="9">
        <v>379.78048687858001</v>
      </c>
      <c r="AK42" s="9">
        <v>379.78048687858001</v>
      </c>
      <c r="AL42" s="9">
        <v>379.78048687858001</v>
      </c>
      <c r="AM42" s="9">
        <v>379.78048687858001</v>
      </c>
      <c r="AN42" s="10">
        <v>0</v>
      </c>
      <c r="AO42" s="10">
        <v>0</v>
      </c>
      <c r="AP42" s="10">
        <v>1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7">
        <f t="shared" si="0"/>
        <v>1</v>
      </c>
      <c r="BA42" s="11">
        <f t="shared" si="1"/>
        <v>8.3333333333333329E-2</v>
      </c>
      <c r="BC42" s="12">
        <v>0</v>
      </c>
      <c r="BD42" s="12">
        <v>0</v>
      </c>
      <c r="BE42" s="12">
        <v>379.78048687858001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f t="shared" si="2"/>
        <v>379.78048687858001</v>
      </c>
      <c r="BP42" s="12">
        <f t="shared" si="3"/>
        <v>31.648373906548333</v>
      </c>
      <c r="BQ42" s="7"/>
      <c r="BR42" s="7"/>
      <c r="BS42" s="7" t="s">
        <v>51</v>
      </c>
      <c r="BT42" s="7" t="s">
        <v>52</v>
      </c>
      <c r="BU42" s="7">
        <v>15</v>
      </c>
      <c r="BV42" s="7">
        <v>10</v>
      </c>
      <c r="BW42" s="7">
        <v>5</v>
      </c>
      <c r="BX42" s="7">
        <v>20</v>
      </c>
      <c r="BY42" s="7">
        <v>5</v>
      </c>
      <c r="BZ42" s="7"/>
    </row>
    <row r="43" spans="1:78" x14ac:dyDescent="0.35">
      <c r="A43" s="7" t="s">
        <v>41</v>
      </c>
      <c r="B43" s="7"/>
      <c r="C43" s="7" t="s">
        <v>117</v>
      </c>
      <c r="D43" s="7" t="s">
        <v>59</v>
      </c>
      <c r="E43" s="7" t="s">
        <v>118</v>
      </c>
      <c r="F43" s="7" t="s">
        <v>97</v>
      </c>
      <c r="G43" s="7" t="s">
        <v>46</v>
      </c>
      <c r="H43" s="7"/>
      <c r="I43" s="7"/>
      <c r="J43" s="7" t="s">
        <v>47</v>
      </c>
      <c r="K43" s="7" t="s">
        <v>48</v>
      </c>
      <c r="L43" s="7" t="s">
        <v>49</v>
      </c>
      <c r="M43" s="7" t="s">
        <v>49</v>
      </c>
      <c r="N43" s="7" t="s">
        <v>62</v>
      </c>
      <c r="O43" s="7" t="s">
        <v>4</v>
      </c>
      <c r="P43" s="7">
        <v>12500</v>
      </c>
      <c r="Q43" s="7">
        <v>12500</v>
      </c>
      <c r="R43" s="7">
        <v>12500</v>
      </c>
      <c r="S43" s="7">
        <v>12500</v>
      </c>
      <c r="T43" s="7">
        <v>12500</v>
      </c>
      <c r="U43" s="7">
        <v>12500</v>
      </c>
      <c r="V43" s="7">
        <v>12500</v>
      </c>
      <c r="W43" s="7">
        <v>12500</v>
      </c>
      <c r="X43" s="7">
        <v>12500</v>
      </c>
      <c r="Y43" s="7">
        <v>12500</v>
      </c>
      <c r="Z43" s="7">
        <v>12500</v>
      </c>
      <c r="AA43" s="7">
        <v>12500</v>
      </c>
      <c r="AB43" s="9">
        <v>0.79120934766371998</v>
      </c>
      <c r="AC43" s="9">
        <v>0.79120934766371998</v>
      </c>
      <c r="AD43" s="9">
        <v>0.79120934766371998</v>
      </c>
      <c r="AE43" s="9">
        <v>0.79120934766371998</v>
      </c>
      <c r="AF43" s="9">
        <v>0.79120934766371998</v>
      </c>
      <c r="AG43" s="9">
        <v>0.79120934766371998</v>
      </c>
      <c r="AH43" s="9">
        <v>0.79120934766371998</v>
      </c>
      <c r="AI43" s="9">
        <v>0.79120934766371998</v>
      </c>
      <c r="AJ43" s="9">
        <v>0.79120934766371998</v>
      </c>
      <c r="AK43" s="9">
        <v>0.79120934766371998</v>
      </c>
      <c r="AL43" s="9">
        <v>0.79120934766371998</v>
      </c>
      <c r="AM43" s="9">
        <v>0.79120934766371998</v>
      </c>
      <c r="AN43" s="10">
        <v>0</v>
      </c>
      <c r="AO43" s="10">
        <v>0</v>
      </c>
      <c r="AP43" s="10">
        <v>0</v>
      </c>
      <c r="AQ43" s="10">
        <v>0</v>
      </c>
      <c r="AR43" s="10">
        <v>6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7">
        <f t="shared" si="0"/>
        <v>6</v>
      </c>
      <c r="BA43" s="11">
        <f t="shared" si="1"/>
        <v>0.5</v>
      </c>
      <c r="BC43" s="12">
        <v>0</v>
      </c>
      <c r="BD43" s="12">
        <v>0</v>
      </c>
      <c r="BE43" s="12">
        <v>0</v>
      </c>
      <c r="BF43" s="12">
        <v>0</v>
      </c>
      <c r="BG43" s="12">
        <v>4.7472560859822996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f t="shared" si="2"/>
        <v>4.7472560859822996</v>
      </c>
      <c r="BP43" s="12">
        <f t="shared" si="3"/>
        <v>0.39560467383185832</v>
      </c>
      <c r="BQ43" s="7"/>
      <c r="BR43" s="7"/>
      <c r="BS43" s="7" t="s">
        <v>63</v>
      </c>
      <c r="BT43" s="7" t="s">
        <v>52</v>
      </c>
      <c r="BU43" s="7">
        <v>0</v>
      </c>
      <c r="BV43" s="7">
        <v>10</v>
      </c>
      <c r="BW43" s="7">
        <v>0</v>
      </c>
      <c r="BX43" s="7">
        <v>0</v>
      </c>
      <c r="BY43" s="7">
        <v>5</v>
      </c>
      <c r="BZ43" s="7"/>
    </row>
    <row r="44" spans="1:78" x14ac:dyDescent="0.35">
      <c r="A44" s="7" t="s">
        <v>41</v>
      </c>
      <c r="B44" s="7"/>
      <c r="C44" s="7" t="s">
        <v>136</v>
      </c>
      <c r="D44" s="7" t="s">
        <v>133</v>
      </c>
      <c r="E44" s="7" t="s">
        <v>137</v>
      </c>
      <c r="F44" s="7" t="s">
        <v>135</v>
      </c>
      <c r="G44" s="7" t="s">
        <v>46</v>
      </c>
      <c r="H44" s="7"/>
      <c r="I44" s="7"/>
      <c r="J44" s="7" t="s">
        <v>47</v>
      </c>
      <c r="K44" s="7" t="s">
        <v>48</v>
      </c>
      <c r="L44" s="7" t="s">
        <v>49</v>
      </c>
      <c r="M44" s="7" t="s">
        <v>49</v>
      </c>
      <c r="N44" s="7" t="s">
        <v>50</v>
      </c>
      <c r="O44" s="7" t="s">
        <v>4</v>
      </c>
      <c r="P44" s="7">
        <v>3400000</v>
      </c>
      <c r="Q44" s="7">
        <v>3400000</v>
      </c>
      <c r="R44" s="7">
        <v>3400000</v>
      </c>
      <c r="S44" s="7">
        <v>3400000</v>
      </c>
      <c r="T44" s="7">
        <v>3400000</v>
      </c>
      <c r="U44" s="7">
        <v>3400000</v>
      </c>
      <c r="V44" s="7">
        <v>3400000</v>
      </c>
      <c r="W44" s="7">
        <v>3400000</v>
      </c>
      <c r="X44" s="7">
        <v>3400000</v>
      </c>
      <c r="Y44" s="7">
        <v>3400000</v>
      </c>
      <c r="Z44" s="7">
        <v>3400000</v>
      </c>
      <c r="AA44" s="7">
        <v>3400000</v>
      </c>
      <c r="AB44" s="9">
        <v>215.20894256452999</v>
      </c>
      <c r="AC44" s="9">
        <v>215.20894256452999</v>
      </c>
      <c r="AD44" s="9">
        <v>215.20894256452999</v>
      </c>
      <c r="AE44" s="9">
        <v>215.20894256452999</v>
      </c>
      <c r="AF44" s="9">
        <v>215.20894256452999</v>
      </c>
      <c r="AG44" s="9">
        <v>215.20894256452999</v>
      </c>
      <c r="AH44" s="9">
        <v>215.20894256452999</v>
      </c>
      <c r="AI44" s="9">
        <v>215.20894256452999</v>
      </c>
      <c r="AJ44" s="9">
        <v>215.20894256452999</v>
      </c>
      <c r="AK44" s="9">
        <v>215.20894256452999</v>
      </c>
      <c r="AL44" s="9">
        <v>215.20894256452999</v>
      </c>
      <c r="AM44" s="9">
        <v>215.20894256452999</v>
      </c>
      <c r="AN44" s="10">
        <v>0</v>
      </c>
      <c r="AO44" s="10">
        <v>0</v>
      </c>
      <c r="AP44" s="10">
        <v>1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7">
        <f t="shared" si="0"/>
        <v>1</v>
      </c>
      <c r="BA44" s="11">
        <f t="shared" si="1"/>
        <v>8.3333333333333329E-2</v>
      </c>
      <c r="BC44" s="12">
        <v>0</v>
      </c>
      <c r="BD44" s="12">
        <v>0</v>
      </c>
      <c r="BE44" s="12">
        <v>215.20894256452999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f t="shared" si="2"/>
        <v>215.20894256452999</v>
      </c>
      <c r="BP44" s="12">
        <f t="shared" si="3"/>
        <v>17.934078547044166</v>
      </c>
      <c r="BQ44" s="7"/>
      <c r="BR44" s="7"/>
      <c r="BS44" s="7" t="s">
        <v>51</v>
      </c>
      <c r="BT44" s="7" t="s">
        <v>52</v>
      </c>
      <c r="BU44" s="7">
        <v>15</v>
      </c>
      <c r="BV44" s="7">
        <v>10</v>
      </c>
      <c r="BW44" s="7">
        <v>5</v>
      </c>
      <c r="BX44" s="7">
        <v>20</v>
      </c>
      <c r="BY44" s="7">
        <v>5</v>
      </c>
      <c r="BZ44" s="7"/>
    </row>
    <row r="45" spans="1:78" x14ac:dyDescent="0.35">
      <c r="A45" s="7" t="s">
        <v>41</v>
      </c>
      <c r="B45" s="7"/>
      <c r="C45" s="7" t="s">
        <v>64</v>
      </c>
      <c r="D45" s="7" t="s">
        <v>65</v>
      </c>
      <c r="E45" s="7" t="s">
        <v>66</v>
      </c>
      <c r="F45" s="7" t="s">
        <v>138</v>
      </c>
      <c r="G45" s="7" t="s">
        <v>46</v>
      </c>
      <c r="H45" s="7"/>
      <c r="I45" s="7"/>
      <c r="J45" s="7" t="s">
        <v>47</v>
      </c>
      <c r="K45" s="7" t="s">
        <v>48</v>
      </c>
      <c r="L45" s="7" t="s">
        <v>49</v>
      </c>
      <c r="M45" s="7" t="s">
        <v>49</v>
      </c>
      <c r="N45" s="7" t="s">
        <v>68</v>
      </c>
      <c r="O45" s="7" t="s">
        <v>4</v>
      </c>
      <c r="P45" s="7">
        <v>50000</v>
      </c>
      <c r="Q45" s="7">
        <v>50000</v>
      </c>
      <c r="R45" s="7">
        <v>50000</v>
      </c>
      <c r="S45" s="7">
        <v>50000</v>
      </c>
      <c r="T45" s="7">
        <v>50000</v>
      </c>
      <c r="U45" s="7">
        <v>50000</v>
      </c>
      <c r="V45" s="7">
        <v>50000</v>
      </c>
      <c r="W45" s="7">
        <v>50000</v>
      </c>
      <c r="X45" s="7">
        <v>50000</v>
      </c>
      <c r="Y45" s="7">
        <v>50000</v>
      </c>
      <c r="Z45" s="7">
        <v>50000</v>
      </c>
      <c r="AA45" s="7">
        <v>50000</v>
      </c>
      <c r="AB45" s="9">
        <v>3.1648373906548999</v>
      </c>
      <c r="AC45" s="9">
        <v>3.1648373906548999</v>
      </c>
      <c r="AD45" s="9">
        <v>3.1648373906548999</v>
      </c>
      <c r="AE45" s="9">
        <v>3.1648373906548999</v>
      </c>
      <c r="AF45" s="9">
        <v>3.1648373906548999</v>
      </c>
      <c r="AG45" s="9">
        <v>3.1648373906548999</v>
      </c>
      <c r="AH45" s="9">
        <v>3.1648373906548999</v>
      </c>
      <c r="AI45" s="9">
        <v>3.1648373906548999</v>
      </c>
      <c r="AJ45" s="9">
        <v>3.1648373906548999</v>
      </c>
      <c r="AK45" s="9">
        <v>3.1648373906548999</v>
      </c>
      <c r="AL45" s="9">
        <v>3.1648373906548999</v>
      </c>
      <c r="AM45" s="9">
        <v>3.1648373906548999</v>
      </c>
      <c r="AN45" s="10">
        <v>15</v>
      </c>
      <c r="AO45" s="10">
        <v>0</v>
      </c>
      <c r="AP45" s="10">
        <v>0</v>
      </c>
      <c r="AQ45" s="10">
        <v>15</v>
      </c>
      <c r="AR45" s="10">
        <v>0</v>
      </c>
      <c r="AS45" s="10">
        <v>0</v>
      </c>
      <c r="AT45" s="10">
        <v>15</v>
      </c>
      <c r="AU45" s="10">
        <v>0</v>
      </c>
      <c r="AV45" s="10">
        <v>0</v>
      </c>
      <c r="AW45" s="10">
        <v>15</v>
      </c>
      <c r="AX45" s="10">
        <v>0</v>
      </c>
      <c r="AY45" s="10">
        <v>0</v>
      </c>
      <c r="AZ45" s="7">
        <f t="shared" ref="AZ45:AZ76" si="4">SUM(AN45:AY45)</f>
        <v>60</v>
      </c>
      <c r="BA45" s="11">
        <f t="shared" ref="BA45:BA76" si="5">AZ45/12</f>
        <v>5</v>
      </c>
      <c r="BC45" s="12">
        <v>47.472560859822998</v>
      </c>
      <c r="BD45" s="12">
        <v>0</v>
      </c>
      <c r="BE45" s="12">
        <v>0</v>
      </c>
      <c r="BF45" s="12">
        <v>47.472560859822998</v>
      </c>
      <c r="BG45" s="12">
        <v>0</v>
      </c>
      <c r="BH45" s="12">
        <v>0</v>
      </c>
      <c r="BI45" s="12">
        <v>47.472560859822998</v>
      </c>
      <c r="BJ45" s="12">
        <v>0</v>
      </c>
      <c r="BK45" s="12">
        <v>0</v>
      </c>
      <c r="BL45" s="12">
        <v>47.472560859822998</v>
      </c>
      <c r="BM45" s="12">
        <v>0</v>
      </c>
      <c r="BN45" s="12">
        <v>0</v>
      </c>
      <c r="BO45" s="12">
        <f t="shared" ref="BO45:BO76" si="6">SUM(BC45:BN45)</f>
        <v>189.89024343929199</v>
      </c>
      <c r="BP45" s="12">
        <f t="shared" ref="BP45:BP76" si="7">BO45/12</f>
        <v>15.824186953274333</v>
      </c>
      <c r="BQ45" s="7"/>
      <c r="BR45" s="7"/>
      <c r="BS45" s="7" t="s">
        <v>63</v>
      </c>
      <c r="BT45" s="7" t="s">
        <v>52</v>
      </c>
      <c r="BU45" s="7">
        <v>0</v>
      </c>
      <c r="BV45" s="7">
        <v>10</v>
      </c>
      <c r="BW45" s="7">
        <v>0</v>
      </c>
      <c r="BX45" s="7">
        <v>0</v>
      </c>
      <c r="BY45" s="7">
        <v>5</v>
      </c>
      <c r="BZ45" s="7"/>
    </row>
    <row r="46" spans="1:78" x14ac:dyDescent="0.35">
      <c r="A46" s="7" t="s">
        <v>41</v>
      </c>
      <c r="B46" s="7"/>
      <c r="C46" s="7" t="s">
        <v>139</v>
      </c>
      <c r="D46" s="7" t="s">
        <v>110</v>
      </c>
      <c r="E46" s="7" t="s">
        <v>140</v>
      </c>
      <c r="F46" s="7" t="s">
        <v>141</v>
      </c>
      <c r="G46" s="7" t="s">
        <v>46</v>
      </c>
      <c r="H46" s="7"/>
      <c r="I46" s="7"/>
      <c r="J46" s="7" t="s">
        <v>47</v>
      </c>
      <c r="K46" s="7" t="s">
        <v>48</v>
      </c>
      <c r="L46" s="7" t="s">
        <v>49</v>
      </c>
      <c r="M46" s="7" t="s">
        <v>49</v>
      </c>
      <c r="N46" s="7" t="s">
        <v>85</v>
      </c>
      <c r="O46" s="7" t="s">
        <v>4</v>
      </c>
      <c r="P46" s="7">
        <v>15000</v>
      </c>
      <c r="Q46" s="7">
        <v>15000</v>
      </c>
      <c r="R46" s="7">
        <v>15000</v>
      </c>
      <c r="S46" s="7">
        <v>15000</v>
      </c>
      <c r="T46" s="7">
        <v>15000</v>
      </c>
      <c r="U46" s="7">
        <v>15000</v>
      </c>
      <c r="V46" s="7">
        <v>15000</v>
      </c>
      <c r="W46" s="7">
        <v>15000</v>
      </c>
      <c r="X46" s="7">
        <v>15000</v>
      </c>
      <c r="Y46" s="7">
        <v>15000</v>
      </c>
      <c r="Z46" s="7">
        <v>15000</v>
      </c>
      <c r="AA46" s="7">
        <v>15000</v>
      </c>
      <c r="AB46" s="9">
        <v>0.94945121719645997</v>
      </c>
      <c r="AC46" s="9">
        <v>0.94945121719645997</v>
      </c>
      <c r="AD46" s="9">
        <v>0.94945121719645997</v>
      </c>
      <c r="AE46" s="9">
        <v>0.94945121719645997</v>
      </c>
      <c r="AF46" s="9">
        <v>0.94945121719645997</v>
      </c>
      <c r="AG46" s="9">
        <v>0.94945121719645997</v>
      </c>
      <c r="AH46" s="9">
        <v>0.94945121719645997</v>
      </c>
      <c r="AI46" s="9">
        <v>0.94945121719645997</v>
      </c>
      <c r="AJ46" s="9">
        <v>0.94945121719645997</v>
      </c>
      <c r="AK46" s="9">
        <v>0.94945121719645997</v>
      </c>
      <c r="AL46" s="9">
        <v>0.94945121719645997</v>
      </c>
      <c r="AM46" s="9">
        <v>0.94945121719645997</v>
      </c>
      <c r="AN46" s="10">
        <v>55</v>
      </c>
      <c r="AO46" s="10">
        <v>55</v>
      </c>
      <c r="AP46" s="10">
        <v>55</v>
      </c>
      <c r="AQ46" s="10">
        <v>55</v>
      </c>
      <c r="AR46" s="10">
        <v>55</v>
      </c>
      <c r="AS46" s="10">
        <v>55</v>
      </c>
      <c r="AT46" s="10">
        <v>55</v>
      </c>
      <c r="AU46" s="10">
        <v>55</v>
      </c>
      <c r="AV46" s="10">
        <v>55</v>
      </c>
      <c r="AW46" s="10">
        <v>55</v>
      </c>
      <c r="AX46" s="10">
        <v>55</v>
      </c>
      <c r="AY46" s="10">
        <v>55</v>
      </c>
      <c r="AZ46" s="7">
        <f t="shared" si="4"/>
        <v>660</v>
      </c>
      <c r="BA46" s="11">
        <f t="shared" si="5"/>
        <v>55</v>
      </c>
      <c r="BC46" s="12">
        <v>52.219816945805</v>
      </c>
      <c r="BD46" s="12">
        <v>52.219816945805</v>
      </c>
      <c r="BE46" s="12">
        <v>52.219816945805</v>
      </c>
      <c r="BF46" s="12">
        <v>52.219816945805</v>
      </c>
      <c r="BG46" s="12">
        <v>52.219816945805</v>
      </c>
      <c r="BH46" s="12">
        <v>52.219816945805</v>
      </c>
      <c r="BI46" s="12">
        <v>52.219816945805</v>
      </c>
      <c r="BJ46" s="12">
        <v>52.219816945805</v>
      </c>
      <c r="BK46" s="12">
        <v>52.219816945805</v>
      </c>
      <c r="BL46" s="12">
        <v>52.219816945805</v>
      </c>
      <c r="BM46" s="12">
        <v>52.219816945805</v>
      </c>
      <c r="BN46" s="12">
        <v>52.219816945805</v>
      </c>
      <c r="BO46" s="12">
        <f t="shared" si="6"/>
        <v>626.63780334965986</v>
      </c>
      <c r="BP46" s="12">
        <f t="shared" si="7"/>
        <v>52.219816945804986</v>
      </c>
      <c r="BQ46" s="7"/>
      <c r="BR46" s="7"/>
      <c r="BS46" s="7" t="s">
        <v>51</v>
      </c>
      <c r="BT46" s="7" t="s">
        <v>52</v>
      </c>
      <c r="BU46" s="7">
        <v>15</v>
      </c>
      <c r="BV46" s="7">
        <v>10</v>
      </c>
      <c r="BW46" s="7">
        <v>5</v>
      </c>
      <c r="BX46" s="7">
        <v>20</v>
      </c>
      <c r="BY46" s="7">
        <v>5</v>
      </c>
      <c r="BZ46" s="7"/>
    </row>
    <row r="47" spans="1:78" x14ac:dyDescent="0.35">
      <c r="A47" s="7" t="s">
        <v>41</v>
      </c>
      <c r="B47" s="7"/>
      <c r="C47" s="7" t="s">
        <v>142</v>
      </c>
      <c r="D47" s="7" t="s">
        <v>110</v>
      </c>
      <c r="E47" s="7" t="s">
        <v>143</v>
      </c>
      <c r="F47" s="7" t="s">
        <v>112</v>
      </c>
      <c r="G47" s="7" t="s">
        <v>46</v>
      </c>
      <c r="H47" s="7"/>
      <c r="I47" s="7"/>
      <c r="J47" s="7" t="s">
        <v>47</v>
      </c>
      <c r="K47" s="7" t="s">
        <v>48</v>
      </c>
      <c r="L47" s="7" t="s">
        <v>49</v>
      </c>
      <c r="M47" s="7" t="s">
        <v>49</v>
      </c>
      <c r="N47" s="7" t="s">
        <v>85</v>
      </c>
      <c r="O47" s="7" t="s">
        <v>4</v>
      </c>
      <c r="P47" s="7">
        <v>100000</v>
      </c>
      <c r="Q47" s="7">
        <v>100000</v>
      </c>
      <c r="R47" s="7">
        <v>100000</v>
      </c>
      <c r="S47" s="7">
        <v>100000</v>
      </c>
      <c r="T47" s="7">
        <v>100000</v>
      </c>
      <c r="U47" s="7">
        <v>100000</v>
      </c>
      <c r="V47" s="7">
        <v>100000</v>
      </c>
      <c r="W47" s="7">
        <v>100000</v>
      </c>
      <c r="X47" s="7">
        <v>100000</v>
      </c>
      <c r="Y47" s="7">
        <v>100000</v>
      </c>
      <c r="Z47" s="7">
        <v>100000</v>
      </c>
      <c r="AA47" s="7">
        <v>100000</v>
      </c>
      <c r="AB47" s="9">
        <v>6.3296747813097003</v>
      </c>
      <c r="AC47" s="9">
        <v>6.3296747813097003</v>
      </c>
      <c r="AD47" s="9">
        <v>6.3296747813097003</v>
      </c>
      <c r="AE47" s="9">
        <v>6.3296747813097003</v>
      </c>
      <c r="AF47" s="9">
        <v>6.3296747813097003</v>
      </c>
      <c r="AG47" s="9">
        <v>6.3296747813097003</v>
      </c>
      <c r="AH47" s="9">
        <v>6.3296747813097003</v>
      </c>
      <c r="AI47" s="9">
        <v>6.3296747813097003</v>
      </c>
      <c r="AJ47" s="9">
        <v>6.3296747813097003</v>
      </c>
      <c r="AK47" s="9">
        <v>6.3296747813097003</v>
      </c>
      <c r="AL47" s="9">
        <v>6.3296747813097003</v>
      </c>
      <c r="AM47" s="9">
        <v>6.3296747813097003</v>
      </c>
      <c r="AN47" s="10">
        <v>2</v>
      </c>
      <c r="AO47" s="10">
        <v>0</v>
      </c>
      <c r="AP47" s="10">
        <v>0</v>
      </c>
      <c r="AQ47" s="10">
        <v>2</v>
      </c>
      <c r="AR47" s="10">
        <v>0</v>
      </c>
      <c r="AS47" s="10">
        <v>0</v>
      </c>
      <c r="AT47" s="10">
        <v>2</v>
      </c>
      <c r="AU47" s="10">
        <v>0</v>
      </c>
      <c r="AV47" s="10">
        <v>0</v>
      </c>
      <c r="AW47" s="10">
        <v>2</v>
      </c>
      <c r="AX47" s="10">
        <v>0</v>
      </c>
      <c r="AY47" s="10">
        <v>0</v>
      </c>
      <c r="AZ47" s="7">
        <f t="shared" si="4"/>
        <v>8</v>
      </c>
      <c r="BA47" s="11">
        <f t="shared" si="5"/>
        <v>0.66666666666666663</v>
      </c>
      <c r="BC47" s="12">
        <v>12.659349562618999</v>
      </c>
      <c r="BD47" s="12">
        <v>0</v>
      </c>
      <c r="BE47" s="12">
        <v>0</v>
      </c>
      <c r="BF47" s="12">
        <v>12.659349562618999</v>
      </c>
      <c r="BG47" s="12">
        <v>0</v>
      </c>
      <c r="BH47" s="12">
        <v>0</v>
      </c>
      <c r="BI47" s="12">
        <v>12.659349562618999</v>
      </c>
      <c r="BJ47" s="12">
        <v>0</v>
      </c>
      <c r="BK47" s="12">
        <v>0</v>
      </c>
      <c r="BL47" s="12">
        <v>12.659349562618999</v>
      </c>
      <c r="BM47" s="12">
        <v>0</v>
      </c>
      <c r="BN47" s="12">
        <v>0</v>
      </c>
      <c r="BO47" s="12">
        <f t="shared" si="6"/>
        <v>50.637398250475997</v>
      </c>
      <c r="BP47" s="12">
        <f t="shared" si="7"/>
        <v>4.2197831875396661</v>
      </c>
      <c r="BQ47" s="7"/>
      <c r="BR47" s="7"/>
      <c r="BS47" s="7" t="s">
        <v>57</v>
      </c>
      <c r="BT47" s="7" t="s">
        <v>52</v>
      </c>
      <c r="BU47" s="7">
        <v>0</v>
      </c>
      <c r="BV47" s="7">
        <v>10</v>
      </c>
      <c r="BW47" s="7">
        <v>0</v>
      </c>
      <c r="BX47" s="7">
        <v>10</v>
      </c>
      <c r="BY47" s="7">
        <v>5</v>
      </c>
      <c r="BZ47" s="7"/>
    </row>
    <row r="48" spans="1:78" x14ac:dyDescent="0.35">
      <c r="A48" s="7" t="s">
        <v>41</v>
      </c>
      <c r="B48" s="7"/>
      <c r="C48" s="7" t="s">
        <v>58</v>
      </c>
      <c r="D48" s="7" t="s">
        <v>59</v>
      </c>
      <c r="E48" s="7" t="s">
        <v>60</v>
      </c>
      <c r="F48" s="7" t="s">
        <v>79</v>
      </c>
      <c r="G48" s="7" t="s">
        <v>46</v>
      </c>
      <c r="H48" s="7"/>
      <c r="I48" s="7"/>
      <c r="J48" s="7" t="s">
        <v>47</v>
      </c>
      <c r="K48" s="7" t="s">
        <v>48</v>
      </c>
      <c r="L48" s="7" t="s">
        <v>49</v>
      </c>
      <c r="M48" s="7" t="s">
        <v>49</v>
      </c>
      <c r="N48" s="7" t="s">
        <v>62</v>
      </c>
      <c r="O48" s="7" t="s">
        <v>4</v>
      </c>
      <c r="P48" s="7">
        <v>1200000</v>
      </c>
      <c r="Q48" s="7">
        <v>1200000</v>
      </c>
      <c r="R48" s="7">
        <v>1200000</v>
      </c>
      <c r="S48" s="7">
        <v>1200000</v>
      </c>
      <c r="T48" s="7">
        <v>1200000</v>
      </c>
      <c r="U48" s="7">
        <v>1200000</v>
      </c>
      <c r="V48" s="7">
        <v>1200000</v>
      </c>
      <c r="W48" s="7">
        <v>1200000</v>
      </c>
      <c r="X48" s="7">
        <v>1200000</v>
      </c>
      <c r="Y48" s="7">
        <v>1200000</v>
      </c>
      <c r="Z48" s="7">
        <v>1200000</v>
      </c>
      <c r="AA48" s="7">
        <v>1200000</v>
      </c>
      <c r="AB48" s="9">
        <v>75.956097375716993</v>
      </c>
      <c r="AC48" s="9">
        <v>75.956097375716993</v>
      </c>
      <c r="AD48" s="9">
        <v>75.956097375716993</v>
      </c>
      <c r="AE48" s="9">
        <v>75.956097375716993</v>
      </c>
      <c r="AF48" s="9">
        <v>75.956097375716993</v>
      </c>
      <c r="AG48" s="9">
        <v>75.956097375716993</v>
      </c>
      <c r="AH48" s="9">
        <v>75.956097375716993</v>
      </c>
      <c r="AI48" s="9">
        <v>75.956097375716993</v>
      </c>
      <c r="AJ48" s="9">
        <v>75.956097375716993</v>
      </c>
      <c r="AK48" s="9">
        <v>75.956097375716993</v>
      </c>
      <c r="AL48" s="9">
        <v>75.956097375716993</v>
      </c>
      <c r="AM48" s="9">
        <v>75.956097375716993</v>
      </c>
      <c r="AN48" s="10">
        <v>0</v>
      </c>
      <c r="AO48" s="10">
        <v>0</v>
      </c>
      <c r="AP48" s="10">
        <v>2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7">
        <f t="shared" si="4"/>
        <v>2</v>
      </c>
      <c r="BA48" s="11">
        <f t="shared" si="5"/>
        <v>0.16666666666666666</v>
      </c>
      <c r="BC48" s="12">
        <v>0</v>
      </c>
      <c r="BD48" s="12">
        <v>0</v>
      </c>
      <c r="BE48" s="12">
        <v>151.91219475143001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f t="shared" si="6"/>
        <v>151.91219475143001</v>
      </c>
      <c r="BP48" s="12">
        <f t="shared" si="7"/>
        <v>12.659349562619168</v>
      </c>
      <c r="BQ48" s="7"/>
      <c r="BR48" s="7"/>
      <c r="BS48" s="7" t="s">
        <v>63</v>
      </c>
      <c r="BT48" s="7" t="s">
        <v>52</v>
      </c>
      <c r="BU48" s="7">
        <v>0</v>
      </c>
      <c r="BV48" s="7">
        <v>10</v>
      </c>
      <c r="BW48" s="7">
        <v>0</v>
      </c>
      <c r="BX48" s="7">
        <v>0</v>
      </c>
      <c r="BY48" s="7">
        <v>5</v>
      </c>
      <c r="BZ48" s="7"/>
    </row>
    <row r="49" spans="1:78" x14ac:dyDescent="0.35">
      <c r="A49" s="7" t="s">
        <v>41</v>
      </c>
      <c r="B49" s="7"/>
      <c r="C49" s="7" t="s">
        <v>144</v>
      </c>
      <c r="D49" s="7" t="s">
        <v>59</v>
      </c>
      <c r="E49" s="7" t="s">
        <v>145</v>
      </c>
      <c r="F49" s="7" t="s">
        <v>97</v>
      </c>
      <c r="G49" s="7" t="s">
        <v>46</v>
      </c>
      <c r="H49" s="7"/>
      <c r="I49" s="7"/>
      <c r="J49" s="7" t="s">
        <v>47</v>
      </c>
      <c r="K49" s="7" t="s">
        <v>48</v>
      </c>
      <c r="L49" s="7" t="s">
        <v>49</v>
      </c>
      <c r="M49" s="7" t="s">
        <v>49</v>
      </c>
      <c r="N49" s="7" t="s">
        <v>62</v>
      </c>
      <c r="O49" s="7" t="s">
        <v>4</v>
      </c>
      <c r="P49" s="7">
        <v>20000</v>
      </c>
      <c r="Q49" s="7">
        <v>20000</v>
      </c>
      <c r="R49" s="7">
        <v>20000</v>
      </c>
      <c r="S49" s="7">
        <v>20000</v>
      </c>
      <c r="T49" s="7">
        <v>20000</v>
      </c>
      <c r="U49" s="7">
        <v>20000</v>
      </c>
      <c r="V49" s="7">
        <v>20000</v>
      </c>
      <c r="W49" s="7">
        <v>20000</v>
      </c>
      <c r="X49" s="7">
        <v>20000</v>
      </c>
      <c r="Y49" s="7">
        <v>20000</v>
      </c>
      <c r="Z49" s="7">
        <v>20000</v>
      </c>
      <c r="AA49" s="7">
        <v>20000</v>
      </c>
      <c r="AB49" s="9">
        <v>1.2659349562619</v>
      </c>
      <c r="AC49" s="9">
        <v>1.2659349562619</v>
      </c>
      <c r="AD49" s="9">
        <v>1.2659349562619</v>
      </c>
      <c r="AE49" s="9">
        <v>1.2659349562619</v>
      </c>
      <c r="AF49" s="9">
        <v>1.2659349562619</v>
      </c>
      <c r="AG49" s="9">
        <v>1.2659349562619</v>
      </c>
      <c r="AH49" s="9">
        <v>1.2659349562619</v>
      </c>
      <c r="AI49" s="9">
        <v>1.2659349562619</v>
      </c>
      <c r="AJ49" s="9">
        <v>1.2659349562619</v>
      </c>
      <c r="AK49" s="9">
        <v>1.2659349562619</v>
      </c>
      <c r="AL49" s="9">
        <v>1.2659349562619</v>
      </c>
      <c r="AM49" s="9">
        <v>1.2659349562619</v>
      </c>
      <c r="AN49" s="10">
        <v>0</v>
      </c>
      <c r="AO49" s="10">
        <v>0</v>
      </c>
      <c r="AP49" s="10">
        <v>0</v>
      </c>
      <c r="AQ49" s="10">
        <v>0</v>
      </c>
      <c r="AR49" s="10">
        <v>6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7">
        <f t="shared" si="4"/>
        <v>6</v>
      </c>
      <c r="BA49" s="11">
        <f t="shared" si="5"/>
        <v>0.5</v>
      </c>
      <c r="BC49" s="12">
        <v>0</v>
      </c>
      <c r="BD49" s="12">
        <v>0</v>
      </c>
      <c r="BE49" s="12">
        <v>0</v>
      </c>
      <c r="BF49" s="12">
        <v>0</v>
      </c>
      <c r="BG49" s="12">
        <v>7.5956097375717002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f t="shared" si="6"/>
        <v>7.5956097375717002</v>
      </c>
      <c r="BP49" s="12">
        <f t="shared" si="7"/>
        <v>0.63296747813097498</v>
      </c>
      <c r="BQ49" s="7"/>
      <c r="BR49" s="7"/>
      <c r="BS49" s="7" t="s">
        <v>63</v>
      </c>
      <c r="BT49" s="7" t="s">
        <v>52</v>
      </c>
      <c r="BU49" s="7">
        <v>0</v>
      </c>
      <c r="BV49" s="7">
        <v>10</v>
      </c>
      <c r="BW49" s="7">
        <v>0</v>
      </c>
      <c r="BX49" s="7">
        <v>0</v>
      </c>
      <c r="BY49" s="7">
        <v>5</v>
      </c>
      <c r="BZ49" s="7"/>
    </row>
    <row r="50" spans="1:78" x14ac:dyDescent="0.35">
      <c r="A50" s="7" t="s">
        <v>41</v>
      </c>
      <c r="B50" s="7"/>
      <c r="C50" s="7" t="s">
        <v>146</v>
      </c>
      <c r="D50" s="7" t="s">
        <v>59</v>
      </c>
      <c r="E50" s="7" t="s">
        <v>147</v>
      </c>
      <c r="F50" s="7" t="s">
        <v>97</v>
      </c>
      <c r="G50" s="7" t="s">
        <v>46</v>
      </c>
      <c r="H50" s="7"/>
      <c r="I50" s="7"/>
      <c r="J50" s="7" t="s">
        <v>47</v>
      </c>
      <c r="K50" s="7" t="s">
        <v>48</v>
      </c>
      <c r="L50" s="7" t="s">
        <v>49</v>
      </c>
      <c r="M50" s="7" t="s">
        <v>49</v>
      </c>
      <c r="N50" s="7" t="s">
        <v>62</v>
      </c>
      <c r="O50" s="7" t="s">
        <v>4</v>
      </c>
      <c r="P50" s="7">
        <v>22500</v>
      </c>
      <c r="Q50" s="7">
        <v>22500</v>
      </c>
      <c r="R50" s="7">
        <v>22500</v>
      </c>
      <c r="S50" s="7">
        <v>22500</v>
      </c>
      <c r="T50" s="7">
        <v>22500</v>
      </c>
      <c r="U50" s="7">
        <v>22500</v>
      </c>
      <c r="V50" s="7">
        <v>22500</v>
      </c>
      <c r="W50" s="7">
        <v>22500</v>
      </c>
      <c r="X50" s="7">
        <v>22500</v>
      </c>
      <c r="Y50" s="7">
        <v>22500</v>
      </c>
      <c r="Z50" s="7">
        <v>22500</v>
      </c>
      <c r="AA50" s="7">
        <v>22500</v>
      </c>
      <c r="AB50" s="9">
        <v>1.4241768257947001</v>
      </c>
      <c r="AC50" s="9">
        <v>1.4241768257947001</v>
      </c>
      <c r="AD50" s="9">
        <v>1.4241768257947001</v>
      </c>
      <c r="AE50" s="9">
        <v>1.4241768257947001</v>
      </c>
      <c r="AF50" s="9">
        <v>1.4241768257947001</v>
      </c>
      <c r="AG50" s="9">
        <v>1.4241768257947001</v>
      </c>
      <c r="AH50" s="9">
        <v>1.4241768257947001</v>
      </c>
      <c r="AI50" s="9">
        <v>1.4241768257947001</v>
      </c>
      <c r="AJ50" s="9">
        <v>1.4241768257947001</v>
      </c>
      <c r="AK50" s="9">
        <v>1.4241768257947001</v>
      </c>
      <c r="AL50" s="9">
        <v>1.4241768257947001</v>
      </c>
      <c r="AM50" s="9">
        <v>1.4241768257947001</v>
      </c>
      <c r="AN50" s="10">
        <v>0</v>
      </c>
      <c r="AO50" s="10">
        <v>0</v>
      </c>
      <c r="AP50" s="10">
        <v>0</v>
      </c>
      <c r="AQ50" s="10">
        <v>0</v>
      </c>
      <c r="AR50" s="10">
        <v>4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7">
        <f t="shared" si="4"/>
        <v>4</v>
      </c>
      <c r="BA50" s="11">
        <f t="shared" si="5"/>
        <v>0.33333333333333331</v>
      </c>
      <c r="BC50" s="12">
        <v>0</v>
      </c>
      <c r="BD50" s="12">
        <v>0</v>
      </c>
      <c r="BE50" s="12">
        <v>0</v>
      </c>
      <c r="BF50" s="12">
        <v>0</v>
      </c>
      <c r="BG50" s="12">
        <v>5.6967073031788003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f t="shared" si="6"/>
        <v>5.6967073031788003</v>
      </c>
      <c r="BP50" s="12">
        <f t="shared" si="7"/>
        <v>0.47472560859823337</v>
      </c>
      <c r="BQ50" s="7"/>
      <c r="BR50" s="7"/>
      <c r="BS50" s="7" t="s">
        <v>63</v>
      </c>
      <c r="BT50" s="7" t="s">
        <v>52</v>
      </c>
      <c r="BU50" s="7">
        <v>0</v>
      </c>
      <c r="BV50" s="7">
        <v>10</v>
      </c>
      <c r="BW50" s="7">
        <v>0</v>
      </c>
      <c r="BX50" s="7">
        <v>0</v>
      </c>
      <c r="BY50" s="7">
        <v>5</v>
      </c>
      <c r="BZ50" s="7"/>
    </row>
    <row r="51" spans="1:78" x14ac:dyDescent="0.35">
      <c r="A51" s="7" t="s">
        <v>41</v>
      </c>
      <c r="B51" s="7"/>
      <c r="C51" s="7" t="s">
        <v>148</v>
      </c>
      <c r="D51" s="7" t="s">
        <v>73</v>
      </c>
      <c r="E51" s="7" t="s">
        <v>149</v>
      </c>
      <c r="F51" s="7" t="s">
        <v>75</v>
      </c>
      <c r="G51" s="7" t="s">
        <v>46</v>
      </c>
      <c r="H51" s="7"/>
      <c r="I51" s="7"/>
      <c r="J51" s="7" t="s">
        <v>47</v>
      </c>
      <c r="K51" s="7" t="s">
        <v>48</v>
      </c>
      <c r="L51" s="7" t="s">
        <v>49</v>
      </c>
      <c r="M51" s="7" t="s">
        <v>49</v>
      </c>
      <c r="N51" s="7" t="s">
        <v>76</v>
      </c>
      <c r="O51" s="7" t="s">
        <v>6</v>
      </c>
      <c r="P51" s="7">
        <v>7239.7260273972997</v>
      </c>
      <c r="Q51" s="7">
        <v>7239.7260273972997</v>
      </c>
      <c r="R51" s="7">
        <v>7239.7260273972997</v>
      </c>
      <c r="S51" s="7">
        <v>7239.7260273972997</v>
      </c>
      <c r="T51" s="7">
        <v>7239.7260273972997</v>
      </c>
      <c r="U51" s="7">
        <v>7239.7260273972997</v>
      </c>
      <c r="V51" s="7">
        <v>7239.7260273972997</v>
      </c>
      <c r="W51" s="7">
        <v>7239.7260273972997</v>
      </c>
      <c r="X51" s="7">
        <v>7239.7260273972997</v>
      </c>
      <c r="Y51" s="7">
        <v>7239.7260273972997</v>
      </c>
      <c r="Z51" s="7">
        <v>7239.7260273972997</v>
      </c>
      <c r="AA51" s="7">
        <v>7239.7260273972997</v>
      </c>
      <c r="AB51" s="9">
        <v>47.945205479452</v>
      </c>
      <c r="AC51" s="9">
        <v>47.945205479452</v>
      </c>
      <c r="AD51" s="9">
        <v>47.945205479452</v>
      </c>
      <c r="AE51" s="9">
        <v>47.945205479452</v>
      </c>
      <c r="AF51" s="9">
        <v>47.945205479452</v>
      </c>
      <c r="AG51" s="9">
        <v>47.945205479452</v>
      </c>
      <c r="AH51" s="9">
        <v>47.945205479452</v>
      </c>
      <c r="AI51" s="9">
        <v>47.945205479452</v>
      </c>
      <c r="AJ51" s="9">
        <v>47.945205479452</v>
      </c>
      <c r="AK51" s="9">
        <v>47.945205479452</v>
      </c>
      <c r="AL51" s="9">
        <v>47.945205479452</v>
      </c>
      <c r="AM51" s="9">
        <v>47.945205479452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6</v>
      </c>
      <c r="AV51" s="10">
        <v>0</v>
      </c>
      <c r="AW51" s="10">
        <v>0</v>
      </c>
      <c r="AX51" s="10">
        <v>0</v>
      </c>
      <c r="AY51" s="10">
        <v>6</v>
      </c>
      <c r="AZ51" s="7">
        <f t="shared" si="4"/>
        <v>12</v>
      </c>
      <c r="BA51" s="11">
        <f t="shared" si="5"/>
        <v>1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287.67123287671001</v>
      </c>
      <c r="BK51" s="12">
        <v>0</v>
      </c>
      <c r="BL51" s="12">
        <v>0</v>
      </c>
      <c r="BM51" s="12">
        <v>0</v>
      </c>
      <c r="BN51" s="12">
        <v>287.67123287671001</v>
      </c>
      <c r="BO51" s="12">
        <f t="shared" si="6"/>
        <v>575.34246575342002</v>
      </c>
      <c r="BP51" s="12">
        <f t="shared" si="7"/>
        <v>47.945205479451666</v>
      </c>
      <c r="BQ51" s="7"/>
      <c r="BR51" s="7"/>
      <c r="BS51" s="7" t="s">
        <v>63</v>
      </c>
      <c r="BT51" s="7" t="s">
        <v>52</v>
      </c>
      <c r="BU51" s="7">
        <v>0</v>
      </c>
      <c r="BV51" s="7">
        <v>10</v>
      </c>
      <c r="BW51" s="7">
        <v>0</v>
      </c>
      <c r="BX51" s="7">
        <v>0</v>
      </c>
      <c r="BY51" s="7">
        <v>5</v>
      </c>
      <c r="BZ51" s="7"/>
    </row>
    <row r="52" spans="1:78" x14ac:dyDescent="0.35">
      <c r="A52" s="7" t="s">
        <v>41</v>
      </c>
      <c r="B52" s="7"/>
      <c r="C52" s="7" t="s">
        <v>150</v>
      </c>
      <c r="D52" s="7" t="s">
        <v>59</v>
      </c>
      <c r="E52" s="7" t="s">
        <v>151</v>
      </c>
      <c r="F52" s="7" t="s">
        <v>79</v>
      </c>
      <c r="G52" s="7" t="s">
        <v>46</v>
      </c>
      <c r="H52" s="7"/>
      <c r="I52" s="7"/>
      <c r="J52" s="7" t="s">
        <v>47</v>
      </c>
      <c r="K52" s="7" t="s">
        <v>48</v>
      </c>
      <c r="L52" s="7" t="s">
        <v>49</v>
      </c>
      <c r="M52" s="7" t="s">
        <v>49</v>
      </c>
      <c r="N52" s="7" t="s">
        <v>62</v>
      </c>
      <c r="O52" s="7" t="s">
        <v>8</v>
      </c>
      <c r="P52" s="7">
        <v>57</v>
      </c>
      <c r="Q52" s="7">
        <v>57</v>
      </c>
      <c r="R52" s="7">
        <v>57</v>
      </c>
      <c r="S52" s="7">
        <v>57</v>
      </c>
      <c r="T52" s="7">
        <v>57</v>
      </c>
      <c r="U52" s="7">
        <v>57</v>
      </c>
      <c r="V52" s="7">
        <v>57</v>
      </c>
      <c r="W52" s="7">
        <v>57</v>
      </c>
      <c r="X52" s="7">
        <v>57</v>
      </c>
      <c r="Y52" s="7">
        <v>57</v>
      </c>
      <c r="Z52" s="7">
        <v>57</v>
      </c>
      <c r="AA52" s="7">
        <v>57</v>
      </c>
      <c r="AB52" s="9">
        <v>57</v>
      </c>
      <c r="AC52" s="9">
        <v>57</v>
      </c>
      <c r="AD52" s="9">
        <v>57</v>
      </c>
      <c r="AE52" s="9">
        <v>57</v>
      </c>
      <c r="AF52" s="9">
        <v>57</v>
      </c>
      <c r="AG52" s="9">
        <v>57</v>
      </c>
      <c r="AH52" s="9">
        <v>57</v>
      </c>
      <c r="AI52" s="9">
        <v>57</v>
      </c>
      <c r="AJ52" s="9">
        <v>57</v>
      </c>
      <c r="AK52" s="9">
        <v>57</v>
      </c>
      <c r="AL52" s="9">
        <v>57</v>
      </c>
      <c r="AM52" s="9">
        <v>57</v>
      </c>
      <c r="AN52" s="10">
        <v>0</v>
      </c>
      <c r="AO52" s="10">
        <v>0</v>
      </c>
      <c r="AP52" s="10">
        <v>16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7">
        <f t="shared" si="4"/>
        <v>16</v>
      </c>
      <c r="BA52" s="11">
        <f t="shared" si="5"/>
        <v>1.3333333333333333</v>
      </c>
      <c r="BC52" s="12">
        <v>0</v>
      </c>
      <c r="BD52" s="12">
        <v>0</v>
      </c>
      <c r="BE52" s="12">
        <v>912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f t="shared" si="6"/>
        <v>912</v>
      </c>
      <c r="BP52" s="12">
        <f t="shared" si="7"/>
        <v>76</v>
      </c>
      <c r="BQ52" s="7"/>
      <c r="BR52" s="7"/>
      <c r="BS52" s="7" t="s">
        <v>63</v>
      </c>
      <c r="BT52" s="7" t="s">
        <v>52</v>
      </c>
      <c r="BU52" s="7">
        <v>0</v>
      </c>
      <c r="BV52" s="7">
        <v>10</v>
      </c>
      <c r="BW52" s="7">
        <v>0</v>
      </c>
      <c r="BX52" s="7">
        <v>0</v>
      </c>
      <c r="BY52" s="7">
        <v>5</v>
      </c>
      <c r="BZ52" s="7"/>
    </row>
    <row r="53" spans="1:78" x14ac:dyDescent="0.35">
      <c r="A53" s="7" t="s">
        <v>41</v>
      </c>
      <c r="B53" s="7"/>
      <c r="C53" s="7" t="s">
        <v>152</v>
      </c>
      <c r="D53" s="7" t="s">
        <v>101</v>
      </c>
      <c r="E53" s="7" t="s">
        <v>153</v>
      </c>
      <c r="F53" s="7" t="s">
        <v>154</v>
      </c>
      <c r="G53" s="7" t="s">
        <v>46</v>
      </c>
      <c r="H53" s="7"/>
      <c r="I53" s="7"/>
      <c r="J53" s="7" t="s">
        <v>47</v>
      </c>
      <c r="K53" s="7" t="s">
        <v>48</v>
      </c>
      <c r="L53" s="7" t="s">
        <v>49</v>
      </c>
      <c r="M53" s="7" t="s">
        <v>49</v>
      </c>
      <c r="N53" s="7" t="s">
        <v>85</v>
      </c>
      <c r="O53" s="7" t="s">
        <v>4</v>
      </c>
      <c r="P53" s="7">
        <v>50000</v>
      </c>
      <c r="Q53" s="7">
        <v>50000</v>
      </c>
      <c r="R53" s="7">
        <v>50000</v>
      </c>
      <c r="S53" s="7">
        <v>50000</v>
      </c>
      <c r="T53" s="7">
        <v>50000</v>
      </c>
      <c r="U53" s="7">
        <v>50000</v>
      </c>
      <c r="V53" s="7">
        <v>50000</v>
      </c>
      <c r="W53" s="7">
        <v>50000</v>
      </c>
      <c r="X53" s="7">
        <v>50000</v>
      </c>
      <c r="Y53" s="7">
        <v>50000</v>
      </c>
      <c r="Z53" s="7">
        <v>50000</v>
      </c>
      <c r="AA53" s="7">
        <v>50000</v>
      </c>
      <c r="AB53" s="9">
        <v>3.1648373906548999</v>
      </c>
      <c r="AC53" s="9">
        <v>3.1648373906548999</v>
      </c>
      <c r="AD53" s="9">
        <v>3.1648373906548999</v>
      </c>
      <c r="AE53" s="9">
        <v>3.1648373906548999</v>
      </c>
      <c r="AF53" s="9">
        <v>3.1648373906548999</v>
      </c>
      <c r="AG53" s="9">
        <v>3.1648373906548999</v>
      </c>
      <c r="AH53" s="9">
        <v>3.1648373906548999</v>
      </c>
      <c r="AI53" s="9">
        <v>3.1648373906548999</v>
      </c>
      <c r="AJ53" s="9">
        <v>3.1648373906548999</v>
      </c>
      <c r="AK53" s="9">
        <v>3.1648373906548999</v>
      </c>
      <c r="AL53" s="9">
        <v>3.1648373906548999</v>
      </c>
      <c r="AM53" s="9">
        <v>3.1648373906548999</v>
      </c>
      <c r="AN53" s="10">
        <v>0</v>
      </c>
      <c r="AO53" s="10">
        <v>0</v>
      </c>
      <c r="AP53" s="10">
        <v>20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20</v>
      </c>
      <c r="AW53" s="10">
        <v>0</v>
      </c>
      <c r="AX53" s="10">
        <v>0</v>
      </c>
      <c r="AY53" s="10">
        <v>0</v>
      </c>
      <c r="AZ53" s="7">
        <f t="shared" si="4"/>
        <v>40</v>
      </c>
      <c r="BA53" s="11">
        <f t="shared" si="5"/>
        <v>3.3333333333333335</v>
      </c>
      <c r="BC53" s="12">
        <v>0</v>
      </c>
      <c r="BD53" s="12">
        <v>0</v>
      </c>
      <c r="BE53" s="12">
        <v>63.296747813096999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63.296747813096999</v>
      </c>
      <c r="BL53" s="12">
        <v>0</v>
      </c>
      <c r="BM53" s="12">
        <v>0</v>
      </c>
      <c r="BN53" s="12">
        <v>0</v>
      </c>
      <c r="BO53" s="12">
        <f t="shared" si="6"/>
        <v>126.593495626194</v>
      </c>
      <c r="BP53" s="12">
        <f t="shared" si="7"/>
        <v>10.5494579688495</v>
      </c>
      <c r="BQ53" s="7"/>
      <c r="BR53" s="7"/>
      <c r="BS53" s="7" t="s">
        <v>57</v>
      </c>
      <c r="BT53" s="7" t="s">
        <v>52</v>
      </c>
      <c r="BU53" s="7">
        <v>0</v>
      </c>
      <c r="BV53" s="7">
        <v>10</v>
      </c>
      <c r="BW53" s="7">
        <v>0</v>
      </c>
      <c r="BX53" s="7">
        <v>10</v>
      </c>
      <c r="BY53" s="7">
        <v>5</v>
      </c>
      <c r="BZ53" s="7"/>
    </row>
    <row r="54" spans="1:78" x14ac:dyDescent="0.35">
      <c r="A54" s="7" t="s">
        <v>41</v>
      </c>
      <c r="B54" s="7"/>
      <c r="C54" s="7" t="s">
        <v>91</v>
      </c>
      <c r="D54" s="7" t="s">
        <v>59</v>
      </c>
      <c r="E54" s="7" t="s">
        <v>92</v>
      </c>
      <c r="F54" s="7" t="s">
        <v>97</v>
      </c>
      <c r="G54" s="7" t="s">
        <v>46</v>
      </c>
      <c r="H54" s="7"/>
      <c r="I54" s="7"/>
      <c r="J54" s="7" t="s">
        <v>47</v>
      </c>
      <c r="K54" s="7" t="s">
        <v>48</v>
      </c>
      <c r="L54" s="7" t="s">
        <v>49</v>
      </c>
      <c r="M54" s="7" t="s">
        <v>49</v>
      </c>
      <c r="N54" s="7" t="s">
        <v>62</v>
      </c>
      <c r="O54" s="7" t="s">
        <v>4</v>
      </c>
      <c r="P54" s="7">
        <v>20000</v>
      </c>
      <c r="Q54" s="7">
        <v>20000</v>
      </c>
      <c r="R54" s="7">
        <v>20000</v>
      </c>
      <c r="S54" s="7">
        <v>20000</v>
      </c>
      <c r="T54" s="7">
        <v>20000</v>
      </c>
      <c r="U54" s="7">
        <v>20000</v>
      </c>
      <c r="V54" s="7">
        <v>20000</v>
      </c>
      <c r="W54" s="7">
        <v>20000</v>
      </c>
      <c r="X54" s="7">
        <v>20000</v>
      </c>
      <c r="Y54" s="7">
        <v>20000</v>
      </c>
      <c r="Z54" s="7">
        <v>20000</v>
      </c>
      <c r="AA54" s="7">
        <v>20000</v>
      </c>
      <c r="AB54" s="9">
        <v>1.2659349562619</v>
      </c>
      <c r="AC54" s="9">
        <v>1.2659349562619</v>
      </c>
      <c r="AD54" s="9">
        <v>1.2659349562619</v>
      </c>
      <c r="AE54" s="9">
        <v>1.2659349562619</v>
      </c>
      <c r="AF54" s="9">
        <v>1.2659349562619</v>
      </c>
      <c r="AG54" s="9">
        <v>1.2659349562619</v>
      </c>
      <c r="AH54" s="9">
        <v>1.2659349562619</v>
      </c>
      <c r="AI54" s="9">
        <v>1.2659349562619</v>
      </c>
      <c r="AJ54" s="9">
        <v>1.2659349562619</v>
      </c>
      <c r="AK54" s="9">
        <v>1.2659349562619</v>
      </c>
      <c r="AL54" s="9">
        <v>1.2659349562619</v>
      </c>
      <c r="AM54" s="9">
        <v>1.2659349562619</v>
      </c>
      <c r="AN54" s="10">
        <v>0</v>
      </c>
      <c r="AO54" s="10">
        <v>0</v>
      </c>
      <c r="AP54" s="10">
        <v>0</v>
      </c>
      <c r="AQ54" s="10">
        <v>0</v>
      </c>
      <c r="AR54" s="10">
        <v>6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7">
        <f t="shared" si="4"/>
        <v>6</v>
      </c>
      <c r="BA54" s="11">
        <f t="shared" si="5"/>
        <v>0.5</v>
      </c>
      <c r="BC54" s="12">
        <v>0</v>
      </c>
      <c r="BD54" s="12">
        <v>0</v>
      </c>
      <c r="BE54" s="12">
        <v>0</v>
      </c>
      <c r="BF54" s="12">
        <v>0</v>
      </c>
      <c r="BG54" s="12">
        <v>7.5956097375717002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2">
        <v>0</v>
      </c>
      <c r="BN54" s="12">
        <v>0</v>
      </c>
      <c r="BO54" s="12">
        <f t="shared" si="6"/>
        <v>7.5956097375717002</v>
      </c>
      <c r="BP54" s="12">
        <f t="shared" si="7"/>
        <v>0.63296747813097498</v>
      </c>
      <c r="BQ54" s="7"/>
      <c r="BR54" s="7"/>
      <c r="BS54" s="7" t="s">
        <v>63</v>
      </c>
      <c r="BT54" s="7" t="s">
        <v>52</v>
      </c>
      <c r="BU54" s="7">
        <v>0</v>
      </c>
      <c r="BV54" s="7">
        <v>10</v>
      </c>
      <c r="BW54" s="7">
        <v>0</v>
      </c>
      <c r="BX54" s="7">
        <v>0</v>
      </c>
      <c r="BY54" s="7">
        <v>5</v>
      </c>
      <c r="BZ54" s="7"/>
    </row>
    <row r="55" spans="1:78" x14ac:dyDescent="0.35">
      <c r="A55" s="7" t="s">
        <v>41</v>
      </c>
      <c r="B55" s="7"/>
      <c r="C55" s="7" t="s">
        <v>155</v>
      </c>
      <c r="D55" s="7" t="s">
        <v>110</v>
      </c>
      <c r="E55" s="7" t="s">
        <v>156</v>
      </c>
      <c r="F55" s="7" t="s">
        <v>141</v>
      </c>
      <c r="G55" s="7" t="s">
        <v>46</v>
      </c>
      <c r="H55" s="7"/>
      <c r="I55" s="7"/>
      <c r="J55" s="7" t="s">
        <v>47</v>
      </c>
      <c r="K55" s="7" t="s">
        <v>48</v>
      </c>
      <c r="L55" s="7" t="s">
        <v>49</v>
      </c>
      <c r="M55" s="7" t="s">
        <v>49</v>
      </c>
      <c r="N55" s="7" t="s">
        <v>85</v>
      </c>
      <c r="O55" s="7" t="s">
        <v>4</v>
      </c>
      <c r="P55" s="7">
        <v>75000</v>
      </c>
      <c r="Q55" s="7">
        <v>75000</v>
      </c>
      <c r="R55" s="7">
        <v>75000</v>
      </c>
      <c r="S55" s="7">
        <v>75000</v>
      </c>
      <c r="T55" s="7">
        <v>75000</v>
      </c>
      <c r="U55" s="7">
        <v>75000</v>
      </c>
      <c r="V55" s="7">
        <v>75000</v>
      </c>
      <c r="W55" s="7">
        <v>75000</v>
      </c>
      <c r="X55" s="7">
        <v>75000</v>
      </c>
      <c r="Y55" s="7">
        <v>75000</v>
      </c>
      <c r="Z55" s="7">
        <v>75000</v>
      </c>
      <c r="AA55" s="7">
        <v>75000</v>
      </c>
      <c r="AB55" s="9">
        <v>4.7472560859822996</v>
      </c>
      <c r="AC55" s="9">
        <v>4.7472560859822996</v>
      </c>
      <c r="AD55" s="9">
        <v>4.7472560859822996</v>
      </c>
      <c r="AE55" s="9">
        <v>4.7472560859822996</v>
      </c>
      <c r="AF55" s="9">
        <v>4.7472560859822996</v>
      </c>
      <c r="AG55" s="9">
        <v>4.7472560859822996</v>
      </c>
      <c r="AH55" s="9">
        <v>4.7472560859822996</v>
      </c>
      <c r="AI55" s="9">
        <v>4.7472560859822996</v>
      </c>
      <c r="AJ55" s="9">
        <v>4.7472560859822996</v>
      </c>
      <c r="AK55" s="9">
        <v>4.7472560859822996</v>
      </c>
      <c r="AL55" s="9">
        <v>4.7472560859822996</v>
      </c>
      <c r="AM55" s="9">
        <v>4.7472560859822996</v>
      </c>
      <c r="AN55" s="10">
        <v>10</v>
      </c>
      <c r="AO55" s="10">
        <v>10</v>
      </c>
      <c r="AP55" s="10">
        <v>10</v>
      </c>
      <c r="AQ55" s="10">
        <v>10</v>
      </c>
      <c r="AR55" s="10">
        <v>10</v>
      </c>
      <c r="AS55" s="10">
        <v>10</v>
      </c>
      <c r="AT55" s="10">
        <v>10</v>
      </c>
      <c r="AU55" s="10">
        <v>10</v>
      </c>
      <c r="AV55" s="10">
        <v>10</v>
      </c>
      <c r="AW55" s="10">
        <v>10</v>
      </c>
      <c r="AX55" s="10">
        <v>10</v>
      </c>
      <c r="AY55" s="10">
        <v>10</v>
      </c>
      <c r="AZ55" s="7">
        <f t="shared" si="4"/>
        <v>120</v>
      </c>
      <c r="BA55" s="11">
        <f t="shared" si="5"/>
        <v>10</v>
      </c>
      <c r="BC55" s="12">
        <v>47.472560859822998</v>
      </c>
      <c r="BD55" s="12">
        <v>47.472560859822998</v>
      </c>
      <c r="BE55" s="12">
        <v>47.472560859822998</v>
      </c>
      <c r="BF55" s="12">
        <v>47.472560859822998</v>
      </c>
      <c r="BG55" s="12">
        <v>47.472560859822998</v>
      </c>
      <c r="BH55" s="12">
        <v>47.472560859822998</v>
      </c>
      <c r="BI55" s="12">
        <v>47.472560859822998</v>
      </c>
      <c r="BJ55" s="12">
        <v>47.472560859822998</v>
      </c>
      <c r="BK55" s="12">
        <v>47.472560859822998</v>
      </c>
      <c r="BL55" s="12">
        <v>47.472560859822998</v>
      </c>
      <c r="BM55" s="12">
        <v>47.472560859822998</v>
      </c>
      <c r="BN55" s="12">
        <v>47.472560859822998</v>
      </c>
      <c r="BO55" s="12">
        <f t="shared" si="6"/>
        <v>569.67073031787595</v>
      </c>
      <c r="BP55" s="12">
        <f t="shared" si="7"/>
        <v>47.472560859822998</v>
      </c>
      <c r="BQ55" s="7"/>
      <c r="BR55" s="7"/>
      <c r="BS55" s="7" t="s">
        <v>57</v>
      </c>
      <c r="BT55" s="7" t="s">
        <v>52</v>
      </c>
      <c r="BU55" s="7">
        <v>0</v>
      </c>
      <c r="BV55" s="7">
        <v>10</v>
      </c>
      <c r="BW55" s="7">
        <v>0</v>
      </c>
      <c r="BX55" s="7">
        <v>10</v>
      </c>
      <c r="BY55" s="7">
        <v>5</v>
      </c>
      <c r="BZ55" s="7"/>
    </row>
    <row r="56" spans="1:78" x14ac:dyDescent="0.35">
      <c r="A56" s="7" t="s">
        <v>41</v>
      </c>
      <c r="B56" s="7"/>
      <c r="C56" s="7" t="s">
        <v>157</v>
      </c>
      <c r="D56" s="7" t="s">
        <v>158</v>
      </c>
      <c r="E56" s="7" t="s">
        <v>158</v>
      </c>
      <c r="F56" s="7" t="s">
        <v>159</v>
      </c>
      <c r="G56" s="7" t="s">
        <v>46</v>
      </c>
      <c r="H56" s="7"/>
      <c r="I56" s="7"/>
      <c r="J56" s="7" t="s">
        <v>47</v>
      </c>
      <c r="K56" s="7" t="s">
        <v>48</v>
      </c>
      <c r="L56" s="7" t="s">
        <v>49</v>
      </c>
      <c r="M56" s="7" t="s">
        <v>49</v>
      </c>
      <c r="N56" s="7" t="s">
        <v>50</v>
      </c>
      <c r="O56" s="7" t="s">
        <v>4</v>
      </c>
      <c r="P56" s="7">
        <v>23063</v>
      </c>
      <c r="Q56" s="7">
        <v>23063</v>
      </c>
      <c r="R56" s="7">
        <v>23063</v>
      </c>
      <c r="S56" s="7">
        <v>23063</v>
      </c>
      <c r="T56" s="7">
        <v>23063</v>
      </c>
      <c r="U56" s="7">
        <v>23063</v>
      </c>
      <c r="V56" s="7">
        <v>23063</v>
      </c>
      <c r="W56" s="7">
        <v>23063</v>
      </c>
      <c r="X56" s="7">
        <v>23063</v>
      </c>
      <c r="Y56" s="7">
        <v>23063</v>
      </c>
      <c r="Z56" s="7">
        <v>23063</v>
      </c>
      <c r="AA56" s="7">
        <v>23063</v>
      </c>
      <c r="AB56" s="9">
        <v>1.4598128948135001</v>
      </c>
      <c r="AC56" s="9">
        <v>1.4598128948135001</v>
      </c>
      <c r="AD56" s="9">
        <v>1.4598128948135001</v>
      </c>
      <c r="AE56" s="9">
        <v>1.4598128948135001</v>
      </c>
      <c r="AF56" s="9">
        <v>1.4598128948135001</v>
      </c>
      <c r="AG56" s="9">
        <v>1.4598128948135001</v>
      </c>
      <c r="AH56" s="9">
        <v>1.4598128948135001</v>
      </c>
      <c r="AI56" s="9">
        <v>1.4598128948135001</v>
      </c>
      <c r="AJ56" s="9">
        <v>1.4598128948135001</v>
      </c>
      <c r="AK56" s="9">
        <v>1.4598128948135001</v>
      </c>
      <c r="AL56" s="9">
        <v>1.4598128948135001</v>
      </c>
      <c r="AM56" s="9">
        <v>1.4598128948135001</v>
      </c>
      <c r="AN56" s="10">
        <v>5</v>
      </c>
      <c r="AO56" s="10">
        <v>0</v>
      </c>
      <c r="AP56" s="10">
        <v>0</v>
      </c>
      <c r="AQ56" s="10">
        <v>0</v>
      </c>
      <c r="AR56" s="10">
        <v>5</v>
      </c>
      <c r="AS56" s="10">
        <v>0</v>
      </c>
      <c r="AT56" s="10">
        <v>0</v>
      </c>
      <c r="AU56" s="10">
        <v>0</v>
      </c>
      <c r="AV56" s="10">
        <v>5</v>
      </c>
      <c r="AW56" s="10">
        <v>0</v>
      </c>
      <c r="AX56" s="10">
        <v>0</v>
      </c>
      <c r="AY56" s="10">
        <v>0</v>
      </c>
      <c r="AZ56" s="7">
        <f t="shared" si="4"/>
        <v>15</v>
      </c>
      <c r="BA56" s="11">
        <f t="shared" si="5"/>
        <v>1.25</v>
      </c>
      <c r="BC56" s="12">
        <v>7.2990644740672996</v>
      </c>
      <c r="BD56" s="12">
        <v>0</v>
      </c>
      <c r="BE56" s="12">
        <v>0</v>
      </c>
      <c r="BF56" s="12">
        <v>0</v>
      </c>
      <c r="BG56" s="12">
        <v>7.2990644740672996</v>
      </c>
      <c r="BH56" s="12">
        <v>0</v>
      </c>
      <c r="BI56" s="12">
        <v>0</v>
      </c>
      <c r="BJ56" s="12">
        <v>0</v>
      </c>
      <c r="BK56" s="12">
        <v>7.2990644740672996</v>
      </c>
      <c r="BL56" s="12">
        <v>0</v>
      </c>
      <c r="BM56" s="12">
        <v>0</v>
      </c>
      <c r="BN56" s="12">
        <v>0</v>
      </c>
      <c r="BO56" s="12">
        <f t="shared" si="6"/>
        <v>21.897193422201898</v>
      </c>
      <c r="BP56" s="12">
        <f t="shared" si="7"/>
        <v>1.8247661185168249</v>
      </c>
      <c r="BQ56" s="7"/>
      <c r="BR56" s="7"/>
      <c r="BS56" s="7" t="s">
        <v>51</v>
      </c>
      <c r="BT56" s="7" t="s">
        <v>52</v>
      </c>
      <c r="BU56" s="7">
        <v>15</v>
      </c>
      <c r="BV56" s="7">
        <v>10</v>
      </c>
      <c r="BW56" s="7">
        <v>5</v>
      </c>
      <c r="BX56" s="7">
        <v>20</v>
      </c>
      <c r="BY56" s="7">
        <v>5</v>
      </c>
      <c r="BZ56" s="7"/>
    </row>
    <row r="57" spans="1:78" x14ac:dyDescent="0.35">
      <c r="A57" s="7" t="s">
        <v>41</v>
      </c>
      <c r="B57" s="7"/>
      <c r="C57" s="7" t="s">
        <v>160</v>
      </c>
      <c r="D57" s="7" t="s">
        <v>59</v>
      </c>
      <c r="E57" s="7" t="s">
        <v>161</v>
      </c>
      <c r="F57" s="7" t="s">
        <v>79</v>
      </c>
      <c r="G57" s="7" t="s">
        <v>46</v>
      </c>
      <c r="H57" s="7"/>
      <c r="I57" s="7"/>
      <c r="J57" s="7" t="s">
        <v>47</v>
      </c>
      <c r="K57" s="7" t="s">
        <v>48</v>
      </c>
      <c r="L57" s="7" t="s">
        <v>49</v>
      </c>
      <c r="M57" s="7" t="s">
        <v>49</v>
      </c>
      <c r="N57" s="7" t="s">
        <v>85</v>
      </c>
      <c r="O57" s="7" t="s">
        <v>4</v>
      </c>
      <c r="P57" s="7">
        <v>15000000</v>
      </c>
      <c r="Q57" s="7">
        <v>15000000</v>
      </c>
      <c r="R57" s="7">
        <v>15000000</v>
      </c>
      <c r="S57" s="7">
        <v>15000000</v>
      </c>
      <c r="T57" s="7">
        <v>15000000</v>
      </c>
      <c r="U57" s="7">
        <v>15000000</v>
      </c>
      <c r="V57" s="7">
        <v>15000000</v>
      </c>
      <c r="W57" s="7">
        <v>15000000</v>
      </c>
      <c r="X57" s="7">
        <v>15000000</v>
      </c>
      <c r="Y57" s="7">
        <v>15000000</v>
      </c>
      <c r="Z57" s="7">
        <v>15000000</v>
      </c>
      <c r="AA57" s="7">
        <v>15000000</v>
      </c>
      <c r="AB57" s="9">
        <v>949.45121719645999</v>
      </c>
      <c r="AC57" s="9">
        <v>949.45121719645999</v>
      </c>
      <c r="AD57" s="9">
        <v>949.45121719645999</v>
      </c>
      <c r="AE57" s="9">
        <v>949.45121719645999</v>
      </c>
      <c r="AF57" s="9">
        <v>949.45121719645999</v>
      </c>
      <c r="AG57" s="9">
        <v>949.45121719645999</v>
      </c>
      <c r="AH57" s="9">
        <v>949.45121719645999</v>
      </c>
      <c r="AI57" s="9">
        <v>949.45121719645999</v>
      </c>
      <c r="AJ57" s="9">
        <v>949.45121719645999</v>
      </c>
      <c r="AK57" s="9">
        <v>949.45121719645999</v>
      </c>
      <c r="AL57" s="9">
        <v>949.45121719645999</v>
      </c>
      <c r="AM57" s="9">
        <v>949.45121719645999</v>
      </c>
      <c r="AN57" s="10">
        <v>0</v>
      </c>
      <c r="AO57" s="10">
        <v>0</v>
      </c>
      <c r="AP57" s="10">
        <v>2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7">
        <f t="shared" si="4"/>
        <v>2</v>
      </c>
      <c r="BA57" s="11">
        <f t="shared" si="5"/>
        <v>0.16666666666666666</v>
      </c>
      <c r="BC57" s="12">
        <v>0</v>
      </c>
      <c r="BD57" s="12">
        <v>0</v>
      </c>
      <c r="BE57" s="12">
        <v>1898.9024343929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0</v>
      </c>
      <c r="BM57" s="12">
        <v>0</v>
      </c>
      <c r="BN57" s="12">
        <v>0</v>
      </c>
      <c r="BO57" s="12">
        <f t="shared" si="6"/>
        <v>1898.9024343929</v>
      </c>
      <c r="BP57" s="12">
        <f t="shared" si="7"/>
        <v>158.24186953274167</v>
      </c>
      <c r="BQ57" s="7"/>
      <c r="BR57" s="7"/>
      <c r="BS57" s="7" t="s">
        <v>63</v>
      </c>
      <c r="BT57" s="7" t="s">
        <v>52</v>
      </c>
      <c r="BU57" s="7">
        <v>0</v>
      </c>
      <c r="BV57" s="7">
        <v>10</v>
      </c>
      <c r="BW57" s="7">
        <v>0</v>
      </c>
      <c r="BX57" s="7">
        <v>0</v>
      </c>
      <c r="BY57" s="7">
        <v>5</v>
      </c>
      <c r="BZ57" s="7"/>
    </row>
    <row r="58" spans="1:78" x14ac:dyDescent="0.35">
      <c r="A58" s="7" t="s">
        <v>41</v>
      </c>
      <c r="B58" s="7"/>
      <c r="C58" s="7" t="s">
        <v>162</v>
      </c>
      <c r="D58" s="7" t="s">
        <v>163</v>
      </c>
      <c r="E58" s="7" t="s">
        <v>163</v>
      </c>
      <c r="F58" s="7" t="s">
        <v>164</v>
      </c>
      <c r="G58" s="7" t="s">
        <v>46</v>
      </c>
      <c r="H58" s="7"/>
      <c r="I58" s="7"/>
      <c r="J58" s="7" t="s">
        <v>47</v>
      </c>
      <c r="K58" s="7" t="s">
        <v>48</v>
      </c>
      <c r="L58" s="7" t="s">
        <v>49</v>
      </c>
      <c r="M58" s="7" t="s">
        <v>49</v>
      </c>
      <c r="N58" s="7" t="s">
        <v>50</v>
      </c>
      <c r="O58" s="7" t="s">
        <v>4</v>
      </c>
      <c r="P58" s="7">
        <v>30000</v>
      </c>
      <c r="Q58" s="7">
        <v>30000</v>
      </c>
      <c r="R58" s="7">
        <v>30000</v>
      </c>
      <c r="S58" s="7">
        <v>30000</v>
      </c>
      <c r="T58" s="7">
        <v>30000</v>
      </c>
      <c r="U58" s="7">
        <v>30000</v>
      </c>
      <c r="V58" s="7">
        <v>30000</v>
      </c>
      <c r="W58" s="7">
        <v>30000</v>
      </c>
      <c r="X58" s="7">
        <v>30000</v>
      </c>
      <c r="Y58" s="7">
        <v>30000</v>
      </c>
      <c r="Z58" s="7">
        <v>30000</v>
      </c>
      <c r="AA58" s="7">
        <v>30000</v>
      </c>
      <c r="AB58" s="9">
        <v>1.8989024343929</v>
      </c>
      <c r="AC58" s="9">
        <v>1.8989024343929</v>
      </c>
      <c r="AD58" s="9">
        <v>1.8989024343929</v>
      </c>
      <c r="AE58" s="9">
        <v>1.8989024343929</v>
      </c>
      <c r="AF58" s="9">
        <v>1.8989024343929</v>
      </c>
      <c r="AG58" s="9">
        <v>1.8989024343929</v>
      </c>
      <c r="AH58" s="9">
        <v>1.8989024343929</v>
      </c>
      <c r="AI58" s="9">
        <v>1.8989024343929</v>
      </c>
      <c r="AJ58" s="9">
        <v>1.8989024343929</v>
      </c>
      <c r="AK58" s="9">
        <v>1.8989024343929</v>
      </c>
      <c r="AL58" s="9">
        <v>1.8989024343929</v>
      </c>
      <c r="AM58" s="9">
        <v>1.8989024343929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70</v>
      </c>
      <c r="AY58" s="10">
        <v>0</v>
      </c>
      <c r="AZ58" s="7">
        <f t="shared" si="4"/>
        <v>70</v>
      </c>
      <c r="BA58" s="11">
        <f t="shared" si="5"/>
        <v>5.833333333333333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132.92317040750001</v>
      </c>
      <c r="BN58" s="12">
        <v>0</v>
      </c>
      <c r="BO58" s="12">
        <f t="shared" si="6"/>
        <v>132.92317040750001</v>
      </c>
      <c r="BP58" s="12">
        <f t="shared" si="7"/>
        <v>11.076930867291667</v>
      </c>
      <c r="BQ58" s="7"/>
      <c r="BR58" s="7"/>
      <c r="BS58" s="7" t="s">
        <v>51</v>
      </c>
      <c r="BT58" s="7" t="s">
        <v>52</v>
      </c>
      <c r="BU58" s="7">
        <v>15</v>
      </c>
      <c r="BV58" s="7">
        <v>10</v>
      </c>
      <c r="BW58" s="7">
        <v>5</v>
      </c>
      <c r="BX58" s="7">
        <v>20</v>
      </c>
      <c r="BY58" s="7">
        <v>5</v>
      </c>
      <c r="BZ58" s="7"/>
    </row>
    <row r="59" spans="1:78" x14ac:dyDescent="0.35">
      <c r="A59" s="7" t="s">
        <v>41</v>
      </c>
      <c r="B59" s="7"/>
      <c r="C59" s="7" t="s">
        <v>165</v>
      </c>
      <c r="D59" s="7" t="s">
        <v>59</v>
      </c>
      <c r="E59" s="7" t="s">
        <v>166</v>
      </c>
      <c r="F59" s="7" t="s">
        <v>79</v>
      </c>
      <c r="G59" s="7" t="s">
        <v>46</v>
      </c>
      <c r="H59" s="7"/>
      <c r="I59" s="7"/>
      <c r="J59" s="7" t="s">
        <v>47</v>
      </c>
      <c r="K59" s="7" t="s">
        <v>48</v>
      </c>
      <c r="L59" s="7" t="s">
        <v>49</v>
      </c>
      <c r="M59" s="7" t="s">
        <v>49</v>
      </c>
      <c r="N59" s="7" t="s">
        <v>62</v>
      </c>
      <c r="O59" s="7" t="s">
        <v>8</v>
      </c>
      <c r="P59" s="7">
        <v>150</v>
      </c>
      <c r="Q59" s="7">
        <v>150</v>
      </c>
      <c r="R59" s="7">
        <v>150</v>
      </c>
      <c r="S59" s="7">
        <v>150</v>
      </c>
      <c r="T59" s="7">
        <v>150</v>
      </c>
      <c r="U59" s="7">
        <v>150</v>
      </c>
      <c r="V59" s="7">
        <v>150</v>
      </c>
      <c r="W59" s="7">
        <v>150</v>
      </c>
      <c r="X59" s="7">
        <v>150</v>
      </c>
      <c r="Y59" s="7">
        <v>150</v>
      </c>
      <c r="Z59" s="7">
        <v>150</v>
      </c>
      <c r="AA59" s="7">
        <v>150</v>
      </c>
      <c r="AB59" s="9">
        <v>150</v>
      </c>
      <c r="AC59" s="9">
        <v>150</v>
      </c>
      <c r="AD59" s="9">
        <v>150</v>
      </c>
      <c r="AE59" s="9">
        <v>150</v>
      </c>
      <c r="AF59" s="9">
        <v>150</v>
      </c>
      <c r="AG59" s="9">
        <v>150</v>
      </c>
      <c r="AH59" s="9">
        <v>150</v>
      </c>
      <c r="AI59" s="9">
        <v>150</v>
      </c>
      <c r="AJ59" s="9">
        <v>150</v>
      </c>
      <c r="AK59" s="9">
        <v>150</v>
      </c>
      <c r="AL59" s="9">
        <v>150</v>
      </c>
      <c r="AM59" s="9">
        <v>150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14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7">
        <f t="shared" si="4"/>
        <v>14</v>
      </c>
      <c r="BA59" s="11">
        <f t="shared" si="5"/>
        <v>1.1666666666666667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2100</v>
      </c>
      <c r="BJ59" s="12">
        <v>0</v>
      </c>
      <c r="BK59" s="12">
        <v>0</v>
      </c>
      <c r="BL59" s="12">
        <v>0</v>
      </c>
      <c r="BM59" s="12">
        <v>0</v>
      </c>
      <c r="BN59" s="12">
        <v>0</v>
      </c>
      <c r="BO59" s="12">
        <f t="shared" si="6"/>
        <v>2100</v>
      </c>
      <c r="BP59" s="12">
        <f t="shared" si="7"/>
        <v>175</v>
      </c>
      <c r="BQ59" s="7"/>
      <c r="BR59" s="7"/>
      <c r="BS59" s="7" t="s">
        <v>63</v>
      </c>
      <c r="BT59" s="7" t="s">
        <v>52</v>
      </c>
      <c r="BU59" s="7">
        <v>0</v>
      </c>
      <c r="BV59" s="7">
        <v>10</v>
      </c>
      <c r="BW59" s="7">
        <v>0</v>
      </c>
      <c r="BX59" s="7">
        <v>0</v>
      </c>
      <c r="BY59" s="7">
        <v>5</v>
      </c>
      <c r="BZ59" s="7"/>
    </row>
    <row r="60" spans="1:78" x14ac:dyDescent="0.35">
      <c r="A60" s="7" t="s">
        <v>41</v>
      </c>
      <c r="B60" s="7"/>
      <c r="C60" s="7" t="s">
        <v>167</v>
      </c>
      <c r="D60" s="7" t="s">
        <v>73</v>
      </c>
      <c r="E60" s="7" t="s">
        <v>168</v>
      </c>
      <c r="F60" s="7" t="s">
        <v>75</v>
      </c>
      <c r="G60" s="7" t="s">
        <v>46</v>
      </c>
      <c r="H60" s="7"/>
      <c r="I60" s="7"/>
      <c r="J60" s="7" t="s">
        <v>47</v>
      </c>
      <c r="K60" s="7" t="s">
        <v>48</v>
      </c>
      <c r="L60" s="7" t="s">
        <v>49</v>
      </c>
      <c r="M60" s="7" t="s">
        <v>49</v>
      </c>
      <c r="N60" s="7" t="s">
        <v>76</v>
      </c>
      <c r="O60" s="7" t="s">
        <v>6</v>
      </c>
      <c r="P60" s="7">
        <v>2000</v>
      </c>
      <c r="Q60" s="7">
        <v>2000</v>
      </c>
      <c r="R60" s="7">
        <v>2000</v>
      </c>
      <c r="S60" s="7">
        <v>2000</v>
      </c>
      <c r="T60" s="7">
        <v>2000</v>
      </c>
      <c r="U60" s="7">
        <v>2000</v>
      </c>
      <c r="V60" s="7">
        <v>2000</v>
      </c>
      <c r="W60" s="7">
        <v>2000</v>
      </c>
      <c r="X60" s="7">
        <v>2000</v>
      </c>
      <c r="Y60" s="7">
        <v>2000</v>
      </c>
      <c r="Z60" s="7">
        <v>2000</v>
      </c>
      <c r="AA60" s="7">
        <v>2000</v>
      </c>
      <c r="AB60" s="9">
        <v>13.245033112583</v>
      </c>
      <c r="AC60" s="9">
        <v>13.245033112583</v>
      </c>
      <c r="AD60" s="9">
        <v>13.245033112583</v>
      </c>
      <c r="AE60" s="9">
        <v>13.245033112583</v>
      </c>
      <c r="AF60" s="9">
        <v>13.245033112583</v>
      </c>
      <c r="AG60" s="9">
        <v>13.245033112583</v>
      </c>
      <c r="AH60" s="9">
        <v>13.245033112583</v>
      </c>
      <c r="AI60" s="9">
        <v>13.245033112583</v>
      </c>
      <c r="AJ60" s="9">
        <v>13.245033112583</v>
      </c>
      <c r="AK60" s="9">
        <v>13.245033112583</v>
      </c>
      <c r="AL60" s="9">
        <v>13.245033112583</v>
      </c>
      <c r="AM60" s="9">
        <v>13.245033112583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6</v>
      </c>
      <c r="AV60" s="10">
        <v>0</v>
      </c>
      <c r="AW60" s="10">
        <v>0</v>
      </c>
      <c r="AX60" s="10">
        <v>0</v>
      </c>
      <c r="AY60" s="10">
        <v>6</v>
      </c>
      <c r="AZ60" s="7">
        <f t="shared" si="4"/>
        <v>12</v>
      </c>
      <c r="BA60" s="11">
        <f t="shared" si="5"/>
        <v>1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79.470198675497002</v>
      </c>
      <c r="BK60" s="12">
        <v>0</v>
      </c>
      <c r="BL60" s="12">
        <v>0</v>
      </c>
      <c r="BM60" s="12">
        <v>0</v>
      </c>
      <c r="BN60" s="12">
        <v>79.470198675497002</v>
      </c>
      <c r="BO60" s="12">
        <f t="shared" si="6"/>
        <v>158.940397350994</v>
      </c>
      <c r="BP60" s="12">
        <f t="shared" si="7"/>
        <v>13.245033112582833</v>
      </c>
      <c r="BQ60" s="7"/>
      <c r="BR60" s="7"/>
      <c r="BS60" s="7" t="s">
        <v>63</v>
      </c>
      <c r="BT60" s="7" t="s">
        <v>52</v>
      </c>
      <c r="BU60" s="7">
        <v>0</v>
      </c>
      <c r="BV60" s="7">
        <v>10</v>
      </c>
      <c r="BW60" s="7">
        <v>0</v>
      </c>
      <c r="BX60" s="7">
        <v>0</v>
      </c>
      <c r="BY60" s="7">
        <v>5</v>
      </c>
      <c r="BZ60" s="7"/>
    </row>
    <row r="61" spans="1:78" x14ac:dyDescent="0.35">
      <c r="A61" s="7" t="s">
        <v>41</v>
      </c>
      <c r="B61" s="7"/>
      <c r="C61" s="7" t="s">
        <v>169</v>
      </c>
      <c r="D61" s="7" t="s">
        <v>170</v>
      </c>
      <c r="E61" s="7" t="s">
        <v>171</v>
      </c>
      <c r="F61" s="7" t="s">
        <v>172</v>
      </c>
      <c r="G61" s="7" t="s">
        <v>46</v>
      </c>
      <c r="H61" s="7"/>
      <c r="I61" s="7"/>
      <c r="J61" s="7" t="s">
        <v>47</v>
      </c>
      <c r="K61" s="7" t="s">
        <v>48</v>
      </c>
      <c r="L61" s="7" t="s">
        <v>49</v>
      </c>
      <c r="M61" s="7" t="s">
        <v>49</v>
      </c>
      <c r="N61" s="7" t="s">
        <v>173</v>
      </c>
      <c r="O61" s="7" t="s">
        <v>4</v>
      </c>
      <c r="P61" s="7">
        <v>200000</v>
      </c>
      <c r="Q61" s="7">
        <v>200000</v>
      </c>
      <c r="R61" s="7">
        <v>200000</v>
      </c>
      <c r="S61" s="7">
        <v>200000</v>
      </c>
      <c r="T61" s="7">
        <v>200000</v>
      </c>
      <c r="U61" s="7">
        <v>200000</v>
      </c>
      <c r="V61" s="7">
        <v>200000</v>
      </c>
      <c r="W61" s="7">
        <v>200000</v>
      </c>
      <c r="X61" s="7">
        <v>200000</v>
      </c>
      <c r="Y61" s="7">
        <v>200000</v>
      </c>
      <c r="Z61" s="7">
        <v>200000</v>
      </c>
      <c r="AA61" s="7">
        <v>200000</v>
      </c>
      <c r="AB61" s="9">
        <v>12.659349562618999</v>
      </c>
      <c r="AC61" s="9">
        <v>12.659349562618999</v>
      </c>
      <c r="AD61" s="9">
        <v>12.659349562618999</v>
      </c>
      <c r="AE61" s="9">
        <v>12.659349562618999</v>
      </c>
      <c r="AF61" s="9">
        <v>12.659349562618999</v>
      </c>
      <c r="AG61" s="9">
        <v>12.659349562618999</v>
      </c>
      <c r="AH61" s="9">
        <v>12.659349562618999</v>
      </c>
      <c r="AI61" s="9">
        <v>12.659349562618999</v>
      </c>
      <c r="AJ61" s="9">
        <v>12.659349562618999</v>
      </c>
      <c r="AK61" s="9">
        <v>12.659349562618999</v>
      </c>
      <c r="AL61" s="9">
        <v>12.659349562618999</v>
      </c>
      <c r="AM61" s="9">
        <v>12.659349562618999</v>
      </c>
      <c r="AN61" s="10">
        <v>0</v>
      </c>
      <c r="AO61" s="10">
        <v>0</v>
      </c>
      <c r="AP61" s="10">
        <v>0</v>
      </c>
      <c r="AQ61" s="10">
        <v>1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1</v>
      </c>
      <c r="AX61" s="10">
        <v>0</v>
      </c>
      <c r="AY61" s="10">
        <v>0</v>
      </c>
      <c r="AZ61" s="7">
        <f t="shared" si="4"/>
        <v>2</v>
      </c>
      <c r="BA61" s="11">
        <f t="shared" si="5"/>
        <v>0.16666666666666666</v>
      </c>
      <c r="BC61" s="12">
        <v>0</v>
      </c>
      <c r="BD61" s="12">
        <v>0</v>
      </c>
      <c r="BE61" s="12">
        <v>0</v>
      </c>
      <c r="BF61" s="12">
        <v>12.659349562618999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12.659349562618999</v>
      </c>
      <c r="BM61" s="12">
        <v>0</v>
      </c>
      <c r="BN61" s="12">
        <v>0</v>
      </c>
      <c r="BO61" s="12">
        <f t="shared" si="6"/>
        <v>25.318699125237998</v>
      </c>
      <c r="BP61" s="12">
        <f t="shared" si="7"/>
        <v>2.109891593769833</v>
      </c>
      <c r="BQ61" s="7"/>
      <c r="BR61" s="7"/>
      <c r="BS61" s="7" t="s">
        <v>51</v>
      </c>
      <c r="BT61" s="7" t="s">
        <v>52</v>
      </c>
      <c r="BU61" s="7">
        <v>15</v>
      </c>
      <c r="BV61" s="7">
        <v>10</v>
      </c>
      <c r="BW61" s="7">
        <v>5</v>
      </c>
      <c r="BX61" s="7">
        <v>20</v>
      </c>
      <c r="BY61" s="7">
        <v>5</v>
      </c>
      <c r="BZ61" s="7"/>
    </row>
    <row r="62" spans="1:78" x14ac:dyDescent="0.35">
      <c r="A62" s="7" t="s">
        <v>41</v>
      </c>
      <c r="B62" s="7"/>
      <c r="C62" s="7" t="s">
        <v>174</v>
      </c>
      <c r="D62" s="7" t="s">
        <v>175</v>
      </c>
      <c r="E62" s="7" t="s">
        <v>176</v>
      </c>
      <c r="F62" s="7" t="s">
        <v>177</v>
      </c>
      <c r="G62" s="7" t="s">
        <v>46</v>
      </c>
      <c r="H62" s="7"/>
      <c r="I62" s="7"/>
      <c r="J62" s="7" t="s">
        <v>47</v>
      </c>
      <c r="K62" s="7" t="s">
        <v>48</v>
      </c>
      <c r="L62" s="7" t="s">
        <v>49</v>
      </c>
      <c r="M62" s="7" t="s">
        <v>49</v>
      </c>
      <c r="N62" s="7" t="s">
        <v>50</v>
      </c>
      <c r="O62" s="7" t="s">
        <v>4</v>
      </c>
      <c r="P62" s="7">
        <v>5000</v>
      </c>
      <c r="Q62" s="7">
        <v>5000</v>
      </c>
      <c r="R62" s="7">
        <v>5000</v>
      </c>
      <c r="S62" s="7">
        <v>5000</v>
      </c>
      <c r="T62" s="7">
        <v>5000</v>
      </c>
      <c r="U62" s="7">
        <v>5000</v>
      </c>
      <c r="V62" s="7">
        <v>5000</v>
      </c>
      <c r="W62" s="7">
        <v>5000</v>
      </c>
      <c r="X62" s="7">
        <v>5000</v>
      </c>
      <c r="Y62" s="7">
        <v>5000</v>
      </c>
      <c r="Z62" s="7">
        <v>5000</v>
      </c>
      <c r="AA62" s="7">
        <v>5000</v>
      </c>
      <c r="AB62" s="9">
        <v>0.31648373906548999</v>
      </c>
      <c r="AC62" s="9">
        <v>0.31648373906548999</v>
      </c>
      <c r="AD62" s="9">
        <v>0.31648373906548999</v>
      </c>
      <c r="AE62" s="9">
        <v>0.31648373906548999</v>
      </c>
      <c r="AF62" s="9">
        <v>0.31648373906548999</v>
      </c>
      <c r="AG62" s="9">
        <v>0.31648373906548999</v>
      </c>
      <c r="AH62" s="9">
        <v>0.31648373906548999</v>
      </c>
      <c r="AI62" s="9">
        <v>0.31648373906548999</v>
      </c>
      <c r="AJ62" s="9">
        <v>0.31648373906548999</v>
      </c>
      <c r="AK62" s="9">
        <v>0.31648373906548999</v>
      </c>
      <c r="AL62" s="9">
        <v>0.31648373906548999</v>
      </c>
      <c r="AM62" s="9">
        <v>0.31648373906548999</v>
      </c>
      <c r="AN62" s="10">
        <v>0</v>
      </c>
      <c r="AO62" s="10">
        <v>20</v>
      </c>
      <c r="AP62" s="10">
        <v>0</v>
      </c>
      <c r="AQ62" s="10">
        <v>0</v>
      </c>
      <c r="AR62" s="10">
        <v>0</v>
      </c>
      <c r="AS62" s="10">
        <v>0</v>
      </c>
      <c r="AT62" s="10">
        <v>20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7">
        <f t="shared" si="4"/>
        <v>40</v>
      </c>
      <c r="BA62" s="11">
        <f t="shared" si="5"/>
        <v>3.3333333333333335</v>
      </c>
      <c r="BC62" s="12">
        <v>0</v>
      </c>
      <c r="BD62" s="12">
        <v>6.3296747813097003</v>
      </c>
      <c r="BE62" s="12">
        <v>0</v>
      </c>
      <c r="BF62" s="12">
        <v>0</v>
      </c>
      <c r="BG62" s="12">
        <v>0</v>
      </c>
      <c r="BH62" s="12">
        <v>0</v>
      </c>
      <c r="BI62" s="12">
        <v>6.3296747813097003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f t="shared" si="6"/>
        <v>12.659349562619401</v>
      </c>
      <c r="BP62" s="12">
        <f t="shared" si="7"/>
        <v>1.05494579688495</v>
      </c>
      <c r="BQ62" s="7"/>
      <c r="BR62" s="7"/>
      <c r="BS62" s="7" t="s">
        <v>51</v>
      </c>
      <c r="BT62" s="7" t="s">
        <v>52</v>
      </c>
      <c r="BU62" s="7">
        <v>15</v>
      </c>
      <c r="BV62" s="7">
        <v>10</v>
      </c>
      <c r="BW62" s="7">
        <v>5</v>
      </c>
      <c r="BX62" s="7">
        <v>20</v>
      </c>
      <c r="BY62" s="7">
        <v>5</v>
      </c>
      <c r="BZ62" s="7"/>
    </row>
    <row r="63" spans="1:78" x14ac:dyDescent="0.35">
      <c r="A63" s="7" t="s">
        <v>41</v>
      </c>
      <c r="B63" s="7"/>
      <c r="C63" s="7" t="s">
        <v>178</v>
      </c>
      <c r="D63" s="7" t="s">
        <v>179</v>
      </c>
      <c r="E63" s="7" t="s">
        <v>180</v>
      </c>
      <c r="F63" s="7" t="s">
        <v>104</v>
      </c>
      <c r="G63" s="7" t="s">
        <v>46</v>
      </c>
      <c r="H63" s="7"/>
      <c r="I63" s="7"/>
      <c r="J63" s="7" t="s">
        <v>47</v>
      </c>
      <c r="K63" s="7" t="s">
        <v>48</v>
      </c>
      <c r="L63" s="7" t="s">
        <v>49</v>
      </c>
      <c r="M63" s="7" t="s">
        <v>49</v>
      </c>
      <c r="N63" s="7" t="s">
        <v>85</v>
      </c>
      <c r="O63" s="7" t="s">
        <v>4</v>
      </c>
      <c r="P63" s="7">
        <v>250000</v>
      </c>
      <c r="Q63" s="7">
        <v>250000</v>
      </c>
      <c r="R63" s="7">
        <v>250000</v>
      </c>
      <c r="S63" s="7">
        <v>250000</v>
      </c>
      <c r="T63" s="7">
        <v>250000</v>
      </c>
      <c r="U63" s="7">
        <v>250000</v>
      </c>
      <c r="V63" s="7">
        <v>250000</v>
      </c>
      <c r="W63" s="7">
        <v>250000</v>
      </c>
      <c r="X63" s="7">
        <v>250000</v>
      </c>
      <c r="Y63" s="7">
        <v>250000</v>
      </c>
      <c r="Z63" s="7">
        <v>250000</v>
      </c>
      <c r="AA63" s="7">
        <v>250000</v>
      </c>
      <c r="AB63" s="9">
        <v>15.824186953273999</v>
      </c>
      <c r="AC63" s="9">
        <v>15.824186953273999</v>
      </c>
      <c r="AD63" s="9">
        <v>15.824186953273999</v>
      </c>
      <c r="AE63" s="9">
        <v>15.824186953273999</v>
      </c>
      <c r="AF63" s="9">
        <v>15.824186953273999</v>
      </c>
      <c r="AG63" s="9">
        <v>15.824186953273999</v>
      </c>
      <c r="AH63" s="9">
        <v>15.824186953273999</v>
      </c>
      <c r="AI63" s="9">
        <v>15.824186953273999</v>
      </c>
      <c r="AJ63" s="9">
        <v>15.824186953273999</v>
      </c>
      <c r="AK63" s="9">
        <v>15.824186953273999</v>
      </c>
      <c r="AL63" s="9">
        <v>15.824186953273999</v>
      </c>
      <c r="AM63" s="9">
        <v>15.824186953273999</v>
      </c>
      <c r="AN63" s="10">
        <v>17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7">
        <f t="shared" si="4"/>
        <v>17</v>
      </c>
      <c r="BA63" s="11">
        <f t="shared" si="5"/>
        <v>1.4166666666666667</v>
      </c>
      <c r="BC63" s="12">
        <v>269.01117820565997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f t="shared" si="6"/>
        <v>269.01117820565997</v>
      </c>
      <c r="BP63" s="12">
        <f t="shared" si="7"/>
        <v>22.417598183804998</v>
      </c>
      <c r="BQ63" s="7"/>
      <c r="BR63" s="7"/>
      <c r="BS63" s="7" t="s">
        <v>57</v>
      </c>
      <c r="BT63" s="7" t="s">
        <v>52</v>
      </c>
      <c r="BU63" s="7">
        <v>0</v>
      </c>
      <c r="BV63" s="7">
        <v>10</v>
      </c>
      <c r="BW63" s="7">
        <v>0</v>
      </c>
      <c r="BX63" s="7">
        <v>10</v>
      </c>
      <c r="BY63" s="7">
        <v>5</v>
      </c>
      <c r="BZ63" s="7"/>
    </row>
    <row r="64" spans="1:78" x14ac:dyDescent="0.35">
      <c r="A64" s="7" t="s">
        <v>41</v>
      </c>
      <c r="B64" s="7"/>
      <c r="C64" s="7" t="s">
        <v>181</v>
      </c>
      <c r="D64" s="7" t="s">
        <v>182</v>
      </c>
      <c r="E64" s="7" t="s">
        <v>183</v>
      </c>
      <c r="F64" s="7" t="s">
        <v>184</v>
      </c>
      <c r="G64" s="7" t="s">
        <v>46</v>
      </c>
      <c r="H64" s="7"/>
      <c r="I64" s="7"/>
      <c r="J64" s="7" t="s">
        <v>47</v>
      </c>
      <c r="K64" s="7" t="s">
        <v>48</v>
      </c>
      <c r="L64" s="7" t="s">
        <v>49</v>
      </c>
      <c r="M64" s="7" t="s">
        <v>49</v>
      </c>
      <c r="N64" s="7" t="s">
        <v>85</v>
      </c>
      <c r="O64" s="7" t="s">
        <v>4</v>
      </c>
      <c r="P64" s="7">
        <v>140000</v>
      </c>
      <c r="Q64" s="7">
        <v>140000</v>
      </c>
      <c r="R64" s="7">
        <v>140000</v>
      </c>
      <c r="S64" s="7">
        <v>140000</v>
      </c>
      <c r="T64" s="7">
        <v>140000</v>
      </c>
      <c r="U64" s="7">
        <v>140000</v>
      </c>
      <c r="V64" s="7">
        <v>140000</v>
      </c>
      <c r="W64" s="7">
        <v>140000</v>
      </c>
      <c r="X64" s="7">
        <v>140000</v>
      </c>
      <c r="Y64" s="7">
        <v>140000</v>
      </c>
      <c r="Z64" s="7">
        <v>140000</v>
      </c>
      <c r="AA64" s="7">
        <v>140000</v>
      </c>
      <c r="AB64" s="9">
        <v>8.8615446938336007</v>
      </c>
      <c r="AC64" s="9">
        <v>8.8615446938336007</v>
      </c>
      <c r="AD64" s="9">
        <v>8.8615446938336007</v>
      </c>
      <c r="AE64" s="9">
        <v>8.8615446938336007</v>
      </c>
      <c r="AF64" s="9">
        <v>8.8615446938336007</v>
      </c>
      <c r="AG64" s="9">
        <v>8.8615446938336007</v>
      </c>
      <c r="AH64" s="9">
        <v>8.8615446938336007</v>
      </c>
      <c r="AI64" s="9">
        <v>8.8615446938336007</v>
      </c>
      <c r="AJ64" s="9">
        <v>8.8615446938336007</v>
      </c>
      <c r="AK64" s="9">
        <v>8.8615446938336007</v>
      </c>
      <c r="AL64" s="9">
        <v>8.8615446938336007</v>
      </c>
      <c r="AM64" s="9">
        <v>8.8615446938336007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10</v>
      </c>
      <c r="AW64" s="10">
        <v>0</v>
      </c>
      <c r="AX64" s="10">
        <v>0</v>
      </c>
      <c r="AY64" s="10">
        <v>0</v>
      </c>
      <c r="AZ64" s="7">
        <f t="shared" si="4"/>
        <v>10</v>
      </c>
      <c r="BA64" s="11">
        <f t="shared" si="5"/>
        <v>0.83333333333333337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88.615446938336007</v>
      </c>
      <c r="BL64" s="12">
        <v>0</v>
      </c>
      <c r="BM64" s="12">
        <v>0</v>
      </c>
      <c r="BN64" s="12">
        <v>0</v>
      </c>
      <c r="BO64" s="12">
        <f t="shared" si="6"/>
        <v>88.615446938336007</v>
      </c>
      <c r="BP64" s="12">
        <f t="shared" si="7"/>
        <v>7.3846205781946672</v>
      </c>
      <c r="BQ64" s="7"/>
      <c r="BR64" s="7"/>
      <c r="BS64" s="7" t="s">
        <v>80</v>
      </c>
      <c r="BT64" s="7" t="s">
        <v>52</v>
      </c>
      <c r="BU64" s="7">
        <v>0</v>
      </c>
      <c r="BV64" s="7">
        <v>5</v>
      </c>
      <c r="BW64" s="7">
        <v>0</v>
      </c>
      <c r="BX64" s="7">
        <v>15</v>
      </c>
      <c r="BY64" s="7">
        <v>15</v>
      </c>
      <c r="BZ64" s="7"/>
    </row>
    <row r="65" spans="1:78" x14ac:dyDescent="0.35">
      <c r="A65" s="7" t="s">
        <v>41</v>
      </c>
      <c r="B65" s="7"/>
      <c r="C65" s="7" t="s">
        <v>185</v>
      </c>
      <c r="D65" s="7" t="s">
        <v>186</v>
      </c>
      <c r="E65" s="7" t="s">
        <v>187</v>
      </c>
      <c r="F65" s="7" t="s">
        <v>164</v>
      </c>
      <c r="G65" s="7" t="s">
        <v>46</v>
      </c>
      <c r="H65" s="7"/>
      <c r="I65" s="7"/>
      <c r="J65" s="7" t="s">
        <v>47</v>
      </c>
      <c r="K65" s="7" t="s">
        <v>48</v>
      </c>
      <c r="L65" s="7" t="s">
        <v>49</v>
      </c>
      <c r="M65" s="7" t="s">
        <v>49</v>
      </c>
      <c r="N65" s="7" t="s">
        <v>50</v>
      </c>
      <c r="O65" s="7" t="s">
        <v>4</v>
      </c>
      <c r="P65" s="7">
        <v>315000</v>
      </c>
      <c r="Q65" s="7">
        <v>315000</v>
      </c>
      <c r="R65" s="7">
        <v>315000</v>
      </c>
      <c r="S65" s="7">
        <v>315000</v>
      </c>
      <c r="T65" s="7">
        <v>315000</v>
      </c>
      <c r="U65" s="7">
        <v>315000</v>
      </c>
      <c r="V65" s="7">
        <v>315000</v>
      </c>
      <c r="W65" s="7">
        <v>315000</v>
      </c>
      <c r="X65" s="7">
        <v>315000</v>
      </c>
      <c r="Y65" s="7">
        <v>315000</v>
      </c>
      <c r="Z65" s="7">
        <v>315000</v>
      </c>
      <c r="AA65" s="7">
        <v>315000</v>
      </c>
      <c r="AB65" s="9">
        <v>19.938475561126001</v>
      </c>
      <c r="AC65" s="9">
        <v>19.938475561126001</v>
      </c>
      <c r="AD65" s="9">
        <v>19.938475561126001</v>
      </c>
      <c r="AE65" s="9">
        <v>19.938475561126001</v>
      </c>
      <c r="AF65" s="9">
        <v>19.938475561126001</v>
      </c>
      <c r="AG65" s="9">
        <v>19.938475561126001</v>
      </c>
      <c r="AH65" s="9">
        <v>19.938475561126001</v>
      </c>
      <c r="AI65" s="9">
        <v>19.938475561126001</v>
      </c>
      <c r="AJ65" s="9">
        <v>19.938475561126001</v>
      </c>
      <c r="AK65" s="9">
        <v>19.938475561126001</v>
      </c>
      <c r="AL65" s="9">
        <v>19.938475561126001</v>
      </c>
      <c r="AM65" s="9">
        <v>19.938475561126001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0">
        <v>0</v>
      </c>
      <c r="AT65" s="10">
        <v>0</v>
      </c>
      <c r="AU65" s="10">
        <v>0</v>
      </c>
      <c r="AV65" s="10">
        <v>0</v>
      </c>
      <c r="AW65" s="10">
        <v>0</v>
      </c>
      <c r="AX65" s="10">
        <v>3</v>
      </c>
      <c r="AY65" s="10">
        <v>0</v>
      </c>
      <c r="AZ65" s="7">
        <f t="shared" si="4"/>
        <v>3</v>
      </c>
      <c r="BA65" s="11">
        <f t="shared" si="5"/>
        <v>0.25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  <c r="BM65" s="12">
        <v>59.815426683376998</v>
      </c>
      <c r="BN65" s="12">
        <v>0</v>
      </c>
      <c r="BO65" s="12">
        <f t="shared" si="6"/>
        <v>59.815426683376998</v>
      </c>
      <c r="BP65" s="12">
        <f t="shared" si="7"/>
        <v>4.9846188902814168</v>
      </c>
      <c r="BQ65" s="7"/>
      <c r="BR65" s="7"/>
      <c r="BS65" s="7" t="s">
        <v>51</v>
      </c>
      <c r="BT65" s="7" t="s">
        <v>52</v>
      </c>
      <c r="BU65" s="7">
        <v>15</v>
      </c>
      <c r="BV65" s="7">
        <v>10</v>
      </c>
      <c r="BW65" s="7">
        <v>5</v>
      </c>
      <c r="BX65" s="7">
        <v>20</v>
      </c>
      <c r="BY65" s="7">
        <v>5</v>
      </c>
      <c r="BZ65" s="7"/>
    </row>
    <row r="66" spans="1:78" x14ac:dyDescent="0.35">
      <c r="A66" s="7" t="s">
        <v>41</v>
      </c>
      <c r="B66" s="7"/>
      <c r="C66" s="7" t="s">
        <v>188</v>
      </c>
      <c r="D66" s="7" t="s">
        <v>189</v>
      </c>
      <c r="E66" s="7" t="s">
        <v>190</v>
      </c>
      <c r="F66" s="7" t="s">
        <v>191</v>
      </c>
      <c r="G66" s="7" t="s">
        <v>46</v>
      </c>
      <c r="H66" s="7"/>
      <c r="I66" s="7"/>
      <c r="J66" s="7" t="s">
        <v>47</v>
      </c>
      <c r="K66" s="7" t="s">
        <v>48</v>
      </c>
      <c r="L66" s="7" t="s">
        <v>49</v>
      </c>
      <c r="M66" s="7" t="s">
        <v>49</v>
      </c>
      <c r="N66" s="7" t="s">
        <v>50</v>
      </c>
      <c r="O66" s="7" t="s">
        <v>4</v>
      </c>
      <c r="P66" s="7">
        <v>50000</v>
      </c>
      <c r="Q66" s="7">
        <v>50000</v>
      </c>
      <c r="R66" s="7">
        <v>50000</v>
      </c>
      <c r="S66" s="7">
        <v>50000</v>
      </c>
      <c r="T66" s="7">
        <v>50000</v>
      </c>
      <c r="U66" s="7">
        <v>50000</v>
      </c>
      <c r="V66" s="7">
        <v>50000</v>
      </c>
      <c r="W66" s="7">
        <v>50000</v>
      </c>
      <c r="X66" s="7">
        <v>50000</v>
      </c>
      <c r="Y66" s="7">
        <v>50000</v>
      </c>
      <c r="Z66" s="7">
        <v>50000</v>
      </c>
      <c r="AA66" s="7">
        <v>50000</v>
      </c>
      <c r="AB66" s="9">
        <v>3.1648373906548999</v>
      </c>
      <c r="AC66" s="9">
        <v>3.1648373906548999</v>
      </c>
      <c r="AD66" s="9">
        <v>3.1648373906548999</v>
      </c>
      <c r="AE66" s="9">
        <v>3.1648373906548999</v>
      </c>
      <c r="AF66" s="9">
        <v>3.1648373906548999</v>
      </c>
      <c r="AG66" s="9">
        <v>3.1648373906548999</v>
      </c>
      <c r="AH66" s="9">
        <v>3.1648373906548999</v>
      </c>
      <c r="AI66" s="9">
        <v>3.1648373906548999</v>
      </c>
      <c r="AJ66" s="9">
        <v>3.1648373906548999</v>
      </c>
      <c r="AK66" s="9">
        <v>3.1648373906548999</v>
      </c>
      <c r="AL66" s="9">
        <v>3.1648373906548999</v>
      </c>
      <c r="AM66" s="9">
        <v>3.1648373906548999</v>
      </c>
      <c r="AN66" s="10">
        <v>0</v>
      </c>
      <c r="AO66" s="10">
        <v>0</v>
      </c>
      <c r="AP66" s="10">
        <v>0</v>
      </c>
      <c r="AQ66" s="10">
        <v>0</v>
      </c>
      <c r="AR66" s="10">
        <v>0</v>
      </c>
      <c r="AS66" s="10">
        <v>0</v>
      </c>
      <c r="AT66" s="10">
        <v>0</v>
      </c>
      <c r="AU66" s="10">
        <v>0</v>
      </c>
      <c r="AV66" s="10">
        <v>0</v>
      </c>
      <c r="AW66" s="10">
        <v>0</v>
      </c>
      <c r="AX66" s="10">
        <v>15</v>
      </c>
      <c r="AY66" s="10">
        <v>0</v>
      </c>
      <c r="AZ66" s="7">
        <f t="shared" si="4"/>
        <v>15</v>
      </c>
      <c r="BA66" s="11">
        <f t="shared" si="5"/>
        <v>1.25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  <c r="BM66" s="12">
        <v>47.472560859822998</v>
      </c>
      <c r="BN66" s="12">
        <v>0</v>
      </c>
      <c r="BO66" s="12">
        <f t="shared" si="6"/>
        <v>47.472560859822998</v>
      </c>
      <c r="BP66" s="12">
        <f t="shared" si="7"/>
        <v>3.9560467383185833</v>
      </c>
      <c r="BQ66" s="7"/>
      <c r="BR66" s="7"/>
      <c r="BS66" s="7" t="s">
        <v>57</v>
      </c>
      <c r="BT66" s="7" t="s">
        <v>52</v>
      </c>
      <c r="BU66" s="7">
        <v>0</v>
      </c>
      <c r="BV66" s="7">
        <v>10</v>
      </c>
      <c r="BW66" s="7">
        <v>0</v>
      </c>
      <c r="BX66" s="7">
        <v>10</v>
      </c>
      <c r="BY66" s="7">
        <v>5</v>
      </c>
      <c r="BZ66" s="7"/>
    </row>
    <row r="67" spans="1:78" x14ac:dyDescent="0.35">
      <c r="A67" s="7" t="s">
        <v>41</v>
      </c>
      <c r="B67" s="7"/>
      <c r="C67" s="7" t="s">
        <v>192</v>
      </c>
      <c r="D67" s="7" t="s">
        <v>193</v>
      </c>
      <c r="E67" s="7" t="s">
        <v>193</v>
      </c>
      <c r="F67" s="7" t="s">
        <v>194</v>
      </c>
      <c r="G67" s="7" t="s">
        <v>46</v>
      </c>
      <c r="H67" s="7"/>
      <c r="I67" s="7"/>
      <c r="J67" s="7" t="s">
        <v>47</v>
      </c>
      <c r="K67" s="7" t="s">
        <v>48</v>
      </c>
      <c r="L67" s="7" t="s">
        <v>49</v>
      </c>
      <c r="M67" s="7" t="s">
        <v>49</v>
      </c>
      <c r="N67" s="7" t="s">
        <v>195</v>
      </c>
      <c r="O67" s="7" t="s">
        <v>4</v>
      </c>
      <c r="P67" s="7">
        <v>5000000</v>
      </c>
      <c r="Q67" s="7">
        <v>5000000</v>
      </c>
      <c r="R67" s="7">
        <v>5000000</v>
      </c>
      <c r="S67" s="7">
        <v>5000000</v>
      </c>
      <c r="T67" s="7">
        <v>5000000</v>
      </c>
      <c r="U67" s="7">
        <v>5000000</v>
      </c>
      <c r="V67" s="7">
        <v>5000000</v>
      </c>
      <c r="W67" s="7">
        <v>5000000</v>
      </c>
      <c r="X67" s="7">
        <v>5000000</v>
      </c>
      <c r="Y67" s="7">
        <v>5000000</v>
      </c>
      <c r="Z67" s="7">
        <v>5000000</v>
      </c>
      <c r="AA67" s="7">
        <v>5000000</v>
      </c>
      <c r="AB67" s="9">
        <v>316.48373906549</v>
      </c>
      <c r="AC67" s="9">
        <v>316.48373906549</v>
      </c>
      <c r="AD67" s="9">
        <v>316.48373906549</v>
      </c>
      <c r="AE67" s="9">
        <v>316.48373906549</v>
      </c>
      <c r="AF67" s="9">
        <v>316.48373906549</v>
      </c>
      <c r="AG67" s="9">
        <v>316.48373906549</v>
      </c>
      <c r="AH67" s="9">
        <v>316.48373906549</v>
      </c>
      <c r="AI67" s="9">
        <v>316.48373906549</v>
      </c>
      <c r="AJ67" s="9">
        <v>316.48373906549</v>
      </c>
      <c r="AK67" s="9">
        <v>316.48373906549</v>
      </c>
      <c r="AL67" s="9">
        <v>316.48373906549</v>
      </c>
      <c r="AM67" s="9">
        <v>316.48373906549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0">
        <v>0</v>
      </c>
      <c r="AT67" s="10">
        <v>0</v>
      </c>
      <c r="AU67" s="10">
        <v>0</v>
      </c>
      <c r="AV67" s="10">
        <v>0</v>
      </c>
      <c r="AW67" s="10">
        <v>0</v>
      </c>
      <c r="AX67" s="10">
        <v>0</v>
      </c>
      <c r="AY67" s="10">
        <v>1</v>
      </c>
      <c r="AZ67" s="7">
        <f t="shared" si="4"/>
        <v>1</v>
      </c>
      <c r="BA67" s="11">
        <f t="shared" si="5"/>
        <v>8.3333333333333329E-2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316.48373906549</v>
      </c>
      <c r="BO67" s="12">
        <f t="shared" si="6"/>
        <v>316.48373906549</v>
      </c>
      <c r="BP67" s="12">
        <f t="shared" si="7"/>
        <v>26.373644922124168</v>
      </c>
      <c r="BQ67" s="7"/>
      <c r="BR67" s="7"/>
      <c r="BS67" s="7" t="s">
        <v>57</v>
      </c>
      <c r="BT67" s="7" t="s">
        <v>52</v>
      </c>
      <c r="BU67" s="7">
        <v>0</v>
      </c>
      <c r="BV67" s="7">
        <v>10</v>
      </c>
      <c r="BW67" s="7">
        <v>0</v>
      </c>
      <c r="BX67" s="7">
        <v>10</v>
      </c>
      <c r="BY67" s="7">
        <v>5</v>
      </c>
      <c r="BZ67" s="7"/>
    </row>
    <row r="68" spans="1:78" x14ac:dyDescent="0.35">
      <c r="A68" s="7" t="s">
        <v>41</v>
      </c>
      <c r="B68" s="7"/>
      <c r="C68" s="7" t="s">
        <v>119</v>
      </c>
      <c r="D68" s="7" t="s">
        <v>59</v>
      </c>
      <c r="E68" s="7" t="s">
        <v>120</v>
      </c>
      <c r="F68" s="7" t="s">
        <v>61</v>
      </c>
      <c r="G68" s="7" t="s">
        <v>46</v>
      </c>
      <c r="H68" s="7"/>
      <c r="I68" s="7"/>
      <c r="J68" s="7" t="s">
        <v>47</v>
      </c>
      <c r="K68" s="7" t="s">
        <v>48</v>
      </c>
      <c r="L68" s="7" t="s">
        <v>49</v>
      </c>
      <c r="M68" s="7" t="s">
        <v>49</v>
      </c>
      <c r="N68" s="7" t="s">
        <v>62</v>
      </c>
      <c r="O68" s="7" t="s">
        <v>4</v>
      </c>
      <c r="P68" s="7">
        <v>12500</v>
      </c>
      <c r="Q68" s="7">
        <v>12500</v>
      </c>
      <c r="R68" s="7">
        <v>12500</v>
      </c>
      <c r="S68" s="7">
        <v>12500</v>
      </c>
      <c r="T68" s="7">
        <v>12500</v>
      </c>
      <c r="U68" s="7">
        <v>12500</v>
      </c>
      <c r="V68" s="7">
        <v>12500</v>
      </c>
      <c r="W68" s="7">
        <v>12500</v>
      </c>
      <c r="X68" s="7">
        <v>12500</v>
      </c>
      <c r="Y68" s="7">
        <v>12500</v>
      </c>
      <c r="Z68" s="7">
        <v>12500</v>
      </c>
      <c r="AA68" s="7">
        <v>12500</v>
      </c>
      <c r="AB68" s="9">
        <v>0.79120934766371998</v>
      </c>
      <c r="AC68" s="9">
        <v>0.79120934766371998</v>
      </c>
      <c r="AD68" s="9">
        <v>0.79120934766371998</v>
      </c>
      <c r="AE68" s="9">
        <v>0.79120934766371998</v>
      </c>
      <c r="AF68" s="9">
        <v>0.79120934766371998</v>
      </c>
      <c r="AG68" s="9">
        <v>0.79120934766371998</v>
      </c>
      <c r="AH68" s="9">
        <v>0.79120934766371998</v>
      </c>
      <c r="AI68" s="9">
        <v>0.79120934766371998</v>
      </c>
      <c r="AJ68" s="9">
        <v>0.79120934766371998</v>
      </c>
      <c r="AK68" s="9">
        <v>0.79120934766371998</v>
      </c>
      <c r="AL68" s="9">
        <v>0.79120934766371998</v>
      </c>
      <c r="AM68" s="9">
        <v>0.79120934766371998</v>
      </c>
      <c r="AN68" s="10">
        <v>0</v>
      </c>
      <c r="AO68" s="10">
        <v>0</v>
      </c>
      <c r="AP68" s="10">
        <v>0</v>
      </c>
      <c r="AQ68" s="10">
        <v>0</v>
      </c>
      <c r="AR68" s="10">
        <v>3</v>
      </c>
      <c r="AS68" s="10">
        <v>0</v>
      </c>
      <c r="AT68" s="10">
        <v>0</v>
      </c>
      <c r="AU68" s="10">
        <v>0</v>
      </c>
      <c r="AV68" s="10">
        <v>0</v>
      </c>
      <c r="AW68" s="10">
        <v>0</v>
      </c>
      <c r="AX68" s="10">
        <v>0</v>
      </c>
      <c r="AY68" s="10">
        <v>0</v>
      </c>
      <c r="AZ68" s="7">
        <f t="shared" si="4"/>
        <v>3</v>
      </c>
      <c r="BA68" s="11">
        <f t="shared" si="5"/>
        <v>0.25</v>
      </c>
      <c r="BC68" s="12">
        <v>0</v>
      </c>
      <c r="BD68" s="12">
        <v>0</v>
      </c>
      <c r="BE68" s="12">
        <v>0</v>
      </c>
      <c r="BF68" s="12">
        <v>0</v>
      </c>
      <c r="BG68" s="12">
        <v>2.3736280429912</v>
      </c>
      <c r="BH68" s="12">
        <v>0</v>
      </c>
      <c r="BI68" s="12">
        <v>0</v>
      </c>
      <c r="BJ68" s="12">
        <v>0</v>
      </c>
      <c r="BK68" s="12">
        <v>0</v>
      </c>
      <c r="BL68" s="12">
        <v>0</v>
      </c>
      <c r="BM68" s="12">
        <v>0</v>
      </c>
      <c r="BN68" s="12">
        <v>0</v>
      </c>
      <c r="BO68" s="12">
        <f t="shared" si="6"/>
        <v>2.3736280429912</v>
      </c>
      <c r="BP68" s="12">
        <f t="shared" si="7"/>
        <v>0.19780233691593332</v>
      </c>
      <c r="BQ68" s="7"/>
      <c r="BR68" s="7"/>
      <c r="BS68" s="7" t="s">
        <v>63</v>
      </c>
      <c r="BT68" s="7" t="s">
        <v>52</v>
      </c>
      <c r="BU68" s="7">
        <v>0</v>
      </c>
      <c r="BV68" s="7">
        <v>10</v>
      </c>
      <c r="BW68" s="7">
        <v>0</v>
      </c>
      <c r="BX68" s="7">
        <v>0</v>
      </c>
      <c r="BY68" s="7">
        <v>5</v>
      </c>
      <c r="BZ68" s="7"/>
    </row>
    <row r="69" spans="1:78" x14ac:dyDescent="0.35">
      <c r="A69" s="7" t="s">
        <v>41</v>
      </c>
      <c r="B69" s="7"/>
      <c r="C69" s="7" t="s">
        <v>196</v>
      </c>
      <c r="D69" s="7" t="s">
        <v>79</v>
      </c>
      <c r="E69" s="7" t="s">
        <v>197</v>
      </c>
      <c r="F69" s="7" t="s">
        <v>121</v>
      </c>
      <c r="G69" s="7" t="s">
        <v>46</v>
      </c>
      <c r="H69" s="7"/>
      <c r="I69" s="7"/>
      <c r="J69" s="7" t="s">
        <v>47</v>
      </c>
      <c r="K69" s="7" t="s">
        <v>48</v>
      </c>
      <c r="L69" s="7" t="s">
        <v>49</v>
      </c>
      <c r="M69" s="7" t="s">
        <v>49</v>
      </c>
      <c r="N69" s="7" t="s">
        <v>85</v>
      </c>
      <c r="O69" s="7" t="s">
        <v>6</v>
      </c>
      <c r="P69" s="7">
        <v>28000</v>
      </c>
      <c r="Q69" s="7">
        <v>28000</v>
      </c>
      <c r="R69" s="7">
        <v>28000</v>
      </c>
      <c r="S69" s="7">
        <v>28000</v>
      </c>
      <c r="T69" s="7">
        <v>28000</v>
      </c>
      <c r="U69" s="7">
        <v>28000</v>
      </c>
      <c r="V69" s="7">
        <v>28000</v>
      </c>
      <c r="W69" s="7">
        <v>28000</v>
      </c>
      <c r="X69" s="7">
        <v>28000</v>
      </c>
      <c r="Y69" s="7">
        <v>28000</v>
      </c>
      <c r="Z69" s="7">
        <v>28000</v>
      </c>
      <c r="AA69" s="7">
        <v>28000</v>
      </c>
      <c r="AB69" s="9">
        <v>185.43046357616001</v>
      </c>
      <c r="AC69" s="9">
        <v>185.43046357616001</v>
      </c>
      <c r="AD69" s="9">
        <v>185.43046357616001</v>
      </c>
      <c r="AE69" s="9">
        <v>185.43046357616001</v>
      </c>
      <c r="AF69" s="9">
        <v>185.43046357616001</v>
      </c>
      <c r="AG69" s="9">
        <v>185.43046357616001</v>
      </c>
      <c r="AH69" s="9">
        <v>185.43046357616001</v>
      </c>
      <c r="AI69" s="9">
        <v>185.43046357616001</v>
      </c>
      <c r="AJ69" s="9">
        <v>185.43046357616001</v>
      </c>
      <c r="AK69" s="9">
        <v>185.43046357616001</v>
      </c>
      <c r="AL69" s="9">
        <v>185.43046357616001</v>
      </c>
      <c r="AM69" s="9">
        <v>185.43046357616001</v>
      </c>
      <c r="AN69" s="10">
        <v>0</v>
      </c>
      <c r="AO69" s="10">
        <v>0</v>
      </c>
      <c r="AP69" s="10">
        <v>0</v>
      </c>
      <c r="AQ69" s="10">
        <v>0</v>
      </c>
      <c r="AR69" s="10">
        <v>0</v>
      </c>
      <c r="AS69" s="10">
        <v>0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4</v>
      </c>
      <c r="AZ69" s="7">
        <f t="shared" si="4"/>
        <v>4</v>
      </c>
      <c r="BA69" s="11">
        <f t="shared" si="5"/>
        <v>0.33333333333333331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741.72185430464003</v>
      </c>
      <c r="BO69" s="12">
        <f t="shared" si="6"/>
        <v>741.72185430464003</v>
      </c>
      <c r="BP69" s="12">
        <f t="shared" si="7"/>
        <v>61.810154525386672</v>
      </c>
      <c r="BQ69" s="7"/>
      <c r="BR69" s="7"/>
      <c r="BS69" s="7" t="s">
        <v>80</v>
      </c>
      <c r="BT69" s="7" t="s">
        <v>52</v>
      </c>
      <c r="BU69" s="7">
        <v>0</v>
      </c>
      <c r="BV69" s="7">
        <v>5</v>
      </c>
      <c r="BW69" s="7">
        <v>0</v>
      </c>
      <c r="BX69" s="7">
        <v>15</v>
      </c>
      <c r="BY69" s="7">
        <v>15</v>
      </c>
      <c r="BZ69" s="7"/>
    </row>
    <row r="70" spans="1:78" x14ac:dyDescent="0.35">
      <c r="A70" s="7" t="s">
        <v>41</v>
      </c>
      <c r="B70" s="7"/>
      <c r="C70" s="7" t="s">
        <v>198</v>
      </c>
      <c r="D70" s="7" t="s">
        <v>73</v>
      </c>
      <c r="E70" s="7" t="s">
        <v>199</v>
      </c>
      <c r="F70" s="7" t="s">
        <v>75</v>
      </c>
      <c r="G70" s="7" t="s">
        <v>46</v>
      </c>
      <c r="H70" s="7"/>
      <c r="I70" s="7"/>
      <c r="J70" s="7" t="s">
        <v>47</v>
      </c>
      <c r="K70" s="7" t="s">
        <v>48</v>
      </c>
      <c r="L70" s="7" t="s">
        <v>49</v>
      </c>
      <c r="M70" s="7" t="s">
        <v>49</v>
      </c>
      <c r="N70" s="7" t="s">
        <v>76</v>
      </c>
      <c r="O70" s="7" t="s">
        <v>6</v>
      </c>
      <c r="P70" s="7">
        <v>50000</v>
      </c>
      <c r="Q70" s="7">
        <v>50000</v>
      </c>
      <c r="R70" s="7">
        <v>50000</v>
      </c>
      <c r="S70" s="7">
        <v>50000</v>
      </c>
      <c r="T70" s="7">
        <v>50000</v>
      </c>
      <c r="U70" s="7">
        <v>50000</v>
      </c>
      <c r="V70" s="7">
        <v>50000</v>
      </c>
      <c r="W70" s="7">
        <v>50000</v>
      </c>
      <c r="X70" s="7">
        <v>50000</v>
      </c>
      <c r="Y70" s="7">
        <v>50000</v>
      </c>
      <c r="Z70" s="7">
        <v>50000</v>
      </c>
      <c r="AA70" s="7">
        <v>50000</v>
      </c>
      <c r="AB70" s="9">
        <v>331.12582781457002</v>
      </c>
      <c r="AC70" s="9">
        <v>331.12582781457002</v>
      </c>
      <c r="AD70" s="9">
        <v>331.12582781457002</v>
      </c>
      <c r="AE70" s="9">
        <v>331.12582781457002</v>
      </c>
      <c r="AF70" s="9">
        <v>331.12582781457002</v>
      </c>
      <c r="AG70" s="9">
        <v>331.12582781457002</v>
      </c>
      <c r="AH70" s="9">
        <v>331.12582781457002</v>
      </c>
      <c r="AI70" s="9">
        <v>331.12582781457002</v>
      </c>
      <c r="AJ70" s="9">
        <v>331.12582781457002</v>
      </c>
      <c r="AK70" s="9">
        <v>331.12582781457002</v>
      </c>
      <c r="AL70" s="9">
        <v>331.12582781457002</v>
      </c>
      <c r="AM70" s="9">
        <v>331.12582781457002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0">
        <v>0</v>
      </c>
      <c r="AT70" s="10">
        <v>0</v>
      </c>
      <c r="AU70" s="10">
        <v>6</v>
      </c>
      <c r="AV70" s="10">
        <v>0</v>
      </c>
      <c r="AW70" s="10">
        <v>0</v>
      </c>
      <c r="AX70" s="10">
        <v>0</v>
      </c>
      <c r="AY70" s="10">
        <v>6</v>
      </c>
      <c r="AZ70" s="7">
        <f t="shared" si="4"/>
        <v>12</v>
      </c>
      <c r="BA70" s="11">
        <f t="shared" si="5"/>
        <v>1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1986.7549668874001</v>
      </c>
      <c r="BK70" s="12">
        <v>0</v>
      </c>
      <c r="BL70" s="12">
        <v>0</v>
      </c>
      <c r="BM70" s="12">
        <v>0</v>
      </c>
      <c r="BN70" s="12">
        <v>1986.7549668874001</v>
      </c>
      <c r="BO70" s="12">
        <f t="shared" si="6"/>
        <v>3973.5099337748002</v>
      </c>
      <c r="BP70" s="12">
        <f t="shared" si="7"/>
        <v>331.12582781456666</v>
      </c>
      <c r="BQ70" s="7"/>
      <c r="BR70" s="7"/>
      <c r="BS70" s="7" t="s">
        <v>63</v>
      </c>
      <c r="BT70" s="7" t="s">
        <v>52</v>
      </c>
      <c r="BU70" s="7">
        <v>0</v>
      </c>
      <c r="BV70" s="7">
        <v>10</v>
      </c>
      <c r="BW70" s="7">
        <v>0</v>
      </c>
      <c r="BX70" s="7">
        <v>0</v>
      </c>
      <c r="BY70" s="7">
        <v>5</v>
      </c>
      <c r="BZ70" s="7"/>
    </row>
    <row r="71" spans="1:78" x14ac:dyDescent="0.35">
      <c r="A71" s="7" t="s">
        <v>41</v>
      </c>
      <c r="B71" s="7"/>
      <c r="C71" s="7" t="s">
        <v>200</v>
      </c>
      <c r="D71" s="7" t="s">
        <v>73</v>
      </c>
      <c r="E71" s="7" t="s">
        <v>201</v>
      </c>
      <c r="F71" s="7" t="s">
        <v>75</v>
      </c>
      <c r="G71" s="7" t="s">
        <v>46</v>
      </c>
      <c r="H71" s="7"/>
      <c r="I71" s="7"/>
      <c r="J71" s="7" t="s">
        <v>47</v>
      </c>
      <c r="K71" s="7" t="s">
        <v>48</v>
      </c>
      <c r="L71" s="7" t="s">
        <v>49</v>
      </c>
      <c r="M71" s="7" t="s">
        <v>49</v>
      </c>
      <c r="N71" s="7" t="s">
        <v>76</v>
      </c>
      <c r="O71" s="7" t="s">
        <v>6</v>
      </c>
      <c r="P71" s="7">
        <v>29320.5</v>
      </c>
      <c r="Q71" s="7">
        <v>29320.5</v>
      </c>
      <c r="R71" s="7">
        <v>29320.5</v>
      </c>
      <c r="S71" s="7">
        <v>29320.5</v>
      </c>
      <c r="T71" s="7">
        <v>29320.5</v>
      </c>
      <c r="U71" s="7">
        <v>29320.5</v>
      </c>
      <c r="V71" s="7">
        <v>29320.5</v>
      </c>
      <c r="W71" s="7">
        <v>29320.5</v>
      </c>
      <c r="X71" s="7">
        <v>29320.5</v>
      </c>
      <c r="Y71" s="7">
        <v>29320.5</v>
      </c>
      <c r="Z71" s="7">
        <v>29320.5</v>
      </c>
      <c r="AA71" s="7">
        <v>29320.5</v>
      </c>
      <c r="AB71" s="9">
        <v>194.17549668874</v>
      </c>
      <c r="AC71" s="9">
        <v>194.17549668874</v>
      </c>
      <c r="AD71" s="9">
        <v>194.17549668874</v>
      </c>
      <c r="AE71" s="9">
        <v>194.17549668874</v>
      </c>
      <c r="AF71" s="9">
        <v>194.17549668874</v>
      </c>
      <c r="AG71" s="9">
        <v>194.17549668874</v>
      </c>
      <c r="AH71" s="9">
        <v>194.17549668874</v>
      </c>
      <c r="AI71" s="9">
        <v>194.17549668874</v>
      </c>
      <c r="AJ71" s="9">
        <v>194.17549668874</v>
      </c>
      <c r="AK71" s="9">
        <v>194.17549668874</v>
      </c>
      <c r="AL71" s="9">
        <v>194.17549668874</v>
      </c>
      <c r="AM71" s="9">
        <v>194.17549668874</v>
      </c>
      <c r="AN71" s="10">
        <v>0</v>
      </c>
      <c r="AO71" s="10">
        <v>0</v>
      </c>
      <c r="AP71" s="10">
        <v>0</v>
      </c>
      <c r="AQ71" s="10">
        <v>0</v>
      </c>
      <c r="AR71" s="10">
        <v>0</v>
      </c>
      <c r="AS71" s="10">
        <v>0</v>
      </c>
      <c r="AT71" s="10">
        <v>0</v>
      </c>
      <c r="AU71" s="10">
        <v>1</v>
      </c>
      <c r="AV71" s="10">
        <v>0</v>
      </c>
      <c r="AW71" s="10">
        <v>0</v>
      </c>
      <c r="AX71" s="10">
        <v>0</v>
      </c>
      <c r="AY71" s="10">
        <v>0</v>
      </c>
      <c r="AZ71" s="7">
        <f t="shared" si="4"/>
        <v>1</v>
      </c>
      <c r="BA71" s="11">
        <f t="shared" si="5"/>
        <v>8.3333333333333329E-2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194.17549668874</v>
      </c>
      <c r="BK71" s="12">
        <v>0</v>
      </c>
      <c r="BL71" s="12">
        <v>0</v>
      </c>
      <c r="BM71" s="12">
        <v>0</v>
      </c>
      <c r="BN71" s="12">
        <v>0</v>
      </c>
      <c r="BO71" s="12">
        <f t="shared" si="6"/>
        <v>194.17549668874</v>
      </c>
      <c r="BP71" s="12">
        <f t="shared" si="7"/>
        <v>16.181291390728333</v>
      </c>
      <c r="BQ71" s="7"/>
      <c r="BR71" s="7"/>
      <c r="BS71" s="7" t="s">
        <v>63</v>
      </c>
      <c r="BT71" s="7" t="s">
        <v>52</v>
      </c>
      <c r="BU71" s="7">
        <v>0</v>
      </c>
      <c r="BV71" s="7">
        <v>10</v>
      </c>
      <c r="BW71" s="7">
        <v>0</v>
      </c>
      <c r="BX71" s="7">
        <v>0</v>
      </c>
      <c r="BY71" s="7">
        <v>5</v>
      </c>
      <c r="BZ71" s="7"/>
    </row>
    <row r="72" spans="1:78" x14ac:dyDescent="0.35">
      <c r="A72" s="7" t="s">
        <v>41</v>
      </c>
      <c r="B72" s="7"/>
      <c r="C72" s="7" t="s">
        <v>202</v>
      </c>
      <c r="D72" s="7" t="s">
        <v>203</v>
      </c>
      <c r="E72" s="7" t="s">
        <v>204</v>
      </c>
      <c r="F72" s="7" t="s">
        <v>205</v>
      </c>
      <c r="G72" s="7" t="s">
        <v>46</v>
      </c>
      <c r="H72" s="7"/>
      <c r="I72" s="7"/>
      <c r="J72" s="7" t="s">
        <v>47</v>
      </c>
      <c r="K72" s="7" t="s">
        <v>48</v>
      </c>
      <c r="L72" s="7" t="s">
        <v>49</v>
      </c>
      <c r="M72" s="7" t="s">
        <v>49</v>
      </c>
      <c r="N72" s="7" t="s">
        <v>50</v>
      </c>
      <c r="O72" s="7" t="s">
        <v>4</v>
      </c>
      <c r="P72" s="7">
        <v>36000</v>
      </c>
      <c r="Q72" s="7">
        <v>36000</v>
      </c>
      <c r="R72" s="7">
        <v>36000</v>
      </c>
      <c r="S72" s="7">
        <v>36000</v>
      </c>
      <c r="T72" s="7">
        <v>36000</v>
      </c>
      <c r="U72" s="7">
        <v>36000</v>
      </c>
      <c r="V72" s="7">
        <v>37000</v>
      </c>
      <c r="W72" s="7">
        <v>37000</v>
      </c>
      <c r="X72" s="7">
        <v>37000</v>
      </c>
      <c r="Y72" s="7">
        <v>37000</v>
      </c>
      <c r="Z72" s="7">
        <v>37000</v>
      </c>
      <c r="AA72" s="7">
        <v>37000</v>
      </c>
      <c r="AB72" s="9">
        <v>2.2786829212714999</v>
      </c>
      <c r="AC72" s="9">
        <v>2.2786829212714999</v>
      </c>
      <c r="AD72" s="9">
        <v>2.2786829212714999</v>
      </c>
      <c r="AE72" s="9">
        <v>2.2786829212714999</v>
      </c>
      <c r="AF72" s="9">
        <v>2.2786829212714999</v>
      </c>
      <c r="AG72" s="9">
        <v>2.2786829212714999</v>
      </c>
      <c r="AH72" s="9">
        <v>2.3419796690846</v>
      </c>
      <c r="AI72" s="9">
        <v>2.3419796690846</v>
      </c>
      <c r="AJ72" s="9">
        <v>2.3419796690846</v>
      </c>
      <c r="AK72" s="9">
        <v>2.3419796690846</v>
      </c>
      <c r="AL72" s="9">
        <v>2.3419796690846</v>
      </c>
      <c r="AM72" s="9">
        <v>2.3419796690846</v>
      </c>
      <c r="AN72" s="10">
        <v>1</v>
      </c>
      <c r="AO72" s="10">
        <v>0</v>
      </c>
      <c r="AP72" s="10">
        <v>0</v>
      </c>
      <c r="AQ72" s="10">
        <v>0</v>
      </c>
      <c r="AR72" s="10">
        <v>0</v>
      </c>
      <c r="AS72" s="10">
        <v>0</v>
      </c>
      <c r="AT72" s="10">
        <v>0</v>
      </c>
      <c r="AU72" s="10">
        <v>0</v>
      </c>
      <c r="AV72" s="10">
        <v>0</v>
      </c>
      <c r="AW72" s="10">
        <v>0</v>
      </c>
      <c r="AX72" s="10">
        <v>0</v>
      </c>
      <c r="AY72" s="10">
        <v>0</v>
      </c>
      <c r="AZ72" s="7">
        <f t="shared" si="4"/>
        <v>1</v>
      </c>
      <c r="BA72" s="11">
        <f t="shared" si="5"/>
        <v>8.3333333333333329E-2</v>
      </c>
      <c r="BC72" s="12">
        <v>2.2786829212714999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0</v>
      </c>
      <c r="BM72" s="12">
        <v>0</v>
      </c>
      <c r="BN72" s="12">
        <v>0</v>
      </c>
      <c r="BO72" s="12">
        <f t="shared" si="6"/>
        <v>2.2786829212714999</v>
      </c>
      <c r="BP72" s="12">
        <f t="shared" si="7"/>
        <v>0.18989024343929164</v>
      </c>
      <c r="BQ72" s="7"/>
      <c r="BR72" s="7"/>
      <c r="BS72" s="7" t="s">
        <v>51</v>
      </c>
      <c r="BT72" s="7" t="s">
        <v>206</v>
      </c>
      <c r="BU72" s="7">
        <v>15</v>
      </c>
      <c r="BV72" s="7">
        <v>20</v>
      </c>
      <c r="BW72" s="7">
        <v>5</v>
      </c>
      <c r="BX72" s="7">
        <v>60</v>
      </c>
      <c r="BY72" s="7">
        <v>10</v>
      </c>
      <c r="BZ72" s="7"/>
    </row>
    <row r="73" spans="1:78" x14ac:dyDescent="0.35">
      <c r="A73" s="7" t="s">
        <v>41</v>
      </c>
      <c r="B73" s="7"/>
      <c r="C73" s="7" t="s">
        <v>207</v>
      </c>
      <c r="D73" s="7" t="s">
        <v>59</v>
      </c>
      <c r="E73" s="7" t="s">
        <v>208</v>
      </c>
      <c r="F73" s="7" t="s">
        <v>97</v>
      </c>
      <c r="G73" s="7" t="s">
        <v>46</v>
      </c>
      <c r="H73" s="7"/>
      <c r="I73" s="7"/>
      <c r="J73" s="7" t="s">
        <v>47</v>
      </c>
      <c r="K73" s="7" t="s">
        <v>48</v>
      </c>
      <c r="L73" s="7" t="s">
        <v>49</v>
      </c>
      <c r="M73" s="7" t="s">
        <v>49</v>
      </c>
      <c r="N73" s="7" t="s">
        <v>85</v>
      </c>
      <c r="O73" s="7" t="s">
        <v>4</v>
      </c>
      <c r="P73" s="7">
        <v>2500000</v>
      </c>
      <c r="Q73" s="7">
        <v>2500000</v>
      </c>
      <c r="R73" s="7">
        <v>2500000</v>
      </c>
      <c r="S73" s="7">
        <v>2500000</v>
      </c>
      <c r="T73" s="7">
        <v>2500000</v>
      </c>
      <c r="U73" s="7">
        <v>2500000</v>
      </c>
      <c r="V73" s="7">
        <v>2500000</v>
      </c>
      <c r="W73" s="7">
        <v>2500000</v>
      </c>
      <c r="X73" s="7">
        <v>2500000</v>
      </c>
      <c r="Y73" s="7">
        <v>2500000</v>
      </c>
      <c r="Z73" s="7">
        <v>2500000</v>
      </c>
      <c r="AA73" s="7">
        <v>2500000</v>
      </c>
      <c r="AB73" s="9">
        <v>158.24186953274</v>
      </c>
      <c r="AC73" s="9">
        <v>158.24186953274</v>
      </c>
      <c r="AD73" s="9">
        <v>158.24186953274</v>
      </c>
      <c r="AE73" s="9">
        <v>158.24186953274</v>
      </c>
      <c r="AF73" s="9">
        <v>158.24186953274</v>
      </c>
      <c r="AG73" s="9">
        <v>158.24186953274</v>
      </c>
      <c r="AH73" s="9">
        <v>158.24186953274</v>
      </c>
      <c r="AI73" s="9">
        <v>158.24186953274</v>
      </c>
      <c r="AJ73" s="9">
        <v>158.24186953274</v>
      </c>
      <c r="AK73" s="9">
        <v>158.24186953274</v>
      </c>
      <c r="AL73" s="9">
        <v>158.24186953274</v>
      </c>
      <c r="AM73" s="9">
        <v>158.24186953274</v>
      </c>
      <c r="AN73" s="10">
        <v>0</v>
      </c>
      <c r="AO73" s="10">
        <v>0</v>
      </c>
      <c r="AP73" s="10">
        <v>0</v>
      </c>
      <c r="AQ73" s="10">
        <v>0</v>
      </c>
      <c r="AR73" s="10">
        <v>7</v>
      </c>
      <c r="AS73" s="10">
        <v>0</v>
      </c>
      <c r="AT73" s="10">
        <v>0</v>
      </c>
      <c r="AU73" s="10">
        <v>0</v>
      </c>
      <c r="AV73" s="10">
        <v>0</v>
      </c>
      <c r="AW73" s="10">
        <v>0</v>
      </c>
      <c r="AX73" s="10">
        <v>0</v>
      </c>
      <c r="AY73" s="10">
        <v>0</v>
      </c>
      <c r="AZ73" s="7">
        <f t="shared" si="4"/>
        <v>7</v>
      </c>
      <c r="BA73" s="11">
        <f t="shared" si="5"/>
        <v>0.58333333333333337</v>
      </c>
      <c r="BC73" s="12">
        <v>0</v>
      </c>
      <c r="BD73" s="12">
        <v>0</v>
      </c>
      <c r="BE73" s="12">
        <v>0</v>
      </c>
      <c r="BF73" s="12">
        <v>0</v>
      </c>
      <c r="BG73" s="12">
        <v>1107.6930867292001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f t="shared" si="6"/>
        <v>1107.6930867292001</v>
      </c>
      <c r="BP73" s="12">
        <f t="shared" si="7"/>
        <v>92.307757227433342</v>
      </c>
      <c r="BQ73" s="7"/>
      <c r="BR73" s="7"/>
      <c r="BS73" s="7" t="s">
        <v>63</v>
      </c>
      <c r="BT73" s="7" t="s">
        <v>52</v>
      </c>
      <c r="BU73" s="7">
        <v>0</v>
      </c>
      <c r="BV73" s="7">
        <v>10</v>
      </c>
      <c r="BW73" s="7">
        <v>0</v>
      </c>
      <c r="BX73" s="7">
        <v>0</v>
      </c>
      <c r="BY73" s="7">
        <v>5</v>
      </c>
      <c r="BZ73" s="7"/>
    </row>
    <row r="74" spans="1:78" x14ac:dyDescent="0.35">
      <c r="A74" s="7" t="s">
        <v>41</v>
      </c>
      <c r="B74" s="7"/>
      <c r="C74" s="7" t="s">
        <v>209</v>
      </c>
      <c r="D74" s="7" t="s">
        <v>210</v>
      </c>
      <c r="E74" s="7" t="s">
        <v>211</v>
      </c>
      <c r="F74" s="7" t="s">
        <v>104</v>
      </c>
      <c r="G74" s="7" t="s">
        <v>46</v>
      </c>
      <c r="H74" s="7"/>
      <c r="I74" s="7"/>
      <c r="J74" s="7" t="s">
        <v>47</v>
      </c>
      <c r="K74" s="7" t="s">
        <v>48</v>
      </c>
      <c r="L74" s="7" t="s">
        <v>49</v>
      </c>
      <c r="M74" s="7" t="s">
        <v>49</v>
      </c>
      <c r="N74" s="7" t="s">
        <v>85</v>
      </c>
      <c r="O74" s="7" t="s">
        <v>4</v>
      </c>
      <c r="P74" s="7">
        <v>250000</v>
      </c>
      <c r="Q74" s="7">
        <v>250000</v>
      </c>
      <c r="R74" s="7">
        <v>250000</v>
      </c>
      <c r="S74" s="7">
        <v>250000</v>
      </c>
      <c r="T74" s="7">
        <v>250000</v>
      </c>
      <c r="U74" s="7">
        <v>250000</v>
      </c>
      <c r="V74" s="7">
        <v>250000</v>
      </c>
      <c r="W74" s="7">
        <v>250000</v>
      </c>
      <c r="X74" s="7">
        <v>250000</v>
      </c>
      <c r="Y74" s="7">
        <v>250000</v>
      </c>
      <c r="Z74" s="7">
        <v>250000</v>
      </c>
      <c r="AA74" s="7">
        <v>250000</v>
      </c>
      <c r="AB74" s="9">
        <v>15.824186953273999</v>
      </c>
      <c r="AC74" s="9">
        <v>15.824186953273999</v>
      </c>
      <c r="AD74" s="9">
        <v>15.824186953273999</v>
      </c>
      <c r="AE74" s="9">
        <v>15.824186953273999</v>
      </c>
      <c r="AF74" s="9">
        <v>15.824186953273999</v>
      </c>
      <c r="AG74" s="9">
        <v>15.824186953273999</v>
      </c>
      <c r="AH74" s="9">
        <v>15.824186953273999</v>
      </c>
      <c r="AI74" s="9">
        <v>15.824186953273999</v>
      </c>
      <c r="AJ74" s="9">
        <v>15.824186953273999</v>
      </c>
      <c r="AK74" s="9">
        <v>15.824186953273999</v>
      </c>
      <c r="AL74" s="9">
        <v>15.824186953273999</v>
      </c>
      <c r="AM74" s="9">
        <v>15.824186953273999</v>
      </c>
      <c r="AN74" s="10">
        <v>0</v>
      </c>
      <c r="AO74" s="10">
        <v>0</v>
      </c>
      <c r="AP74" s="10">
        <v>17</v>
      </c>
      <c r="AQ74" s="10">
        <v>0</v>
      </c>
      <c r="AR74" s="10">
        <v>0</v>
      </c>
      <c r="AS74" s="10">
        <v>0</v>
      </c>
      <c r="AT74" s="10">
        <v>0</v>
      </c>
      <c r="AU74" s="10">
        <v>0</v>
      </c>
      <c r="AV74" s="10">
        <v>0</v>
      </c>
      <c r="AW74" s="10">
        <v>0</v>
      </c>
      <c r="AX74" s="10">
        <v>0</v>
      </c>
      <c r="AY74" s="10">
        <v>0</v>
      </c>
      <c r="AZ74" s="7">
        <f t="shared" si="4"/>
        <v>17</v>
      </c>
      <c r="BA74" s="11">
        <f t="shared" si="5"/>
        <v>1.4166666666666667</v>
      </c>
      <c r="BC74" s="12">
        <v>0</v>
      </c>
      <c r="BD74" s="12">
        <v>0</v>
      </c>
      <c r="BE74" s="12">
        <v>269.01117820565997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0</v>
      </c>
      <c r="BM74" s="12">
        <v>0</v>
      </c>
      <c r="BN74" s="12">
        <v>0</v>
      </c>
      <c r="BO74" s="12">
        <f t="shared" si="6"/>
        <v>269.01117820565997</v>
      </c>
      <c r="BP74" s="12">
        <f t="shared" si="7"/>
        <v>22.417598183804998</v>
      </c>
      <c r="BQ74" s="7"/>
      <c r="BR74" s="7"/>
      <c r="BS74" s="7" t="s">
        <v>57</v>
      </c>
      <c r="BT74" s="7" t="s">
        <v>52</v>
      </c>
      <c r="BU74" s="7">
        <v>0</v>
      </c>
      <c r="BV74" s="7">
        <v>10</v>
      </c>
      <c r="BW74" s="7">
        <v>0</v>
      </c>
      <c r="BX74" s="7">
        <v>10</v>
      </c>
      <c r="BY74" s="7">
        <v>5</v>
      </c>
      <c r="BZ74" s="7"/>
    </row>
    <row r="75" spans="1:78" x14ac:dyDescent="0.35">
      <c r="A75" s="7" t="s">
        <v>41</v>
      </c>
      <c r="B75" s="7"/>
      <c r="C75" s="7" t="s">
        <v>212</v>
      </c>
      <c r="D75" s="7" t="s">
        <v>73</v>
      </c>
      <c r="E75" s="7" t="s">
        <v>213</v>
      </c>
      <c r="F75" s="7" t="s">
        <v>75</v>
      </c>
      <c r="G75" s="7" t="s">
        <v>46</v>
      </c>
      <c r="H75" s="7"/>
      <c r="I75" s="7"/>
      <c r="J75" s="7" t="s">
        <v>47</v>
      </c>
      <c r="K75" s="7" t="s">
        <v>48</v>
      </c>
      <c r="L75" s="7" t="s">
        <v>49</v>
      </c>
      <c r="M75" s="7" t="s">
        <v>49</v>
      </c>
      <c r="N75" s="7" t="s">
        <v>76</v>
      </c>
      <c r="O75" s="7" t="s">
        <v>6</v>
      </c>
      <c r="P75" s="7">
        <v>309760</v>
      </c>
      <c r="Q75" s="7">
        <v>309760</v>
      </c>
      <c r="R75" s="7">
        <v>309760</v>
      </c>
      <c r="S75" s="7">
        <v>309760</v>
      </c>
      <c r="T75" s="7">
        <v>309760</v>
      </c>
      <c r="U75" s="7">
        <v>309760</v>
      </c>
      <c r="V75" s="7">
        <v>309760</v>
      </c>
      <c r="W75" s="7">
        <v>309760</v>
      </c>
      <c r="X75" s="7">
        <v>309760</v>
      </c>
      <c r="Y75" s="7">
        <v>309760</v>
      </c>
      <c r="Z75" s="7">
        <v>309760</v>
      </c>
      <c r="AA75" s="7">
        <v>309760</v>
      </c>
      <c r="AB75" s="9">
        <v>2051.3907284768002</v>
      </c>
      <c r="AC75" s="9">
        <v>2051.3907284768002</v>
      </c>
      <c r="AD75" s="9">
        <v>2051.3907284768002</v>
      </c>
      <c r="AE75" s="9">
        <v>2051.3907284768002</v>
      </c>
      <c r="AF75" s="9">
        <v>2051.3907284768002</v>
      </c>
      <c r="AG75" s="9">
        <v>2051.3907284768002</v>
      </c>
      <c r="AH75" s="9">
        <v>2051.3907284768002</v>
      </c>
      <c r="AI75" s="9">
        <v>2051.3907284768002</v>
      </c>
      <c r="AJ75" s="9">
        <v>2051.3907284768002</v>
      </c>
      <c r="AK75" s="9">
        <v>2051.3907284768002</v>
      </c>
      <c r="AL75" s="9">
        <v>2051.3907284768002</v>
      </c>
      <c r="AM75" s="9">
        <v>2051.3907284768002</v>
      </c>
      <c r="AN75" s="10">
        <v>0</v>
      </c>
      <c r="AO75" s="10">
        <v>0</v>
      </c>
      <c r="AP75" s="10">
        <v>0</v>
      </c>
      <c r="AQ75" s="10">
        <v>0</v>
      </c>
      <c r="AR75" s="10">
        <v>0</v>
      </c>
      <c r="AS75" s="10">
        <v>0</v>
      </c>
      <c r="AT75" s="10">
        <v>0</v>
      </c>
      <c r="AU75" s="10">
        <v>1</v>
      </c>
      <c r="AV75" s="10">
        <v>0</v>
      </c>
      <c r="AW75" s="10">
        <v>0</v>
      </c>
      <c r="AX75" s="10">
        <v>0</v>
      </c>
      <c r="AY75" s="10">
        <v>0</v>
      </c>
      <c r="AZ75" s="7">
        <f t="shared" si="4"/>
        <v>1</v>
      </c>
      <c r="BA75" s="11">
        <f t="shared" si="5"/>
        <v>8.3333333333333329E-2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2051.3907284768002</v>
      </c>
      <c r="BK75" s="12">
        <v>0</v>
      </c>
      <c r="BL75" s="12">
        <v>0</v>
      </c>
      <c r="BM75" s="12">
        <v>0</v>
      </c>
      <c r="BN75" s="12">
        <v>0</v>
      </c>
      <c r="BO75" s="12">
        <f t="shared" si="6"/>
        <v>2051.3907284768002</v>
      </c>
      <c r="BP75" s="12">
        <f t="shared" si="7"/>
        <v>170.94922737306669</v>
      </c>
      <c r="BQ75" s="7"/>
      <c r="BR75" s="7"/>
      <c r="BS75" s="7" t="s">
        <v>63</v>
      </c>
      <c r="BT75" s="7" t="s">
        <v>52</v>
      </c>
      <c r="BU75" s="7">
        <v>0</v>
      </c>
      <c r="BV75" s="7">
        <v>10</v>
      </c>
      <c r="BW75" s="7">
        <v>0</v>
      </c>
      <c r="BX75" s="7">
        <v>0</v>
      </c>
      <c r="BY75" s="7">
        <v>5</v>
      </c>
      <c r="BZ75" s="7"/>
    </row>
    <row r="76" spans="1:78" x14ac:dyDescent="0.35">
      <c r="A76" s="7" t="s">
        <v>41</v>
      </c>
      <c r="B76" s="7"/>
      <c r="C76" s="7" t="s">
        <v>214</v>
      </c>
      <c r="D76" s="7" t="s">
        <v>170</v>
      </c>
      <c r="E76" s="7" t="s">
        <v>215</v>
      </c>
      <c r="F76" s="7" t="s">
        <v>216</v>
      </c>
      <c r="G76" s="7" t="s">
        <v>46</v>
      </c>
      <c r="H76" s="7"/>
      <c r="I76" s="7"/>
      <c r="J76" s="7" t="s">
        <v>47</v>
      </c>
      <c r="K76" s="7" t="s">
        <v>48</v>
      </c>
      <c r="L76" s="7" t="s">
        <v>49</v>
      </c>
      <c r="M76" s="7" t="s">
        <v>49</v>
      </c>
      <c r="N76" s="7" t="s">
        <v>173</v>
      </c>
      <c r="O76" s="7" t="s">
        <v>4</v>
      </c>
      <c r="P76" s="7">
        <v>180000</v>
      </c>
      <c r="Q76" s="7">
        <v>180000</v>
      </c>
      <c r="R76" s="7">
        <v>180000</v>
      </c>
      <c r="S76" s="7">
        <v>180000</v>
      </c>
      <c r="T76" s="7">
        <v>180000</v>
      </c>
      <c r="U76" s="7">
        <v>180000</v>
      </c>
      <c r="V76" s="7">
        <v>180000</v>
      </c>
      <c r="W76" s="7">
        <v>180000</v>
      </c>
      <c r="X76" s="7">
        <v>180000</v>
      </c>
      <c r="Y76" s="7">
        <v>180000</v>
      </c>
      <c r="Z76" s="7">
        <v>180000</v>
      </c>
      <c r="AA76" s="7">
        <v>180000</v>
      </c>
      <c r="AB76" s="9">
        <v>11.393414606358</v>
      </c>
      <c r="AC76" s="9">
        <v>11.393414606358</v>
      </c>
      <c r="AD76" s="9">
        <v>11.393414606358</v>
      </c>
      <c r="AE76" s="9">
        <v>11.393414606358</v>
      </c>
      <c r="AF76" s="9">
        <v>11.393414606358</v>
      </c>
      <c r="AG76" s="9">
        <v>11.393414606358</v>
      </c>
      <c r="AH76" s="9">
        <v>11.393414606358</v>
      </c>
      <c r="AI76" s="9">
        <v>11.393414606358</v>
      </c>
      <c r="AJ76" s="9">
        <v>11.393414606358</v>
      </c>
      <c r="AK76" s="9">
        <v>11.393414606358</v>
      </c>
      <c r="AL76" s="9">
        <v>11.393414606358</v>
      </c>
      <c r="AM76" s="9">
        <v>11.393414606358</v>
      </c>
      <c r="AN76" s="10">
        <v>1</v>
      </c>
      <c r="AO76" s="10">
        <v>0</v>
      </c>
      <c r="AP76" s="10">
        <v>0</v>
      </c>
      <c r="AQ76" s="10">
        <v>0</v>
      </c>
      <c r="AR76" s="10">
        <v>0</v>
      </c>
      <c r="AS76" s="10">
        <v>0</v>
      </c>
      <c r="AT76" s="10">
        <v>0</v>
      </c>
      <c r="AU76" s="10">
        <v>0</v>
      </c>
      <c r="AV76" s="10">
        <v>0</v>
      </c>
      <c r="AW76" s="10">
        <v>0</v>
      </c>
      <c r="AX76" s="10">
        <v>0</v>
      </c>
      <c r="AY76" s="10">
        <v>0</v>
      </c>
      <c r="AZ76" s="7">
        <f t="shared" si="4"/>
        <v>1</v>
      </c>
      <c r="BA76" s="11">
        <f t="shared" si="5"/>
        <v>8.3333333333333329E-2</v>
      </c>
      <c r="BC76" s="12">
        <v>11.393414606358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f t="shared" si="6"/>
        <v>11.393414606358</v>
      </c>
      <c r="BP76" s="12">
        <f t="shared" si="7"/>
        <v>0.94945121719650005</v>
      </c>
      <c r="BQ76" s="7"/>
      <c r="BR76" s="7"/>
      <c r="BS76" s="7" t="s">
        <v>51</v>
      </c>
      <c r="BT76" s="7" t="s">
        <v>52</v>
      </c>
      <c r="BU76" s="7">
        <v>15</v>
      </c>
      <c r="BV76" s="7">
        <v>10</v>
      </c>
      <c r="BW76" s="7">
        <v>5</v>
      </c>
      <c r="BX76" s="7">
        <v>20</v>
      </c>
      <c r="BY76" s="7">
        <v>5</v>
      </c>
      <c r="BZ76" s="7"/>
    </row>
    <row r="77" spans="1:78" x14ac:dyDescent="0.35">
      <c r="A77" s="7" t="s">
        <v>41</v>
      </c>
      <c r="B77" s="7"/>
      <c r="C77" s="7" t="s">
        <v>217</v>
      </c>
      <c r="D77" s="7" t="s">
        <v>175</v>
      </c>
      <c r="E77" s="7" t="s">
        <v>218</v>
      </c>
      <c r="F77" s="7" t="s">
        <v>219</v>
      </c>
      <c r="G77" s="7" t="s">
        <v>46</v>
      </c>
      <c r="H77" s="7"/>
      <c r="I77" s="7"/>
      <c r="J77" s="7" t="s">
        <v>47</v>
      </c>
      <c r="K77" s="7" t="s">
        <v>48</v>
      </c>
      <c r="L77" s="7" t="s">
        <v>49</v>
      </c>
      <c r="M77" s="7" t="s">
        <v>49</v>
      </c>
      <c r="N77" s="7" t="s">
        <v>220</v>
      </c>
      <c r="O77" s="7" t="s">
        <v>4</v>
      </c>
      <c r="P77" s="7">
        <v>13694</v>
      </c>
      <c r="Q77" s="7">
        <v>13694</v>
      </c>
      <c r="R77" s="7">
        <v>13694</v>
      </c>
      <c r="S77" s="7">
        <v>13694</v>
      </c>
      <c r="T77" s="7">
        <v>13694</v>
      </c>
      <c r="U77" s="7">
        <v>13694</v>
      </c>
      <c r="V77" s="7">
        <v>13694</v>
      </c>
      <c r="W77" s="7">
        <v>13694</v>
      </c>
      <c r="X77" s="7">
        <v>13694</v>
      </c>
      <c r="Y77" s="7">
        <v>13694</v>
      </c>
      <c r="Z77" s="7">
        <v>13694</v>
      </c>
      <c r="AA77" s="7">
        <v>13694</v>
      </c>
      <c r="AB77" s="9">
        <v>0.86678566455256001</v>
      </c>
      <c r="AC77" s="9">
        <v>0.86678566455256001</v>
      </c>
      <c r="AD77" s="9">
        <v>0.86678566455256001</v>
      </c>
      <c r="AE77" s="9">
        <v>0.86678566455256001</v>
      </c>
      <c r="AF77" s="9">
        <v>0.86678566455256001</v>
      </c>
      <c r="AG77" s="9">
        <v>0.86678566455256001</v>
      </c>
      <c r="AH77" s="9">
        <v>0.86678566455256001</v>
      </c>
      <c r="AI77" s="9">
        <v>0.86678566455256001</v>
      </c>
      <c r="AJ77" s="9">
        <v>0.86678566455256001</v>
      </c>
      <c r="AK77" s="9">
        <v>0.86678566455256001</v>
      </c>
      <c r="AL77" s="9">
        <v>0.86678566455256001</v>
      </c>
      <c r="AM77" s="9">
        <v>0.86678566455256001</v>
      </c>
      <c r="AN77" s="10">
        <v>0</v>
      </c>
      <c r="AO77" s="10">
        <v>8</v>
      </c>
      <c r="AP77" s="10">
        <v>0</v>
      </c>
      <c r="AQ77" s="10">
        <v>0</v>
      </c>
      <c r="AR77" s="10">
        <v>0</v>
      </c>
      <c r="AS77" s="10">
        <v>0</v>
      </c>
      <c r="AT77" s="10">
        <v>8</v>
      </c>
      <c r="AU77" s="10">
        <v>0</v>
      </c>
      <c r="AV77" s="10">
        <v>0</v>
      </c>
      <c r="AW77" s="10">
        <v>0</v>
      </c>
      <c r="AX77" s="10">
        <v>0</v>
      </c>
      <c r="AY77" s="10">
        <v>0</v>
      </c>
      <c r="AZ77" s="7">
        <f t="shared" ref="AZ77:AZ108" si="8">SUM(AN77:AY77)</f>
        <v>16</v>
      </c>
      <c r="BA77" s="11">
        <f t="shared" ref="BA77:BA108" si="9">AZ77/12</f>
        <v>1.3333333333333333</v>
      </c>
      <c r="BC77" s="12">
        <v>0</v>
      </c>
      <c r="BD77" s="12">
        <v>6.9342853164204001</v>
      </c>
      <c r="BE77" s="12">
        <v>0</v>
      </c>
      <c r="BF77" s="12">
        <v>0</v>
      </c>
      <c r="BG77" s="12">
        <v>0</v>
      </c>
      <c r="BH77" s="12">
        <v>0</v>
      </c>
      <c r="BI77" s="12">
        <v>6.9342853164204001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f t="shared" ref="BO77:BO108" si="10">SUM(BC77:BN77)</f>
        <v>13.8685706328408</v>
      </c>
      <c r="BP77" s="12">
        <f t="shared" ref="BP77:BP108" si="11">BO77/12</f>
        <v>1.1557142194034</v>
      </c>
      <c r="BQ77" s="7"/>
      <c r="BR77" s="7"/>
      <c r="BS77" s="7" t="s">
        <v>51</v>
      </c>
      <c r="BT77" s="7" t="s">
        <v>52</v>
      </c>
      <c r="BU77" s="7">
        <v>15</v>
      </c>
      <c r="BV77" s="7">
        <v>10</v>
      </c>
      <c r="BW77" s="7">
        <v>5</v>
      </c>
      <c r="BX77" s="7">
        <v>20</v>
      </c>
      <c r="BY77" s="7">
        <v>5</v>
      </c>
      <c r="BZ77" s="7"/>
    </row>
    <row r="78" spans="1:78" x14ac:dyDescent="0.35">
      <c r="A78" s="7" t="s">
        <v>41</v>
      </c>
      <c r="B78" s="7"/>
      <c r="C78" s="7" t="s">
        <v>221</v>
      </c>
      <c r="D78" s="7" t="s">
        <v>65</v>
      </c>
      <c r="E78" s="7" t="s">
        <v>222</v>
      </c>
      <c r="F78" s="7" t="s">
        <v>121</v>
      </c>
      <c r="G78" s="7" t="s">
        <v>46</v>
      </c>
      <c r="H78" s="7"/>
      <c r="I78" s="7"/>
      <c r="J78" s="7" t="s">
        <v>47</v>
      </c>
      <c r="K78" s="7" t="s">
        <v>48</v>
      </c>
      <c r="L78" s="7" t="s">
        <v>49</v>
      </c>
      <c r="M78" s="7" t="s">
        <v>49</v>
      </c>
      <c r="N78" s="7" t="s">
        <v>68</v>
      </c>
      <c r="O78" s="7" t="s">
        <v>4</v>
      </c>
      <c r="P78" s="7">
        <v>150000</v>
      </c>
      <c r="Q78" s="7">
        <v>150000</v>
      </c>
      <c r="R78" s="7">
        <v>150000</v>
      </c>
      <c r="S78" s="7">
        <v>150000</v>
      </c>
      <c r="T78" s="7">
        <v>150000</v>
      </c>
      <c r="U78" s="7">
        <v>150000</v>
      </c>
      <c r="V78" s="7">
        <v>150000</v>
      </c>
      <c r="W78" s="7">
        <v>150000</v>
      </c>
      <c r="X78" s="7">
        <v>150000</v>
      </c>
      <c r="Y78" s="7">
        <v>150000</v>
      </c>
      <c r="Z78" s="7">
        <v>150000</v>
      </c>
      <c r="AA78" s="7">
        <v>150000</v>
      </c>
      <c r="AB78" s="9">
        <v>9.4945121719645993</v>
      </c>
      <c r="AC78" s="9">
        <v>9.4945121719645993</v>
      </c>
      <c r="AD78" s="9">
        <v>9.4945121719645993</v>
      </c>
      <c r="AE78" s="9">
        <v>9.4945121719645993</v>
      </c>
      <c r="AF78" s="9">
        <v>9.4945121719645993</v>
      </c>
      <c r="AG78" s="9">
        <v>9.4945121719645993</v>
      </c>
      <c r="AH78" s="9">
        <v>9.4945121719645993</v>
      </c>
      <c r="AI78" s="9">
        <v>9.4945121719645993</v>
      </c>
      <c r="AJ78" s="9">
        <v>9.4945121719645993</v>
      </c>
      <c r="AK78" s="9">
        <v>9.4945121719645993</v>
      </c>
      <c r="AL78" s="9">
        <v>9.4945121719645993</v>
      </c>
      <c r="AM78" s="9">
        <v>9.4945121719645993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0">
        <v>10</v>
      </c>
      <c r="AY78" s="10">
        <v>0</v>
      </c>
      <c r="AZ78" s="7">
        <f t="shared" si="8"/>
        <v>10</v>
      </c>
      <c r="BA78" s="11">
        <f t="shared" si="9"/>
        <v>0.83333333333333337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0</v>
      </c>
      <c r="BM78" s="12">
        <v>94.945121719645996</v>
      </c>
      <c r="BN78" s="12">
        <v>0</v>
      </c>
      <c r="BO78" s="12">
        <f t="shared" si="10"/>
        <v>94.945121719645996</v>
      </c>
      <c r="BP78" s="12">
        <f t="shared" si="11"/>
        <v>7.9120934766371667</v>
      </c>
      <c r="BQ78" s="7"/>
      <c r="BR78" s="7"/>
      <c r="BS78" s="7" t="s">
        <v>63</v>
      </c>
      <c r="BT78" s="7" t="s">
        <v>52</v>
      </c>
      <c r="BU78" s="7">
        <v>0</v>
      </c>
      <c r="BV78" s="7">
        <v>10</v>
      </c>
      <c r="BW78" s="7">
        <v>0</v>
      </c>
      <c r="BX78" s="7">
        <v>0</v>
      </c>
      <c r="BY78" s="7">
        <v>5</v>
      </c>
      <c r="BZ78" s="7"/>
    </row>
    <row r="79" spans="1:78" x14ac:dyDescent="0.35">
      <c r="A79" s="7" t="s">
        <v>41</v>
      </c>
      <c r="B79" s="7"/>
      <c r="C79" s="7" t="s">
        <v>223</v>
      </c>
      <c r="D79" s="7" t="s">
        <v>65</v>
      </c>
      <c r="E79" s="7" t="s">
        <v>224</v>
      </c>
      <c r="F79" s="7" t="s">
        <v>79</v>
      </c>
      <c r="G79" s="7" t="s">
        <v>46</v>
      </c>
      <c r="H79" s="7"/>
      <c r="I79" s="7"/>
      <c r="J79" s="7" t="s">
        <v>47</v>
      </c>
      <c r="K79" s="7" t="s">
        <v>48</v>
      </c>
      <c r="L79" s="7" t="s">
        <v>49</v>
      </c>
      <c r="M79" s="7" t="s">
        <v>49</v>
      </c>
      <c r="N79" s="7" t="s">
        <v>50</v>
      </c>
      <c r="O79" s="7" t="s">
        <v>4</v>
      </c>
      <c r="P79" s="7">
        <v>1000000</v>
      </c>
      <c r="Q79" s="7">
        <v>1000000</v>
      </c>
      <c r="R79" s="7">
        <v>1000000</v>
      </c>
      <c r="S79" s="7">
        <v>1000000</v>
      </c>
      <c r="T79" s="7">
        <v>1000000</v>
      </c>
      <c r="U79" s="7">
        <v>1000000</v>
      </c>
      <c r="V79" s="7">
        <v>1000000</v>
      </c>
      <c r="W79" s="7">
        <v>1000000</v>
      </c>
      <c r="X79" s="7">
        <v>1000000</v>
      </c>
      <c r="Y79" s="7">
        <v>1000000</v>
      </c>
      <c r="Z79" s="7">
        <v>1000000</v>
      </c>
      <c r="AA79" s="7">
        <v>1000000</v>
      </c>
      <c r="AB79" s="9">
        <v>63.296747813096999</v>
      </c>
      <c r="AC79" s="9">
        <v>63.296747813096999</v>
      </c>
      <c r="AD79" s="9">
        <v>63.296747813096999</v>
      </c>
      <c r="AE79" s="9">
        <v>63.296747813096999</v>
      </c>
      <c r="AF79" s="9">
        <v>63.296747813096999</v>
      </c>
      <c r="AG79" s="9">
        <v>63.296747813096999</v>
      </c>
      <c r="AH79" s="9">
        <v>63.296747813096999</v>
      </c>
      <c r="AI79" s="9">
        <v>63.296747813096999</v>
      </c>
      <c r="AJ79" s="9">
        <v>63.296747813096999</v>
      </c>
      <c r="AK79" s="9">
        <v>63.296747813096999</v>
      </c>
      <c r="AL79" s="9">
        <v>63.296747813096999</v>
      </c>
      <c r="AM79" s="9">
        <v>63.296747813096999</v>
      </c>
      <c r="AN79" s="10">
        <v>0</v>
      </c>
      <c r="AO79" s="10">
        <v>0</v>
      </c>
      <c r="AP79" s="10">
        <v>1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7">
        <f t="shared" si="8"/>
        <v>1</v>
      </c>
      <c r="BA79" s="11">
        <f t="shared" si="9"/>
        <v>8.3333333333333329E-2</v>
      </c>
      <c r="BC79" s="12">
        <v>0</v>
      </c>
      <c r="BD79" s="12">
        <v>0</v>
      </c>
      <c r="BE79" s="12">
        <v>63.296747813096999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0</v>
      </c>
      <c r="BN79" s="12">
        <v>0</v>
      </c>
      <c r="BO79" s="12">
        <f t="shared" si="10"/>
        <v>63.296747813096999</v>
      </c>
      <c r="BP79" s="12">
        <f t="shared" si="11"/>
        <v>5.2747289844247502</v>
      </c>
      <c r="BQ79" s="7"/>
      <c r="BR79" s="7"/>
      <c r="BS79" s="7" t="s">
        <v>51</v>
      </c>
      <c r="BT79" s="7" t="s">
        <v>52</v>
      </c>
      <c r="BU79" s="7">
        <v>15</v>
      </c>
      <c r="BV79" s="7">
        <v>10</v>
      </c>
      <c r="BW79" s="7">
        <v>5</v>
      </c>
      <c r="BX79" s="7">
        <v>20</v>
      </c>
      <c r="BY79" s="7">
        <v>5</v>
      </c>
      <c r="BZ79" s="7"/>
    </row>
    <row r="80" spans="1:78" x14ac:dyDescent="0.35">
      <c r="A80" s="7" t="s">
        <v>41</v>
      </c>
      <c r="B80" s="7"/>
      <c r="C80" s="7" t="s">
        <v>225</v>
      </c>
      <c r="D80" s="7" t="s">
        <v>110</v>
      </c>
      <c r="E80" s="7" t="s">
        <v>226</v>
      </c>
      <c r="F80" s="7" t="s">
        <v>112</v>
      </c>
      <c r="G80" s="7" t="s">
        <v>46</v>
      </c>
      <c r="H80" s="7"/>
      <c r="I80" s="7"/>
      <c r="J80" s="7" t="s">
        <v>47</v>
      </c>
      <c r="K80" s="7" t="s">
        <v>48</v>
      </c>
      <c r="L80" s="7" t="s">
        <v>49</v>
      </c>
      <c r="M80" s="7" t="s">
        <v>49</v>
      </c>
      <c r="N80" s="7" t="s">
        <v>85</v>
      </c>
      <c r="O80" s="7" t="s">
        <v>4</v>
      </c>
      <c r="P80" s="7">
        <v>300000</v>
      </c>
      <c r="Q80" s="7">
        <v>300000</v>
      </c>
      <c r="R80" s="7">
        <v>300000</v>
      </c>
      <c r="S80" s="7">
        <v>300000</v>
      </c>
      <c r="T80" s="7">
        <v>300000</v>
      </c>
      <c r="U80" s="7">
        <v>300000</v>
      </c>
      <c r="V80" s="7">
        <v>300000</v>
      </c>
      <c r="W80" s="7">
        <v>300000</v>
      </c>
      <c r="X80" s="7">
        <v>300000</v>
      </c>
      <c r="Y80" s="7">
        <v>300000</v>
      </c>
      <c r="Z80" s="7">
        <v>300000</v>
      </c>
      <c r="AA80" s="7">
        <v>300000</v>
      </c>
      <c r="AB80" s="9">
        <v>18.989024343929</v>
      </c>
      <c r="AC80" s="9">
        <v>18.989024343929</v>
      </c>
      <c r="AD80" s="9">
        <v>18.989024343929</v>
      </c>
      <c r="AE80" s="9">
        <v>18.989024343929</v>
      </c>
      <c r="AF80" s="9">
        <v>18.989024343929</v>
      </c>
      <c r="AG80" s="9">
        <v>18.989024343929</v>
      </c>
      <c r="AH80" s="9">
        <v>18.989024343929</v>
      </c>
      <c r="AI80" s="9">
        <v>18.989024343929</v>
      </c>
      <c r="AJ80" s="9">
        <v>18.989024343929</v>
      </c>
      <c r="AK80" s="9">
        <v>18.989024343929</v>
      </c>
      <c r="AL80" s="9">
        <v>18.989024343929</v>
      </c>
      <c r="AM80" s="9">
        <v>18.989024343929</v>
      </c>
      <c r="AN80" s="10">
        <v>2</v>
      </c>
      <c r="AO80" s="10">
        <v>0</v>
      </c>
      <c r="AP80" s="10">
        <v>0</v>
      </c>
      <c r="AQ80" s="10">
        <v>2</v>
      </c>
      <c r="AR80" s="10">
        <v>0</v>
      </c>
      <c r="AS80" s="10">
        <v>0</v>
      </c>
      <c r="AT80" s="10">
        <v>2</v>
      </c>
      <c r="AU80" s="10">
        <v>0</v>
      </c>
      <c r="AV80" s="10">
        <v>0</v>
      </c>
      <c r="AW80" s="10">
        <v>2</v>
      </c>
      <c r="AX80" s="10">
        <v>0</v>
      </c>
      <c r="AY80" s="10">
        <v>0</v>
      </c>
      <c r="AZ80" s="7">
        <f t="shared" si="8"/>
        <v>8</v>
      </c>
      <c r="BA80" s="11">
        <f t="shared" si="9"/>
        <v>0.66666666666666663</v>
      </c>
      <c r="BC80" s="12">
        <v>37.978048687857999</v>
      </c>
      <c r="BD80" s="12">
        <v>0</v>
      </c>
      <c r="BE80" s="12">
        <v>0</v>
      </c>
      <c r="BF80" s="12">
        <v>37.978048687857999</v>
      </c>
      <c r="BG80" s="12">
        <v>0</v>
      </c>
      <c r="BH80" s="12">
        <v>0</v>
      </c>
      <c r="BI80" s="12">
        <v>37.978048687857999</v>
      </c>
      <c r="BJ80" s="12">
        <v>0</v>
      </c>
      <c r="BK80" s="12">
        <v>0</v>
      </c>
      <c r="BL80" s="12">
        <v>37.978048687857999</v>
      </c>
      <c r="BM80" s="12">
        <v>0</v>
      </c>
      <c r="BN80" s="12">
        <v>0</v>
      </c>
      <c r="BO80" s="12">
        <f t="shared" si="10"/>
        <v>151.912194751432</v>
      </c>
      <c r="BP80" s="12">
        <f t="shared" si="11"/>
        <v>12.659349562619333</v>
      </c>
      <c r="BQ80" s="7"/>
      <c r="BR80" s="7"/>
      <c r="BS80" s="7" t="s">
        <v>57</v>
      </c>
      <c r="BT80" s="7" t="s">
        <v>52</v>
      </c>
      <c r="BU80" s="7">
        <v>0</v>
      </c>
      <c r="BV80" s="7">
        <v>10</v>
      </c>
      <c r="BW80" s="7">
        <v>0</v>
      </c>
      <c r="BX80" s="7">
        <v>10</v>
      </c>
      <c r="BY80" s="7">
        <v>5</v>
      </c>
      <c r="BZ80" s="7"/>
    </row>
    <row r="81" spans="1:78" x14ac:dyDescent="0.35">
      <c r="A81" s="7" t="s">
        <v>41</v>
      </c>
      <c r="B81" s="7"/>
      <c r="C81" s="7" t="s">
        <v>227</v>
      </c>
      <c r="D81" s="7" t="s">
        <v>101</v>
      </c>
      <c r="E81" s="7" t="s">
        <v>228</v>
      </c>
      <c r="F81" s="7" t="s">
        <v>229</v>
      </c>
      <c r="G81" s="7" t="s">
        <v>46</v>
      </c>
      <c r="H81" s="7"/>
      <c r="I81" s="7"/>
      <c r="J81" s="7" t="s">
        <v>47</v>
      </c>
      <c r="K81" s="7" t="s">
        <v>48</v>
      </c>
      <c r="L81" s="7" t="s">
        <v>49</v>
      </c>
      <c r="M81" s="7" t="s">
        <v>49</v>
      </c>
      <c r="N81" s="7" t="s">
        <v>85</v>
      </c>
      <c r="O81" s="7" t="s">
        <v>4</v>
      </c>
      <c r="P81" s="7">
        <v>600000</v>
      </c>
      <c r="Q81" s="7">
        <v>600000</v>
      </c>
      <c r="R81" s="7">
        <v>600000</v>
      </c>
      <c r="S81" s="7">
        <v>600000</v>
      </c>
      <c r="T81" s="7">
        <v>600000</v>
      </c>
      <c r="U81" s="7">
        <v>600000</v>
      </c>
      <c r="V81" s="7">
        <v>600000</v>
      </c>
      <c r="W81" s="7">
        <v>600000</v>
      </c>
      <c r="X81" s="7">
        <v>600000</v>
      </c>
      <c r="Y81" s="7">
        <v>600000</v>
      </c>
      <c r="Z81" s="7">
        <v>600000</v>
      </c>
      <c r="AA81" s="7">
        <v>600000</v>
      </c>
      <c r="AB81" s="9">
        <v>37.978048687857999</v>
      </c>
      <c r="AC81" s="9">
        <v>37.978048687857999</v>
      </c>
      <c r="AD81" s="9">
        <v>37.978048687857999</v>
      </c>
      <c r="AE81" s="9">
        <v>37.978048687857999</v>
      </c>
      <c r="AF81" s="9">
        <v>37.978048687857999</v>
      </c>
      <c r="AG81" s="9">
        <v>37.978048687857999</v>
      </c>
      <c r="AH81" s="9">
        <v>37.978048687857999</v>
      </c>
      <c r="AI81" s="9">
        <v>37.978048687857999</v>
      </c>
      <c r="AJ81" s="9">
        <v>37.978048687857999</v>
      </c>
      <c r="AK81" s="9">
        <v>37.978048687857999</v>
      </c>
      <c r="AL81" s="9">
        <v>37.978048687857999</v>
      </c>
      <c r="AM81" s="9">
        <v>37.978048687857999</v>
      </c>
      <c r="AN81" s="10">
        <v>0</v>
      </c>
      <c r="AO81" s="10">
        <v>0</v>
      </c>
      <c r="AP81" s="10">
        <v>22</v>
      </c>
      <c r="AQ81" s="10">
        <v>0</v>
      </c>
      <c r="AR81" s="10">
        <v>0</v>
      </c>
      <c r="AS81" s="10">
        <v>0</v>
      </c>
      <c r="AT81" s="10">
        <v>0</v>
      </c>
      <c r="AU81" s="10">
        <v>0</v>
      </c>
      <c r="AV81" s="10">
        <v>22</v>
      </c>
      <c r="AW81" s="10">
        <v>0</v>
      </c>
      <c r="AX81" s="10">
        <v>0</v>
      </c>
      <c r="AY81" s="10">
        <v>0</v>
      </c>
      <c r="AZ81" s="7">
        <f t="shared" si="8"/>
        <v>44</v>
      </c>
      <c r="BA81" s="11">
        <f t="shared" si="9"/>
        <v>3.6666666666666665</v>
      </c>
      <c r="BC81" s="12">
        <v>0</v>
      </c>
      <c r="BD81" s="12">
        <v>0</v>
      </c>
      <c r="BE81" s="12">
        <v>835.51707113289001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835.51707113289001</v>
      </c>
      <c r="BL81" s="12">
        <v>0</v>
      </c>
      <c r="BM81" s="12">
        <v>0</v>
      </c>
      <c r="BN81" s="12">
        <v>0</v>
      </c>
      <c r="BO81" s="12">
        <f t="shared" si="10"/>
        <v>1671.03414226578</v>
      </c>
      <c r="BP81" s="12">
        <f t="shared" si="11"/>
        <v>139.252845188815</v>
      </c>
      <c r="BQ81" s="7"/>
      <c r="BR81" s="7"/>
      <c r="BS81" s="7" t="s">
        <v>57</v>
      </c>
      <c r="BT81" s="7" t="s">
        <v>52</v>
      </c>
      <c r="BU81" s="7">
        <v>0</v>
      </c>
      <c r="BV81" s="7">
        <v>10</v>
      </c>
      <c r="BW81" s="7">
        <v>0</v>
      </c>
      <c r="BX81" s="7">
        <v>10</v>
      </c>
      <c r="BY81" s="7">
        <v>5</v>
      </c>
      <c r="BZ81" s="7"/>
    </row>
    <row r="82" spans="1:78" x14ac:dyDescent="0.35">
      <c r="A82" s="7" t="s">
        <v>41</v>
      </c>
      <c r="B82" s="7"/>
      <c r="C82" s="7" t="s">
        <v>230</v>
      </c>
      <c r="D82" s="7" t="s">
        <v>231</v>
      </c>
      <c r="E82" s="7" t="s">
        <v>231</v>
      </c>
      <c r="F82" s="7" t="s">
        <v>61</v>
      </c>
      <c r="G82" s="7" t="s">
        <v>46</v>
      </c>
      <c r="H82" s="7"/>
      <c r="I82" s="7"/>
      <c r="J82" s="7" t="s">
        <v>47</v>
      </c>
      <c r="K82" s="7" t="s">
        <v>48</v>
      </c>
      <c r="L82" s="7" t="s">
        <v>49</v>
      </c>
      <c r="M82" s="7" t="s">
        <v>49</v>
      </c>
      <c r="N82" s="7" t="s">
        <v>50</v>
      </c>
      <c r="O82" s="7" t="s">
        <v>4</v>
      </c>
      <c r="P82" s="7">
        <v>500000</v>
      </c>
      <c r="Q82" s="7">
        <v>500000</v>
      </c>
      <c r="R82" s="7">
        <v>500000</v>
      </c>
      <c r="S82" s="7">
        <v>500000</v>
      </c>
      <c r="T82" s="7">
        <v>500000</v>
      </c>
      <c r="U82" s="7">
        <v>500000</v>
      </c>
      <c r="V82" s="7">
        <v>500000</v>
      </c>
      <c r="W82" s="7">
        <v>500000</v>
      </c>
      <c r="X82" s="7">
        <v>500000</v>
      </c>
      <c r="Y82" s="7">
        <v>500000</v>
      </c>
      <c r="Z82" s="7">
        <v>500000</v>
      </c>
      <c r="AA82" s="7">
        <v>500000</v>
      </c>
      <c r="AB82" s="9">
        <v>31.648373906549001</v>
      </c>
      <c r="AC82" s="9">
        <v>31.648373906549001</v>
      </c>
      <c r="AD82" s="9">
        <v>31.648373906549001</v>
      </c>
      <c r="AE82" s="9">
        <v>31.648373906549001</v>
      </c>
      <c r="AF82" s="9">
        <v>31.648373906549001</v>
      </c>
      <c r="AG82" s="9">
        <v>31.648373906549001</v>
      </c>
      <c r="AH82" s="9">
        <v>31.648373906549001</v>
      </c>
      <c r="AI82" s="9">
        <v>31.648373906549001</v>
      </c>
      <c r="AJ82" s="9">
        <v>31.648373906549001</v>
      </c>
      <c r="AK82" s="9">
        <v>31.648373906549001</v>
      </c>
      <c r="AL82" s="9">
        <v>31.648373906549001</v>
      </c>
      <c r="AM82" s="9">
        <v>31.648373906549001</v>
      </c>
      <c r="AN82" s="10">
        <v>0</v>
      </c>
      <c r="AO82" s="10">
        <v>0</v>
      </c>
      <c r="AP82" s="10">
        <v>0</v>
      </c>
      <c r="AQ82" s="10">
        <v>0</v>
      </c>
      <c r="AR82" s="10">
        <v>2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7">
        <f t="shared" si="8"/>
        <v>2</v>
      </c>
      <c r="BA82" s="11">
        <f t="shared" si="9"/>
        <v>0.16666666666666666</v>
      </c>
      <c r="BC82" s="12">
        <v>0</v>
      </c>
      <c r="BD82" s="12">
        <v>0</v>
      </c>
      <c r="BE82" s="12">
        <v>0</v>
      </c>
      <c r="BF82" s="12">
        <v>0</v>
      </c>
      <c r="BG82" s="12">
        <v>63.296747813096999</v>
      </c>
      <c r="BH82" s="12">
        <v>0</v>
      </c>
      <c r="BI82" s="12">
        <v>0</v>
      </c>
      <c r="BJ82" s="12">
        <v>0</v>
      </c>
      <c r="BK82" s="12">
        <v>0</v>
      </c>
      <c r="BL82" s="12">
        <v>0</v>
      </c>
      <c r="BM82" s="12">
        <v>0</v>
      </c>
      <c r="BN82" s="12">
        <v>0</v>
      </c>
      <c r="BO82" s="12">
        <f t="shared" si="10"/>
        <v>63.296747813096999</v>
      </c>
      <c r="BP82" s="12">
        <f t="shared" si="11"/>
        <v>5.2747289844247502</v>
      </c>
      <c r="BQ82" s="7"/>
      <c r="BR82" s="7"/>
      <c r="BS82" s="7" t="s">
        <v>125</v>
      </c>
      <c r="BT82" s="7" t="s">
        <v>52</v>
      </c>
      <c r="BU82" s="7">
        <v>15</v>
      </c>
      <c r="BV82" s="7">
        <v>10</v>
      </c>
      <c r="BW82" s="7">
        <v>5</v>
      </c>
      <c r="BX82" s="7">
        <v>20</v>
      </c>
      <c r="BY82" s="7">
        <v>5</v>
      </c>
      <c r="BZ82" s="7"/>
    </row>
    <row r="83" spans="1:78" x14ac:dyDescent="0.35">
      <c r="A83" s="7" t="s">
        <v>41</v>
      </c>
      <c r="B83" s="7"/>
      <c r="C83" s="7" t="s">
        <v>232</v>
      </c>
      <c r="D83" s="7" t="s">
        <v>233</v>
      </c>
      <c r="E83" s="7" t="s">
        <v>234</v>
      </c>
      <c r="F83" s="7" t="s">
        <v>164</v>
      </c>
      <c r="G83" s="7" t="s">
        <v>46</v>
      </c>
      <c r="H83" s="7"/>
      <c r="I83" s="7"/>
      <c r="J83" s="7" t="s">
        <v>47</v>
      </c>
      <c r="K83" s="7" t="s">
        <v>48</v>
      </c>
      <c r="L83" s="7" t="s">
        <v>49</v>
      </c>
      <c r="M83" s="7" t="s">
        <v>49</v>
      </c>
      <c r="N83" s="7" t="s">
        <v>50</v>
      </c>
      <c r="O83" s="7" t="s">
        <v>4</v>
      </c>
      <c r="P83" s="7">
        <v>500000</v>
      </c>
      <c r="Q83" s="7">
        <v>500000</v>
      </c>
      <c r="R83" s="7">
        <v>500000</v>
      </c>
      <c r="S83" s="7">
        <v>500000</v>
      </c>
      <c r="T83" s="7">
        <v>500000</v>
      </c>
      <c r="U83" s="7">
        <v>500000</v>
      </c>
      <c r="V83" s="7">
        <v>500000</v>
      </c>
      <c r="W83" s="7">
        <v>500000</v>
      </c>
      <c r="X83" s="7">
        <v>500000</v>
      </c>
      <c r="Y83" s="7">
        <v>500000</v>
      </c>
      <c r="Z83" s="7">
        <v>500000</v>
      </c>
      <c r="AA83" s="7">
        <v>500000</v>
      </c>
      <c r="AB83" s="9">
        <v>31.648373906549001</v>
      </c>
      <c r="AC83" s="9">
        <v>31.648373906549001</v>
      </c>
      <c r="AD83" s="9">
        <v>31.648373906549001</v>
      </c>
      <c r="AE83" s="9">
        <v>31.648373906549001</v>
      </c>
      <c r="AF83" s="9">
        <v>31.648373906549001</v>
      </c>
      <c r="AG83" s="9">
        <v>31.648373906549001</v>
      </c>
      <c r="AH83" s="9">
        <v>31.648373906549001</v>
      </c>
      <c r="AI83" s="9">
        <v>31.648373906549001</v>
      </c>
      <c r="AJ83" s="9">
        <v>31.648373906549001</v>
      </c>
      <c r="AK83" s="9">
        <v>31.648373906549001</v>
      </c>
      <c r="AL83" s="9">
        <v>31.648373906549001</v>
      </c>
      <c r="AM83" s="9">
        <v>31.648373906549001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3</v>
      </c>
      <c r="AY83" s="10">
        <v>0</v>
      </c>
      <c r="AZ83" s="7">
        <f t="shared" si="8"/>
        <v>3</v>
      </c>
      <c r="BA83" s="11">
        <f t="shared" si="9"/>
        <v>0.25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94.945121719645996</v>
      </c>
      <c r="BN83" s="12">
        <v>0</v>
      </c>
      <c r="BO83" s="12">
        <f t="shared" si="10"/>
        <v>94.945121719645996</v>
      </c>
      <c r="BP83" s="12">
        <f t="shared" si="11"/>
        <v>7.9120934766371667</v>
      </c>
      <c r="BQ83" s="7"/>
      <c r="BR83" s="7"/>
      <c r="BS83" s="7" t="s">
        <v>57</v>
      </c>
      <c r="BT83" s="7" t="s">
        <v>52</v>
      </c>
      <c r="BU83" s="7">
        <v>0</v>
      </c>
      <c r="BV83" s="7">
        <v>10</v>
      </c>
      <c r="BW83" s="7">
        <v>0</v>
      </c>
      <c r="BX83" s="7">
        <v>10</v>
      </c>
      <c r="BY83" s="7">
        <v>5</v>
      </c>
      <c r="BZ83" s="7"/>
    </row>
    <row r="84" spans="1:78" x14ac:dyDescent="0.35">
      <c r="A84" s="7" t="s">
        <v>41</v>
      </c>
      <c r="B84" s="7"/>
      <c r="C84" s="7" t="s">
        <v>207</v>
      </c>
      <c r="D84" s="7" t="s">
        <v>59</v>
      </c>
      <c r="E84" s="7" t="s">
        <v>208</v>
      </c>
      <c r="F84" s="7" t="s">
        <v>61</v>
      </c>
      <c r="G84" s="7" t="s">
        <v>46</v>
      </c>
      <c r="H84" s="7"/>
      <c r="I84" s="7"/>
      <c r="J84" s="7" t="s">
        <v>47</v>
      </c>
      <c r="K84" s="7" t="s">
        <v>48</v>
      </c>
      <c r="L84" s="7" t="s">
        <v>49</v>
      </c>
      <c r="M84" s="7" t="s">
        <v>49</v>
      </c>
      <c r="N84" s="7" t="s">
        <v>85</v>
      </c>
      <c r="O84" s="7" t="s">
        <v>4</v>
      </c>
      <c r="P84" s="7">
        <v>2500000</v>
      </c>
      <c r="Q84" s="7">
        <v>2500000</v>
      </c>
      <c r="R84" s="7">
        <v>2500000</v>
      </c>
      <c r="S84" s="7">
        <v>2500000</v>
      </c>
      <c r="T84" s="7">
        <v>2500000</v>
      </c>
      <c r="U84" s="7">
        <v>2500000</v>
      </c>
      <c r="V84" s="7">
        <v>2500000</v>
      </c>
      <c r="W84" s="7">
        <v>2500000</v>
      </c>
      <c r="X84" s="7">
        <v>2500000</v>
      </c>
      <c r="Y84" s="7">
        <v>2500000</v>
      </c>
      <c r="Z84" s="7">
        <v>2500000</v>
      </c>
      <c r="AA84" s="7">
        <v>2500000</v>
      </c>
      <c r="AB84" s="9">
        <v>158.24186953274</v>
      </c>
      <c r="AC84" s="9">
        <v>158.24186953274</v>
      </c>
      <c r="AD84" s="9">
        <v>158.24186953274</v>
      </c>
      <c r="AE84" s="9">
        <v>158.24186953274</v>
      </c>
      <c r="AF84" s="9">
        <v>158.24186953274</v>
      </c>
      <c r="AG84" s="9">
        <v>158.24186953274</v>
      </c>
      <c r="AH84" s="9">
        <v>158.24186953274</v>
      </c>
      <c r="AI84" s="9">
        <v>158.24186953274</v>
      </c>
      <c r="AJ84" s="9">
        <v>158.24186953274</v>
      </c>
      <c r="AK84" s="9">
        <v>158.24186953274</v>
      </c>
      <c r="AL84" s="9">
        <v>158.24186953274</v>
      </c>
      <c r="AM84" s="9">
        <v>158.24186953274</v>
      </c>
      <c r="AN84" s="10">
        <v>0</v>
      </c>
      <c r="AO84" s="10">
        <v>0</v>
      </c>
      <c r="AP84" s="10">
        <v>0</v>
      </c>
      <c r="AQ84" s="10">
        <v>0</v>
      </c>
      <c r="AR84" s="10">
        <v>2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7">
        <f t="shared" si="8"/>
        <v>2</v>
      </c>
      <c r="BA84" s="11">
        <f t="shared" si="9"/>
        <v>0.16666666666666666</v>
      </c>
      <c r="BC84" s="12">
        <v>0</v>
      </c>
      <c r="BD84" s="12">
        <v>0</v>
      </c>
      <c r="BE84" s="12">
        <v>0</v>
      </c>
      <c r="BF84" s="12">
        <v>0</v>
      </c>
      <c r="BG84" s="12">
        <v>316.48373906549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f t="shared" si="10"/>
        <v>316.48373906549</v>
      </c>
      <c r="BP84" s="12">
        <f t="shared" si="11"/>
        <v>26.373644922124168</v>
      </c>
      <c r="BQ84" s="7"/>
      <c r="BR84" s="7"/>
      <c r="BS84" s="7" t="s">
        <v>63</v>
      </c>
      <c r="BT84" s="7" t="s">
        <v>52</v>
      </c>
      <c r="BU84" s="7">
        <v>0</v>
      </c>
      <c r="BV84" s="7">
        <v>10</v>
      </c>
      <c r="BW84" s="7">
        <v>0</v>
      </c>
      <c r="BX84" s="7">
        <v>0</v>
      </c>
      <c r="BY84" s="7">
        <v>5</v>
      </c>
      <c r="BZ84" s="7"/>
    </row>
    <row r="85" spans="1:78" x14ac:dyDescent="0.35">
      <c r="A85" s="7" t="s">
        <v>41</v>
      </c>
      <c r="B85" s="7"/>
      <c r="C85" s="7" t="s">
        <v>235</v>
      </c>
      <c r="D85" s="7" t="s">
        <v>59</v>
      </c>
      <c r="E85" s="7" t="s">
        <v>236</v>
      </c>
      <c r="F85" s="7" t="s">
        <v>97</v>
      </c>
      <c r="G85" s="7" t="s">
        <v>46</v>
      </c>
      <c r="H85" s="7"/>
      <c r="I85" s="7"/>
      <c r="J85" s="7" t="s">
        <v>47</v>
      </c>
      <c r="K85" s="7" t="s">
        <v>48</v>
      </c>
      <c r="L85" s="7" t="s">
        <v>49</v>
      </c>
      <c r="M85" s="7" t="s">
        <v>49</v>
      </c>
      <c r="N85" s="7" t="s">
        <v>85</v>
      </c>
      <c r="O85" s="7" t="s">
        <v>4</v>
      </c>
      <c r="P85" s="7">
        <v>2500000</v>
      </c>
      <c r="Q85" s="7">
        <v>2500000</v>
      </c>
      <c r="R85" s="7">
        <v>2500000</v>
      </c>
      <c r="S85" s="7">
        <v>2500000</v>
      </c>
      <c r="T85" s="7">
        <v>2500000</v>
      </c>
      <c r="U85" s="7">
        <v>2500000</v>
      </c>
      <c r="V85" s="7">
        <v>2500000</v>
      </c>
      <c r="W85" s="7">
        <v>2500000</v>
      </c>
      <c r="X85" s="7">
        <v>2500000</v>
      </c>
      <c r="Y85" s="7">
        <v>2500000</v>
      </c>
      <c r="Z85" s="7">
        <v>2500000</v>
      </c>
      <c r="AA85" s="7">
        <v>2500000</v>
      </c>
      <c r="AB85" s="9">
        <v>158.24186953274</v>
      </c>
      <c r="AC85" s="9">
        <v>158.24186953274</v>
      </c>
      <c r="AD85" s="9">
        <v>158.24186953274</v>
      </c>
      <c r="AE85" s="9">
        <v>158.24186953274</v>
      </c>
      <c r="AF85" s="9">
        <v>158.24186953274</v>
      </c>
      <c r="AG85" s="9">
        <v>158.24186953274</v>
      </c>
      <c r="AH85" s="9">
        <v>158.24186953274</v>
      </c>
      <c r="AI85" s="9">
        <v>158.24186953274</v>
      </c>
      <c r="AJ85" s="9">
        <v>158.24186953274</v>
      </c>
      <c r="AK85" s="9">
        <v>158.24186953274</v>
      </c>
      <c r="AL85" s="9">
        <v>158.24186953274</v>
      </c>
      <c r="AM85" s="9">
        <v>158.24186953274</v>
      </c>
      <c r="AN85" s="10">
        <v>0</v>
      </c>
      <c r="AO85" s="10">
        <v>0</v>
      </c>
      <c r="AP85" s="10">
        <v>0</v>
      </c>
      <c r="AQ85" s="10">
        <v>0</v>
      </c>
      <c r="AR85" s="10">
        <v>2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7">
        <f t="shared" si="8"/>
        <v>2</v>
      </c>
      <c r="BA85" s="11">
        <f t="shared" si="9"/>
        <v>0.16666666666666666</v>
      </c>
      <c r="BC85" s="12">
        <v>0</v>
      </c>
      <c r="BD85" s="12">
        <v>0</v>
      </c>
      <c r="BE85" s="12">
        <v>0</v>
      </c>
      <c r="BF85" s="12">
        <v>0</v>
      </c>
      <c r="BG85" s="12">
        <v>316.48373906549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f t="shared" si="10"/>
        <v>316.48373906549</v>
      </c>
      <c r="BP85" s="12">
        <f t="shared" si="11"/>
        <v>26.373644922124168</v>
      </c>
      <c r="BQ85" s="7"/>
      <c r="BR85" s="7"/>
      <c r="BS85" s="7" t="s">
        <v>63</v>
      </c>
      <c r="BT85" s="7" t="s">
        <v>52</v>
      </c>
      <c r="BU85" s="7">
        <v>0</v>
      </c>
      <c r="BV85" s="7">
        <v>10</v>
      </c>
      <c r="BW85" s="7">
        <v>0</v>
      </c>
      <c r="BX85" s="7">
        <v>0</v>
      </c>
      <c r="BY85" s="7">
        <v>5</v>
      </c>
      <c r="BZ85" s="7"/>
    </row>
    <row r="86" spans="1:78" x14ac:dyDescent="0.35">
      <c r="A86" s="7" t="s">
        <v>41</v>
      </c>
      <c r="B86" s="7"/>
      <c r="C86" s="7" t="s">
        <v>237</v>
      </c>
      <c r="D86" s="7" t="s">
        <v>73</v>
      </c>
      <c r="E86" s="7" t="s">
        <v>238</v>
      </c>
      <c r="F86" s="7" t="s">
        <v>75</v>
      </c>
      <c r="G86" s="7" t="s">
        <v>46</v>
      </c>
      <c r="H86" s="7"/>
      <c r="I86" s="7"/>
      <c r="J86" s="7" t="s">
        <v>47</v>
      </c>
      <c r="K86" s="7" t="s">
        <v>48</v>
      </c>
      <c r="L86" s="7" t="s">
        <v>49</v>
      </c>
      <c r="M86" s="7" t="s">
        <v>49</v>
      </c>
      <c r="N86" s="7" t="s">
        <v>76</v>
      </c>
      <c r="O86" s="7" t="s">
        <v>6</v>
      </c>
      <c r="P86" s="7">
        <v>132000</v>
      </c>
      <c r="Q86" s="7">
        <v>132000</v>
      </c>
      <c r="R86" s="7">
        <v>132000</v>
      </c>
      <c r="S86" s="7">
        <v>132000</v>
      </c>
      <c r="T86" s="7">
        <v>132000</v>
      </c>
      <c r="U86" s="7">
        <v>132000</v>
      </c>
      <c r="V86" s="7">
        <v>132000</v>
      </c>
      <c r="W86" s="7">
        <v>132000</v>
      </c>
      <c r="X86" s="7">
        <v>132000</v>
      </c>
      <c r="Y86" s="7">
        <v>132000</v>
      </c>
      <c r="Z86" s="7">
        <v>132000</v>
      </c>
      <c r="AA86" s="7">
        <v>132000</v>
      </c>
      <c r="AB86" s="9">
        <v>874.17218543045999</v>
      </c>
      <c r="AC86" s="9">
        <v>874.17218543045999</v>
      </c>
      <c r="AD86" s="9">
        <v>874.17218543045999</v>
      </c>
      <c r="AE86" s="9">
        <v>874.17218543045999</v>
      </c>
      <c r="AF86" s="9">
        <v>874.17218543045999</v>
      </c>
      <c r="AG86" s="9">
        <v>874.17218543045999</v>
      </c>
      <c r="AH86" s="9">
        <v>874.17218543045999</v>
      </c>
      <c r="AI86" s="9">
        <v>874.17218543045999</v>
      </c>
      <c r="AJ86" s="9">
        <v>874.17218543045999</v>
      </c>
      <c r="AK86" s="9">
        <v>874.17218543045999</v>
      </c>
      <c r="AL86" s="9">
        <v>874.17218543045999</v>
      </c>
      <c r="AM86" s="9">
        <v>874.17218543045999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0">
        <v>0</v>
      </c>
      <c r="AT86" s="10">
        <v>0</v>
      </c>
      <c r="AU86" s="10">
        <v>1</v>
      </c>
      <c r="AV86" s="10">
        <v>0</v>
      </c>
      <c r="AW86" s="10">
        <v>0</v>
      </c>
      <c r="AX86" s="10">
        <v>0</v>
      </c>
      <c r="AY86" s="10">
        <v>0</v>
      </c>
      <c r="AZ86" s="7">
        <f t="shared" si="8"/>
        <v>1</v>
      </c>
      <c r="BA86" s="11">
        <f t="shared" si="9"/>
        <v>8.3333333333333329E-2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874.17218543045999</v>
      </c>
      <c r="BK86" s="12">
        <v>0</v>
      </c>
      <c r="BL86" s="12">
        <v>0</v>
      </c>
      <c r="BM86" s="12">
        <v>0</v>
      </c>
      <c r="BN86" s="12">
        <v>0</v>
      </c>
      <c r="BO86" s="12">
        <f t="shared" si="10"/>
        <v>874.17218543045999</v>
      </c>
      <c r="BP86" s="12">
        <f t="shared" si="11"/>
        <v>72.847682119205004</v>
      </c>
      <c r="BQ86" s="7"/>
      <c r="BR86" s="7"/>
      <c r="BS86" s="7" t="s">
        <v>63</v>
      </c>
      <c r="BT86" s="7" t="s">
        <v>52</v>
      </c>
      <c r="BU86" s="7">
        <v>0</v>
      </c>
      <c r="BV86" s="7">
        <v>10</v>
      </c>
      <c r="BW86" s="7">
        <v>0</v>
      </c>
      <c r="BX86" s="7">
        <v>0</v>
      </c>
      <c r="BY86" s="7">
        <v>5</v>
      </c>
      <c r="BZ86" s="7"/>
    </row>
    <row r="87" spans="1:78" x14ac:dyDescent="0.35">
      <c r="A87" s="7" t="s">
        <v>41</v>
      </c>
      <c r="B87" s="7"/>
      <c r="C87" s="7" t="s">
        <v>239</v>
      </c>
      <c r="D87" s="7" t="s">
        <v>59</v>
      </c>
      <c r="E87" s="7" t="s">
        <v>240</v>
      </c>
      <c r="F87" s="7" t="s">
        <v>61</v>
      </c>
      <c r="G87" s="7" t="s">
        <v>46</v>
      </c>
      <c r="H87" s="7"/>
      <c r="I87" s="7"/>
      <c r="J87" s="7" t="s">
        <v>47</v>
      </c>
      <c r="K87" s="7" t="s">
        <v>48</v>
      </c>
      <c r="L87" s="7" t="s">
        <v>49</v>
      </c>
      <c r="M87" s="7" t="s">
        <v>49</v>
      </c>
      <c r="N87" s="7" t="s">
        <v>85</v>
      </c>
      <c r="O87" s="7" t="s">
        <v>4</v>
      </c>
      <c r="P87" s="7">
        <v>300000</v>
      </c>
      <c r="Q87" s="7">
        <v>300000</v>
      </c>
      <c r="R87" s="7">
        <v>300000</v>
      </c>
      <c r="S87" s="7">
        <v>300000</v>
      </c>
      <c r="T87" s="7">
        <v>300000</v>
      </c>
      <c r="U87" s="7">
        <v>300000</v>
      </c>
      <c r="V87" s="7">
        <v>300000</v>
      </c>
      <c r="W87" s="7">
        <v>300000</v>
      </c>
      <c r="X87" s="7">
        <v>300000</v>
      </c>
      <c r="Y87" s="7">
        <v>300000</v>
      </c>
      <c r="Z87" s="7">
        <v>300000</v>
      </c>
      <c r="AA87" s="7">
        <v>300000</v>
      </c>
      <c r="AB87" s="9">
        <v>18.989024343929</v>
      </c>
      <c r="AC87" s="9">
        <v>18.989024343929</v>
      </c>
      <c r="AD87" s="9">
        <v>18.989024343929</v>
      </c>
      <c r="AE87" s="9">
        <v>18.989024343929</v>
      </c>
      <c r="AF87" s="9">
        <v>18.989024343929</v>
      </c>
      <c r="AG87" s="9">
        <v>18.989024343929</v>
      </c>
      <c r="AH87" s="9">
        <v>18.989024343929</v>
      </c>
      <c r="AI87" s="9">
        <v>18.989024343929</v>
      </c>
      <c r="AJ87" s="9">
        <v>18.989024343929</v>
      </c>
      <c r="AK87" s="9">
        <v>18.989024343929</v>
      </c>
      <c r="AL87" s="9">
        <v>18.989024343929</v>
      </c>
      <c r="AM87" s="9">
        <v>18.989024343929</v>
      </c>
      <c r="AN87" s="10">
        <v>0</v>
      </c>
      <c r="AO87" s="10">
        <v>0</v>
      </c>
      <c r="AP87" s="10">
        <v>0</v>
      </c>
      <c r="AQ87" s="10">
        <v>0</v>
      </c>
      <c r="AR87" s="10">
        <v>2</v>
      </c>
      <c r="AS87" s="10">
        <v>0</v>
      </c>
      <c r="AT87" s="10">
        <v>0</v>
      </c>
      <c r="AU87" s="10">
        <v>0</v>
      </c>
      <c r="AV87" s="10">
        <v>0</v>
      </c>
      <c r="AW87" s="10">
        <v>0</v>
      </c>
      <c r="AX87" s="10">
        <v>0</v>
      </c>
      <c r="AY87" s="10">
        <v>0</v>
      </c>
      <c r="AZ87" s="7">
        <f t="shared" si="8"/>
        <v>2</v>
      </c>
      <c r="BA87" s="11">
        <f t="shared" si="9"/>
        <v>0.16666666666666666</v>
      </c>
      <c r="BC87" s="12">
        <v>0</v>
      </c>
      <c r="BD87" s="12">
        <v>0</v>
      </c>
      <c r="BE87" s="12">
        <v>0</v>
      </c>
      <c r="BF87" s="12">
        <v>0</v>
      </c>
      <c r="BG87" s="12">
        <v>37.978048687857999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f t="shared" si="10"/>
        <v>37.978048687857999</v>
      </c>
      <c r="BP87" s="12">
        <f t="shared" si="11"/>
        <v>3.1648373906548333</v>
      </c>
      <c r="BQ87" s="7"/>
      <c r="BR87" s="7"/>
      <c r="BS87" s="7" t="s">
        <v>63</v>
      </c>
      <c r="BT87" s="7" t="s">
        <v>52</v>
      </c>
      <c r="BU87" s="7">
        <v>0</v>
      </c>
      <c r="BV87" s="7">
        <v>10</v>
      </c>
      <c r="BW87" s="7">
        <v>0</v>
      </c>
      <c r="BX87" s="7">
        <v>0</v>
      </c>
      <c r="BY87" s="7">
        <v>5</v>
      </c>
      <c r="BZ87" s="7"/>
    </row>
    <row r="88" spans="1:78" x14ac:dyDescent="0.35">
      <c r="A88" s="7" t="s">
        <v>41</v>
      </c>
      <c r="B88" s="7"/>
      <c r="C88" s="7" t="s">
        <v>241</v>
      </c>
      <c r="D88" s="7" t="s">
        <v>242</v>
      </c>
      <c r="E88" s="7" t="s">
        <v>243</v>
      </c>
      <c r="F88" s="7" t="s">
        <v>104</v>
      </c>
      <c r="G88" s="7" t="s">
        <v>46</v>
      </c>
      <c r="H88" s="7"/>
      <c r="I88" s="7"/>
      <c r="J88" s="7" t="s">
        <v>47</v>
      </c>
      <c r="K88" s="7" t="s">
        <v>48</v>
      </c>
      <c r="L88" s="7" t="s">
        <v>49</v>
      </c>
      <c r="M88" s="7" t="s">
        <v>49</v>
      </c>
      <c r="N88" s="7" t="s">
        <v>85</v>
      </c>
      <c r="O88" s="7" t="s">
        <v>4</v>
      </c>
      <c r="P88" s="7">
        <v>560000</v>
      </c>
      <c r="Q88" s="7">
        <v>560000</v>
      </c>
      <c r="R88" s="7">
        <v>560000</v>
      </c>
      <c r="S88" s="7">
        <v>560000</v>
      </c>
      <c r="T88" s="7">
        <v>560000</v>
      </c>
      <c r="U88" s="7">
        <v>560000</v>
      </c>
      <c r="V88" s="7">
        <v>560000</v>
      </c>
      <c r="W88" s="7">
        <v>560000</v>
      </c>
      <c r="X88" s="7">
        <v>560000</v>
      </c>
      <c r="Y88" s="7">
        <v>560000</v>
      </c>
      <c r="Z88" s="7">
        <v>560000</v>
      </c>
      <c r="AA88" s="7">
        <v>560000</v>
      </c>
      <c r="AB88" s="9">
        <v>35.446178775335</v>
      </c>
      <c r="AC88" s="9">
        <v>35.446178775335</v>
      </c>
      <c r="AD88" s="9">
        <v>35.446178775335</v>
      </c>
      <c r="AE88" s="9">
        <v>35.446178775335</v>
      </c>
      <c r="AF88" s="9">
        <v>35.446178775335</v>
      </c>
      <c r="AG88" s="9">
        <v>35.446178775335</v>
      </c>
      <c r="AH88" s="9">
        <v>35.446178775335</v>
      </c>
      <c r="AI88" s="9">
        <v>35.446178775335</v>
      </c>
      <c r="AJ88" s="9">
        <v>35.446178775335</v>
      </c>
      <c r="AK88" s="9">
        <v>35.446178775335</v>
      </c>
      <c r="AL88" s="9">
        <v>35.446178775335</v>
      </c>
      <c r="AM88" s="9">
        <v>35.446178775335</v>
      </c>
      <c r="AN88" s="10">
        <v>2</v>
      </c>
      <c r="AO88" s="10">
        <v>0</v>
      </c>
      <c r="AP88" s="10">
        <v>0</v>
      </c>
      <c r="AQ88" s="10">
        <v>0</v>
      </c>
      <c r="AR88" s="10">
        <v>0</v>
      </c>
      <c r="AS88" s="10">
        <v>0</v>
      </c>
      <c r="AT88" s="10">
        <v>0</v>
      </c>
      <c r="AU88" s="10">
        <v>0</v>
      </c>
      <c r="AV88" s="10">
        <v>0</v>
      </c>
      <c r="AW88" s="10">
        <v>0</v>
      </c>
      <c r="AX88" s="10">
        <v>0</v>
      </c>
      <c r="AY88" s="10">
        <v>0</v>
      </c>
      <c r="AZ88" s="7">
        <f t="shared" si="8"/>
        <v>2</v>
      </c>
      <c r="BA88" s="11">
        <f t="shared" si="9"/>
        <v>0.16666666666666666</v>
      </c>
      <c r="BC88" s="12">
        <v>70.892357550669004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f t="shared" si="10"/>
        <v>70.892357550669004</v>
      </c>
      <c r="BP88" s="12">
        <f t="shared" si="11"/>
        <v>5.9076964625557506</v>
      </c>
      <c r="BQ88" s="7"/>
      <c r="BR88" s="7"/>
      <c r="BS88" s="7" t="s">
        <v>80</v>
      </c>
      <c r="BT88" s="7" t="s">
        <v>52</v>
      </c>
      <c r="BU88" s="7">
        <v>0</v>
      </c>
      <c r="BV88" s="7">
        <v>5</v>
      </c>
      <c r="BW88" s="7">
        <v>0</v>
      </c>
      <c r="BX88" s="7">
        <v>15</v>
      </c>
      <c r="BY88" s="7">
        <v>15</v>
      </c>
      <c r="BZ88" s="7"/>
    </row>
    <row r="89" spans="1:78" x14ac:dyDescent="0.35">
      <c r="A89" s="7" t="s">
        <v>41</v>
      </c>
      <c r="B89" s="7"/>
      <c r="C89" s="7" t="s">
        <v>244</v>
      </c>
      <c r="D89" s="7" t="s">
        <v>123</v>
      </c>
      <c r="E89" s="7" t="s">
        <v>245</v>
      </c>
      <c r="F89" s="7" t="s">
        <v>75</v>
      </c>
      <c r="G89" s="7" t="s">
        <v>46</v>
      </c>
      <c r="H89" s="7"/>
      <c r="I89" s="7"/>
      <c r="J89" s="7" t="s">
        <v>47</v>
      </c>
      <c r="K89" s="7" t="s">
        <v>48</v>
      </c>
      <c r="L89" s="7" t="s">
        <v>49</v>
      </c>
      <c r="M89" s="7" t="s">
        <v>49</v>
      </c>
      <c r="N89" s="7" t="s">
        <v>76</v>
      </c>
      <c r="O89" s="7" t="s">
        <v>4</v>
      </c>
      <c r="P89" s="7">
        <v>17840000</v>
      </c>
      <c r="Q89" s="7">
        <v>17840000</v>
      </c>
      <c r="R89" s="7">
        <v>17840000</v>
      </c>
      <c r="S89" s="7">
        <v>17840000</v>
      </c>
      <c r="T89" s="7">
        <v>17840000</v>
      </c>
      <c r="U89" s="7">
        <v>17840000</v>
      </c>
      <c r="V89" s="7">
        <v>17840000</v>
      </c>
      <c r="W89" s="7">
        <v>17840000</v>
      </c>
      <c r="X89" s="7">
        <v>17840000</v>
      </c>
      <c r="Y89" s="7">
        <v>17840000</v>
      </c>
      <c r="Z89" s="7">
        <v>17840000</v>
      </c>
      <c r="AA89" s="7">
        <v>17840000</v>
      </c>
      <c r="AB89" s="9">
        <v>1129.2139809856999</v>
      </c>
      <c r="AC89" s="9">
        <v>1129.2139809856999</v>
      </c>
      <c r="AD89" s="9">
        <v>1129.2139809856999</v>
      </c>
      <c r="AE89" s="9">
        <v>1129.2139809856999</v>
      </c>
      <c r="AF89" s="9">
        <v>1129.2139809856999</v>
      </c>
      <c r="AG89" s="9">
        <v>1129.2139809856999</v>
      </c>
      <c r="AH89" s="9">
        <v>1129.2139809856999</v>
      </c>
      <c r="AI89" s="9">
        <v>1129.2139809856999</v>
      </c>
      <c r="AJ89" s="9">
        <v>1129.2139809856999</v>
      </c>
      <c r="AK89" s="9">
        <v>1129.2139809856999</v>
      </c>
      <c r="AL89" s="9">
        <v>1129.2139809856999</v>
      </c>
      <c r="AM89" s="9">
        <v>1129.2139809856999</v>
      </c>
      <c r="AN89" s="10">
        <v>0</v>
      </c>
      <c r="AO89" s="10">
        <v>0</v>
      </c>
      <c r="AP89" s="10">
        <v>0</v>
      </c>
      <c r="AQ89" s="10">
        <v>1</v>
      </c>
      <c r="AR89" s="10">
        <v>0</v>
      </c>
      <c r="AS89" s="10">
        <v>0</v>
      </c>
      <c r="AT89" s="10">
        <v>0</v>
      </c>
      <c r="AU89" s="10">
        <v>0</v>
      </c>
      <c r="AV89" s="10">
        <v>0</v>
      </c>
      <c r="AW89" s="10">
        <v>0</v>
      </c>
      <c r="AX89" s="10">
        <v>0</v>
      </c>
      <c r="AY89" s="10">
        <v>0</v>
      </c>
      <c r="AZ89" s="7">
        <f t="shared" si="8"/>
        <v>1</v>
      </c>
      <c r="BA89" s="11">
        <f t="shared" si="9"/>
        <v>8.3333333333333329E-2</v>
      </c>
      <c r="BC89" s="12">
        <v>0</v>
      </c>
      <c r="BD89" s="12">
        <v>0</v>
      </c>
      <c r="BE89" s="12">
        <v>0</v>
      </c>
      <c r="BF89" s="12">
        <v>1129.2139809856999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f t="shared" si="10"/>
        <v>1129.2139809856999</v>
      </c>
      <c r="BP89" s="12">
        <f t="shared" si="11"/>
        <v>94.101165082141662</v>
      </c>
      <c r="BQ89" s="7"/>
      <c r="BR89" s="7"/>
      <c r="BS89" s="7" t="s">
        <v>125</v>
      </c>
      <c r="BT89" s="7" t="s">
        <v>52</v>
      </c>
      <c r="BU89" s="7">
        <v>15</v>
      </c>
      <c r="BV89" s="7">
        <v>10</v>
      </c>
      <c r="BW89" s="7">
        <v>5</v>
      </c>
      <c r="BX89" s="7">
        <v>20</v>
      </c>
      <c r="BY89" s="7">
        <v>5</v>
      </c>
      <c r="BZ89" s="7"/>
    </row>
    <row r="90" spans="1:78" x14ac:dyDescent="0.35">
      <c r="A90" s="7" t="s">
        <v>41</v>
      </c>
      <c r="B90" s="7"/>
      <c r="C90" s="7" t="s">
        <v>246</v>
      </c>
      <c r="D90" s="7" t="s">
        <v>59</v>
      </c>
      <c r="E90" s="7" t="s">
        <v>247</v>
      </c>
      <c r="F90" s="7" t="s">
        <v>248</v>
      </c>
      <c r="G90" s="7" t="s">
        <v>46</v>
      </c>
      <c r="H90" s="7"/>
      <c r="I90" s="7"/>
      <c r="J90" s="7" t="s">
        <v>47</v>
      </c>
      <c r="K90" s="7" t="s">
        <v>48</v>
      </c>
      <c r="L90" s="7" t="s">
        <v>49</v>
      </c>
      <c r="M90" s="7" t="s">
        <v>49</v>
      </c>
      <c r="N90" s="7" t="s">
        <v>62</v>
      </c>
      <c r="O90" s="7" t="s">
        <v>4</v>
      </c>
      <c r="P90" s="7">
        <v>800000</v>
      </c>
      <c r="Q90" s="7">
        <v>800000</v>
      </c>
      <c r="R90" s="7">
        <v>800000</v>
      </c>
      <c r="S90" s="7">
        <v>800000</v>
      </c>
      <c r="T90" s="7">
        <v>800000</v>
      </c>
      <c r="U90" s="7">
        <v>800000</v>
      </c>
      <c r="V90" s="7">
        <v>800000</v>
      </c>
      <c r="W90" s="7">
        <v>800000</v>
      </c>
      <c r="X90" s="7">
        <v>800000</v>
      </c>
      <c r="Y90" s="7">
        <v>800000</v>
      </c>
      <c r="Z90" s="7">
        <v>800000</v>
      </c>
      <c r="AA90" s="7">
        <v>800000</v>
      </c>
      <c r="AB90" s="9">
        <v>50.637398250478</v>
      </c>
      <c r="AC90" s="9">
        <v>50.637398250478</v>
      </c>
      <c r="AD90" s="9">
        <v>50.637398250478</v>
      </c>
      <c r="AE90" s="9">
        <v>50.637398250478</v>
      </c>
      <c r="AF90" s="9">
        <v>50.637398250478</v>
      </c>
      <c r="AG90" s="9">
        <v>50.637398250478</v>
      </c>
      <c r="AH90" s="9">
        <v>50.637398250478</v>
      </c>
      <c r="AI90" s="9">
        <v>50.637398250478</v>
      </c>
      <c r="AJ90" s="9">
        <v>50.637398250478</v>
      </c>
      <c r="AK90" s="9">
        <v>50.637398250478</v>
      </c>
      <c r="AL90" s="9">
        <v>50.637398250478</v>
      </c>
      <c r="AM90" s="9">
        <v>50.637398250478</v>
      </c>
      <c r="AN90" s="10">
        <v>0</v>
      </c>
      <c r="AO90" s="10">
        <v>0</v>
      </c>
      <c r="AP90" s="10">
        <v>2</v>
      </c>
      <c r="AQ90" s="10">
        <v>0</v>
      </c>
      <c r="AR90" s="10">
        <v>0</v>
      </c>
      <c r="AS90" s="10">
        <v>0</v>
      </c>
      <c r="AT90" s="10">
        <v>0</v>
      </c>
      <c r="AU90" s="10">
        <v>0</v>
      </c>
      <c r="AV90" s="10">
        <v>0</v>
      </c>
      <c r="AW90" s="10">
        <v>0</v>
      </c>
      <c r="AX90" s="10">
        <v>0</v>
      </c>
      <c r="AY90" s="10">
        <v>0</v>
      </c>
      <c r="AZ90" s="7">
        <f t="shared" si="8"/>
        <v>2</v>
      </c>
      <c r="BA90" s="11">
        <f t="shared" si="9"/>
        <v>0.16666666666666666</v>
      </c>
      <c r="BC90" s="12">
        <v>0</v>
      </c>
      <c r="BD90" s="12">
        <v>0</v>
      </c>
      <c r="BE90" s="12">
        <v>101.27479650095999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f t="shared" si="10"/>
        <v>101.27479650095999</v>
      </c>
      <c r="BP90" s="12">
        <f t="shared" si="11"/>
        <v>8.4395663750800001</v>
      </c>
      <c r="BQ90" s="7"/>
      <c r="BR90" s="7"/>
      <c r="BS90" s="7" t="s">
        <v>63</v>
      </c>
      <c r="BT90" s="7" t="s">
        <v>52</v>
      </c>
      <c r="BU90" s="7">
        <v>0</v>
      </c>
      <c r="BV90" s="7">
        <v>10</v>
      </c>
      <c r="BW90" s="7">
        <v>0</v>
      </c>
      <c r="BX90" s="7">
        <v>0</v>
      </c>
      <c r="BY90" s="7">
        <v>5</v>
      </c>
      <c r="BZ90" s="7"/>
    </row>
    <row r="91" spans="1:78" x14ac:dyDescent="0.35">
      <c r="A91" s="7" t="s">
        <v>41</v>
      </c>
      <c r="B91" s="7"/>
      <c r="C91" s="7" t="s">
        <v>249</v>
      </c>
      <c r="D91" s="7" t="s">
        <v>182</v>
      </c>
      <c r="E91" s="7" t="s">
        <v>250</v>
      </c>
      <c r="F91" s="7" t="s">
        <v>75</v>
      </c>
      <c r="G91" s="7" t="s">
        <v>46</v>
      </c>
      <c r="H91" s="7"/>
      <c r="I91" s="7"/>
      <c r="J91" s="7" t="s">
        <v>47</v>
      </c>
      <c r="K91" s="7" t="s">
        <v>48</v>
      </c>
      <c r="L91" s="7" t="s">
        <v>49</v>
      </c>
      <c r="M91" s="7" t="s">
        <v>49</v>
      </c>
      <c r="N91" s="7" t="s">
        <v>85</v>
      </c>
      <c r="O91" s="7" t="s">
        <v>4</v>
      </c>
      <c r="P91" s="7">
        <v>330000</v>
      </c>
      <c r="Q91" s="7">
        <v>330000</v>
      </c>
      <c r="R91" s="7">
        <v>330000</v>
      </c>
      <c r="S91" s="7">
        <v>330000</v>
      </c>
      <c r="T91" s="7">
        <v>330000</v>
      </c>
      <c r="U91" s="7">
        <v>330000</v>
      </c>
      <c r="V91" s="7">
        <v>330000</v>
      </c>
      <c r="W91" s="7">
        <v>330000</v>
      </c>
      <c r="X91" s="7">
        <v>330000</v>
      </c>
      <c r="Y91" s="7">
        <v>330000</v>
      </c>
      <c r="Z91" s="7">
        <v>330000</v>
      </c>
      <c r="AA91" s="7">
        <v>330000</v>
      </c>
      <c r="AB91" s="9">
        <v>20.887926778322001</v>
      </c>
      <c r="AC91" s="9">
        <v>20.887926778322001</v>
      </c>
      <c r="AD91" s="9">
        <v>20.887926778322001</v>
      </c>
      <c r="AE91" s="9">
        <v>20.887926778322001</v>
      </c>
      <c r="AF91" s="9">
        <v>20.887926778322001</v>
      </c>
      <c r="AG91" s="9">
        <v>20.887926778322001</v>
      </c>
      <c r="AH91" s="9">
        <v>20.887926778322001</v>
      </c>
      <c r="AI91" s="9">
        <v>20.887926778322001</v>
      </c>
      <c r="AJ91" s="9">
        <v>20.887926778322001</v>
      </c>
      <c r="AK91" s="9">
        <v>20.887926778322001</v>
      </c>
      <c r="AL91" s="9">
        <v>20.887926778322001</v>
      </c>
      <c r="AM91" s="9">
        <v>20.887926778322001</v>
      </c>
      <c r="AN91" s="10">
        <v>0</v>
      </c>
      <c r="AO91" s="10">
        <v>0</v>
      </c>
      <c r="AP91" s="10">
        <v>1</v>
      </c>
      <c r="AQ91" s="10">
        <v>0</v>
      </c>
      <c r="AR91" s="10">
        <v>0</v>
      </c>
      <c r="AS91" s="10">
        <v>0</v>
      </c>
      <c r="AT91" s="10">
        <v>0</v>
      </c>
      <c r="AU91" s="10">
        <v>0</v>
      </c>
      <c r="AV91" s="10">
        <v>0</v>
      </c>
      <c r="AW91" s="10">
        <v>0</v>
      </c>
      <c r="AX91" s="10">
        <v>0</v>
      </c>
      <c r="AY91" s="10">
        <v>0</v>
      </c>
      <c r="AZ91" s="7">
        <f t="shared" si="8"/>
        <v>1</v>
      </c>
      <c r="BA91" s="11">
        <f t="shared" si="9"/>
        <v>8.3333333333333329E-2</v>
      </c>
      <c r="BC91" s="12">
        <v>0</v>
      </c>
      <c r="BD91" s="12">
        <v>0</v>
      </c>
      <c r="BE91" s="12">
        <v>20.887926778322001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f t="shared" si="10"/>
        <v>20.887926778322001</v>
      </c>
      <c r="BP91" s="12">
        <f t="shared" si="11"/>
        <v>1.7406605648601667</v>
      </c>
      <c r="BQ91" s="7"/>
      <c r="BR91" s="7"/>
      <c r="BS91" s="7" t="s">
        <v>125</v>
      </c>
      <c r="BT91" s="7" t="s">
        <v>52</v>
      </c>
      <c r="BU91" s="7">
        <v>15</v>
      </c>
      <c r="BV91" s="7">
        <v>10</v>
      </c>
      <c r="BW91" s="7">
        <v>5</v>
      </c>
      <c r="BX91" s="7">
        <v>20</v>
      </c>
      <c r="BY91" s="7">
        <v>5</v>
      </c>
      <c r="BZ91" s="7"/>
    </row>
    <row r="92" spans="1:78" x14ac:dyDescent="0.35">
      <c r="A92" s="7" t="s">
        <v>41</v>
      </c>
      <c r="B92" s="7"/>
      <c r="C92" s="7" t="s">
        <v>251</v>
      </c>
      <c r="D92" s="7" t="s">
        <v>54</v>
      </c>
      <c r="E92" s="7" t="s">
        <v>252</v>
      </c>
      <c r="F92" s="7" t="s">
        <v>56</v>
      </c>
      <c r="G92" s="7" t="s">
        <v>46</v>
      </c>
      <c r="H92" s="7"/>
      <c r="I92" s="7"/>
      <c r="J92" s="7" t="s">
        <v>47</v>
      </c>
      <c r="K92" s="7" t="s">
        <v>48</v>
      </c>
      <c r="L92" s="7" t="s">
        <v>49</v>
      </c>
      <c r="M92" s="7" t="s">
        <v>49</v>
      </c>
      <c r="N92" s="7" t="s">
        <v>50</v>
      </c>
      <c r="O92" s="7" t="s">
        <v>4</v>
      </c>
      <c r="P92" s="7">
        <v>400000</v>
      </c>
      <c r="Q92" s="7">
        <v>400000</v>
      </c>
      <c r="R92" s="7">
        <v>400000</v>
      </c>
      <c r="S92" s="7">
        <v>400000</v>
      </c>
      <c r="T92" s="7">
        <v>400000</v>
      </c>
      <c r="U92" s="7">
        <v>400000</v>
      </c>
      <c r="V92" s="7">
        <v>400000</v>
      </c>
      <c r="W92" s="7">
        <v>400000</v>
      </c>
      <c r="X92" s="7">
        <v>400000</v>
      </c>
      <c r="Y92" s="7">
        <v>400000</v>
      </c>
      <c r="Z92" s="7">
        <v>400000</v>
      </c>
      <c r="AA92" s="7">
        <v>400000</v>
      </c>
      <c r="AB92" s="9">
        <v>25.318699125239</v>
      </c>
      <c r="AC92" s="9">
        <v>25.318699125239</v>
      </c>
      <c r="AD92" s="9">
        <v>25.318699125239</v>
      </c>
      <c r="AE92" s="9">
        <v>25.318699125239</v>
      </c>
      <c r="AF92" s="9">
        <v>25.318699125239</v>
      </c>
      <c r="AG92" s="9">
        <v>25.318699125239</v>
      </c>
      <c r="AH92" s="9">
        <v>25.318699125239</v>
      </c>
      <c r="AI92" s="9">
        <v>25.318699125239</v>
      </c>
      <c r="AJ92" s="9">
        <v>25.318699125239</v>
      </c>
      <c r="AK92" s="9">
        <v>25.318699125239</v>
      </c>
      <c r="AL92" s="9">
        <v>25.318699125239</v>
      </c>
      <c r="AM92" s="9">
        <v>25.318699125239</v>
      </c>
      <c r="AN92" s="10">
        <v>0</v>
      </c>
      <c r="AO92" s="10">
        <v>0</v>
      </c>
      <c r="AP92" s="10">
        <v>2</v>
      </c>
      <c r="AQ92" s="10">
        <v>0</v>
      </c>
      <c r="AR92" s="10">
        <v>0</v>
      </c>
      <c r="AS92" s="10">
        <v>0</v>
      </c>
      <c r="AT92" s="10">
        <v>0</v>
      </c>
      <c r="AU92" s="10">
        <v>0</v>
      </c>
      <c r="AV92" s="10">
        <v>0</v>
      </c>
      <c r="AW92" s="10">
        <v>0</v>
      </c>
      <c r="AX92" s="10">
        <v>0</v>
      </c>
      <c r="AY92" s="10">
        <v>0</v>
      </c>
      <c r="AZ92" s="7">
        <f t="shared" si="8"/>
        <v>2</v>
      </c>
      <c r="BA92" s="11">
        <f t="shared" si="9"/>
        <v>0.16666666666666666</v>
      </c>
      <c r="BC92" s="12">
        <v>0</v>
      </c>
      <c r="BD92" s="12">
        <v>0</v>
      </c>
      <c r="BE92" s="12">
        <v>50.637398250478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f t="shared" si="10"/>
        <v>50.637398250478</v>
      </c>
      <c r="BP92" s="12">
        <f t="shared" si="11"/>
        <v>4.2197831875398331</v>
      </c>
      <c r="BQ92" s="7"/>
      <c r="BR92" s="7"/>
      <c r="BS92" s="7" t="s">
        <v>57</v>
      </c>
      <c r="BT92" s="7" t="s">
        <v>52</v>
      </c>
      <c r="BU92" s="7">
        <v>0</v>
      </c>
      <c r="BV92" s="7">
        <v>10</v>
      </c>
      <c r="BW92" s="7">
        <v>0</v>
      </c>
      <c r="BX92" s="7">
        <v>10</v>
      </c>
      <c r="BY92" s="7">
        <v>5</v>
      </c>
      <c r="BZ92" s="7"/>
    </row>
    <row r="93" spans="1:78" x14ac:dyDescent="0.35">
      <c r="A93" s="7" t="s">
        <v>41</v>
      </c>
      <c r="B93" s="7"/>
      <c r="C93" s="7" t="s">
        <v>253</v>
      </c>
      <c r="D93" s="7" t="s">
        <v>59</v>
      </c>
      <c r="E93" s="7" t="s">
        <v>254</v>
      </c>
      <c r="F93" s="7" t="s">
        <v>97</v>
      </c>
      <c r="G93" s="7" t="s">
        <v>46</v>
      </c>
      <c r="H93" s="7"/>
      <c r="I93" s="7"/>
      <c r="J93" s="7" t="s">
        <v>47</v>
      </c>
      <c r="K93" s="7" t="s">
        <v>48</v>
      </c>
      <c r="L93" s="7" t="s">
        <v>49</v>
      </c>
      <c r="M93" s="7" t="s">
        <v>49</v>
      </c>
      <c r="N93" s="7" t="s">
        <v>62</v>
      </c>
      <c r="O93" s="7" t="s">
        <v>4</v>
      </c>
      <c r="P93" s="7">
        <v>12500</v>
      </c>
      <c r="Q93" s="7">
        <v>12500</v>
      </c>
      <c r="R93" s="7">
        <v>12500</v>
      </c>
      <c r="S93" s="7">
        <v>12500</v>
      </c>
      <c r="T93" s="7">
        <v>12500</v>
      </c>
      <c r="U93" s="7">
        <v>12500</v>
      </c>
      <c r="V93" s="7">
        <v>12500</v>
      </c>
      <c r="W93" s="7">
        <v>12500</v>
      </c>
      <c r="X93" s="7">
        <v>12500</v>
      </c>
      <c r="Y93" s="7">
        <v>12500</v>
      </c>
      <c r="Z93" s="7">
        <v>12500</v>
      </c>
      <c r="AA93" s="7">
        <v>12500</v>
      </c>
      <c r="AB93" s="9">
        <v>0.79120934766371998</v>
      </c>
      <c r="AC93" s="9">
        <v>0.79120934766371998</v>
      </c>
      <c r="AD93" s="9">
        <v>0.79120934766371998</v>
      </c>
      <c r="AE93" s="9">
        <v>0.79120934766371998</v>
      </c>
      <c r="AF93" s="9">
        <v>0.79120934766371998</v>
      </c>
      <c r="AG93" s="9">
        <v>0.79120934766371998</v>
      </c>
      <c r="AH93" s="9">
        <v>0.79120934766371998</v>
      </c>
      <c r="AI93" s="9">
        <v>0.79120934766371998</v>
      </c>
      <c r="AJ93" s="9">
        <v>0.79120934766371998</v>
      </c>
      <c r="AK93" s="9">
        <v>0.79120934766371998</v>
      </c>
      <c r="AL93" s="9">
        <v>0.79120934766371998</v>
      </c>
      <c r="AM93" s="9">
        <v>0.79120934766371998</v>
      </c>
      <c r="AN93" s="10">
        <v>0</v>
      </c>
      <c r="AO93" s="10">
        <v>0</v>
      </c>
      <c r="AP93" s="10">
        <v>0</v>
      </c>
      <c r="AQ93" s="10">
        <v>0</v>
      </c>
      <c r="AR93" s="10">
        <v>2</v>
      </c>
      <c r="AS93" s="10">
        <v>0</v>
      </c>
      <c r="AT93" s="10">
        <v>0</v>
      </c>
      <c r="AU93" s="10">
        <v>0</v>
      </c>
      <c r="AV93" s="10">
        <v>0</v>
      </c>
      <c r="AW93" s="10">
        <v>0</v>
      </c>
      <c r="AX93" s="10">
        <v>0</v>
      </c>
      <c r="AY93" s="10">
        <v>0</v>
      </c>
      <c r="AZ93" s="7">
        <f t="shared" si="8"/>
        <v>2</v>
      </c>
      <c r="BA93" s="11">
        <f t="shared" si="9"/>
        <v>0.16666666666666666</v>
      </c>
      <c r="BC93" s="12">
        <v>0</v>
      </c>
      <c r="BD93" s="12">
        <v>0</v>
      </c>
      <c r="BE93" s="12">
        <v>0</v>
      </c>
      <c r="BF93" s="12">
        <v>0</v>
      </c>
      <c r="BG93" s="12">
        <v>1.5824186953274</v>
      </c>
      <c r="BH93" s="12">
        <v>0</v>
      </c>
      <c r="BI93" s="12">
        <v>0</v>
      </c>
      <c r="BJ93" s="12">
        <v>0</v>
      </c>
      <c r="BK93" s="12">
        <v>0</v>
      </c>
      <c r="BL93" s="12">
        <v>0</v>
      </c>
      <c r="BM93" s="12">
        <v>0</v>
      </c>
      <c r="BN93" s="12">
        <v>0</v>
      </c>
      <c r="BO93" s="12">
        <f t="shared" si="10"/>
        <v>1.5824186953274</v>
      </c>
      <c r="BP93" s="12">
        <f t="shared" si="11"/>
        <v>0.13186822461061667</v>
      </c>
      <c r="BQ93" s="7"/>
      <c r="BR93" s="7"/>
      <c r="BS93" s="7" t="s">
        <v>63</v>
      </c>
      <c r="BT93" s="7" t="s">
        <v>52</v>
      </c>
      <c r="BU93" s="7">
        <v>0</v>
      </c>
      <c r="BV93" s="7">
        <v>10</v>
      </c>
      <c r="BW93" s="7">
        <v>0</v>
      </c>
      <c r="BX93" s="7">
        <v>0</v>
      </c>
      <c r="BY93" s="7">
        <v>5</v>
      </c>
      <c r="BZ93" s="7"/>
    </row>
    <row r="94" spans="1:78" x14ac:dyDescent="0.35">
      <c r="A94" s="7" t="s">
        <v>41</v>
      </c>
      <c r="B94" s="7"/>
      <c r="C94" s="7" t="s">
        <v>255</v>
      </c>
      <c r="D94" s="7" t="s">
        <v>101</v>
      </c>
      <c r="E94" s="7" t="s">
        <v>256</v>
      </c>
      <c r="F94" s="7" t="s">
        <v>257</v>
      </c>
      <c r="G94" s="7" t="s">
        <v>46</v>
      </c>
      <c r="H94" s="7"/>
      <c r="I94" s="7"/>
      <c r="J94" s="7" t="s">
        <v>47</v>
      </c>
      <c r="K94" s="7" t="s">
        <v>48</v>
      </c>
      <c r="L94" s="7" t="s">
        <v>49</v>
      </c>
      <c r="M94" s="7" t="s">
        <v>49</v>
      </c>
      <c r="N94" s="7" t="s">
        <v>50</v>
      </c>
      <c r="O94" s="7" t="s">
        <v>4</v>
      </c>
      <c r="P94" s="7">
        <v>2500000</v>
      </c>
      <c r="Q94" s="7">
        <v>2500000</v>
      </c>
      <c r="R94" s="7">
        <v>2500000</v>
      </c>
      <c r="S94" s="7">
        <v>2500000</v>
      </c>
      <c r="T94" s="7">
        <v>2500000</v>
      </c>
      <c r="U94" s="7">
        <v>2500000</v>
      </c>
      <c r="V94" s="7">
        <v>2500000</v>
      </c>
      <c r="W94" s="7">
        <v>2500000</v>
      </c>
      <c r="X94" s="7">
        <v>2500000</v>
      </c>
      <c r="Y94" s="7">
        <v>2500000</v>
      </c>
      <c r="Z94" s="7">
        <v>2500000</v>
      </c>
      <c r="AA94" s="7">
        <v>2500000</v>
      </c>
      <c r="AB94" s="9">
        <v>158.24186953274</v>
      </c>
      <c r="AC94" s="9">
        <v>158.24186953274</v>
      </c>
      <c r="AD94" s="9">
        <v>158.24186953274</v>
      </c>
      <c r="AE94" s="9">
        <v>158.24186953274</v>
      </c>
      <c r="AF94" s="9">
        <v>158.24186953274</v>
      </c>
      <c r="AG94" s="9">
        <v>158.24186953274</v>
      </c>
      <c r="AH94" s="9">
        <v>158.24186953274</v>
      </c>
      <c r="AI94" s="9">
        <v>158.24186953274</v>
      </c>
      <c r="AJ94" s="9">
        <v>158.24186953274</v>
      </c>
      <c r="AK94" s="9">
        <v>158.24186953274</v>
      </c>
      <c r="AL94" s="9">
        <v>158.24186953274</v>
      </c>
      <c r="AM94" s="9">
        <v>158.24186953274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1</v>
      </c>
      <c r="AT94" s="10">
        <v>0</v>
      </c>
      <c r="AU94" s="10">
        <v>0</v>
      </c>
      <c r="AV94" s="10">
        <v>0</v>
      </c>
      <c r="AW94" s="10">
        <v>0</v>
      </c>
      <c r="AX94" s="10">
        <v>0</v>
      </c>
      <c r="AY94" s="10">
        <v>0</v>
      </c>
      <c r="AZ94" s="7">
        <f t="shared" si="8"/>
        <v>1</v>
      </c>
      <c r="BA94" s="11">
        <f t="shared" si="9"/>
        <v>8.3333333333333329E-2</v>
      </c>
      <c r="BC94" s="12">
        <v>0</v>
      </c>
      <c r="BD94" s="12">
        <v>0</v>
      </c>
      <c r="BE94" s="12">
        <v>0</v>
      </c>
      <c r="BF94" s="12">
        <v>0</v>
      </c>
      <c r="BG94" s="12">
        <v>0</v>
      </c>
      <c r="BH94" s="12">
        <v>158.24186953274</v>
      </c>
      <c r="BI94" s="12">
        <v>0</v>
      </c>
      <c r="BJ94" s="12">
        <v>0</v>
      </c>
      <c r="BK94" s="12">
        <v>0</v>
      </c>
      <c r="BL94" s="12">
        <v>0</v>
      </c>
      <c r="BM94" s="12">
        <v>0</v>
      </c>
      <c r="BN94" s="12">
        <v>0</v>
      </c>
      <c r="BO94" s="12">
        <f t="shared" si="10"/>
        <v>158.24186953274</v>
      </c>
      <c r="BP94" s="12">
        <f t="shared" si="11"/>
        <v>13.186822461061666</v>
      </c>
      <c r="BQ94" s="7"/>
      <c r="BR94" s="7"/>
      <c r="BS94" s="7" t="s">
        <v>57</v>
      </c>
      <c r="BT94" s="7" t="s">
        <v>52</v>
      </c>
      <c r="BU94" s="7">
        <v>0</v>
      </c>
      <c r="BV94" s="7">
        <v>10</v>
      </c>
      <c r="BW94" s="7">
        <v>0</v>
      </c>
      <c r="BX94" s="7">
        <v>10</v>
      </c>
      <c r="BY94" s="7">
        <v>5</v>
      </c>
      <c r="BZ94" s="7"/>
    </row>
    <row r="95" spans="1:78" x14ac:dyDescent="0.35">
      <c r="A95" s="7" t="s">
        <v>41</v>
      </c>
      <c r="B95" s="7"/>
      <c r="C95" s="7" t="s">
        <v>258</v>
      </c>
      <c r="D95" s="7" t="s">
        <v>259</v>
      </c>
      <c r="E95" s="7" t="s">
        <v>260</v>
      </c>
      <c r="F95" s="7" t="s">
        <v>205</v>
      </c>
      <c r="G95" s="7" t="s">
        <v>46</v>
      </c>
      <c r="H95" s="7"/>
      <c r="I95" s="7"/>
      <c r="J95" s="7" t="s">
        <v>47</v>
      </c>
      <c r="K95" s="7" t="s">
        <v>48</v>
      </c>
      <c r="L95" s="7" t="s">
        <v>49</v>
      </c>
      <c r="M95" s="7" t="s">
        <v>49</v>
      </c>
      <c r="N95" s="7" t="s">
        <v>261</v>
      </c>
      <c r="O95" s="7" t="s">
        <v>4</v>
      </c>
      <c r="P95" s="7">
        <v>1750000</v>
      </c>
      <c r="Q95" s="7">
        <v>1750000</v>
      </c>
      <c r="R95" s="7">
        <v>1750000</v>
      </c>
      <c r="S95" s="7">
        <v>1750000</v>
      </c>
      <c r="T95" s="7">
        <v>1750000</v>
      </c>
      <c r="U95" s="7">
        <v>1750000</v>
      </c>
      <c r="V95" s="7">
        <v>1750000</v>
      </c>
      <c r="W95" s="7">
        <v>1750000</v>
      </c>
      <c r="X95" s="7">
        <v>1750000</v>
      </c>
      <c r="Y95" s="7">
        <v>1750000</v>
      </c>
      <c r="Z95" s="7">
        <v>1750000</v>
      </c>
      <c r="AA95" s="7">
        <v>1750000</v>
      </c>
      <c r="AB95" s="9">
        <v>110.76930867292</v>
      </c>
      <c r="AC95" s="9">
        <v>110.76930867292</v>
      </c>
      <c r="AD95" s="9">
        <v>110.76930867292</v>
      </c>
      <c r="AE95" s="9">
        <v>110.76930867292</v>
      </c>
      <c r="AF95" s="9">
        <v>110.76930867292</v>
      </c>
      <c r="AG95" s="9">
        <v>110.76930867292</v>
      </c>
      <c r="AH95" s="9">
        <v>110.76930867292</v>
      </c>
      <c r="AI95" s="9">
        <v>110.76930867292</v>
      </c>
      <c r="AJ95" s="9">
        <v>110.76930867292</v>
      </c>
      <c r="AK95" s="9">
        <v>110.76930867292</v>
      </c>
      <c r="AL95" s="9">
        <v>110.76930867292</v>
      </c>
      <c r="AM95" s="9">
        <v>110.76930867292</v>
      </c>
      <c r="AN95" s="10">
        <v>1</v>
      </c>
      <c r="AO95" s="10">
        <v>0</v>
      </c>
      <c r="AP95" s="10">
        <v>0</v>
      </c>
      <c r="AQ95" s="10">
        <v>0</v>
      </c>
      <c r="AR95" s="10">
        <v>0</v>
      </c>
      <c r="AS95" s="10">
        <v>0</v>
      </c>
      <c r="AT95" s="10">
        <v>0</v>
      </c>
      <c r="AU95" s="10">
        <v>0</v>
      </c>
      <c r="AV95" s="10">
        <v>0</v>
      </c>
      <c r="AW95" s="10">
        <v>0</v>
      </c>
      <c r="AX95" s="10">
        <v>0</v>
      </c>
      <c r="AY95" s="10">
        <v>0</v>
      </c>
      <c r="AZ95" s="7">
        <f t="shared" si="8"/>
        <v>1</v>
      </c>
      <c r="BA95" s="11">
        <f t="shared" si="9"/>
        <v>8.3333333333333329E-2</v>
      </c>
      <c r="BC95" s="12">
        <v>110.76930867292</v>
      </c>
      <c r="BD95" s="12">
        <v>0</v>
      </c>
      <c r="BE95" s="12">
        <v>0</v>
      </c>
      <c r="BF95" s="12">
        <v>0</v>
      </c>
      <c r="BG95" s="12">
        <v>0</v>
      </c>
      <c r="BH95" s="12">
        <v>0</v>
      </c>
      <c r="BI95" s="12">
        <v>0</v>
      </c>
      <c r="BJ95" s="12">
        <v>0</v>
      </c>
      <c r="BK95" s="12">
        <v>0</v>
      </c>
      <c r="BL95" s="12">
        <v>0</v>
      </c>
      <c r="BM95" s="12">
        <v>0</v>
      </c>
      <c r="BN95" s="12">
        <v>0</v>
      </c>
      <c r="BO95" s="12">
        <f t="shared" si="10"/>
        <v>110.76930867292</v>
      </c>
      <c r="BP95" s="12">
        <f t="shared" si="11"/>
        <v>9.2307757227433331</v>
      </c>
      <c r="BQ95" s="7"/>
      <c r="BR95" s="7"/>
      <c r="BS95" s="7" t="s">
        <v>51</v>
      </c>
      <c r="BT95" s="7" t="s">
        <v>206</v>
      </c>
      <c r="BU95" s="7">
        <v>15</v>
      </c>
      <c r="BV95" s="7">
        <v>20</v>
      </c>
      <c r="BW95" s="7">
        <v>5</v>
      </c>
      <c r="BX95" s="7">
        <v>60</v>
      </c>
      <c r="BY95" s="7">
        <v>10</v>
      </c>
      <c r="BZ95" s="7"/>
    </row>
    <row r="96" spans="1:78" x14ac:dyDescent="0.35">
      <c r="A96" s="7" t="s">
        <v>41</v>
      </c>
      <c r="B96" s="7"/>
      <c r="C96" s="7" t="s">
        <v>262</v>
      </c>
      <c r="D96" s="7" t="s">
        <v>263</v>
      </c>
      <c r="E96" s="7" t="s">
        <v>264</v>
      </c>
      <c r="F96" s="7" t="s">
        <v>75</v>
      </c>
      <c r="G96" s="7" t="s">
        <v>46</v>
      </c>
      <c r="H96" s="7"/>
      <c r="I96" s="7"/>
      <c r="J96" s="7" t="s">
        <v>47</v>
      </c>
      <c r="K96" s="7" t="s">
        <v>48</v>
      </c>
      <c r="L96" s="7" t="s">
        <v>49</v>
      </c>
      <c r="M96" s="7" t="s">
        <v>49</v>
      </c>
      <c r="N96" s="7" t="s">
        <v>85</v>
      </c>
      <c r="O96" s="7" t="s">
        <v>4</v>
      </c>
      <c r="P96" s="7">
        <v>1850000</v>
      </c>
      <c r="Q96" s="7">
        <v>1850000</v>
      </c>
      <c r="R96" s="7">
        <v>1850000</v>
      </c>
      <c r="S96" s="7">
        <v>1850000</v>
      </c>
      <c r="T96" s="7">
        <v>1850000</v>
      </c>
      <c r="U96" s="7">
        <v>1850000</v>
      </c>
      <c r="V96" s="7">
        <v>1850000</v>
      </c>
      <c r="W96" s="7">
        <v>1850000</v>
      </c>
      <c r="X96" s="7">
        <v>1850000</v>
      </c>
      <c r="Y96" s="7">
        <v>1850000</v>
      </c>
      <c r="Z96" s="7">
        <v>1850000</v>
      </c>
      <c r="AA96" s="7">
        <v>1850000</v>
      </c>
      <c r="AB96" s="9">
        <v>117.09898345422999</v>
      </c>
      <c r="AC96" s="9">
        <v>117.09898345422999</v>
      </c>
      <c r="AD96" s="9">
        <v>117.09898345422999</v>
      </c>
      <c r="AE96" s="9">
        <v>117.09898345422999</v>
      </c>
      <c r="AF96" s="9">
        <v>117.09898345422999</v>
      </c>
      <c r="AG96" s="9">
        <v>117.09898345422999</v>
      </c>
      <c r="AH96" s="9">
        <v>117.09898345422999</v>
      </c>
      <c r="AI96" s="9">
        <v>117.09898345422999</v>
      </c>
      <c r="AJ96" s="9">
        <v>117.09898345422999</v>
      </c>
      <c r="AK96" s="9">
        <v>117.09898345422999</v>
      </c>
      <c r="AL96" s="9">
        <v>117.09898345422999</v>
      </c>
      <c r="AM96" s="9">
        <v>117.09898345422999</v>
      </c>
      <c r="AN96" s="10">
        <v>0</v>
      </c>
      <c r="AO96" s="10">
        <v>1</v>
      </c>
      <c r="AP96" s="10">
        <v>0</v>
      </c>
      <c r="AQ96" s="10">
        <v>0</v>
      </c>
      <c r="AR96" s="10">
        <v>0</v>
      </c>
      <c r="AS96" s="10">
        <v>0</v>
      </c>
      <c r="AT96" s="10">
        <v>0</v>
      </c>
      <c r="AU96" s="10">
        <v>0</v>
      </c>
      <c r="AV96" s="10">
        <v>0</v>
      </c>
      <c r="AW96" s="10">
        <v>0</v>
      </c>
      <c r="AX96" s="10">
        <v>0</v>
      </c>
      <c r="AY96" s="10">
        <v>0</v>
      </c>
      <c r="AZ96" s="7">
        <f t="shared" si="8"/>
        <v>1</v>
      </c>
      <c r="BA96" s="11">
        <f t="shared" si="9"/>
        <v>8.3333333333333329E-2</v>
      </c>
      <c r="BC96" s="12">
        <v>0</v>
      </c>
      <c r="BD96" s="12">
        <v>117.09898345422999</v>
      </c>
      <c r="BE96" s="12">
        <v>0</v>
      </c>
      <c r="BF96" s="12">
        <v>0</v>
      </c>
      <c r="BG96" s="12">
        <v>0</v>
      </c>
      <c r="BH96" s="12">
        <v>0</v>
      </c>
      <c r="BI96" s="12">
        <v>0</v>
      </c>
      <c r="BJ96" s="12">
        <v>0</v>
      </c>
      <c r="BK96" s="12">
        <v>0</v>
      </c>
      <c r="BL96" s="12">
        <v>0</v>
      </c>
      <c r="BM96" s="12">
        <v>0</v>
      </c>
      <c r="BN96" s="12">
        <v>0</v>
      </c>
      <c r="BO96" s="12">
        <f t="shared" si="10"/>
        <v>117.09898345422999</v>
      </c>
      <c r="BP96" s="12">
        <f t="shared" si="11"/>
        <v>9.7582486211858335</v>
      </c>
      <c r="BQ96" s="7"/>
      <c r="BR96" s="7"/>
      <c r="BS96" s="7" t="s">
        <v>125</v>
      </c>
      <c r="BT96" s="7" t="s">
        <v>52</v>
      </c>
      <c r="BU96" s="7">
        <v>15</v>
      </c>
      <c r="BV96" s="7">
        <v>10</v>
      </c>
      <c r="BW96" s="7">
        <v>5</v>
      </c>
      <c r="BX96" s="7">
        <v>20</v>
      </c>
      <c r="BY96" s="7">
        <v>5</v>
      </c>
      <c r="BZ96" s="7"/>
    </row>
    <row r="97" spans="1:78" x14ac:dyDescent="0.35">
      <c r="A97" s="7" t="s">
        <v>41</v>
      </c>
      <c r="B97" s="7"/>
      <c r="C97" s="7" t="s">
        <v>265</v>
      </c>
      <c r="D97" s="7" t="s">
        <v>123</v>
      </c>
      <c r="E97" s="7" t="s">
        <v>266</v>
      </c>
      <c r="F97" s="7" t="s">
        <v>267</v>
      </c>
      <c r="G97" s="7" t="s">
        <v>46</v>
      </c>
      <c r="H97" s="7"/>
      <c r="I97" s="7"/>
      <c r="J97" s="7" t="s">
        <v>47</v>
      </c>
      <c r="K97" s="7" t="s">
        <v>48</v>
      </c>
      <c r="L97" s="7" t="s">
        <v>49</v>
      </c>
      <c r="M97" s="7" t="s">
        <v>49</v>
      </c>
      <c r="N97" s="7" t="s">
        <v>268</v>
      </c>
      <c r="O97" s="7" t="s">
        <v>4</v>
      </c>
      <c r="P97" s="7">
        <v>23170000</v>
      </c>
      <c r="Q97" s="7">
        <v>23170000</v>
      </c>
      <c r="R97" s="7">
        <v>23170000</v>
      </c>
      <c r="S97" s="7">
        <v>23170000</v>
      </c>
      <c r="T97" s="7">
        <v>23170000</v>
      </c>
      <c r="U97" s="7">
        <v>23170000</v>
      </c>
      <c r="V97" s="7">
        <v>23170000</v>
      </c>
      <c r="W97" s="7">
        <v>23170000</v>
      </c>
      <c r="X97" s="7">
        <v>23170000</v>
      </c>
      <c r="Y97" s="7">
        <v>23170000</v>
      </c>
      <c r="Z97" s="7">
        <v>23170000</v>
      </c>
      <c r="AA97" s="7">
        <v>23170000</v>
      </c>
      <c r="AB97" s="9">
        <v>1466.5856468295001</v>
      </c>
      <c r="AC97" s="9">
        <v>1466.5856468295001</v>
      </c>
      <c r="AD97" s="9">
        <v>1466.5856468295001</v>
      </c>
      <c r="AE97" s="9">
        <v>1466.5856468295001</v>
      </c>
      <c r="AF97" s="9">
        <v>1466.5856468295001</v>
      </c>
      <c r="AG97" s="9">
        <v>1466.5856468295001</v>
      </c>
      <c r="AH97" s="9">
        <v>1466.5856468295001</v>
      </c>
      <c r="AI97" s="9">
        <v>1466.5856468295001</v>
      </c>
      <c r="AJ97" s="9">
        <v>1466.5856468295001</v>
      </c>
      <c r="AK97" s="9">
        <v>1466.5856468295001</v>
      </c>
      <c r="AL97" s="9">
        <v>1466.5856468295001</v>
      </c>
      <c r="AM97" s="9">
        <v>1466.5856468295001</v>
      </c>
      <c r="AN97" s="10">
        <v>0</v>
      </c>
      <c r="AO97" s="10">
        <v>0</v>
      </c>
      <c r="AP97" s="10">
        <v>0</v>
      </c>
      <c r="AQ97" s="10">
        <v>1</v>
      </c>
      <c r="AR97" s="10">
        <v>0</v>
      </c>
      <c r="AS97" s="10">
        <v>0</v>
      </c>
      <c r="AT97" s="10">
        <v>0</v>
      </c>
      <c r="AU97" s="10">
        <v>1</v>
      </c>
      <c r="AV97" s="10">
        <v>0</v>
      </c>
      <c r="AW97" s="10">
        <v>0</v>
      </c>
      <c r="AX97" s="10">
        <v>0</v>
      </c>
      <c r="AY97" s="10">
        <v>0</v>
      </c>
      <c r="AZ97" s="7">
        <f t="shared" si="8"/>
        <v>2</v>
      </c>
      <c r="BA97" s="11">
        <f t="shared" si="9"/>
        <v>0.16666666666666666</v>
      </c>
      <c r="BC97" s="12">
        <v>0</v>
      </c>
      <c r="BD97" s="12">
        <v>0</v>
      </c>
      <c r="BE97" s="12">
        <v>0</v>
      </c>
      <c r="BF97" s="12">
        <v>1466.5856468295001</v>
      </c>
      <c r="BG97" s="12">
        <v>0</v>
      </c>
      <c r="BH97" s="12">
        <v>0</v>
      </c>
      <c r="BI97" s="12">
        <v>0</v>
      </c>
      <c r="BJ97" s="12">
        <v>1466.5856468295001</v>
      </c>
      <c r="BK97" s="12">
        <v>0</v>
      </c>
      <c r="BL97" s="12">
        <v>0</v>
      </c>
      <c r="BM97" s="12">
        <v>0</v>
      </c>
      <c r="BN97" s="12">
        <v>0</v>
      </c>
      <c r="BO97" s="12">
        <f t="shared" si="10"/>
        <v>2933.1712936590002</v>
      </c>
      <c r="BP97" s="12">
        <f t="shared" si="11"/>
        <v>244.43094113825001</v>
      </c>
      <c r="BQ97" s="7"/>
      <c r="BR97" s="7"/>
      <c r="BS97" s="7" t="s">
        <v>125</v>
      </c>
      <c r="BT97" s="7" t="s">
        <v>52</v>
      </c>
      <c r="BU97" s="7">
        <v>15</v>
      </c>
      <c r="BV97" s="7">
        <v>10</v>
      </c>
      <c r="BW97" s="7">
        <v>5</v>
      </c>
      <c r="BX97" s="7">
        <v>20</v>
      </c>
      <c r="BY97" s="7">
        <v>5</v>
      </c>
      <c r="BZ97" s="7"/>
    </row>
    <row r="98" spans="1:78" x14ac:dyDescent="0.35">
      <c r="A98" s="7" t="s">
        <v>41</v>
      </c>
      <c r="B98" s="7"/>
      <c r="C98" s="7" t="s">
        <v>64</v>
      </c>
      <c r="D98" s="7" t="s">
        <v>65</v>
      </c>
      <c r="E98" s="7" t="s">
        <v>66</v>
      </c>
      <c r="F98" s="7" t="s">
        <v>164</v>
      </c>
      <c r="G98" s="7" t="s">
        <v>46</v>
      </c>
      <c r="H98" s="7"/>
      <c r="I98" s="7"/>
      <c r="J98" s="7" t="s">
        <v>47</v>
      </c>
      <c r="K98" s="7" t="s">
        <v>48</v>
      </c>
      <c r="L98" s="7" t="s">
        <v>49</v>
      </c>
      <c r="M98" s="7" t="s">
        <v>49</v>
      </c>
      <c r="N98" s="7" t="s">
        <v>68</v>
      </c>
      <c r="O98" s="7" t="s">
        <v>4</v>
      </c>
      <c r="P98" s="7">
        <v>50000</v>
      </c>
      <c r="Q98" s="7">
        <v>50000</v>
      </c>
      <c r="R98" s="7">
        <v>50000</v>
      </c>
      <c r="S98" s="7">
        <v>50000</v>
      </c>
      <c r="T98" s="7">
        <v>50000</v>
      </c>
      <c r="U98" s="7">
        <v>50000</v>
      </c>
      <c r="V98" s="7">
        <v>50000</v>
      </c>
      <c r="W98" s="7">
        <v>50000</v>
      </c>
      <c r="X98" s="7">
        <v>50000</v>
      </c>
      <c r="Y98" s="7">
        <v>50000</v>
      </c>
      <c r="Z98" s="7">
        <v>50000</v>
      </c>
      <c r="AA98" s="7">
        <v>50000</v>
      </c>
      <c r="AB98" s="9">
        <v>3.1648373906548999</v>
      </c>
      <c r="AC98" s="9">
        <v>3.1648373906548999</v>
      </c>
      <c r="AD98" s="9">
        <v>3.1648373906548999</v>
      </c>
      <c r="AE98" s="9">
        <v>3.1648373906548999</v>
      </c>
      <c r="AF98" s="9">
        <v>3.1648373906548999</v>
      </c>
      <c r="AG98" s="9">
        <v>3.1648373906548999</v>
      </c>
      <c r="AH98" s="9">
        <v>3.1648373906548999</v>
      </c>
      <c r="AI98" s="9">
        <v>3.1648373906548999</v>
      </c>
      <c r="AJ98" s="9">
        <v>3.1648373906548999</v>
      </c>
      <c r="AK98" s="9">
        <v>3.1648373906548999</v>
      </c>
      <c r="AL98" s="9">
        <v>3.1648373906548999</v>
      </c>
      <c r="AM98" s="9">
        <v>3.1648373906548999</v>
      </c>
      <c r="AN98" s="10">
        <v>0</v>
      </c>
      <c r="AO98" s="10">
        <v>0</v>
      </c>
      <c r="AP98" s="10">
        <v>0</v>
      </c>
      <c r="AQ98" s="10">
        <v>0</v>
      </c>
      <c r="AR98" s="10">
        <v>0</v>
      </c>
      <c r="AS98" s="10">
        <v>0</v>
      </c>
      <c r="AT98" s="10">
        <v>0</v>
      </c>
      <c r="AU98" s="10">
        <v>0</v>
      </c>
      <c r="AV98" s="10">
        <v>0</v>
      </c>
      <c r="AW98" s="10">
        <v>0</v>
      </c>
      <c r="AX98" s="10">
        <v>70</v>
      </c>
      <c r="AY98" s="10">
        <v>0</v>
      </c>
      <c r="AZ98" s="7">
        <f t="shared" si="8"/>
        <v>70</v>
      </c>
      <c r="BA98" s="11">
        <f t="shared" si="9"/>
        <v>5.833333333333333</v>
      </c>
      <c r="BC98" s="12">
        <v>0</v>
      </c>
      <c r="BD98" s="12">
        <v>0</v>
      </c>
      <c r="BE98" s="12">
        <v>0</v>
      </c>
      <c r="BF98" s="12">
        <v>0</v>
      </c>
      <c r="BG98" s="12">
        <v>0</v>
      </c>
      <c r="BH98" s="12">
        <v>0</v>
      </c>
      <c r="BI98" s="12">
        <v>0</v>
      </c>
      <c r="BJ98" s="12">
        <v>0</v>
      </c>
      <c r="BK98" s="12">
        <v>0</v>
      </c>
      <c r="BL98" s="12">
        <v>0</v>
      </c>
      <c r="BM98" s="12">
        <v>221.53861734584001</v>
      </c>
      <c r="BN98" s="12">
        <v>0</v>
      </c>
      <c r="BO98" s="12">
        <f t="shared" si="10"/>
        <v>221.53861734584001</v>
      </c>
      <c r="BP98" s="12">
        <f t="shared" si="11"/>
        <v>18.461551445486666</v>
      </c>
      <c r="BQ98" s="7"/>
      <c r="BR98" s="7"/>
      <c r="BS98" s="7" t="s">
        <v>63</v>
      </c>
      <c r="BT98" s="7" t="s">
        <v>52</v>
      </c>
      <c r="BU98" s="7">
        <v>0</v>
      </c>
      <c r="BV98" s="7">
        <v>10</v>
      </c>
      <c r="BW98" s="7">
        <v>0</v>
      </c>
      <c r="BX98" s="7">
        <v>0</v>
      </c>
      <c r="BY98" s="7">
        <v>5</v>
      </c>
      <c r="BZ98" s="7"/>
    </row>
    <row r="99" spans="1:78" x14ac:dyDescent="0.35">
      <c r="A99" s="7" t="s">
        <v>41</v>
      </c>
      <c r="B99" s="7"/>
      <c r="C99" s="7" t="s">
        <v>64</v>
      </c>
      <c r="D99" s="7" t="s">
        <v>65</v>
      </c>
      <c r="E99" s="7" t="s">
        <v>66</v>
      </c>
      <c r="F99" s="7" t="s">
        <v>269</v>
      </c>
      <c r="G99" s="7" t="s">
        <v>46</v>
      </c>
      <c r="H99" s="7"/>
      <c r="I99" s="7"/>
      <c r="J99" s="7" t="s">
        <v>47</v>
      </c>
      <c r="K99" s="7" t="s">
        <v>48</v>
      </c>
      <c r="L99" s="7" t="s">
        <v>49</v>
      </c>
      <c r="M99" s="7" t="s">
        <v>49</v>
      </c>
      <c r="N99" s="7" t="s">
        <v>68</v>
      </c>
      <c r="O99" s="7" t="s">
        <v>4</v>
      </c>
      <c r="P99" s="7">
        <v>50000</v>
      </c>
      <c r="Q99" s="7">
        <v>50000</v>
      </c>
      <c r="R99" s="7">
        <v>50000</v>
      </c>
      <c r="S99" s="7">
        <v>50000</v>
      </c>
      <c r="T99" s="7">
        <v>50000</v>
      </c>
      <c r="U99" s="7">
        <v>50000</v>
      </c>
      <c r="V99" s="7">
        <v>50000</v>
      </c>
      <c r="W99" s="7">
        <v>50000</v>
      </c>
      <c r="X99" s="7">
        <v>50000</v>
      </c>
      <c r="Y99" s="7">
        <v>50000</v>
      </c>
      <c r="Z99" s="7">
        <v>50000</v>
      </c>
      <c r="AA99" s="7">
        <v>50000</v>
      </c>
      <c r="AB99" s="9">
        <v>3.1648373906548999</v>
      </c>
      <c r="AC99" s="9">
        <v>3.1648373906548999</v>
      </c>
      <c r="AD99" s="9">
        <v>3.1648373906548999</v>
      </c>
      <c r="AE99" s="9">
        <v>3.1648373906548999</v>
      </c>
      <c r="AF99" s="9">
        <v>3.1648373906548999</v>
      </c>
      <c r="AG99" s="9">
        <v>3.1648373906548999</v>
      </c>
      <c r="AH99" s="9">
        <v>3.1648373906548999</v>
      </c>
      <c r="AI99" s="9">
        <v>3.1648373906548999</v>
      </c>
      <c r="AJ99" s="9">
        <v>3.1648373906548999</v>
      </c>
      <c r="AK99" s="9">
        <v>3.1648373906548999</v>
      </c>
      <c r="AL99" s="9">
        <v>3.1648373906548999</v>
      </c>
      <c r="AM99" s="9">
        <v>3.1648373906548999</v>
      </c>
      <c r="AN99" s="10">
        <v>0</v>
      </c>
      <c r="AO99" s="10">
        <v>0</v>
      </c>
      <c r="AP99" s="10">
        <v>89</v>
      </c>
      <c r="AQ99" s="10">
        <v>0</v>
      </c>
      <c r="AR99" s="10">
        <v>0</v>
      </c>
      <c r="AS99" s="10">
        <v>0</v>
      </c>
      <c r="AT99" s="10">
        <v>0</v>
      </c>
      <c r="AU99" s="10">
        <v>0</v>
      </c>
      <c r="AV99" s="10">
        <v>89</v>
      </c>
      <c r="AW99" s="10">
        <v>0</v>
      </c>
      <c r="AX99" s="10">
        <v>0</v>
      </c>
      <c r="AY99" s="10">
        <v>0</v>
      </c>
      <c r="AZ99" s="7">
        <f t="shared" si="8"/>
        <v>178</v>
      </c>
      <c r="BA99" s="11">
        <f t="shared" si="9"/>
        <v>14.833333333333334</v>
      </c>
      <c r="BC99" s="12">
        <v>0</v>
      </c>
      <c r="BD99" s="12">
        <v>0</v>
      </c>
      <c r="BE99" s="12">
        <v>281.67052776828001</v>
      </c>
      <c r="BF99" s="12">
        <v>0</v>
      </c>
      <c r="BG99" s="12">
        <v>0</v>
      </c>
      <c r="BH99" s="12">
        <v>0</v>
      </c>
      <c r="BI99" s="12">
        <v>0</v>
      </c>
      <c r="BJ99" s="12">
        <v>0</v>
      </c>
      <c r="BK99" s="12">
        <v>281.67052776828001</v>
      </c>
      <c r="BL99" s="12">
        <v>0</v>
      </c>
      <c r="BM99" s="12">
        <v>0</v>
      </c>
      <c r="BN99" s="12">
        <v>0</v>
      </c>
      <c r="BO99" s="12">
        <f t="shared" si="10"/>
        <v>563.34105553656002</v>
      </c>
      <c r="BP99" s="12">
        <f t="shared" si="11"/>
        <v>46.945087961380004</v>
      </c>
      <c r="BQ99" s="7"/>
      <c r="BR99" s="7"/>
      <c r="BS99" s="7" t="s">
        <v>63</v>
      </c>
      <c r="BT99" s="7" t="s">
        <v>52</v>
      </c>
      <c r="BU99" s="7">
        <v>0</v>
      </c>
      <c r="BV99" s="7">
        <v>10</v>
      </c>
      <c r="BW99" s="7">
        <v>0</v>
      </c>
      <c r="BX99" s="7">
        <v>0</v>
      </c>
      <c r="BY99" s="7">
        <v>5</v>
      </c>
      <c r="BZ99" s="7"/>
    </row>
    <row r="100" spans="1:78" x14ac:dyDescent="0.35">
      <c r="A100" s="7" t="s">
        <v>41</v>
      </c>
      <c r="B100" s="7"/>
      <c r="C100" s="7" t="s">
        <v>270</v>
      </c>
      <c r="D100" s="7" t="s">
        <v>101</v>
      </c>
      <c r="E100" s="7" t="s">
        <v>271</v>
      </c>
      <c r="F100" s="7" t="s">
        <v>272</v>
      </c>
      <c r="G100" s="7" t="s">
        <v>46</v>
      </c>
      <c r="H100" s="7"/>
      <c r="I100" s="7"/>
      <c r="J100" s="7" t="s">
        <v>47</v>
      </c>
      <c r="K100" s="7" t="s">
        <v>48</v>
      </c>
      <c r="L100" s="7" t="s">
        <v>49</v>
      </c>
      <c r="M100" s="7" t="s">
        <v>49</v>
      </c>
      <c r="N100" s="7" t="s">
        <v>50</v>
      </c>
      <c r="O100" s="7" t="s">
        <v>4</v>
      </c>
      <c r="P100" s="7">
        <v>800000</v>
      </c>
      <c r="Q100" s="7">
        <v>800000</v>
      </c>
      <c r="R100" s="7">
        <v>800000</v>
      </c>
      <c r="S100" s="7">
        <v>800000</v>
      </c>
      <c r="T100" s="7">
        <v>800000</v>
      </c>
      <c r="U100" s="7">
        <v>800000</v>
      </c>
      <c r="V100" s="7">
        <v>800000</v>
      </c>
      <c r="W100" s="7">
        <v>800000</v>
      </c>
      <c r="X100" s="7">
        <v>800000</v>
      </c>
      <c r="Y100" s="7">
        <v>800000</v>
      </c>
      <c r="Z100" s="7">
        <v>800000</v>
      </c>
      <c r="AA100" s="7">
        <v>800000</v>
      </c>
      <c r="AB100" s="9">
        <v>50.637398250478</v>
      </c>
      <c r="AC100" s="9">
        <v>50.637398250478</v>
      </c>
      <c r="AD100" s="9">
        <v>50.637398250478</v>
      </c>
      <c r="AE100" s="9">
        <v>50.637398250478</v>
      </c>
      <c r="AF100" s="9">
        <v>50.637398250478</v>
      </c>
      <c r="AG100" s="9">
        <v>50.637398250478</v>
      </c>
      <c r="AH100" s="9">
        <v>50.637398250478</v>
      </c>
      <c r="AI100" s="9">
        <v>50.637398250478</v>
      </c>
      <c r="AJ100" s="9">
        <v>50.637398250478</v>
      </c>
      <c r="AK100" s="9">
        <v>50.637398250478</v>
      </c>
      <c r="AL100" s="9">
        <v>50.637398250478</v>
      </c>
      <c r="AM100" s="9">
        <v>50.637398250478</v>
      </c>
      <c r="AN100" s="10">
        <v>0</v>
      </c>
      <c r="AO100" s="10">
        <v>0</v>
      </c>
      <c r="AP100" s="10">
        <v>1</v>
      </c>
      <c r="AQ100" s="10">
        <v>0</v>
      </c>
      <c r="AR100" s="10">
        <v>0</v>
      </c>
      <c r="AS100" s="10">
        <v>0</v>
      </c>
      <c r="AT100" s="10">
        <v>0</v>
      </c>
      <c r="AU100" s="10">
        <v>0</v>
      </c>
      <c r="AV100" s="10">
        <v>1</v>
      </c>
      <c r="AW100" s="10">
        <v>0</v>
      </c>
      <c r="AX100" s="10">
        <v>0</v>
      </c>
      <c r="AY100" s="10">
        <v>0</v>
      </c>
      <c r="AZ100" s="7">
        <f t="shared" si="8"/>
        <v>2</v>
      </c>
      <c r="BA100" s="11">
        <f t="shared" si="9"/>
        <v>0.16666666666666666</v>
      </c>
      <c r="BC100" s="12">
        <v>0</v>
      </c>
      <c r="BD100" s="12">
        <v>0</v>
      </c>
      <c r="BE100" s="12">
        <v>50.637398250478</v>
      </c>
      <c r="BF100" s="12">
        <v>0</v>
      </c>
      <c r="BG100" s="12">
        <v>0</v>
      </c>
      <c r="BH100" s="12">
        <v>0</v>
      </c>
      <c r="BI100" s="12">
        <v>0</v>
      </c>
      <c r="BJ100" s="12">
        <v>0</v>
      </c>
      <c r="BK100" s="12">
        <v>50.637398250478</v>
      </c>
      <c r="BL100" s="12">
        <v>0</v>
      </c>
      <c r="BM100" s="12">
        <v>0</v>
      </c>
      <c r="BN100" s="12">
        <v>0</v>
      </c>
      <c r="BO100" s="12">
        <f t="shared" si="10"/>
        <v>101.274796500956</v>
      </c>
      <c r="BP100" s="12">
        <f t="shared" si="11"/>
        <v>8.4395663750796661</v>
      </c>
      <c r="BQ100" s="7"/>
      <c r="BR100" s="7"/>
      <c r="BS100" s="7" t="s">
        <v>57</v>
      </c>
      <c r="BT100" s="7" t="s">
        <v>52</v>
      </c>
      <c r="BU100" s="7">
        <v>0</v>
      </c>
      <c r="BV100" s="7">
        <v>10</v>
      </c>
      <c r="BW100" s="7">
        <v>0</v>
      </c>
      <c r="BX100" s="7">
        <v>10</v>
      </c>
      <c r="BY100" s="7">
        <v>5</v>
      </c>
      <c r="BZ100" s="7"/>
    </row>
    <row r="101" spans="1:78" x14ac:dyDescent="0.35">
      <c r="A101" s="7" t="s">
        <v>41</v>
      </c>
      <c r="B101" s="7"/>
      <c r="C101" s="7" t="s">
        <v>273</v>
      </c>
      <c r="D101" s="7" t="s">
        <v>54</v>
      </c>
      <c r="E101" s="7" t="s">
        <v>274</v>
      </c>
      <c r="F101" s="7" t="s">
        <v>56</v>
      </c>
      <c r="G101" s="7" t="s">
        <v>46</v>
      </c>
      <c r="H101" s="7"/>
      <c r="I101" s="7"/>
      <c r="J101" s="7" t="s">
        <v>47</v>
      </c>
      <c r="K101" s="7" t="s">
        <v>48</v>
      </c>
      <c r="L101" s="7" t="s">
        <v>49</v>
      </c>
      <c r="M101" s="7" t="s">
        <v>49</v>
      </c>
      <c r="N101" s="7" t="s">
        <v>50</v>
      </c>
      <c r="O101" s="7" t="s">
        <v>4</v>
      </c>
      <c r="P101" s="7">
        <v>100000</v>
      </c>
      <c r="Q101" s="7">
        <v>100000</v>
      </c>
      <c r="R101" s="7">
        <v>100000</v>
      </c>
      <c r="S101" s="7">
        <v>100000</v>
      </c>
      <c r="T101" s="7">
        <v>100000</v>
      </c>
      <c r="U101" s="7">
        <v>100000</v>
      </c>
      <c r="V101" s="7">
        <v>100000</v>
      </c>
      <c r="W101" s="7">
        <v>100000</v>
      </c>
      <c r="X101" s="7">
        <v>100000</v>
      </c>
      <c r="Y101" s="7">
        <v>100000</v>
      </c>
      <c r="Z101" s="7">
        <v>100000</v>
      </c>
      <c r="AA101" s="7">
        <v>100000</v>
      </c>
      <c r="AB101" s="9">
        <v>6.3296747813097003</v>
      </c>
      <c r="AC101" s="9">
        <v>6.3296747813097003</v>
      </c>
      <c r="AD101" s="9">
        <v>6.3296747813097003</v>
      </c>
      <c r="AE101" s="9">
        <v>6.3296747813097003</v>
      </c>
      <c r="AF101" s="9">
        <v>6.3296747813097003</v>
      </c>
      <c r="AG101" s="9">
        <v>6.3296747813097003</v>
      </c>
      <c r="AH101" s="9">
        <v>6.3296747813097003</v>
      </c>
      <c r="AI101" s="9">
        <v>6.3296747813097003</v>
      </c>
      <c r="AJ101" s="9">
        <v>6.3296747813097003</v>
      </c>
      <c r="AK101" s="9">
        <v>6.3296747813097003</v>
      </c>
      <c r="AL101" s="9">
        <v>6.3296747813097003</v>
      </c>
      <c r="AM101" s="9">
        <v>6.3296747813097003</v>
      </c>
      <c r="AN101" s="10">
        <v>0</v>
      </c>
      <c r="AO101" s="10">
        <v>0</v>
      </c>
      <c r="AP101" s="10">
        <v>6</v>
      </c>
      <c r="AQ101" s="10">
        <v>0</v>
      </c>
      <c r="AR101" s="10">
        <v>0</v>
      </c>
      <c r="AS101" s="10">
        <v>0</v>
      </c>
      <c r="AT101" s="10">
        <v>0</v>
      </c>
      <c r="AU101" s="10">
        <v>0</v>
      </c>
      <c r="AV101" s="10">
        <v>0</v>
      </c>
      <c r="AW101" s="10">
        <v>0</v>
      </c>
      <c r="AX101" s="10">
        <v>0</v>
      </c>
      <c r="AY101" s="10">
        <v>0</v>
      </c>
      <c r="AZ101" s="7">
        <f t="shared" si="8"/>
        <v>6</v>
      </c>
      <c r="BA101" s="11">
        <f t="shared" si="9"/>
        <v>0.5</v>
      </c>
      <c r="BC101" s="12">
        <v>0</v>
      </c>
      <c r="BD101" s="12">
        <v>0</v>
      </c>
      <c r="BE101" s="12">
        <v>37.978048687857999</v>
      </c>
      <c r="BF101" s="12">
        <v>0</v>
      </c>
      <c r="BG101" s="12">
        <v>0</v>
      </c>
      <c r="BH101" s="12">
        <v>0</v>
      </c>
      <c r="BI101" s="12">
        <v>0</v>
      </c>
      <c r="BJ101" s="12">
        <v>0</v>
      </c>
      <c r="BK101" s="12">
        <v>0</v>
      </c>
      <c r="BL101" s="12">
        <v>0</v>
      </c>
      <c r="BM101" s="12">
        <v>0</v>
      </c>
      <c r="BN101" s="12">
        <v>0</v>
      </c>
      <c r="BO101" s="12">
        <f t="shared" si="10"/>
        <v>37.978048687857999</v>
      </c>
      <c r="BP101" s="12">
        <f t="shared" si="11"/>
        <v>3.1648373906548333</v>
      </c>
      <c r="BQ101" s="7"/>
      <c r="BR101" s="7"/>
      <c r="BS101" s="7" t="s">
        <v>57</v>
      </c>
      <c r="BT101" s="7" t="s">
        <v>52</v>
      </c>
      <c r="BU101" s="7">
        <v>0</v>
      </c>
      <c r="BV101" s="7">
        <v>10</v>
      </c>
      <c r="BW101" s="7">
        <v>0</v>
      </c>
      <c r="BX101" s="7">
        <v>10</v>
      </c>
      <c r="BY101" s="7">
        <v>5</v>
      </c>
      <c r="BZ101" s="7"/>
    </row>
    <row r="102" spans="1:78" x14ac:dyDescent="0.35">
      <c r="A102" s="7" t="s">
        <v>41</v>
      </c>
      <c r="B102" s="7"/>
      <c r="C102" s="7" t="s">
        <v>275</v>
      </c>
      <c r="D102" s="7" t="s">
        <v>233</v>
      </c>
      <c r="E102" s="7" t="s">
        <v>276</v>
      </c>
      <c r="F102" s="7" t="s">
        <v>164</v>
      </c>
      <c r="G102" s="7" t="s">
        <v>46</v>
      </c>
      <c r="H102" s="7"/>
      <c r="I102" s="7"/>
      <c r="J102" s="7" t="s">
        <v>47</v>
      </c>
      <c r="K102" s="7" t="s">
        <v>48</v>
      </c>
      <c r="L102" s="7" t="s">
        <v>49</v>
      </c>
      <c r="M102" s="7" t="s">
        <v>49</v>
      </c>
      <c r="N102" s="7" t="s">
        <v>50</v>
      </c>
      <c r="O102" s="7" t="s">
        <v>4</v>
      </c>
      <c r="P102" s="7">
        <v>400000</v>
      </c>
      <c r="Q102" s="7">
        <v>400000</v>
      </c>
      <c r="R102" s="7">
        <v>400000</v>
      </c>
      <c r="S102" s="7">
        <v>400000</v>
      </c>
      <c r="T102" s="7">
        <v>400000</v>
      </c>
      <c r="U102" s="7">
        <v>400000</v>
      </c>
      <c r="V102" s="7">
        <v>400000</v>
      </c>
      <c r="W102" s="7">
        <v>400000</v>
      </c>
      <c r="X102" s="7">
        <v>400000</v>
      </c>
      <c r="Y102" s="7">
        <v>400000</v>
      </c>
      <c r="Z102" s="7">
        <v>400000</v>
      </c>
      <c r="AA102" s="7">
        <v>400000</v>
      </c>
      <c r="AB102" s="9">
        <v>25.318699125239</v>
      </c>
      <c r="AC102" s="9">
        <v>25.318699125239</v>
      </c>
      <c r="AD102" s="9">
        <v>25.318699125239</v>
      </c>
      <c r="AE102" s="9">
        <v>25.318699125239</v>
      </c>
      <c r="AF102" s="9">
        <v>25.318699125239</v>
      </c>
      <c r="AG102" s="9">
        <v>25.318699125239</v>
      </c>
      <c r="AH102" s="9">
        <v>25.318699125239</v>
      </c>
      <c r="AI102" s="9">
        <v>25.318699125239</v>
      </c>
      <c r="AJ102" s="9">
        <v>25.318699125239</v>
      </c>
      <c r="AK102" s="9">
        <v>25.318699125239</v>
      </c>
      <c r="AL102" s="9">
        <v>25.318699125239</v>
      </c>
      <c r="AM102" s="9">
        <v>25.318699125239</v>
      </c>
      <c r="AN102" s="10">
        <v>0</v>
      </c>
      <c r="AO102" s="10">
        <v>0</v>
      </c>
      <c r="AP102" s="10">
        <v>0</v>
      </c>
      <c r="AQ102" s="10">
        <v>0</v>
      </c>
      <c r="AR102" s="10">
        <v>0</v>
      </c>
      <c r="AS102" s="10">
        <v>0</v>
      </c>
      <c r="AT102" s="10">
        <v>0</v>
      </c>
      <c r="AU102" s="10">
        <v>0</v>
      </c>
      <c r="AV102" s="10">
        <v>0</v>
      </c>
      <c r="AW102" s="10">
        <v>0</v>
      </c>
      <c r="AX102" s="10">
        <v>3</v>
      </c>
      <c r="AY102" s="10">
        <v>0</v>
      </c>
      <c r="AZ102" s="7">
        <f t="shared" si="8"/>
        <v>3</v>
      </c>
      <c r="BA102" s="11">
        <f t="shared" si="9"/>
        <v>0.25</v>
      </c>
      <c r="BC102" s="12">
        <v>0</v>
      </c>
      <c r="BD102" s="12">
        <v>0</v>
      </c>
      <c r="BE102" s="12">
        <v>0</v>
      </c>
      <c r="BF102" s="12">
        <v>0</v>
      </c>
      <c r="BG102" s="12">
        <v>0</v>
      </c>
      <c r="BH102" s="12">
        <v>0</v>
      </c>
      <c r="BI102" s="12">
        <v>0</v>
      </c>
      <c r="BJ102" s="12">
        <v>0</v>
      </c>
      <c r="BK102" s="12">
        <v>0</v>
      </c>
      <c r="BL102" s="12">
        <v>0</v>
      </c>
      <c r="BM102" s="12">
        <v>75.956097375716993</v>
      </c>
      <c r="BN102" s="12">
        <v>0</v>
      </c>
      <c r="BO102" s="12">
        <f t="shared" si="10"/>
        <v>75.956097375716993</v>
      </c>
      <c r="BP102" s="12">
        <f t="shared" si="11"/>
        <v>6.3296747813097491</v>
      </c>
      <c r="BQ102" s="7"/>
      <c r="BR102" s="7"/>
      <c r="BS102" s="7" t="s">
        <v>57</v>
      </c>
      <c r="BT102" s="7" t="s">
        <v>52</v>
      </c>
      <c r="BU102" s="7">
        <v>0</v>
      </c>
      <c r="BV102" s="7">
        <v>10</v>
      </c>
      <c r="BW102" s="7">
        <v>0</v>
      </c>
      <c r="BX102" s="7">
        <v>10</v>
      </c>
      <c r="BY102" s="7">
        <v>5</v>
      </c>
      <c r="BZ102" s="7"/>
    </row>
    <row r="103" spans="1:78" x14ac:dyDescent="0.35">
      <c r="A103" s="7" t="s">
        <v>41</v>
      </c>
      <c r="B103" s="7"/>
      <c r="C103" s="7" t="s">
        <v>277</v>
      </c>
      <c r="D103" s="7" t="s">
        <v>233</v>
      </c>
      <c r="E103" s="7" t="s">
        <v>278</v>
      </c>
      <c r="F103" s="7" t="s">
        <v>164</v>
      </c>
      <c r="G103" s="7" t="s">
        <v>46</v>
      </c>
      <c r="H103" s="7"/>
      <c r="I103" s="7"/>
      <c r="J103" s="7" t="s">
        <v>47</v>
      </c>
      <c r="K103" s="7" t="s">
        <v>48</v>
      </c>
      <c r="L103" s="7" t="s">
        <v>49</v>
      </c>
      <c r="M103" s="7" t="s">
        <v>49</v>
      </c>
      <c r="N103" s="7" t="s">
        <v>50</v>
      </c>
      <c r="O103" s="7" t="s">
        <v>4</v>
      </c>
      <c r="P103" s="7">
        <v>300000</v>
      </c>
      <c r="Q103" s="7">
        <v>300000</v>
      </c>
      <c r="R103" s="7">
        <v>300000</v>
      </c>
      <c r="S103" s="7">
        <v>300000</v>
      </c>
      <c r="T103" s="7">
        <v>300000</v>
      </c>
      <c r="U103" s="7">
        <v>300000</v>
      </c>
      <c r="V103" s="7">
        <v>300000</v>
      </c>
      <c r="W103" s="7">
        <v>300000</v>
      </c>
      <c r="X103" s="7">
        <v>300000</v>
      </c>
      <c r="Y103" s="7">
        <v>300000</v>
      </c>
      <c r="Z103" s="7">
        <v>300000</v>
      </c>
      <c r="AA103" s="7">
        <v>300000</v>
      </c>
      <c r="AB103" s="9">
        <v>18.989024343929</v>
      </c>
      <c r="AC103" s="9">
        <v>18.989024343929</v>
      </c>
      <c r="AD103" s="9">
        <v>18.989024343929</v>
      </c>
      <c r="AE103" s="9">
        <v>18.989024343929</v>
      </c>
      <c r="AF103" s="9">
        <v>18.989024343929</v>
      </c>
      <c r="AG103" s="9">
        <v>18.989024343929</v>
      </c>
      <c r="AH103" s="9">
        <v>18.989024343929</v>
      </c>
      <c r="AI103" s="9">
        <v>18.989024343929</v>
      </c>
      <c r="AJ103" s="9">
        <v>18.989024343929</v>
      </c>
      <c r="AK103" s="9">
        <v>18.989024343929</v>
      </c>
      <c r="AL103" s="9">
        <v>18.989024343929</v>
      </c>
      <c r="AM103" s="9">
        <v>18.989024343929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3</v>
      </c>
      <c r="AY103" s="10">
        <v>0</v>
      </c>
      <c r="AZ103" s="7">
        <f t="shared" si="8"/>
        <v>3</v>
      </c>
      <c r="BA103" s="11">
        <f t="shared" si="9"/>
        <v>0.25</v>
      </c>
      <c r="BC103" s="12">
        <v>0</v>
      </c>
      <c r="BD103" s="12">
        <v>0</v>
      </c>
      <c r="BE103" s="12">
        <v>0</v>
      </c>
      <c r="BF103" s="12">
        <v>0</v>
      </c>
      <c r="BG103" s="12">
        <v>0</v>
      </c>
      <c r="BH103" s="12">
        <v>0</v>
      </c>
      <c r="BI103" s="12">
        <v>0</v>
      </c>
      <c r="BJ103" s="12">
        <v>0</v>
      </c>
      <c r="BK103" s="12">
        <v>0</v>
      </c>
      <c r="BL103" s="12">
        <v>0</v>
      </c>
      <c r="BM103" s="12">
        <v>56.967073031787997</v>
      </c>
      <c r="BN103" s="12">
        <v>0</v>
      </c>
      <c r="BO103" s="12">
        <f t="shared" si="10"/>
        <v>56.967073031787997</v>
      </c>
      <c r="BP103" s="12">
        <f t="shared" si="11"/>
        <v>4.7472560859823334</v>
      </c>
      <c r="BQ103" s="7"/>
      <c r="BR103" s="7"/>
      <c r="BS103" s="7" t="s">
        <v>57</v>
      </c>
      <c r="BT103" s="7" t="s">
        <v>52</v>
      </c>
      <c r="BU103" s="7">
        <v>0</v>
      </c>
      <c r="BV103" s="7">
        <v>10</v>
      </c>
      <c r="BW103" s="7">
        <v>0</v>
      </c>
      <c r="BX103" s="7">
        <v>10</v>
      </c>
      <c r="BY103" s="7">
        <v>5</v>
      </c>
      <c r="BZ103" s="7"/>
    </row>
    <row r="104" spans="1:78" x14ac:dyDescent="0.35">
      <c r="A104" s="7" t="s">
        <v>41</v>
      </c>
      <c r="B104" s="7"/>
      <c r="C104" s="7" t="s">
        <v>279</v>
      </c>
      <c r="D104" s="7" t="s">
        <v>59</v>
      </c>
      <c r="E104" s="7" t="s">
        <v>280</v>
      </c>
      <c r="F104" s="7" t="s">
        <v>104</v>
      </c>
      <c r="G104" s="7" t="s">
        <v>46</v>
      </c>
      <c r="H104" s="7"/>
      <c r="I104" s="7"/>
      <c r="J104" s="7" t="s">
        <v>47</v>
      </c>
      <c r="K104" s="7" t="s">
        <v>48</v>
      </c>
      <c r="L104" s="7" t="s">
        <v>49</v>
      </c>
      <c r="M104" s="7" t="s">
        <v>49</v>
      </c>
      <c r="N104" s="7" t="s">
        <v>85</v>
      </c>
      <c r="O104" s="7" t="s">
        <v>4</v>
      </c>
      <c r="P104" s="7">
        <v>25000000</v>
      </c>
      <c r="Q104" s="7">
        <v>25000000</v>
      </c>
      <c r="R104" s="7">
        <v>25000000</v>
      </c>
      <c r="S104" s="7">
        <v>25000000</v>
      </c>
      <c r="T104" s="7">
        <v>25000000</v>
      </c>
      <c r="U104" s="7">
        <v>25000000</v>
      </c>
      <c r="V104" s="7">
        <v>25000000</v>
      </c>
      <c r="W104" s="7">
        <v>25000000</v>
      </c>
      <c r="X104" s="7">
        <v>25000000</v>
      </c>
      <c r="Y104" s="7">
        <v>25000000</v>
      </c>
      <c r="Z104" s="7">
        <v>25000000</v>
      </c>
      <c r="AA104" s="7">
        <v>25000000</v>
      </c>
      <c r="AB104" s="9">
        <v>1582.4186953274</v>
      </c>
      <c r="AC104" s="9">
        <v>1582.4186953274</v>
      </c>
      <c r="AD104" s="9">
        <v>1582.4186953274</v>
      </c>
      <c r="AE104" s="9">
        <v>1582.4186953274</v>
      </c>
      <c r="AF104" s="9">
        <v>1582.4186953274</v>
      </c>
      <c r="AG104" s="9">
        <v>1582.4186953274</v>
      </c>
      <c r="AH104" s="9">
        <v>1582.4186953274</v>
      </c>
      <c r="AI104" s="9">
        <v>1582.4186953274</v>
      </c>
      <c r="AJ104" s="9">
        <v>1582.4186953274</v>
      </c>
      <c r="AK104" s="9">
        <v>1582.4186953274</v>
      </c>
      <c r="AL104" s="9">
        <v>1582.4186953274</v>
      </c>
      <c r="AM104" s="9">
        <v>1582.4186953274</v>
      </c>
      <c r="AN104" s="10">
        <v>2</v>
      </c>
      <c r="AO104" s="10">
        <v>0</v>
      </c>
      <c r="AP104" s="10">
        <v>0</v>
      </c>
      <c r="AQ104" s="10">
        <v>0</v>
      </c>
      <c r="AR104" s="10">
        <v>0</v>
      </c>
      <c r="AS104" s="10">
        <v>0</v>
      </c>
      <c r="AT104" s="10">
        <v>0</v>
      </c>
      <c r="AU104" s="10">
        <v>0</v>
      </c>
      <c r="AV104" s="10">
        <v>0</v>
      </c>
      <c r="AW104" s="10">
        <v>0</v>
      </c>
      <c r="AX104" s="10">
        <v>0</v>
      </c>
      <c r="AY104" s="10">
        <v>0</v>
      </c>
      <c r="AZ104" s="7">
        <f t="shared" si="8"/>
        <v>2</v>
      </c>
      <c r="BA104" s="11">
        <f t="shared" si="9"/>
        <v>0.16666666666666666</v>
      </c>
      <c r="BC104" s="12">
        <v>3164.8373906549</v>
      </c>
      <c r="BD104" s="12">
        <v>0</v>
      </c>
      <c r="BE104" s="12">
        <v>0</v>
      </c>
      <c r="BF104" s="12">
        <v>0</v>
      </c>
      <c r="BG104" s="12">
        <v>0</v>
      </c>
      <c r="BH104" s="12">
        <v>0</v>
      </c>
      <c r="BI104" s="12">
        <v>0</v>
      </c>
      <c r="BJ104" s="12">
        <v>0</v>
      </c>
      <c r="BK104" s="12">
        <v>0</v>
      </c>
      <c r="BL104" s="12">
        <v>0</v>
      </c>
      <c r="BM104" s="12">
        <v>0</v>
      </c>
      <c r="BN104" s="12">
        <v>0</v>
      </c>
      <c r="BO104" s="12">
        <f t="shared" si="10"/>
        <v>3164.8373906549</v>
      </c>
      <c r="BP104" s="12">
        <f t="shared" si="11"/>
        <v>263.73644922124168</v>
      </c>
      <c r="BQ104" s="7"/>
      <c r="BR104" s="7"/>
      <c r="BS104" s="7" t="s">
        <v>63</v>
      </c>
      <c r="BT104" s="7" t="s">
        <v>52</v>
      </c>
      <c r="BU104" s="7">
        <v>0</v>
      </c>
      <c r="BV104" s="7">
        <v>10</v>
      </c>
      <c r="BW104" s="7">
        <v>0</v>
      </c>
      <c r="BX104" s="7">
        <v>0</v>
      </c>
      <c r="BY104" s="7">
        <v>5</v>
      </c>
      <c r="BZ104" s="7"/>
    </row>
    <row r="105" spans="1:78" x14ac:dyDescent="0.35">
      <c r="A105" s="7" t="s">
        <v>41</v>
      </c>
      <c r="B105" s="7"/>
      <c r="C105" s="7" t="s">
        <v>281</v>
      </c>
      <c r="D105" s="7" t="s">
        <v>282</v>
      </c>
      <c r="E105" s="7" t="s">
        <v>282</v>
      </c>
      <c r="F105" s="7" t="s">
        <v>159</v>
      </c>
      <c r="G105" s="7" t="s">
        <v>46</v>
      </c>
      <c r="H105" s="7"/>
      <c r="I105" s="7"/>
      <c r="J105" s="7" t="s">
        <v>47</v>
      </c>
      <c r="K105" s="7" t="s">
        <v>48</v>
      </c>
      <c r="L105" s="7" t="s">
        <v>49</v>
      </c>
      <c r="M105" s="7" t="s">
        <v>49</v>
      </c>
      <c r="N105" s="7" t="s">
        <v>50</v>
      </c>
      <c r="O105" s="7" t="s">
        <v>4</v>
      </c>
      <c r="P105" s="7">
        <v>57500</v>
      </c>
      <c r="Q105" s="7">
        <v>57500</v>
      </c>
      <c r="R105" s="7">
        <v>57500</v>
      </c>
      <c r="S105" s="7">
        <v>57500</v>
      </c>
      <c r="T105" s="7">
        <v>57500</v>
      </c>
      <c r="U105" s="7">
        <v>57500</v>
      </c>
      <c r="V105" s="7">
        <v>57500</v>
      </c>
      <c r="W105" s="7">
        <v>57500</v>
      </c>
      <c r="X105" s="7">
        <v>57500</v>
      </c>
      <c r="Y105" s="7">
        <v>57500</v>
      </c>
      <c r="Z105" s="7">
        <v>57500</v>
      </c>
      <c r="AA105" s="7">
        <v>57500</v>
      </c>
      <c r="AB105" s="9">
        <v>3.6395629992531</v>
      </c>
      <c r="AC105" s="9">
        <v>3.6395629992531</v>
      </c>
      <c r="AD105" s="9">
        <v>3.6395629992531</v>
      </c>
      <c r="AE105" s="9">
        <v>3.6395629992531</v>
      </c>
      <c r="AF105" s="9">
        <v>3.6395629992531</v>
      </c>
      <c r="AG105" s="9">
        <v>3.6395629992531</v>
      </c>
      <c r="AH105" s="9">
        <v>3.6395629992531</v>
      </c>
      <c r="AI105" s="9">
        <v>3.6395629992531</v>
      </c>
      <c r="AJ105" s="9">
        <v>3.6395629992531</v>
      </c>
      <c r="AK105" s="9">
        <v>3.6395629992531</v>
      </c>
      <c r="AL105" s="9">
        <v>3.6395629992531</v>
      </c>
      <c r="AM105" s="9">
        <v>3.6395629992531</v>
      </c>
      <c r="AN105" s="10">
        <v>46</v>
      </c>
      <c r="AO105" s="10">
        <v>46</v>
      </c>
      <c r="AP105" s="10">
        <v>46</v>
      </c>
      <c r="AQ105" s="10">
        <v>46</v>
      </c>
      <c r="AR105" s="10">
        <v>46</v>
      </c>
      <c r="AS105" s="10">
        <v>46</v>
      </c>
      <c r="AT105" s="10">
        <v>46</v>
      </c>
      <c r="AU105" s="10">
        <v>46</v>
      </c>
      <c r="AV105" s="10">
        <v>46</v>
      </c>
      <c r="AW105" s="10">
        <v>46</v>
      </c>
      <c r="AX105" s="10">
        <v>46</v>
      </c>
      <c r="AY105" s="10">
        <v>46</v>
      </c>
      <c r="AZ105" s="7">
        <f t="shared" si="8"/>
        <v>552</v>
      </c>
      <c r="BA105" s="11">
        <f t="shared" si="9"/>
        <v>46</v>
      </c>
      <c r="BC105" s="12">
        <v>167.41989796563999</v>
      </c>
      <c r="BD105" s="12">
        <v>167.41989796563999</v>
      </c>
      <c r="BE105" s="12">
        <v>167.41989796563999</v>
      </c>
      <c r="BF105" s="12">
        <v>167.41989796563999</v>
      </c>
      <c r="BG105" s="12">
        <v>167.41989796563999</v>
      </c>
      <c r="BH105" s="12">
        <v>167.41989796563999</v>
      </c>
      <c r="BI105" s="12">
        <v>167.41989796563999</v>
      </c>
      <c r="BJ105" s="12">
        <v>167.41989796563999</v>
      </c>
      <c r="BK105" s="12">
        <v>167.41989796563999</v>
      </c>
      <c r="BL105" s="12">
        <v>167.41989796563999</v>
      </c>
      <c r="BM105" s="12">
        <v>167.41989796563999</v>
      </c>
      <c r="BN105" s="12">
        <v>167.41989796563999</v>
      </c>
      <c r="BO105" s="12">
        <f t="shared" si="10"/>
        <v>2009.0387755876802</v>
      </c>
      <c r="BP105" s="12">
        <f t="shared" si="11"/>
        <v>167.41989796564002</v>
      </c>
      <c r="BQ105" s="7"/>
      <c r="BR105" s="7"/>
      <c r="BS105" s="7" t="s">
        <v>51</v>
      </c>
      <c r="BT105" s="7" t="s">
        <v>52</v>
      </c>
      <c r="BU105" s="7">
        <v>15</v>
      </c>
      <c r="BV105" s="7">
        <v>10</v>
      </c>
      <c r="BW105" s="7">
        <v>5</v>
      </c>
      <c r="BX105" s="7">
        <v>20</v>
      </c>
      <c r="BY105" s="7">
        <v>5</v>
      </c>
      <c r="BZ105" s="7"/>
    </row>
    <row r="106" spans="1:78" x14ac:dyDescent="0.35">
      <c r="A106" s="7" t="s">
        <v>41</v>
      </c>
      <c r="B106" s="7"/>
      <c r="C106" s="7" t="s">
        <v>283</v>
      </c>
      <c r="D106" s="7" t="s">
        <v>59</v>
      </c>
      <c r="E106" s="7" t="s">
        <v>284</v>
      </c>
      <c r="F106" s="7" t="s">
        <v>79</v>
      </c>
      <c r="G106" s="7" t="s">
        <v>46</v>
      </c>
      <c r="H106" s="7"/>
      <c r="I106" s="7"/>
      <c r="J106" s="7" t="s">
        <v>47</v>
      </c>
      <c r="K106" s="7" t="s">
        <v>48</v>
      </c>
      <c r="L106" s="7" t="s">
        <v>49</v>
      </c>
      <c r="M106" s="7" t="s">
        <v>49</v>
      </c>
      <c r="N106" s="7" t="s">
        <v>85</v>
      </c>
      <c r="O106" s="7" t="s">
        <v>8</v>
      </c>
      <c r="P106" s="7">
        <v>85.41</v>
      </c>
      <c r="Q106" s="7">
        <v>85.41</v>
      </c>
      <c r="R106" s="7">
        <v>85.41</v>
      </c>
      <c r="S106" s="7">
        <v>85.41</v>
      </c>
      <c r="T106" s="7">
        <v>85.41</v>
      </c>
      <c r="U106" s="7">
        <v>85.41</v>
      </c>
      <c r="V106" s="7">
        <v>85.41</v>
      </c>
      <c r="W106" s="7">
        <v>85.41</v>
      </c>
      <c r="X106" s="7">
        <v>85.41</v>
      </c>
      <c r="Y106" s="7">
        <v>85.41</v>
      </c>
      <c r="Z106" s="7">
        <v>85.41</v>
      </c>
      <c r="AA106" s="7">
        <v>85.41</v>
      </c>
      <c r="AB106" s="9">
        <v>85.41</v>
      </c>
      <c r="AC106" s="9">
        <v>85.41</v>
      </c>
      <c r="AD106" s="9">
        <v>85.41</v>
      </c>
      <c r="AE106" s="9">
        <v>85.41</v>
      </c>
      <c r="AF106" s="9">
        <v>85.41</v>
      </c>
      <c r="AG106" s="9">
        <v>85.41</v>
      </c>
      <c r="AH106" s="9">
        <v>85.41</v>
      </c>
      <c r="AI106" s="9">
        <v>85.41</v>
      </c>
      <c r="AJ106" s="9">
        <v>85.41</v>
      </c>
      <c r="AK106" s="9">
        <v>85.41</v>
      </c>
      <c r="AL106" s="9">
        <v>85.41</v>
      </c>
      <c r="AM106" s="9">
        <v>85.41</v>
      </c>
      <c r="AN106" s="10">
        <v>0</v>
      </c>
      <c r="AO106" s="10">
        <v>0</v>
      </c>
      <c r="AP106" s="10">
        <v>14</v>
      </c>
      <c r="AQ106" s="10">
        <v>0</v>
      </c>
      <c r="AR106" s="10">
        <v>0</v>
      </c>
      <c r="AS106" s="10">
        <v>0</v>
      </c>
      <c r="AT106" s="10">
        <v>0</v>
      </c>
      <c r="AU106" s="10">
        <v>0</v>
      </c>
      <c r="AV106" s="10">
        <v>0</v>
      </c>
      <c r="AW106" s="10">
        <v>0</v>
      </c>
      <c r="AX106" s="10">
        <v>0</v>
      </c>
      <c r="AY106" s="10">
        <v>0</v>
      </c>
      <c r="AZ106" s="7">
        <f t="shared" si="8"/>
        <v>14</v>
      </c>
      <c r="BA106" s="11">
        <f t="shared" si="9"/>
        <v>1.1666666666666667</v>
      </c>
      <c r="BC106" s="12">
        <v>0</v>
      </c>
      <c r="BD106" s="12">
        <v>0</v>
      </c>
      <c r="BE106" s="12">
        <v>1195.74</v>
      </c>
      <c r="BF106" s="12">
        <v>0</v>
      </c>
      <c r="BG106" s="12">
        <v>0</v>
      </c>
      <c r="BH106" s="12">
        <v>0</v>
      </c>
      <c r="BI106" s="12">
        <v>0</v>
      </c>
      <c r="BJ106" s="12">
        <v>0</v>
      </c>
      <c r="BK106" s="12">
        <v>0</v>
      </c>
      <c r="BL106" s="12">
        <v>0</v>
      </c>
      <c r="BM106" s="12">
        <v>0</v>
      </c>
      <c r="BN106" s="12">
        <v>0</v>
      </c>
      <c r="BO106" s="12">
        <f t="shared" si="10"/>
        <v>1195.74</v>
      </c>
      <c r="BP106" s="12">
        <f t="shared" si="11"/>
        <v>99.644999999999996</v>
      </c>
      <c r="BQ106" s="7"/>
      <c r="BR106" s="7"/>
      <c r="BS106" s="7" t="s">
        <v>63</v>
      </c>
      <c r="BT106" s="7" t="s">
        <v>52</v>
      </c>
      <c r="BU106" s="7">
        <v>0</v>
      </c>
      <c r="BV106" s="7">
        <v>10</v>
      </c>
      <c r="BW106" s="7">
        <v>0</v>
      </c>
      <c r="BX106" s="7">
        <v>0</v>
      </c>
      <c r="BY106" s="7">
        <v>5</v>
      </c>
      <c r="BZ106" s="7"/>
    </row>
    <row r="107" spans="1:78" x14ac:dyDescent="0.35">
      <c r="A107" s="7" t="s">
        <v>41</v>
      </c>
      <c r="B107" s="7"/>
      <c r="C107" s="7" t="s">
        <v>285</v>
      </c>
      <c r="D107" s="7" t="s">
        <v>286</v>
      </c>
      <c r="E107" s="7" t="s">
        <v>287</v>
      </c>
      <c r="F107" s="7" t="s">
        <v>288</v>
      </c>
      <c r="G107" s="7" t="s">
        <v>46</v>
      </c>
      <c r="H107" s="7"/>
      <c r="I107" s="7"/>
      <c r="J107" s="7" t="s">
        <v>47</v>
      </c>
      <c r="K107" s="7" t="s">
        <v>48</v>
      </c>
      <c r="L107" s="7" t="s">
        <v>49</v>
      </c>
      <c r="M107" s="7" t="s">
        <v>49</v>
      </c>
      <c r="N107" s="7" t="s">
        <v>173</v>
      </c>
      <c r="O107" s="7" t="s">
        <v>4</v>
      </c>
      <c r="P107" s="7">
        <v>35000</v>
      </c>
      <c r="Q107" s="7">
        <v>35000</v>
      </c>
      <c r="R107" s="7">
        <v>35000</v>
      </c>
      <c r="S107" s="7">
        <v>35000</v>
      </c>
      <c r="T107" s="7">
        <v>35000</v>
      </c>
      <c r="U107" s="7">
        <v>35000</v>
      </c>
      <c r="V107" s="7">
        <v>35000</v>
      </c>
      <c r="W107" s="7">
        <v>35000</v>
      </c>
      <c r="X107" s="7">
        <v>35000</v>
      </c>
      <c r="Y107" s="7">
        <v>35000</v>
      </c>
      <c r="Z107" s="7">
        <v>35000</v>
      </c>
      <c r="AA107" s="7">
        <v>35000</v>
      </c>
      <c r="AB107" s="9">
        <v>2.2153861734584002</v>
      </c>
      <c r="AC107" s="9">
        <v>2.2153861734584002</v>
      </c>
      <c r="AD107" s="9">
        <v>2.2153861734584002</v>
      </c>
      <c r="AE107" s="9">
        <v>2.2153861734584002</v>
      </c>
      <c r="AF107" s="9">
        <v>2.2153861734584002</v>
      </c>
      <c r="AG107" s="9">
        <v>2.2153861734584002</v>
      </c>
      <c r="AH107" s="9">
        <v>2.2153861734584002</v>
      </c>
      <c r="AI107" s="9">
        <v>2.2153861734584002</v>
      </c>
      <c r="AJ107" s="9">
        <v>2.2153861734584002</v>
      </c>
      <c r="AK107" s="9">
        <v>2.2153861734584002</v>
      </c>
      <c r="AL107" s="9">
        <v>2.2153861734584002</v>
      </c>
      <c r="AM107" s="9">
        <v>2.2153861734584002</v>
      </c>
      <c r="AN107" s="10">
        <v>0</v>
      </c>
      <c r="AO107" s="10">
        <v>1</v>
      </c>
      <c r="AP107" s="10">
        <v>0</v>
      </c>
      <c r="AQ107" s="10">
        <v>0</v>
      </c>
      <c r="AR107" s="10">
        <v>1</v>
      </c>
      <c r="AS107" s="10">
        <v>0</v>
      </c>
      <c r="AT107" s="10">
        <v>0</v>
      </c>
      <c r="AU107" s="10">
        <v>1</v>
      </c>
      <c r="AV107" s="10">
        <v>0</v>
      </c>
      <c r="AW107" s="10">
        <v>0</v>
      </c>
      <c r="AX107" s="10">
        <v>1</v>
      </c>
      <c r="AY107" s="10">
        <v>0</v>
      </c>
      <c r="AZ107" s="7">
        <f t="shared" si="8"/>
        <v>4</v>
      </c>
      <c r="BA107" s="11">
        <f t="shared" si="9"/>
        <v>0.33333333333333331</v>
      </c>
      <c r="BC107" s="12">
        <v>0</v>
      </c>
      <c r="BD107" s="12">
        <v>2.2153861734584002</v>
      </c>
      <c r="BE107" s="12">
        <v>0</v>
      </c>
      <c r="BF107" s="12">
        <v>0</v>
      </c>
      <c r="BG107" s="12">
        <v>2.2153861734584002</v>
      </c>
      <c r="BH107" s="12">
        <v>0</v>
      </c>
      <c r="BI107" s="12">
        <v>0</v>
      </c>
      <c r="BJ107" s="12">
        <v>2.2153861734584002</v>
      </c>
      <c r="BK107" s="12">
        <v>0</v>
      </c>
      <c r="BL107" s="12">
        <v>0</v>
      </c>
      <c r="BM107" s="12">
        <v>2.2153861734584002</v>
      </c>
      <c r="BN107" s="12">
        <v>0</v>
      </c>
      <c r="BO107" s="12">
        <f t="shared" si="10"/>
        <v>8.8615446938336007</v>
      </c>
      <c r="BP107" s="12">
        <f t="shared" si="11"/>
        <v>0.73846205781946672</v>
      </c>
      <c r="BQ107" s="7"/>
      <c r="BR107" s="7"/>
      <c r="BS107" s="7" t="s">
        <v>51</v>
      </c>
      <c r="BT107" s="7" t="s">
        <v>52</v>
      </c>
      <c r="BU107" s="7">
        <v>15</v>
      </c>
      <c r="BV107" s="7">
        <v>10</v>
      </c>
      <c r="BW107" s="7">
        <v>5</v>
      </c>
      <c r="BX107" s="7">
        <v>20</v>
      </c>
      <c r="BY107" s="7">
        <v>5</v>
      </c>
      <c r="BZ107" s="7"/>
    </row>
    <row r="108" spans="1:78" x14ac:dyDescent="0.35">
      <c r="A108" s="7" t="s">
        <v>41</v>
      </c>
      <c r="B108" s="7"/>
      <c r="C108" s="7" t="s">
        <v>289</v>
      </c>
      <c r="D108" s="7" t="s">
        <v>54</v>
      </c>
      <c r="E108" s="7" t="s">
        <v>290</v>
      </c>
      <c r="F108" s="7" t="s">
        <v>56</v>
      </c>
      <c r="G108" s="7" t="s">
        <v>46</v>
      </c>
      <c r="H108" s="7"/>
      <c r="I108" s="7"/>
      <c r="J108" s="7" t="s">
        <v>47</v>
      </c>
      <c r="K108" s="7" t="s">
        <v>48</v>
      </c>
      <c r="L108" s="7" t="s">
        <v>49</v>
      </c>
      <c r="M108" s="7" t="s">
        <v>49</v>
      </c>
      <c r="N108" s="7" t="s">
        <v>50</v>
      </c>
      <c r="O108" s="7" t="s">
        <v>4</v>
      </c>
      <c r="P108" s="7">
        <v>200000</v>
      </c>
      <c r="Q108" s="7">
        <v>200000</v>
      </c>
      <c r="R108" s="7">
        <v>200000</v>
      </c>
      <c r="S108" s="7">
        <v>200000</v>
      </c>
      <c r="T108" s="7">
        <v>200000</v>
      </c>
      <c r="U108" s="7">
        <v>200000</v>
      </c>
      <c r="V108" s="7">
        <v>200000</v>
      </c>
      <c r="W108" s="7">
        <v>200000</v>
      </c>
      <c r="X108" s="7">
        <v>200000</v>
      </c>
      <c r="Y108" s="7">
        <v>200000</v>
      </c>
      <c r="Z108" s="7">
        <v>200000</v>
      </c>
      <c r="AA108" s="7">
        <v>200000</v>
      </c>
      <c r="AB108" s="9">
        <v>12.659349562618999</v>
      </c>
      <c r="AC108" s="9">
        <v>12.659349562618999</v>
      </c>
      <c r="AD108" s="9">
        <v>12.659349562618999</v>
      </c>
      <c r="AE108" s="9">
        <v>12.659349562618999</v>
      </c>
      <c r="AF108" s="9">
        <v>12.659349562618999</v>
      </c>
      <c r="AG108" s="9">
        <v>12.659349562618999</v>
      </c>
      <c r="AH108" s="9">
        <v>12.659349562618999</v>
      </c>
      <c r="AI108" s="9">
        <v>12.659349562618999</v>
      </c>
      <c r="AJ108" s="9">
        <v>12.659349562618999</v>
      </c>
      <c r="AK108" s="9">
        <v>12.659349562618999</v>
      </c>
      <c r="AL108" s="9">
        <v>12.659349562618999</v>
      </c>
      <c r="AM108" s="9">
        <v>12.659349562618999</v>
      </c>
      <c r="AN108" s="10">
        <v>0</v>
      </c>
      <c r="AO108" s="10">
        <v>0</v>
      </c>
      <c r="AP108" s="10">
        <v>2</v>
      </c>
      <c r="AQ108" s="10">
        <v>0</v>
      </c>
      <c r="AR108" s="10">
        <v>0</v>
      </c>
      <c r="AS108" s="10">
        <v>0</v>
      </c>
      <c r="AT108" s="10">
        <v>0</v>
      </c>
      <c r="AU108" s="10">
        <v>0</v>
      </c>
      <c r="AV108" s="10">
        <v>0</v>
      </c>
      <c r="AW108" s="10">
        <v>0</v>
      </c>
      <c r="AX108" s="10">
        <v>0</v>
      </c>
      <c r="AY108" s="10">
        <v>0</v>
      </c>
      <c r="AZ108" s="7">
        <f t="shared" si="8"/>
        <v>2</v>
      </c>
      <c r="BA108" s="11">
        <f t="shared" si="9"/>
        <v>0.16666666666666666</v>
      </c>
      <c r="BC108" s="12">
        <v>0</v>
      </c>
      <c r="BD108" s="12">
        <v>0</v>
      </c>
      <c r="BE108" s="12">
        <v>25.318699125239</v>
      </c>
      <c r="BF108" s="12">
        <v>0</v>
      </c>
      <c r="BG108" s="12">
        <v>0</v>
      </c>
      <c r="BH108" s="12">
        <v>0</v>
      </c>
      <c r="BI108" s="12">
        <v>0</v>
      </c>
      <c r="BJ108" s="12">
        <v>0</v>
      </c>
      <c r="BK108" s="12">
        <v>0</v>
      </c>
      <c r="BL108" s="12">
        <v>0</v>
      </c>
      <c r="BM108" s="12">
        <v>0</v>
      </c>
      <c r="BN108" s="12">
        <v>0</v>
      </c>
      <c r="BO108" s="12">
        <f t="shared" si="10"/>
        <v>25.318699125239</v>
      </c>
      <c r="BP108" s="12">
        <f t="shared" si="11"/>
        <v>2.1098915937699165</v>
      </c>
      <c r="BQ108" s="7"/>
      <c r="BR108" s="7"/>
      <c r="BS108" s="7" t="s">
        <v>57</v>
      </c>
      <c r="BT108" s="7" t="s">
        <v>52</v>
      </c>
      <c r="BU108" s="7">
        <v>0</v>
      </c>
      <c r="BV108" s="7">
        <v>10</v>
      </c>
      <c r="BW108" s="7">
        <v>0</v>
      </c>
      <c r="BX108" s="7">
        <v>10</v>
      </c>
      <c r="BY108" s="7">
        <v>5</v>
      </c>
      <c r="BZ108" s="7"/>
    </row>
    <row r="109" spans="1:78" x14ac:dyDescent="0.35">
      <c r="A109" s="7" t="s">
        <v>41</v>
      </c>
      <c r="B109" s="7"/>
      <c r="C109" s="7" t="s">
        <v>291</v>
      </c>
      <c r="D109" s="7" t="s">
        <v>292</v>
      </c>
      <c r="E109" s="7" t="s">
        <v>293</v>
      </c>
      <c r="F109" s="7" t="s">
        <v>75</v>
      </c>
      <c r="G109" s="7" t="s">
        <v>46</v>
      </c>
      <c r="H109" s="7"/>
      <c r="I109" s="7"/>
      <c r="J109" s="7" t="s">
        <v>47</v>
      </c>
      <c r="K109" s="7" t="s">
        <v>48</v>
      </c>
      <c r="L109" s="7" t="s">
        <v>49</v>
      </c>
      <c r="M109" s="7" t="s">
        <v>49</v>
      </c>
      <c r="N109" s="7" t="s">
        <v>85</v>
      </c>
      <c r="O109" s="7" t="s">
        <v>4</v>
      </c>
      <c r="P109" s="7">
        <v>950000</v>
      </c>
      <c r="Q109" s="7">
        <v>950000</v>
      </c>
      <c r="R109" s="7">
        <v>950000</v>
      </c>
      <c r="S109" s="7">
        <v>950000</v>
      </c>
      <c r="T109" s="7">
        <v>950000</v>
      </c>
      <c r="U109" s="7">
        <v>950000</v>
      </c>
      <c r="V109" s="7">
        <v>950000</v>
      </c>
      <c r="W109" s="7">
        <v>950000</v>
      </c>
      <c r="X109" s="7">
        <v>950000</v>
      </c>
      <c r="Y109" s="7">
        <v>950000</v>
      </c>
      <c r="Z109" s="7">
        <v>950000</v>
      </c>
      <c r="AA109" s="7">
        <v>950000</v>
      </c>
      <c r="AB109" s="9">
        <v>60.131910422441997</v>
      </c>
      <c r="AC109" s="9">
        <v>60.131910422441997</v>
      </c>
      <c r="AD109" s="9">
        <v>60.131910422441997</v>
      </c>
      <c r="AE109" s="9">
        <v>60.131910422441997</v>
      </c>
      <c r="AF109" s="9">
        <v>60.131910422441997</v>
      </c>
      <c r="AG109" s="9">
        <v>60.131910422441997</v>
      </c>
      <c r="AH109" s="9">
        <v>60.131910422441997</v>
      </c>
      <c r="AI109" s="9">
        <v>60.131910422441997</v>
      </c>
      <c r="AJ109" s="9">
        <v>60.131910422441997</v>
      </c>
      <c r="AK109" s="9">
        <v>60.131910422441997</v>
      </c>
      <c r="AL109" s="9">
        <v>60.131910422441997</v>
      </c>
      <c r="AM109" s="9">
        <v>60.131910422441997</v>
      </c>
      <c r="AN109" s="10">
        <v>0</v>
      </c>
      <c r="AO109" s="10">
        <v>0</v>
      </c>
      <c r="AP109" s="10">
        <v>0</v>
      </c>
      <c r="AQ109" s="10">
        <v>0</v>
      </c>
      <c r="AR109" s="10">
        <v>0</v>
      </c>
      <c r="AS109" s="10">
        <v>0</v>
      </c>
      <c r="AT109" s="10">
        <v>1</v>
      </c>
      <c r="AU109" s="10">
        <v>0</v>
      </c>
      <c r="AV109" s="10">
        <v>0</v>
      </c>
      <c r="AW109" s="10">
        <v>0</v>
      </c>
      <c r="AX109" s="10">
        <v>0</v>
      </c>
      <c r="AY109" s="10">
        <v>0</v>
      </c>
      <c r="AZ109" s="7">
        <f t="shared" ref="AZ109:AZ140" si="12">SUM(AN109:AY109)</f>
        <v>1</v>
      </c>
      <c r="BA109" s="11">
        <f t="shared" ref="BA109:BA140" si="13">AZ109/12</f>
        <v>8.3333333333333329E-2</v>
      </c>
      <c r="BC109" s="12">
        <v>0</v>
      </c>
      <c r="BD109" s="12">
        <v>0</v>
      </c>
      <c r="BE109" s="12">
        <v>0</v>
      </c>
      <c r="BF109" s="12">
        <v>0</v>
      </c>
      <c r="BG109" s="12">
        <v>0</v>
      </c>
      <c r="BH109" s="12">
        <v>0</v>
      </c>
      <c r="BI109" s="12">
        <v>60.131910422441997</v>
      </c>
      <c r="BJ109" s="12">
        <v>0</v>
      </c>
      <c r="BK109" s="12">
        <v>0</v>
      </c>
      <c r="BL109" s="12">
        <v>0</v>
      </c>
      <c r="BM109" s="12">
        <v>0</v>
      </c>
      <c r="BN109" s="12">
        <v>0</v>
      </c>
      <c r="BO109" s="12">
        <f t="shared" ref="BO109:BO140" si="14">SUM(BC109:BN109)</f>
        <v>60.131910422441997</v>
      </c>
      <c r="BP109" s="12">
        <f t="shared" ref="BP109:BP140" si="15">BO109/12</f>
        <v>5.0109925352035001</v>
      </c>
      <c r="BQ109" s="7"/>
      <c r="BR109" s="7"/>
      <c r="BS109" s="7" t="s">
        <v>80</v>
      </c>
      <c r="BT109" s="7" t="s">
        <v>52</v>
      </c>
      <c r="BU109" s="7">
        <v>0</v>
      </c>
      <c r="BV109" s="7">
        <v>5</v>
      </c>
      <c r="BW109" s="7">
        <v>0</v>
      </c>
      <c r="BX109" s="7">
        <v>15</v>
      </c>
      <c r="BY109" s="7">
        <v>15</v>
      </c>
      <c r="BZ109" s="7"/>
    </row>
    <row r="110" spans="1:78" x14ac:dyDescent="0.35">
      <c r="A110" s="7" t="s">
        <v>41</v>
      </c>
      <c r="B110" s="7"/>
      <c r="C110" s="7" t="s">
        <v>294</v>
      </c>
      <c r="D110" s="7" t="s">
        <v>73</v>
      </c>
      <c r="E110" s="7" t="s">
        <v>295</v>
      </c>
      <c r="F110" s="7" t="s">
        <v>75</v>
      </c>
      <c r="G110" s="7" t="s">
        <v>46</v>
      </c>
      <c r="H110" s="7"/>
      <c r="I110" s="7"/>
      <c r="J110" s="7" t="s">
        <v>47</v>
      </c>
      <c r="K110" s="7" t="s">
        <v>48</v>
      </c>
      <c r="L110" s="7" t="s">
        <v>49</v>
      </c>
      <c r="M110" s="7" t="s">
        <v>49</v>
      </c>
      <c r="N110" s="7" t="s">
        <v>76</v>
      </c>
      <c r="O110" s="7" t="s">
        <v>6</v>
      </c>
      <c r="P110" s="7">
        <v>5180</v>
      </c>
      <c r="Q110" s="7">
        <v>5180</v>
      </c>
      <c r="R110" s="7">
        <v>5180</v>
      </c>
      <c r="S110" s="7">
        <v>5180</v>
      </c>
      <c r="T110" s="7">
        <v>5180</v>
      </c>
      <c r="U110" s="7">
        <v>5180</v>
      </c>
      <c r="V110" s="7">
        <v>5180</v>
      </c>
      <c r="W110" s="7">
        <v>5180</v>
      </c>
      <c r="X110" s="7">
        <v>5180</v>
      </c>
      <c r="Y110" s="7">
        <v>5180</v>
      </c>
      <c r="Z110" s="7">
        <v>5180</v>
      </c>
      <c r="AA110" s="7">
        <v>5180</v>
      </c>
      <c r="AB110" s="9">
        <v>34.304635761588997</v>
      </c>
      <c r="AC110" s="9">
        <v>34.304635761588997</v>
      </c>
      <c r="AD110" s="9">
        <v>34.304635761588997</v>
      </c>
      <c r="AE110" s="9">
        <v>34.304635761588997</v>
      </c>
      <c r="AF110" s="9">
        <v>34.304635761588997</v>
      </c>
      <c r="AG110" s="9">
        <v>34.304635761588997</v>
      </c>
      <c r="AH110" s="9">
        <v>34.304635761588997</v>
      </c>
      <c r="AI110" s="9">
        <v>34.304635761588997</v>
      </c>
      <c r="AJ110" s="9">
        <v>34.304635761588997</v>
      </c>
      <c r="AK110" s="9">
        <v>34.304635761588997</v>
      </c>
      <c r="AL110" s="9">
        <v>34.304635761588997</v>
      </c>
      <c r="AM110" s="9">
        <v>34.304635761588997</v>
      </c>
      <c r="AN110" s="10">
        <v>0</v>
      </c>
      <c r="AO110" s="10">
        <v>0</v>
      </c>
      <c r="AP110" s="10">
        <v>0</v>
      </c>
      <c r="AQ110" s="10">
        <v>0</v>
      </c>
      <c r="AR110" s="10">
        <v>0</v>
      </c>
      <c r="AS110" s="10">
        <v>0</v>
      </c>
      <c r="AT110" s="10">
        <v>0</v>
      </c>
      <c r="AU110" s="10">
        <v>0</v>
      </c>
      <c r="AV110" s="10">
        <v>0</v>
      </c>
      <c r="AW110" s="10">
        <v>0</v>
      </c>
      <c r="AX110" s="10">
        <v>0</v>
      </c>
      <c r="AY110" s="10">
        <v>1</v>
      </c>
      <c r="AZ110" s="7">
        <f t="shared" si="12"/>
        <v>1</v>
      </c>
      <c r="BA110" s="11">
        <f t="shared" si="13"/>
        <v>8.3333333333333329E-2</v>
      </c>
      <c r="BC110" s="12">
        <v>0</v>
      </c>
      <c r="BD110" s="12">
        <v>0</v>
      </c>
      <c r="BE110" s="12">
        <v>0</v>
      </c>
      <c r="BF110" s="12">
        <v>0</v>
      </c>
      <c r="BG110" s="12">
        <v>0</v>
      </c>
      <c r="BH110" s="12">
        <v>0</v>
      </c>
      <c r="BI110" s="12">
        <v>0</v>
      </c>
      <c r="BJ110" s="12">
        <v>0</v>
      </c>
      <c r="BK110" s="12">
        <v>0</v>
      </c>
      <c r="BL110" s="12">
        <v>0</v>
      </c>
      <c r="BM110" s="12">
        <v>0</v>
      </c>
      <c r="BN110" s="12">
        <v>34.304635761588997</v>
      </c>
      <c r="BO110" s="12">
        <f t="shared" si="14"/>
        <v>34.304635761588997</v>
      </c>
      <c r="BP110" s="12">
        <f t="shared" si="15"/>
        <v>2.858719646799083</v>
      </c>
      <c r="BQ110" s="7"/>
      <c r="BR110" s="7"/>
      <c r="BS110" s="7" t="s">
        <v>63</v>
      </c>
      <c r="BT110" s="7" t="s">
        <v>52</v>
      </c>
      <c r="BU110" s="7">
        <v>0</v>
      </c>
      <c r="BV110" s="7">
        <v>10</v>
      </c>
      <c r="BW110" s="7">
        <v>0</v>
      </c>
      <c r="BX110" s="7">
        <v>0</v>
      </c>
      <c r="BY110" s="7">
        <v>5</v>
      </c>
      <c r="BZ110" s="7"/>
    </row>
    <row r="111" spans="1:78" x14ac:dyDescent="0.35">
      <c r="A111" s="7" t="s">
        <v>41</v>
      </c>
      <c r="B111" s="7"/>
      <c r="C111" s="7" t="s">
        <v>296</v>
      </c>
      <c r="D111" s="7" t="s">
        <v>123</v>
      </c>
      <c r="E111" s="7" t="b">
        <v>0</v>
      </c>
      <c r="F111" s="7" t="s">
        <v>297</v>
      </c>
      <c r="G111" s="7" t="s">
        <v>46</v>
      </c>
      <c r="H111" s="7"/>
      <c r="I111" s="7"/>
      <c r="J111" s="7" t="s">
        <v>47</v>
      </c>
      <c r="K111" s="7" t="s">
        <v>48</v>
      </c>
      <c r="L111" s="7" t="s">
        <v>49</v>
      </c>
      <c r="M111" s="7" t="s">
        <v>49</v>
      </c>
      <c r="N111" s="7" t="s">
        <v>298</v>
      </c>
      <c r="O111" s="7" t="s">
        <v>4</v>
      </c>
      <c r="P111" s="7">
        <v>19770000</v>
      </c>
      <c r="Q111" s="7">
        <v>19770000</v>
      </c>
      <c r="R111" s="7">
        <v>19770000</v>
      </c>
      <c r="S111" s="7">
        <v>19770000</v>
      </c>
      <c r="T111" s="7">
        <v>19770000</v>
      </c>
      <c r="U111" s="7">
        <v>19770000</v>
      </c>
      <c r="V111" s="7">
        <v>19770000</v>
      </c>
      <c r="W111" s="7">
        <v>19770000</v>
      </c>
      <c r="X111" s="7">
        <v>19770000</v>
      </c>
      <c r="Y111" s="7">
        <v>19770000</v>
      </c>
      <c r="Z111" s="7">
        <v>19770000</v>
      </c>
      <c r="AA111" s="7">
        <v>19770000</v>
      </c>
      <c r="AB111" s="9">
        <v>1251.3767042648999</v>
      </c>
      <c r="AC111" s="9">
        <v>1251.3767042648999</v>
      </c>
      <c r="AD111" s="9">
        <v>1251.3767042648999</v>
      </c>
      <c r="AE111" s="9">
        <v>1251.3767042648999</v>
      </c>
      <c r="AF111" s="9">
        <v>1251.3767042648999</v>
      </c>
      <c r="AG111" s="9">
        <v>1251.3767042648999</v>
      </c>
      <c r="AH111" s="9">
        <v>1251.3767042648999</v>
      </c>
      <c r="AI111" s="9">
        <v>1251.3767042648999</v>
      </c>
      <c r="AJ111" s="9">
        <v>1251.3767042648999</v>
      </c>
      <c r="AK111" s="9">
        <v>1251.3767042648999</v>
      </c>
      <c r="AL111" s="9">
        <v>1251.3767042648999</v>
      </c>
      <c r="AM111" s="9">
        <v>1251.3767042648999</v>
      </c>
      <c r="AN111" s="10">
        <v>0</v>
      </c>
      <c r="AO111" s="10">
        <v>1</v>
      </c>
      <c r="AP111" s="10">
        <v>0</v>
      </c>
      <c r="AQ111" s="10">
        <v>0</v>
      </c>
      <c r="AR111" s="10">
        <v>0</v>
      </c>
      <c r="AS111" s="10">
        <v>1</v>
      </c>
      <c r="AT111" s="10">
        <v>0</v>
      </c>
      <c r="AU111" s="10">
        <v>0</v>
      </c>
      <c r="AV111" s="10">
        <v>0</v>
      </c>
      <c r="AW111" s="10">
        <v>0</v>
      </c>
      <c r="AX111" s="10">
        <v>0</v>
      </c>
      <c r="AY111" s="10">
        <v>0</v>
      </c>
      <c r="AZ111" s="7">
        <f t="shared" si="12"/>
        <v>2</v>
      </c>
      <c r="BA111" s="11">
        <f t="shared" si="13"/>
        <v>0.16666666666666666</v>
      </c>
      <c r="BC111" s="12">
        <v>0</v>
      </c>
      <c r="BD111" s="12">
        <v>1251.3767042648999</v>
      </c>
      <c r="BE111" s="12">
        <v>0</v>
      </c>
      <c r="BF111" s="12">
        <v>0</v>
      </c>
      <c r="BG111" s="12">
        <v>0</v>
      </c>
      <c r="BH111" s="12">
        <v>1251.3767042648999</v>
      </c>
      <c r="BI111" s="12">
        <v>0</v>
      </c>
      <c r="BJ111" s="12">
        <v>0</v>
      </c>
      <c r="BK111" s="12">
        <v>0</v>
      </c>
      <c r="BL111" s="12">
        <v>0</v>
      </c>
      <c r="BM111" s="12">
        <v>0</v>
      </c>
      <c r="BN111" s="12">
        <v>0</v>
      </c>
      <c r="BO111" s="12">
        <f t="shared" si="14"/>
        <v>2502.7534085297998</v>
      </c>
      <c r="BP111" s="12">
        <f t="shared" si="15"/>
        <v>208.56278404414999</v>
      </c>
      <c r="BQ111" s="7"/>
      <c r="BR111" s="7"/>
      <c r="BS111" s="7" t="s">
        <v>125</v>
      </c>
      <c r="BT111" s="7" t="s">
        <v>52</v>
      </c>
      <c r="BU111" s="7">
        <v>15</v>
      </c>
      <c r="BV111" s="7">
        <v>10</v>
      </c>
      <c r="BW111" s="7">
        <v>5</v>
      </c>
      <c r="BX111" s="7">
        <v>20</v>
      </c>
      <c r="BY111" s="7">
        <v>5</v>
      </c>
      <c r="BZ111" s="7"/>
    </row>
    <row r="112" spans="1:78" x14ac:dyDescent="0.35">
      <c r="A112" s="7" t="s">
        <v>41</v>
      </c>
      <c r="B112" s="7"/>
      <c r="C112" s="7" t="s">
        <v>299</v>
      </c>
      <c r="D112" s="7" t="s">
        <v>73</v>
      </c>
      <c r="E112" s="7" t="s">
        <v>300</v>
      </c>
      <c r="F112" s="7" t="s">
        <v>75</v>
      </c>
      <c r="G112" s="7" t="s">
        <v>46</v>
      </c>
      <c r="H112" s="7"/>
      <c r="I112" s="7"/>
      <c r="J112" s="7" t="s">
        <v>47</v>
      </c>
      <c r="K112" s="7" t="s">
        <v>48</v>
      </c>
      <c r="L112" s="7" t="s">
        <v>49</v>
      </c>
      <c r="M112" s="7" t="s">
        <v>49</v>
      </c>
      <c r="N112" s="7" t="s">
        <v>76</v>
      </c>
      <c r="O112" s="7" t="s">
        <v>6</v>
      </c>
      <c r="P112" s="7">
        <v>84332.442999999999</v>
      </c>
      <c r="Q112" s="7">
        <v>84332.442999999999</v>
      </c>
      <c r="R112" s="7">
        <v>84332.442999999999</v>
      </c>
      <c r="S112" s="7">
        <v>84332.442999999999</v>
      </c>
      <c r="T112" s="7">
        <v>84332.442999999999</v>
      </c>
      <c r="U112" s="7">
        <v>84332.442999999999</v>
      </c>
      <c r="V112" s="7">
        <v>84332.442999999999</v>
      </c>
      <c r="W112" s="7">
        <v>84332.442999999999</v>
      </c>
      <c r="X112" s="7">
        <v>84332.442999999999</v>
      </c>
      <c r="Y112" s="7">
        <v>84332.442999999999</v>
      </c>
      <c r="Z112" s="7">
        <v>84332.442999999999</v>
      </c>
      <c r="AA112" s="7">
        <v>84332.442999999999</v>
      </c>
      <c r="AB112" s="9">
        <v>558.49300000000005</v>
      </c>
      <c r="AC112" s="9">
        <v>558.49300000000005</v>
      </c>
      <c r="AD112" s="9">
        <v>558.49300000000005</v>
      </c>
      <c r="AE112" s="9">
        <v>558.49300000000005</v>
      </c>
      <c r="AF112" s="9">
        <v>558.49300000000005</v>
      </c>
      <c r="AG112" s="9">
        <v>558.49300000000005</v>
      </c>
      <c r="AH112" s="9">
        <v>558.49300000000005</v>
      </c>
      <c r="AI112" s="9">
        <v>558.49300000000005</v>
      </c>
      <c r="AJ112" s="9">
        <v>558.49300000000005</v>
      </c>
      <c r="AK112" s="9">
        <v>558.49300000000005</v>
      </c>
      <c r="AL112" s="9">
        <v>558.49300000000005</v>
      </c>
      <c r="AM112" s="9">
        <v>558.49300000000005</v>
      </c>
      <c r="AN112" s="10">
        <v>0</v>
      </c>
      <c r="AO112" s="10">
        <v>0</v>
      </c>
      <c r="AP112" s="10">
        <v>0</v>
      </c>
      <c r="AQ112" s="10">
        <v>0</v>
      </c>
      <c r="AR112" s="10">
        <v>0</v>
      </c>
      <c r="AS112" s="10">
        <v>0</v>
      </c>
      <c r="AT112" s="10">
        <v>0</v>
      </c>
      <c r="AU112" s="10">
        <v>0</v>
      </c>
      <c r="AV112" s="10">
        <v>0</v>
      </c>
      <c r="AW112" s="10">
        <v>0</v>
      </c>
      <c r="AX112" s="10">
        <v>0</v>
      </c>
      <c r="AY112" s="10">
        <v>6</v>
      </c>
      <c r="AZ112" s="7">
        <f t="shared" si="12"/>
        <v>6</v>
      </c>
      <c r="BA112" s="11">
        <f t="shared" si="13"/>
        <v>0.5</v>
      </c>
      <c r="BC112" s="12">
        <v>0</v>
      </c>
      <c r="BD112" s="12">
        <v>0</v>
      </c>
      <c r="BE112" s="12">
        <v>0</v>
      </c>
      <c r="BF112" s="12">
        <v>0</v>
      </c>
      <c r="BG112" s="12">
        <v>0</v>
      </c>
      <c r="BH112" s="12">
        <v>0</v>
      </c>
      <c r="BI112" s="12">
        <v>0</v>
      </c>
      <c r="BJ112" s="12">
        <v>0</v>
      </c>
      <c r="BK112" s="12">
        <v>0</v>
      </c>
      <c r="BL112" s="12">
        <v>0</v>
      </c>
      <c r="BM112" s="12">
        <v>0</v>
      </c>
      <c r="BN112" s="12">
        <v>3350.9580000000001</v>
      </c>
      <c r="BO112" s="12">
        <f t="shared" si="14"/>
        <v>3350.9580000000001</v>
      </c>
      <c r="BP112" s="12">
        <f t="shared" si="15"/>
        <v>279.24650000000003</v>
      </c>
      <c r="BQ112" s="7"/>
      <c r="BR112" s="7"/>
      <c r="BS112" s="7" t="s">
        <v>63</v>
      </c>
      <c r="BT112" s="7" t="s">
        <v>52</v>
      </c>
      <c r="BU112" s="7">
        <v>0</v>
      </c>
      <c r="BV112" s="7">
        <v>10</v>
      </c>
      <c r="BW112" s="7">
        <v>0</v>
      </c>
      <c r="BX112" s="7">
        <v>0</v>
      </c>
      <c r="BY112" s="7">
        <v>5</v>
      </c>
      <c r="BZ112" s="7"/>
    </row>
    <row r="113" spans="1:78" x14ac:dyDescent="0.35">
      <c r="A113" s="7" t="s">
        <v>41</v>
      </c>
      <c r="B113" s="7"/>
      <c r="C113" s="7" t="s">
        <v>301</v>
      </c>
      <c r="D113" s="7" t="s">
        <v>59</v>
      </c>
      <c r="E113" s="7" t="s">
        <v>302</v>
      </c>
      <c r="F113" s="7" t="s">
        <v>303</v>
      </c>
      <c r="G113" s="7" t="s">
        <v>46</v>
      </c>
      <c r="H113" s="7"/>
      <c r="I113" s="7"/>
      <c r="J113" s="7" t="s">
        <v>47</v>
      </c>
      <c r="K113" s="7" t="s">
        <v>48</v>
      </c>
      <c r="L113" s="7" t="s">
        <v>49</v>
      </c>
      <c r="M113" s="7" t="s">
        <v>49</v>
      </c>
      <c r="N113" s="7" t="s">
        <v>62</v>
      </c>
      <c r="O113" s="7" t="s">
        <v>4</v>
      </c>
      <c r="P113" s="7">
        <v>17000</v>
      </c>
      <c r="Q113" s="7">
        <v>17000</v>
      </c>
      <c r="R113" s="7">
        <v>17000</v>
      </c>
      <c r="S113" s="7">
        <v>17000</v>
      </c>
      <c r="T113" s="7">
        <v>17000</v>
      </c>
      <c r="U113" s="7">
        <v>17000</v>
      </c>
      <c r="V113" s="7">
        <v>17000</v>
      </c>
      <c r="W113" s="7">
        <v>17000</v>
      </c>
      <c r="X113" s="7">
        <v>17000</v>
      </c>
      <c r="Y113" s="7">
        <v>17000</v>
      </c>
      <c r="Z113" s="7">
        <v>17000</v>
      </c>
      <c r="AA113" s="7">
        <v>17000</v>
      </c>
      <c r="AB113" s="9">
        <v>1.0760447128227</v>
      </c>
      <c r="AC113" s="9">
        <v>1.0760447128227</v>
      </c>
      <c r="AD113" s="9">
        <v>1.0760447128227</v>
      </c>
      <c r="AE113" s="9">
        <v>1.0760447128227</v>
      </c>
      <c r="AF113" s="9">
        <v>1.0760447128227</v>
      </c>
      <c r="AG113" s="9">
        <v>1.0760447128227</v>
      </c>
      <c r="AH113" s="9">
        <v>1.0760447128227</v>
      </c>
      <c r="AI113" s="9">
        <v>1.0760447128227</v>
      </c>
      <c r="AJ113" s="9">
        <v>1.0760447128227</v>
      </c>
      <c r="AK113" s="9">
        <v>1.0760447128227</v>
      </c>
      <c r="AL113" s="9">
        <v>1.0760447128227</v>
      </c>
      <c r="AM113" s="9">
        <v>1.0760447128227</v>
      </c>
      <c r="AN113" s="10">
        <v>2</v>
      </c>
      <c r="AO113" s="10">
        <v>2</v>
      </c>
      <c r="AP113" s="10">
        <v>2</v>
      </c>
      <c r="AQ113" s="10">
        <v>2</v>
      </c>
      <c r="AR113" s="10">
        <v>2</v>
      </c>
      <c r="AS113" s="10">
        <v>2</v>
      </c>
      <c r="AT113" s="10">
        <v>2</v>
      </c>
      <c r="AU113" s="10">
        <v>2</v>
      </c>
      <c r="AV113" s="10">
        <v>2</v>
      </c>
      <c r="AW113" s="10">
        <v>2</v>
      </c>
      <c r="AX113" s="10">
        <v>2</v>
      </c>
      <c r="AY113" s="10">
        <v>2</v>
      </c>
      <c r="AZ113" s="7">
        <f t="shared" si="12"/>
        <v>24</v>
      </c>
      <c r="BA113" s="11">
        <f t="shared" si="13"/>
        <v>2</v>
      </c>
      <c r="BC113" s="12">
        <v>2.1520894256453</v>
      </c>
      <c r="BD113" s="12">
        <v>2.1520894256453</v>
      </c>
      <c r="BE113" s="12">
        <v>2.1520894256453</v>
      </c>
      <c r="BF113" s="12">
        <v>2.1520894256453</v>
      </c>
      <c r="BG113" s="12">
        <v>2.1520894256453</v>
      </c>
      <c r="BH113" s="12">
        <v>2.1520894256453</v>
      </c>
      <c r="BI113" s="12">
        <v>2.1520894256453</v>
      </c>
      <c r="BJ113" s="12">
        <v>2.1520894256453</v>
      </c>
      <c r="BK113" s="12">
        <v>2.1520894256453</v>
      </c>
      <c r="BL113" s="12">
        <v>2.1520894256453</v>
      </c>
      <c r="BM113" s="12">
        <v>2.1520894256453</v>
      </c>
      <c r="BN113" s="12">
        <v>2.1520894256453</v>
      </c>
      <c r="BO113" s="12">
        <f t="shared" si="14"/>
        <v>25.825073107743602</v>
      </c>
      <c r="BP113" s="12">
        <f t="shared" si="15"/>
        <v>2.1520894256453</v>
      </c>
      <c r="BQ113" s="7"/>
      <c r="BR113" s="7"/>
      <c r="BS113" s="7" t="s">
        <v>63</v>
      </c>
      <c r="BT113" s="7" t="s">
        <v>52</v>
      </c>
      <c r="BU113" s="7">
        <v>0</v>
      </c>
      <c r="BV113" s="7">
        <v>10</v>
      </c>
      <c r="BW113" s="7">
        <v>0</v>
      </c>
      <c r="BX113" s="7">
        <v>0</v>
      </c>
      <c r="BY113" s="7">
        <v>5</v>
      </c>
      <c r="BZ113" s="7"/>
    </row>
    <row r="114" spans="1:78" x14ac:dyDescent="0.35">
      <c r="A114" s="7" t="s">
        <v>41</v>
      </c>
      <c r="B114" s="7"/>
      <c r="C114" s="7" t="s">
        <v>304</v>
      </c>
      <c r="D114" s="7" t="s">
        <v>170</v>
      </c>
      <c r="E114" s="7" t="s">
        <v>305</v>
      </c>
      <c r="F114" s="7" t="s">
        <v>306</v>
      </c>
      <c r="G114" s="7" t="s">
        <v>46</v>
      </c>
      <c r="H114" s="7"/>
      <c r="I114" s="7"/>
      <c r="J114" s="7" t="s">
        <v>47</v>
      </c>
      <c r="K114" s="7" t="s">
        <v>48</v>
      </c>
      <c r="L114" s="7" t="s">
        <v>49</v>
      </c>
      <c r="M114" s="7" t="s">
        <v>49</v>
      </c>
      <c r="N114" s="7" t="s">
        <v>173</v>
      </c>
      <c r="O114" s="7" t="s">
        <v>4</v>
      </c>
      <c r="P114" s="7">
        <v>85000</v>
      </c>
      <c r="Q114" s="7">
        <v>85000</v>
      </c>
      <c r="R114" s="7">
        <v>85000</v>
      </c>
      <c r="S114" s="7">
        <v>85000</v>
      </c>
      <c r="T114" s="7">
        <v>85000</v>
      </c>
      <c r="U114" s="7">
        <v>85000</v>
      </c>
      <c r="V114" s="7">
        <v>85000</v>
      </c>
      <c r="W114" s="7">
        <v>85000</v>
      </c>
      <c r="X114" s="7">
        <v>85000</v>
      </c>
      <c r="Y114" s="7">
        <v>85000</v>
      </c>
      <c r="Z114" s="7">
        <v>85000</v>
      </c>
      <c r="AA114" s="7">
        <v>85000</v>
      </c>
      <c r="AB114" s="9">
        <v>5.3802235641133</v>
      </c>
      <c r="AC114" s="9">
        <v>5.3802235641133</v>
      </c>
      <c r="AD114" s="9">
        <v>5.3802235641133</v>
      </c>
      <c r="AE114" s="9">
        <v>5.3802235641133</v>
      </c>
      <c r="AF114" s="9">
        <v>5.3802235641133</v>
      </c>
      <c r="AG114" s="9">
        <v>5.3802235641133</v>
      </c>
      <c r="AH114" s="9">
        <v>5.3802235641133</v>
      </c>
      <c r="AI114" s="9">
        <v>5.3802235641133</v>
      </c>
      <c r="AJ114" s="9">
        <v>5.3802235641133</v>
      </c>
      <c r="AK114" s="9">
        <v>5.3802235641133</v>
      </c>
      <c r="AL114" s="9">
        <v>5.3802235641133</v>
      </c>
      <c r="AM114" s="9">
        <v>5.3802235641133</v>
      </c>
      <c r="AN114" s="10">
        <v>0</v>
      </c>
      <c r="AO114" s="10">
        <v>0</v>
      </c>
      <c r="AP114" s="10">
        <v>0</v>
      </c>
      <c r="AQ114" s="10">
        <v>0</v>
      </c>
      <c r="AR114" s="10">
        <v>1</v>
      </c>
      <c r="AS114" s="10">
        <v>0</v>
      </c>
      <c r="AT114" s="10">
        <v>0</v>
      </c>
      <c r="AU114" s="10">
        <v>0</v>
      </c>
      <c r="AV114" s="10">
        <v>0</v>
      </c>
      <c r="AW114" s="10">
        <v>0</v>
      </c>
      <c r="AX114" s="10">
        <v>0</v>
      </c>
      <c r="AY114" s="10">
        <v>0</v>
      </c>
      <c r="AZ114" s="7">
        <f t="shared" si="12"/>
        <v>1</v>
      </c>
      <c r="BA114" s="11">
        <f t="shared" si="13"/>
        <v>8.3333333333333329E-2</v>
      </c>
      <c r="BC114" s="12">
        <v>0</v>
      </c>
      <c r="BD114" s="12">
        <v>0</v>
      </c>
      <c r="BE114" s="12">
        <v>0</v>
      </c>
      <c r="BF114" s="12">
        <v>0</v>
      </c>
      <c r="BG114" s="12">
        <v>5.3802235641133</v>
      </c>
      <c r="BH114" s="12">
        <v>0</v>
      </c>
      <c r="BI114" s="12">
        <v>0</v>
      </c>
      <c r="BJ114" s="12">
        <v>0</v>
      </c>
      <c r="BK114" s="12">
        <v>0</v>
      </c>
      <c r="BL114" s="12">
        <v>0</v>
      </c>
      <c r="BM114" s="12">
        <v>0</v>
      </c>
      <c r="BN114" s="12">
        <v>0</v>
      </c>
      <c r="BO114" s="12">
        <f t="shared" si="14"/>
        <v>5.3802235641133</v>
      </c>
      <c r="BP114" s="12">
        <f t="shared" si="15"/>
        <v>0.44835196367610836</v>
      </c>
      <c r="BQ114" s="7"/>
      <c r="BR114" s="7"/>
      <c r="BS114" s="7" t="s">
        <v>51</v>
      </c>
      <c r="BT114" s="7" t="s">
        <v>52</v>
      </c>
      <c r="BU114" s="7">
        <v>15</v>
      </c>
      <c r="BV114" s="7">
        <v>10</v>
      </c>
      <c r="BW114" s="7">
        <v>5</v>
      </c>
      <c r="BX114" s="7">
        <v>20</v>
      </c>
      <c r="BY114" s="7">
        <v>5</v>
      </c>
      <c r="BZ114" s="7"/>
    </row>
    <row r="115" spans="1:78" x14ac:dyDescent="0.35">
      <c r="A115" s="7" t="s">
        <v>41</v>
      </c>
      <c r="B115" s="7"/>
      <c r="C115" s="7" t="s">
        <v>307</v>
      </c>
      <c r="D115" s="7" t="s">
        <v>73</v>
      </c>
      <c r="E115" s="7" t="s">
        <v>308</v>
      </c>
      <c r="F115" s="7" t="s">
        <v>75</v>
      </c>
      <c r="G115" s="7" t="s">
        <v>46</v>
      </c>
      <c r="H115" s="7"/>
      <c r="I115" s="7"/>
      <c r="J115" s="7" t="s">
        <v>47</v>
      </c>
      <c r="K115" s="7" t="s">
        <v>48</v>
      </c>
      <c r="L115" s="7" t="s">
        <v>49</v>
      </c>
      <c r="M115" s="7" t="s">
        <v>49</v>
      </c>
      <c r="N115" s="7" t="s">
        <v>76</v>
      </c>
      <c r="O115" s="7" t="s">
        <v>6</v>
      </c>
      <c r="P115" s="7">
        <v>58000</v>
      </c>
      <c r="Q115" s="7">
        <v>58000</v>
      </c>
      <c r="R115" s="7">
        <v>58000</v>
      </c>
      <c r="S115" s="7">
        <v>58000</v>
      </c>
      <c r="T115" s="7">
        <v>58000</v>
      </c>
      <c r="U115" s="7">
        <v>58000</v>
      </c>
      <c r="V115" s="7">
        <v>58000</v>
      </c>
      <c r="W115" s="7">
        <v>58000</v>
      </c>
      <c r="X115" s="7">
        <v>58000</v>
      </c>
      <c r="Y115" s="7">
        <v>58000</v>
      </c>
      <c r="Z115" s="7">
        <v>58000</v>
      </c>
      <c r="AA115" s="7">
        <v>58000</v>
      </c>
      <c r="AB115" s="9">
        <v>384.10596026489998</v>
      </c>
      <c r="AC115" s="9">
        <v>384.10596026489998</v>
      </c>
      <c r="AD115" s="9">
        <v>384.10596026489998</v>
      </c>
      <c r="AE115" s="9">
        <v>384.10596026489998</v>
      </c>
      <c r="AF115" s="9">
        <v>384.10596026489998</v>
      </c>
      <c r="AG115" s="9">
        <v>384.10596026489998</v>
      </c>
      <c r="AH115" s="9">
        <v>384.10596026489998</v>
      </c>
      <c r="AI115" s="9">
        <v>384.10596026489998</v>
      </c>
      <c r="AJ115" s="9">
        <v>384.10596026489998</v>
      </c>
      <c r="AK115" s="9">
        <v>384.10596026489998</v>
      </c>
      <c r="AL115" s="9">
        <v>384.10596026489998</v>
      </c>
      <c r="AM115" s="9">
        <v>384.10596026489998</v>
      </c>
      <c r="AN115" s="10">
        <v>0</v>
      </c>
      <c r="AO115" s="10">
        <v>0</v>
      </c>
      <c r="AP115" s="10">
        <v>0</v>
      </c>
      <c r="AQ115" s="10">
        <v>0</v>
      </c>
      <c r="AR115" s="10">
        <v>0</v>
      </c>
      <c r="AS115" s="10">
        <v>0</v>
      </c>
      <c r="AT115" s="10">
        <v>0</v>
      </c>
      <c r="AU115" s="10">
        <v>6</v>
      </c>
      <c r="AV115" s="10">
        <v>0</v>
      </c>
      <c r="AW115" s="10">
        <v>0</v>
      </c>
      <c r="AX115" s="10">
        <v>0</v>
      </c>
      <c r="AY115" s="10">
        <v>6</v>
      </c>
      <c r="AZ115" s="7">
        <f t="shared" si="12"/>
        <v>12</v>
      </c>
      <c r="BA115" s="11">
        <f t="shared" si="13"/>
        <v>1</v>
      </c>
      <c r="BC115" s="12">
        <v>0</v>
      </c>
      <c r="BD115" s="12">
        <v>0</v>
      </c>
      <c r="BE115" s="12">
        <v>0</v>
      </c>
      <c r="BF115" s="12">
        <v>0</v>
      </c>
      <c r="BG115" s="12">
        <v>0</v>
      </c>
      <c r="BH115" s="12">
        <v>0</v>
      </c>
      <c r="BI115" s="12">
        <v>0</v>
      </c>
      <c r="BJ115" s="12">
        <v>2304.6357615893999</v>
      </c>
      <c r="BK115" s="12">
        <v>0</v>
      </c>
      <c r="BL115" s="12">
        <v>0</v>
      </c>
      <c r="BM115" s="12">
        <v>0</v>
      </c>
      <c r="BN115" s="12">
        <v>2304.6357615893999</v>
      </c>
      <c r="BO115" s="12">
        <f t="shared" si="14"/>
        <v>4609.2715231787997</v>
      </c>
      <c r="BP115" s="12">
        <f t="shared" si="15"/>
        <v>384.10596026489998</v>
      </c>
      <c r="BQ115" s="7"/>
      <c r="BR115" s="7"/>
      <c r="BS115" s="7" t="s">
        <v>63</v>
      </c>
      <c r="BT115" s="7" t="s">
        <v>52</v>
      </c>
      <c r="BU115" s="7">
        <v>0</v>
      </c>
      <c r="BV115" s="7">
        <v>10</v>
      </c>
      <c r="BW115" s="7">
        <v>0</v>
      </c>
      <c r="BX115" s="7">
        <v>0</v>
      </c>
      <c r="BY115" s="7">
        <v>5</v>
      </c>
      <c r="BZ115" s="7"/>
    </row>
    <row r="116" spans="1:78" x14ac:dyDescent="0.35">
      <c r="A116" s="7" t="s">
        <v>41</v>
      </c>
      <c r="B116" s="7"/>
      <c r="C116" s="7" t="s">
        <v>309</v>
      </c>
      <c r="D116" s="7" t="s">
        <v>310</v>
      </c>
      <c r="E116" s="7" t="s">
        <v>311</v>
      </c>
      <c r="F116" s="7" t="s">
        <v>312</v>
      </c>
      <c r="G116" s="7" t="s">
        <v>46</v>
      </c>
      <c r="H116" s="7"/>
      <c r="I116" s="7"/>
      <c r="J116" s="7" t="s">
        <v>47</v>
      </c>
      <c r="K116" s="7" t="s">
        <v>48</v>
      </c>
      <c r="L116" s="7" t="s">
        <v>49</v>
      </c>
      <c r="M116" s="7" t="s">
        <v>49</v>
      </c>
      <c r="N116" s="7" t="s">
        <v>50</v>
      </c>
      <c r="O116" s="7" t="s">
        <v>4</v>
      </c>
      <c r="P116" s="7">
        <v>145000</v>
      </c>
      <c r="Q116" s="7">
        <v>145000</v>
      </c>
      <c r="R116" s="7">
        <v>145000</v>
      </c>
      <c r="S116" s="7">
        <v>145000</v>
      </c>
      <c r="T116" s="7">
        <v>145000</v>
      </c>
      <c r="U116" s="7">
        <v>145000</v>
      </c>
      <c r="V116" s="7">
        <v>145000</v>
      </c>
      <c r="W116" s="7">
        <v>145000</v>
      </c>
      <c r="X116" s="7">
        <v>145000</v>
      </c>
      <c r="Y116" s="7">
        <v>145000</v>
      </c>
      <c r="Z116" s="7">
        <v>145000</v>
      </c>
      <c r="AA116" s="7">
        <v>145000</v>
      </c>
      <c r="AB116" s="9">
        <v>9.1780284328991009</v>
      </c>
      <c r="AC116" s="9">
        <v>9.1780284328991009</v>
      </c>
      <c r="AD116" s="9">
        <v>9.1780284328991009</v>
      </c>
      <c r="AE116" s="9">
        <v>9.1780284328991009</v>
      </c>
      <c r="AF116" s="9">
        <v>9.1780284328991009</v>
      </c>
      <c r="AG116" s="9">
        <v>9.1780284328991009</v>
      </c>
      <c r="AH116" s="9">
        <v>9.1780284328991009</v>
      </c>
      <c r="AI116" s="9">
        <v>9.1780284328991009</v>
      </c>
      <c r="AJ116" s="9">
        <v>9.1780284328991009</v>
      </c>
      <c r="AK116" s="9">
        <v>9.1780284328991009</v>
      </c>
      <c r="AL116" s="9">
        <v>9.1780284328991009</v>
      </c>
      <c r="AM116" s="9">
        <v>9.1780284328991009</v>
      </c>
      <c r="AN116" s="10">
        <v>0</v>
      </c>
      <c r="AO116" s="10">
        <v>0</v>
      </c>
      <c r="AP116" s="10">
        <v>0</v>
      </c>
      <c r="AQ116" s="10">
        <v>10</v>
      </c>
      <c r="AR116" s="10">
        <v>0</v>
      </c>
      <c r="AS116" s="10">
        <v>0</v>
      </c>
      <c r="AT116" s="10">
        <v>0</v>
      </c>
      <c r="AU116" s="10">
        <v>0</v>
      </c>
      <c r="AV116" s="10">
        <v>0</v>
      </c>
      <c r="AW116" s="10">
        <v>0</v>
      </c>
      <c r="AX116" s="10">
        <v>0</v>
      </c>
      <c r="AY116" s="10">
        <v>0</v>
      </c>
      <c r="AZ116" s="7">
        <f t="shared" si="12"/>
        <v>10</v>
      </c>
      <c r="BA116" s="11">
        <f t="shared" si="13"/>
        <v>0.83333333333333337</v>
      </c>
      <c r="BC116" s="12">
        <v>0</v>
      </c>
      <c r="BD116" s="12">
        <v>0</v>
      </c>
      <c r="BE116" s="12">
        <v>0</v>
      </c>
      <c r="BF116" s="12">
        <v>91.780284328991002</v>
      </c>
      <c r="BG116" s="12">
        <v>0</v>
      </c>
      <c r="BH116" s="12">
        <v>0</v>
      </c>
      <c r="BI116" s="12">
        <v>0</v>
      </c>
      <c r="BJ116" s="12">
        <v>0</v>
      </c>
      <c r="BK116" s="12">
        <v>0</v>
      </c>
      <c r="BL116" s="12">
        <v>0</v>
      </c>
      <c r="BM116" s="12">
        <v>0</v>
      </c>
      <c r="BN116" s="12">
        <v>0</v>
      </c>
      <c r="BO116" s="12">
        <f t="shared" si="14"/>
        <v>91.780284328991002</v>
      </c>
      <c r="BP116" s="12">
        <f t="shared" si="15"/>
        <v>7.6483570274159165</v>
      </c>
      <c r="BQ116" s="7"/>
      <c r="BR116" s="7"/>
      <c r="BS116" s="7" t="s">
        <v>51</v>
      </c>
      <c r="BT116" s="7" t="s">
        <v>52</v>
      </c>
      <c r="BU116" s="7">
        <v>15</v>
      </c>
      <c r="BV116" s="7">
        <v>10</v>
      </c>
      <c r="BW116" s="7">
        <v>5</v>
      </c>
      <c r="BX116" s="7">
        <v>20</v>
      </c>
      <c r="BY116" s="7">
        <v>5</v>
      </c>
      <c r="BZ116" s="7"/>
    </row>
    <row r="117" spans="1:78" x14ac:dyDescent="0.35">
      <c r="A117" s="7" t="s">
        <v>41</v>
      </c>
      <c r="B117" s="7"/>
      <c r="C117" s="7" t="s">
        <v>313</v>
      </c>
      <c r="D117" s="7" t="s">
        <v>314</v>
      </c>
      <c r="E117" s="7" t="s">
        <v>315</v>
      </c>
      <c r="F117" s="7" t="s">
        <v>205</v>
      </c>
      <c r="G117" s="7" t="s">
        <v>46</v>
      </c>
      <c r="H117" s="7"/>
      <c r="I117" s="7"/>
      <c r="J117" s="7" t="s">
        <v>47</v>
      </c>
      <c r="K117" s="7" t="s">
        <v>48</v>
      </c>
      <c r="L117" s="7" t="s">
        <v>49</v>
      </c>
      <c r="M117" s="7" t="s">
        <v>49</v>
      </c>
      <c r="N117" s="7" t="s">
        <v>50</v>
      </c>
      <c r="O117" s="7" t="s">
        <v>4</v>
      </c>
      <c r="P117" s="7">
        <v>45000</v>
      </c>
      <c r="Q117" s="7">
        <v>45000</v>
      </c>
      <c r="R117" s="7">
        <v>45000</v>
      </c>
      <c r="S117" s="7">
        <v>45000</v>
      </c>
      <c r="T117" s="7">
        <v>45000</v>
      </c>
      <c r="U117" s="7">
        <v>45000</v>
      </c>
      <c r="V117" s="7">
        <v>45000</v>
      </c>
      <c r="W117" s="7">
        <v>45000</v>
      </c>
      <c r="X117" s="7">
        <v>45000</v>
      </c>
      <c r="Y117" s="7">
        <v>45000</v>
      </c>
      <c r="Z117" s="7">
        <v>45000</v>
      </c>
      <c r="AA117" s="7">
        <v>45000</v>
      </c>
      <c r="AB117" s="9">
        <v>2.8483536515894001</v>
      </c>
      <c r="AC117" s="9">
        <v>2.8483536515894001</v>
      </c>
      <c r="AD117" s="9">
        <v>2.8483536515894001</v>
      </c>
      <c r="AE117" s="9">
        <v>2.8483536515894001</v>
      </c>
      <c r="AF117" s="9">
        <v>2.8483536515894001</v>
      </c>
      <c r="AG117" s="9">
        <v>2.8483536515894001</v>
      </c>
      <c r="AH117" s="9">
        <v>2.8483536515894001</v>
      </c>
      <c r="AI117" s="9">
        <v>2.8483536515894001</v>
      </c>
      <c r="AJ117" s="9">
        <v>2.8483536515894001</v>
      </c>
      <c r="AK117" s="9">
        <v>2.8483536515894001</v>
      </c>
      <c r="AL117" s="9">
        <v>2.8483536515894001</v>
      </c>
      <c r="AM117" s="9">
        <v>2.8483536515894001</v>
      </c>
      <c r="AN117" s="10">
        <v>1</v>
      </c>
      <c r="AO117" s="10">
        <v>0</v>
      </c>
      <c r="AP117" s="10">
        <v>0</v>
      </c>
      <c r="AQ117" s="10">
        <v>0</v>
      </c>
      <c r="AR117" s="10">
        <v>0</v>
      </c>
      <c r="AS117" s="10">
        <v>0</v>
      </c>
      <c r="AT117" s="10">
        <v>0</v>
      </c>
      <c r="AU117" s="10">
        <v>0</v>
      </c>
      <c r="AV117" s="10">
        <v>0</v>
      </c>
      <c r="AW117" s="10">
        <v>0</v>
      </c>
      <c r="AX117" s="10">
        <v>0</v>
      </c>
      <c r="AY117" s="10">
        <v>0</v>
      </c>
      <c r="AZ117" s="7">
        <f t="shared" si="12"/>
        <v>1</v>
      </c>
      <c r="BA117" s="11">
        <f t="shared" si="13"/>
        <v>8.3333333333333329E-2</v>
      </c>
      <c r="BC117" s="12">
        <v>2.8483536515894001</v>
      </c>
      <c r="BD117" s="12">
        <v>0</v>
      </c>
      <c r="BE117" s="12">
        <v>0</v>
      </c>
      <c r="BF117" s="12">
        <v>0</v>
      </c>
      <c r="BG117" s="12">
        <v>0</v>
      </c>
      <c r="BH117" s="12">
        <v>0</v>
      </c>
      <c r="BI117" s="12">
        <v>0</v>
      </c>
      <c r="BJ117" s="12">
        <v>0</v>
      </c>
      <c r="BK117" s="12">
        <v>0</v>
      </c>
      <c r="BL117" s="12">
        <v>0</v>
      </c>
      <c r="BM117" s="12">
        <v>0</v>
      </c>
      <c r="BN117" s="12">
        <v>0</v>
      </c>
      <c r="BO117" s="12">
        <f t="shared" si="14"/>
        <v>2.8483536515894001</v>
      </c>
      <c r="BP117" s="12">
        <f t="shared" si="15"/>
        <v>0.23736280429911669</v>
      </c>
      <c r="BQ117" s="7"/>
      <c r="BR117" s="7"/>
      <c r="BS117" s="7" t="s">
        <v>51</v>
      </c>
      <c r="BT117" s="7" t="s">
        <v>52</v>
      </c>
      <c r="BU117" s="7">
        <v>15</v>
      </c>
      <c r="BV117" s="7">
        <v>10</v>
      </c>
      <c r="BW117" s="7">
        <v>5</v>
      </c>
      <c r="BX117" s="7">
        <v>20</v>
      </c>
      <c r="BY117" s="7">
        <v>5</v>
      </c>
      <c r="BZ117" s="7"/>
    </row>
    <row r="118" spans="1:78" x14ac:dyDescent="0.35">
      <c r="A118" s="7" t="s">
        <v>41</v>
      </c>
      <c r="B118" s="7"/>
      <c r="C118" s="7" t="s">
        <v>144</v>
      </c>
      <c r="D118" s="7" t="s">
        <v>59</v>
      </c>
      <c r="E118" s="7" t="s">
        <v>145</v>
      </c>
      <c r="F118" s="7" t="s">
        <v>61</v>
      </c>
      <c r="G118" s="7" t="s">
        <v>46</v>
      </c>
      <c r="H118" s="7"/>
      <c r="I118" s="7"/>
      <c r="J118" s="7" t="s">
        <v>47</v>
      </c>
      <c r="K118" s="7" t="s">
        <v>48</v>
      </c>
      <c r="L118" s="7" t="s">
        <v>49</v>
      </c>
      <c r="M118" s="7" t="s">
        <v>49</v>
      </c>
      <c r="N118" s="7" t="s">
        <v>62</v>
      </c>
      <c r="O118" s="7" t="s">
        <v>4</v>
      </c>
      <c r="P118" s="7">
        <v>20000</v>
      </c>
      <c r="Q118" s="7">
        <v>20000</v>
      </c>
      <c r="R118" s="7">
        <v>20000</v>
      </c>
      <c r="S118" s="7">
        <v>20000</v>
      </c>
      <c r="T118" s="7">
        <v>20000</v>
      </c>
      <c r="U118" s="7">
        <v>20000</v>
      </c>
      <c r="V118" s="7">
        <v>20000</v>
      </c>
      <c r="W118" s="7">
        <v>20000</v>
      </c>
      <c r="X118" s="7">
        <v>20000</v>
      </c>
      <c r="Y118" s="7">
        <v>20000</v>
      </c>
      <c r="Z118" s="7">
        <v>20000</v>
      </c>
      <c r="AA118" s="7">
        <v>20000</v>
      </c>
      <c r="AB118" s="9">
        <v>1.2659349562619</v>
      </c>
      <c r="AC118" s="9">
        <v>1.2659349562619</v>
      </c>
      <c r="AD118" s="9">
        <v>1.2659349562619</v>
      </c>
      <c r="AE118" s="9">
        <v>1.2659349562619</v>
      </c>
      <c r="AF118" s="9">
        <v>1.2659349562619</v>
      </c>
      <c r="AG118" s="9">
        <v>1.2659349562619</v>
      </c>
      <c r="AH118" s="9">
        <v>1.2659349562619</v>
      </c>
      <c r="AI118" s="9">
        <v>1.2659349562619</v>
      </c>
      <c r="AJ118" s="9">
        <v>1.2659349562619</v>
      </c>
      <c r="AK118" s="9">
        <v>1.2659349562619</v>
      </c>
      <c r="AL118" s="9">
        <v>1.2659349562619</v>
      </c>
      <c r="AM118" s="9">
        <v>1.2659349562619</v>
      </c>
      <c r="AN118" s="10">
        <v>0</v>
      </c>
      <c r="AO118" s="10">
        <v>0</v>
      </c>
      <c r="AP118" s="10">
        <v>0</v>
      </c>
      <c r="AQ118" s="10">
        <v>0</v>
      </c>
      <c r="AR118" s="10">
        <v>3</v>
      </c>
      <c r="AS118" s="10">
        <v>0</v>
      </c>
      <c r="AT118" s="10">
        <v>0</v>
      </c>
      <c r="AU118" s="10">
        <v>0</v>
      </c>
      <c r="AV118" s="10">
        <v>0</v>
      </c>
      <c r="AW118" s="10">
        <v>0</v>
      </c>
      <c r="AX118" s="10">
        <v>0</v>
      </c>
      <c r="AY118" s="10">
        <v>0</v>
      </c>
      <c r="AZ118" s="7">
        <f t="shared" si="12"/>
        <v>3</v>
      </c>
      <c r="BA118" s="11">
        <f t="shared" si="13"/>
        <v>0.25</v>
      </c>
      <c r="BC118" s="12">
        <v>0</v>
      </c>
      <c r="BD118" s="12">
        <v>0</v>
      </c>
      <c r="BE118" s="12">
        <v>0</v>
      </c>
      <c r="BF118" s="12">
        <v>0</v>
      </c>
      <c r="BG118" s="12">
        <v>3.7978048687857999</v>
      </c>
      <c r="BH118" s="12">
        <v>0</v>
      </c>
      <c r="BI118" s="12">
        <v>0</v>
      </c>
      <c r="BJ118" s="12">
        <v>0</v>
      </c>
      <c r="BK118" s="12">
        <v>0</v>
      </c>
      <c r="BL118" s="12">
        <v>0</v>
      </c>
      <c r="BM118" s="12">
        <v>0</v>
      </c>
      <c r="BN118" s="12">
        <v>0</v>
      </c>
      <c r="BO118" s="12">
        <f t="shared" si="14"/>
        <v>3.7978048687857999</v>
      </c>
      <c r="BP118" s="12">
        <f t="shared" si="15"/>
        <v>0.31648373906548333</v>
      </c>
      <c r="BQ118" s="7"/>
      <c r="BR118" s="7"/>
      <c r="BS118" s="7" t="s">
        <v>63</v>
      </c>
      <c r="BT118" s="7" t="s">
        <v>52</v>
      </c>
      <c r="BU118" s="7">
        <v>0</v>
      </c>
      <c r="BV118" s="7">
        <v>10</v>
      </c>
      <c r="BW118" s="7">
        <v>0</v>
      </c>
      <c r="BX118" s="7">
        <v>0</v>
      </c>
      <c r="BY118" s="7">
        <v>5</v>
      </c>
      <c r="BZ118" s="7"/>
    </row>
    <row r="119" spans="1:78" x14ac:dyDescent="0.35">
      <c r="A119" s="7" t="s">
        <v>41</v>
      </c>
      <c r="B119" s="7"/>
      <c r="C119" s="7" t="s">
        <v>316</v>
      </c>
      <c r="D119" s="7" t="s">
        <v>59</v>
      </c>
      <c r="E119" s="7" t="s">
        <v>317</v>
      </c>
      <c r="F119" s="7" t="s">
        <v>97</v>
      </c>
      <c r="G119" s="7" t="s">
        <v>46</v>
      </c>
      <c r="H119" s="7"/>
      <c r="I119" s="7"/>
      <c r="J119" s="7" t="s">
        <v>47</v>
      </c>
      <c r="K119" s="7" t="s">
        <v>48</v>
      </c>
      <c r="L119" s="7" t="s">
        <v>49</v>
      </c>
      <c r="M119" s="7" t="s">
        <v>49</v>
      </c>
      <c r="N119" s="7" t="s">
        <v>62</v>
      </c>
      <c r="O119" s="7" t="s">
        <v>4</v>
      </c>
      <c r="P119" s="7">
        <v>30000</v>
      </c>
      <c r="Q119" s="7">
        <v>30000</v>
      </c>
      <c r="R119" s="7">
        <v>30000</v>
      </c>
      <c r="S119" s="7">
        <v>30000</v>
      </c>
      <c r="T119" s="7">
        <v>30000</v>
      </c>
      <c r="U119" s="7">
        <v>30000</v>
      </c>
      <c r="V119" s="7">
        <v>30000</v>
      </c>
      <c r="W119" s="7">
        <v>30000</v>
      </c>
      <c r="X119" s="7">
        <v>30000</v>
      </c>
      <c r="Y119" s="7">
        <v>30000</v>
      </c>
      <c r="Z119" s="7">
        <v>30000</v>
      </c>
      <c r="AA119" s="7">
        <v>30000</v>
      </c>
      <c r="AB119" s="9">
        <v>1.8989024343929</v>
      </c>
      <c r="AC119" s="9">
        <v>1.8989024343929</v>
      </c>
      <c r="AD119" s="9">
        <v>1.8989024343929</v>
      </c>
      <c r="AE119" s="9">
        <v>1.8989024343929</v>
      </c>
      <c r="AF119" s="9">
        <v>1.8989024343929</v>
      </c>
      <c r="AG119" s="9">
        <v>1.8989024343929</v>
      </c>
      <c r="AH119" s="9">
        <v>1.8989024343929</v>
      </c>
      <c r="AI119" s="9">
        <v>1.8989024343929</v>
      </c>
      <c r="AJ119" s="9">
        <v>1.8989024343929</v>
      </c>
      <c r="AK119" s="9">
        <v>1.8989024343929</v>
      </c>
      <c r="AL119" s="9">
        <v>1.8989024343929</v>
      </c>
      <c r="AM119" s="9">
        <v>1.8989024343929</v>
      </c>
      <c r="AN119" s="10">
        <v>0</v>
      </c>
      <c r="AO119" s="10">
        <v>0</v>
      </c>
      <c r="AP119" s="10">
        <v>0</v>
      </c>
      <c r="AQ119" s="10">
        <v>0</v>
      </c>
      <c r="AR119" s="10">
        <v>4</v>
      </c>
      <c r="AS119" s="10">
        <v>0</v>
      </c>
      <c r="AT119" s="10">
        <v>0</v>
      </c>
      <c r="AU119" s="10">
        <v>0</v>
      </c>
      <c r="AV119" s="10">
        <v>0</v>
      </c>
      <c r="AW119" s="10">
        <v>0</v>
      </c>
      <c r="AX119" s="10">
        <v>0</v>
      </c>
      <c r="AY119" s="10">
        <v>0</v>
      </c>
      <c r="AZ119" s="7">
        <f t="shared" si="12"/>
        <v>4</v>
      </c>
      <c r="BA119" s="11">
        <f t="shared" si="13"/>
        <v>0.33333333333333331</v>
      </c>
      <c r="BC119" s="12">
        <v>0</v>
      </c>
      <c r="BD119" s="12">
        <v>0</v>
      </c>
      <c r="BE119" s="12">
        <v>0</v>
      </c>
      <c r="BF119" s="12">
        <v>0</v>
      </c>
      <c r="BG119" s="12">
        <v>7.5956097375717002</v>
      </c>
      <c r="BH119" s="12">
        <v>0</v>
      </c>
      <c r="BI119" s="12">
        <v>0</v>
      </c>
      <c r="BJ119" s="12">
        <v>0</v>
      </c>
      <c r="BK119" s="12">
        <v>0</v>
      </c>
      <c r="BL119" s="12">
        <v>0</v>
      </c>
      <c r="BM119" s="12">
        <v>0</v>
      </c>
      <c r="BN119" s="12">
        <v>0</v>
      </c>
      <c r="BO119" s="12">
        <f t="shared" si="14"/>
        <v>7.5956097375717002</v>
      </c>
      <c r="BP119" s="12">
        <f t="shared" si="15"/>
        <v>0.63296747813097498</v>
      </c>
      <c r="BQ119" s="7"/>
      <c r="BR119" s="7"/>
      <c r="BS119" s="7" t="s">
        <v>63</v>
      </c>
      <c r="BT119" s="7" t="s">
        <v>52</v>
      </c>
      <c r="BU119" s="7">
        <v>0</v>
      </c>
      <c r="BV119" s="7">
        <v>10</v>
      </c>
      <c r="BW119" s="7">
        <v>0</v>
      </c>
      <c r="BX119" s="7">
        <v>0</v>
      </c>
      <c r="BY119" s="7">
        <v>5</v>
      </c>
      <c r="BZ119" s="7"/>
    </row>
    <row r="120" spans="1:78" x14ac:dyDescent="0.35">
      <c r="A120" s="7" t="s">
        <v>41</v>
      </c>
      <c r="B120" s="7"/>
      <c r="C120" s="7" t="s">
        <v>318</v>
      </c>
      <c r="D120" s="7" t="s">
        <v>73</v>
      </c>
      <c r="E120" s="7" t="s">
        <v>319</v>
      </c>
      <c r="F120" s="7" t="s">
        <v>75</v>
      </c>
      <c r="G120" s="7" t="s">
        <v>46</v>
      </c>
      <c r="H120" s="7"/>
      <c r="I120" s="7"/>
      <c r="J120" s="7" t="s">
        <v>47</v>
      </c>
      <c r="K120" s="7" t="s">
        <v>48</v>
      </c>
      <c r="L120" s="7" t="s">
        <v>49</v>
      </c>
      <c r="M120" s="7" t="s">
        <v>49</v>
      </c>
      <c r="N120" s="7" t="s">
        <v>76</v>
      </c>
      <c r="O120" s="7" t="s">
        <v>6</v>
      </c>
      <c r="P120" s="7">
        <v>70000</v>
      </c>
      <c r="Q120" s="7">
        <v>70000</v>
      </c>
      <c r="R120" s="7">
        <v>70000</v>
      </c>
      <c r="S120" s="7">
        <v>70000</v>
      </c>
      <c r="T120" s="7">
        <v>70000</v>
      </c>
      <c r="U120" s="7">
        <v>70000</v>
      </c>
      <c r="V120" s="7">
        <v>70000</v>
      </c>
      <c r="W120" s="7">
        <v>70000</v>
      </c>
      <c r="X120" s="7">
        <v>70000</v>
      </c>
      <c r="Y120" s="7">
        <v>70000</v>
      </c>
      <c r="Z120" s="7">
        <v>70000</v>
      </c>
      <c r="AA120" s="7">
        <v>70000</v>
      </c>
      <c r="AB120" s="9">
        <v>463.57615894039998</v>
      </c>
      <c r="AC120" s="9">
        <v>463.57615894039998</v>
      </c>
      <c r="AD120" s="9">
        <v>463.57615894039998</v>
      </c>
      <c r="AE120" s="9">
        <v>463.57615894039998</v>
      </c>
      <c r="AF120" s="9">
        <v>463.57615894039998</v>
      </c>
      <c r="AG120" s="9">
        <v>463.57615894039998</v>
      </c>
      <c r="AH120" s="9">
        <v>463.57615894039998</v>
      </c>
      <c r="AI120" s="9">
        <v>463.57615894039998</v>
      </c>
      <c r="AJ120" s="9">
        <v>463.57615894039998</v>
      </c>
      <c r="AK120" s="9">
        <v>463.57615894039998</v>
      </c>
      <c r="AL120" s="9">
        <v>463.57615894039998</v>
      </c>
      <c r="AM120" s="9">
        <v>463.57615894039998</v>
      </c>
      <c r="AN120" s="10">
        <v>0</v>
      </c>
      <c r="AO120" s="10">
        <v>0</v>
      </c>
      <c r="AP120" s="10">
        <v>0</v>
      </c>
      <c r="AQ120" s="10">
        <v>0</v>
      </c>
      <c r="AR120" s="10">
        <v>0</v>
      </c>
      <c r="AS120" s="10">
        <v>0</v>
      </c>
      <c r="AT120" s="10">
        <v>0</v>
      </c>
      <c r="AU120" s="10">
        <v>6</v>
      </c>
      <c r="AV120" s="10">
        <v>0</v>
      </c>
      <c r="AW120" s="10">
        <v>0</v>
      </c>
      <c r="AX120" s="10">
        <v>0</v>
      </c>
      <c r="AY120" s="10">
        <v>6</v>
      </c>
      <c r="AZ120" s="7">
        <f t="shared" si="12"/>
        <v>12</v>
      </c>
      <c r="BA120" s="11">
        <f t="shared" si="13"/>
        <v>1</v>
      </c>
      <c r="BC120" s="12">
        <v>0</v>
      </c>
      <c r="BD120" s="12">
        <v>0</v>
      </c>
      <c r="BE120" s="12">
        <v>0</v>
      </c>
      <c r="BF120" s="12">
        <v>0</v>
      </c>
      <c r="BG120" s="12">
        <v>0</v>
      </c>
      <c r="BH120" s="12">
        <v>0</v>
      </c>
      <c r="BI120" s="12">
        <v>0</v>
      </c>
      <c r="BJ120" s="12">
        <v>2781.4569536424001</v>
      </c>
      <c r="BK120" s="12">
        <v>0</v>
      </c>
      <c r="BL120" s="12">
        <v>0</v>
      </c>
      <c r="BM120" s="12">
        <v>0</v>
      </c>
      <c r="BN120" s="12">
        <v>2781.4569536424001</v>
      </c>
      <c r="BO120" s="12">
        <f t="shared" si="14"/>
        <v>5562.9139072848002</v>
      </c>
      <c r="BP120" s="12">
        <f t="shared" si="15"/>
        <v>463.57615894040003</v>
      </c>
      <c r="BQ120" s="7"/>
      <c r="BR120" s="7"/>
      <c r="BS120" s="7" t="s">
        <v>63</v>
      </c>
      <c r="BT120" s="7" t="s">
        <v>52</v>
      </c>
      <c r="BU120" s="7">
        <v>0</v>
      </c>
      <c r="BV120" s="7">
        <v>10</v>
      </c>
      <c r="BW120" s="7">
        <v>0</v>
      </c>
      <c r="BX120" s="7">
        <v>0</v>
      </c>
      <c r="BY120" s="7">
        <v>5</v>
      </c>
      <c r="BZ120" s="7"/>
    </row>
    <row r="121" spans="1:78" x14ac:dyDescent="0.35">
      <c r="A121" s="7" t="s">
        <v>41</v>
      </c>
      <c r="B121" s="7"/>
      <c r="C121" s="7" t="s">
        <v>320</v>
      </c>
      <c r="D121" s="7" t="s">
        <v>73</v>
      </c>
      <c r="E121" s="7" t="s">
        <v>321</v>
      </c>
      <c r="F121" s="7" t="s">
        <v>75</v>
      </c>
      <c r="G121" s="7" t="s">
        <v>46</v>
      </c>
      <c r="H121" s="7"/>
      <c r="I121" s="7"/>
      <c r="J121" s="7" t="s">
        <v>47</v>
      </c>
      <c r="K121" s="7" t="s">
        <v>48</v>
      </c>
      <c r="L121" s="7" t="s">
        <v>49</v>
      </c>
      <c r="M121" s="7" t="s">
        <v>49</v>
      </c>
      <c r="N121" s="7" t="s">
        <v>76</v>
      </c>
      <c r="O121" s="7" t="s">
        <v>6</v>
      </c>
      <c r="P121" s="7">
        <v>18573</v>
      </c>
      <c r="Q121" s="7">
        <v>18573</v>
      </c>
      <c r="R121" s="7">
        <v>18573</v>
      </c>
      <c r="S121" s="7">
        <v>18573</v>
      </c>
      <c r="T121" s="7">
        <v>18573</v>
      </c>
      <c r="U121" s="7">
        <v>18573</v>
      </c>
      <c r="V121" s="7">
        <v>18573</v>
      </c>
      <c r="W121" s="7">
        <v>18573</v>
      </c>
      <c r="X121" s="7">
        <v>18573</v>
      </c>
      <c r="Y121" s="7">
        <v>18573</v>
      </c>
      <c r="Z121" s="7">
        <v>18573</v>
      </c>
      <c r="AA121" s="7">
        <v>18573</v>
      </c>
      <c r="AB121" s="9">
        <v>123</v>
      </c>
      <c r="AC121" s="9">
        <v>123</v>
      </c>
      <c r="AD121" s="9">
        <v>123</v>
      </c>
      <c r="AE121" s="9">
        <v>123</v>
      </c>
      <c r="AF121" s="9">
        <v>123</v>
      </c>
      <c r="AG121" s="9">
        <v>123</v>
      </c>
      <c r="AH121" s="9">
        <v>123</v>
      </c>
      <c r="AI121" s="9">
        <v>123</v>
      </c>
      <c r="AJ121" s="9">
        <v>123</v>
      </c>
      <c r="AK121" s="9">
        <v>123</v>
      </c>
      <c r="AL121" s="9">
        <v>123</v>
      </c>
      <c r="AM121" s="9">
        <v>123</v>
      </c>
      <c r="AN121" s="10">
        <v>0</v>
      </c>
      <c r="AO121" s="10">
        <v>0</v>
      </c>
      <c r="AP121" s="10">
        <v>0</v>
      </c>
      <c r="AQ121" s="10">
        <v>0</v>
      </c>
      <c r="AR121" s="10">
        <v>0</v>
      </c>
      <c r="AS121" s="10">
        <v>0</v>
      </c>
      <c r="AT121" s="10">
        <v>0</v>
      </c>
      <c r="AU121" s="10">
        <v>0</v>
      </c>
      <c r="AV121" s="10">
        <v>0</v>
      </c>
      <c r="AW121" s="10">
        <v>0</v>
      </c>
      <c r="AX121" s="10">
        <v>0</v>
      </c>
      <c r="AY121" s="10">
        <v>0</v>
      </c>
      <c r="AZ121" s="7">
        <f t="shared" si="12"/>
        <v>0</v>
      </c>
      <c r="BA121" s="11">
        <f t="shared" si="13"/>
        <v>0</v>
      </c>
      <c r="BC121" s="12">
        <v>0</v>
      </c>
      <c r="BD121" s="12">
        <v>0</v>
      </c>
      <c r="BE121" s="12">
        <v>0</v>
      </c>
      <c r="BF121" s="12">
        <v>0</v>
      </c>
      <c r="BG121" s="12">
        <v>0</v>
      </c>
      <c r="BH121" s="12">
        <v>0</v>
      </c>
      <c r="BI121" s="12">
        <v>0</v>
      </c>
      <c r="BJ121" s="12">
        <v>0</v>
      </c>
      <c r="BK121" s="12">
        <v>0</v>
      </c>
      <c r="BL121" s="12">
        <v>0</v>
      </c>
      <c r="BM121" s="12">
        <v>0</v>
      </c>
      <c r="BN121" s="12">
        <v>0</v>
      </c>
      <c r="BO121" s="12">
        <f t="shared" si="14"/>
        <v>0</v>
      </c>
      <c r="BP121" s="12">
        <f t="shared" si="15"/>
        <v>0</v>
      </c>
      <c r="BQ121" s="7"/>
      <c r="BR121" s="7"/>
      <c r="BS121" s="7" t="s">
        <v>63</v>
      </c>
      <c r="BT121" s="7" t="s">
        <v>52</v>
      </c>
      <c r="BU121" s="7">
        <v>0</v>
      </c>
      <c r="BV121" s="7">
        <v>10</v>
      </c>
      <c r="BW121" s="7">
        <v>0</v>
      </c>
      <c r="BX121" s="7">
        <v>0</v>
      </c>
      <c r="BY121" s="7">
        <v>5</v>
      </c>
      <c r="BZ121" s="7"/>
    </row>
    <row r="122" spans="1:78" x14ac:dyDescent="0.35">
      <c r="A122" s="7" t="s">
        <v>41</v>
      </c>
      <c r="B122" s="7"/>
      <c r="C122" s="7" t="s">
        <v>241</v>
      </c>
      <c r="D122" s="7" t="s">
        <v>242</v>
      </c>
      <c r="E122" s="7" t="s">
        <v>243</v>
      </c>
      <c r="F122" s="7" t="s">
        <v>75</v>
      </c>
      <c r="G122" s="7" t="s">
        <v>46</v>
      </c>
      <c r="H122" s="7"/>
      <c r="I122" s="7"/>
      <c r="J122" s="7" t="s">
        <v>47</v>
      </c>
      <c r="K122" s="7" t="s">
        <v>48</v>
      </c>
      <c r="L122" s="7" t="s">
        <v>49</v>
      </c>
      <c r="M122" s="7" t="s">
        <v>49</v>
      </c>
      <c r="N122" s="7" t="s">
        <v>85</v>
      </c>
      <c r="O122" s="7" t="s">
        <v>4</v>
      </c>
      <c r="P122" s="7">
        <v>560000</v>
      </c>
      <c r="Q122" s="7">
        <v>560000</v>
      </c>
      <c r="R122" s="7">
        <v>560000</v>
      </c>
      <c r="S122" s="7">
        <v>560000</v>
      </c>
      <c r="T122" s="7">
        <v>560000</v>
      </c>
      <c r="U122" s="7">
        <v>560000</v>
      </c>
      <c r="V122" s="7">
        <v>560000</v>
      </c>
      <c r="W122" s="7">
        <v>560000</v>
      </c>
      <c r="X122" s="7">
        <v>560000</v>
      </c>
      <c r="Y122" s="7">
        <v>560000</v>
      </c>
      <c r="Z122" s="7">
        <v>560000</v>
      </c>
      <c r="AA122" s="7">
        <v>560000</v>
      </c>
      <c r="AB122" s="9">
        <v>35.446178775335</v>
      </c>
      <c r="AC122" s="9">
        <v>35.446178775335</v>
      </c>
      <c r="AD122" s="9">
        <v>35.446178775335</v>
      </c>
      <c r="AE122" s="9">
        <v>35.446178775335</v>
      </c>
      <c r="AF122" s="9">
        <v>35.446178775335</v>
      </c>
      <c r="AG122" s="9">
        <v>35.446178775335</v>
      </c>
      <c r="AH122" s="9">
        <v>35.446178775335</v>
      </c>
      <c r="AI122" s="9">
        <v>35.446178775335</v>
      </c>
      <c r="AJ122" s="9">
        <v>35.446178775335</v>
      </c>
      <c r="AK122" s="9">
        <v>35.446178775335</v>
      </c>
      <c r="AL122" s="9">
        <v>35.446178775335</v>
      </c>
      <c r="AM122" s="9">
        <v>35.446178775335</v>
      </c>
      <c r="AN122" s="10">
        <v>0</v>
      </c>
      <c r="AO122" s="10">
        <v>0</v>
      </c>
      <c r="AP122" s="10">
        <v>0</v>
      </c>
      <c r="AQ122" s="10">
        <v>0</v>
      </c>
      <c r="AR122" s="10">
        <v>0</v>
      </c>
      <c r="AS122" s="10">
        <v>0</v>
      </c>
      <c r="AT122" s="10">
        <v>1</v>
      </c>
      <c r="AU122" s="10">
        <v>0</v>
      </c>
      <c r="AV122" s="10">
        <v>0</v>
      </c>
      <c r="AW122" s="10">
        <v>0</v>
      </c>
      <c r="AX122" s="10">
        <v>0</v>
      </c>
      <c r="AY122" s="10">
        <v>0</v>
      </c>
      <c r="AZ122" s="7">
        <f t="shared" si="12"/>
        <v>1</v>
      </c>
      <c r="BA122" s="11">
        <f t="shared" si="13"/>
        <v>8.3333333333333329E-2</v>
      </c>
      <c r="BC122" s="12">
        <v>0</v>
      </c>
      <c r="BD122" s="12">
        <v>0</v>
      </c>
      <c r="BE122" s="12">
        <v>0</v>
      </c>
      <c r="BF122" s="12">
        <v>0</v>
      </c>
      <c r="BG122" s="12">
        <v>0</v>
      </c>
      <c r="BH122" s="12">
        <v>0</v>
      </c>
      <c r="BI122" s="12">
        <v>35.446178775335</v>
      </c>
      <c r="BJ122" s="12">
        <v>0</v>
      </c>
      <c r="BK122" s="12">
        <v>0</v>
      </c>
      <c r="BL122" s="12">
        <v>0</v>
      </c>
      <c r="BM122" s="12">
        <v>0</v>
      </c>
      <c r="BN122" s="12">
        <v>0</v>
      </c>
      <c r="BO122" s="12">
        <f t="shared" si="14"/>
        <v>35.446178775335</v>
      </c>
      <c r="BP122" s="12">
        <f t="shared" si="15"/>
        <v>2.9538482312779166</v>
      </c>
      <c r="BQ122" s="7"/>
      <c r="BR122" s="7"/>
      <c r="BS122" s="7" t="s">
        <v>80</v>
      </c>
      <c r="BT122" s="7" t="s">
        <v>52</v>
      </c>
      <c r="BU122" s="7">
        <v>0</v>
      </c>
      <c r="BV122" s="7">
        <v>5</v>
      </c>
      <c r="BW122" s="7">
        <v>0</v>
      </c>
      <c r="BX122" s="7">
        <v>15</v>
      </c>
      <c r="BY122" s="7">
        <v>15</v>
      </c>
      <c r="BZ122" s="7"/>
    </row>
    <row r="123" spans="1:78" x14ac:dyDescent="0.35">
      <c r="A123" s="7" t="s">
        <v>41</v>
      </c>
      <c r="B123" s="7"/>
      <c r="C123" s="7" t="s">
        <v>322</v>
      </c>
      <c r="D123" s="7" t="s">
        <v>323</v>
      </c>
      <c r="E123" s="7" t="s">
        <v>324</v>
      </c>
      <c r="F123" s="7" t="s">
        <v>75</v>
      </c>
      <c r="G123" s="7" t="s">
        <v>46</v>
      </c>
      <c r="H123" s="7"/>
      <c r="I123" s="7"/>
      <c r="J123" s="7" t="s">
        <v>47</v>
      </c>
      <c r="K123" s="7" t="s">
        <v>48</v>
      </c>
      <c r="L123" s="7" t="s">
        <v>49</v>
      </c>
      <c r="M123" s="7" t="s">
        <v>49</v>
      </c>
      <c r="N123" s="7" t="s">
        <v>85</v>
      </c>
      <c r="O123" s="7" t="s">
        <v>4</v>
      </c>
      <c r="P123" s="7">
        <v>397960</v>
      </c>
      <c r="Q123" s="7">
        <v>397960</v>
      </c>
      <c r="R123" s="7">
        <v>397960</v>
      </c>
      <c r="S123" s="7">
        <v>397960</v>
      </c>
      <c r="T123" s="7">
        <v>397960</v>
      </c>
      <c r="U123" s="7">
        <v>397960</v>
      </c>
      <c r="V123" s="7">
        <v>397960</v>
      </c>
      <c r="W123" s="7">
        <v>397960</v>
      </c>
      <c r="X123" s="7">
        <v>397960</v>
      </c>
      <c r="Y123" s="7">
        <v>397960</v>
      </c>
      <c r="Z123" s="7">
        <v>397960</v>
      </c>
      <c r="AA123" s="7">
        <v>397960</v>
      </c>
      <c r="AB123" s="9">
        <v>25.1895737597</v>
      </c>
      <c r="AC123" s="9">
        <v>25.1895737597</v>
      </c>
      <c r="AD123" s="9">
        <v>25.1895737597</v>
      </c>
      <c r="AE123" s="9">
        <v>25.1895737597</v>
      </c>
      <c r="AF123" s="9">
        <v>25.1895737597</v>
      </c>
      <c r="AG123" s="9">
        <v>25.1895737597</v>
      </c>
      <c r="AH123" s="9">
        <v>25.1895737597</v>
      </c>
      <c r="AI123" s="9">
        <v>25.1895737597</v>
      </c>
      <c r="AJ123" s="9">
        <v>25.1895737597</v>
      </c>
      <c r="AK123" s="9">
        <v>25.1895737597</v>
      </c>
      <c r="AL123" s="9">
        <v>25.1895737597</v>
      </c>
      <c r="AM123" s="9">
        <v>25.1895737597</v>
      </c>
      <c r="AN123" s="10">
        <v>0</v>
      </c>
      <c r="AO123" s="10">
        <v>0</v>
      </c>
      <c r="AP123" s="10">
        <v>1</v>
      </c>
      <c r="AQ123" s="10">
        <v>0</v>
      </c>
      <c r="AR123" s="10">
        <v>0</v>
      </c>
      <c r="AS123" s="10">
        <v>0</v>
      </c>
      <c r="AT123" s="10">
        <v>0</v>
      </c>
      <c r="AU123" s="10">
        <v>0</v>
      </c>
      <c r="AV123" s="10">
        <v>0</v>
      </c>
      <c r="AW123" s="10">
        <v>0</v>
      </c>
      <c r="AX123" s="10">
        <v>0</v>
      </c>
      <c r="AY123" s="10">
        <v>0</v>
      </c>
      <c r="AZ123" s="7">
        <f t="shared" si="12"/>
        <v>1</v>
      </c>
      <c r="BA123" s="11">
        <f t="shared" si="13"/>
        <v>8.3333333333333329E-2</v>
      </c>
      <c r="BC123" s="12">
        <v>0</v>
      </c>
      <c r="BD123" s="12">
        <v>0</v>
      </c>
      <c r="BE123" s="12">
        <v>25.1895737597</v>
      </c>
      <c r="BF123" s="12">
        <v>0</v>
      </c>
      <c r="BG123" s="12">
        <v>0</v>
      </c>
      <c r="BH123" s="12">
        <v>0</v>
      </c>
      <c r="BI123" s="12">
        <v>0</v>
      </c>
      <c r="BJ123" s="12">
        <v>0</v>
      </c>
      <c r="BK123" s="12">
        <v>0</v>
      </c>
      <c r="BL123" s="12">
        <v>0</v>
      </c>
      <c r="BM123" s="12">
        <v>0</v>
      </c>
      <c r="BN123" s="12">
        <v>0</v>
      </c>
      <c r="BO123" s="12">
        <f t="shared" si="14"/>
        <v>25.1895737597</v>
      </c>
      <c r="BP123" s="12">
        <f t="shared" si="15"/>
        <v>2.0991311466416667</v>
      </c>
      <c r="BQ123" s="7"/>
      <c r="BR123" s="7"/>
      <c r="BS123" s="7" t="s">
        <v>125</v>
      </c>
      <c r="BT123" s="7" t="s">
        <v>52</v>
      </c>
      <c r="BU123" s="7">
        <v>15</v>
      </c>
      <c r="BV123" s="7">
        <v>10</v>
      </c>
      <c r="BW123" s="7">
        <v>5</v>
      </c>
      <c r="BX123" s="7">
        <v>20</v>
      </c>
      <c r="BY123" s="7">
        <v>5</v>
      </c>
      <c r="BZ123" s="7"/>
    </row>
    <row r="124" spans="1:78" x14ac:dyDescent="0.35">
      <c r="A124" s="7" t="s">
        <v>41</v>
      </c>
      <c r="B124" s="7"/>
      <c r="C124" s="7" t="s">
        <v>325</v>
      </c>
      <c r="D124" s="7" t="s">
        <v>326</v>
      </c>
      <c r="E124" s="7" t="s">
        <v>326</v>
      </c>
      <c r="F124" s="7" t="s">
        <v>71</v>
      </c>
      <c r="G124" s="7" t="s">
        <v>46</v>
      </c>
      <c r="H124" s="7"/>
      <c r="I124" s="7"/>
      <c r="J124" s="7" t="s">
        <v>47</v>
      </c>
      <c r="K124" s="7" t="s">
        <v>48</v>
      </c>
      <c r="L124" s="7" t="s">
        <v>49</v>
      </c>
      <c r="M124" s="7" t="s">
        <v>49</v>
      </c>
      <c r="N124" s="7" t="s">
        <v>50</v>
      </c>
      <c r="O124" s="7" t="s">
        <v>4</v>
      </c>
      <c r="P124" s="7">
        <v>920000</v>
      </c>
      <c r="Q124" s="7">
        <v>920000</v>
      </c>
      <c r="R124" s="7">
        <v>920000</v>
      </c>
      <c r="S124" s="7">
        <v>920000</v>
      </c>
      <c r="T124" s="7">
        <v>920000</v>
      </c>
      <c r="U124" s="7">
        <v>920000</v>
      </c>
      <c r="V124" s="7">
        <v>920000</v>
      </c>
      <c r="W124" s="7">
        <v>920000</v>
      </c>
      <c r="X124" s="7">
        <v>920000</v>
      </c>
      <c r="Y124" s="7">
        <v>920000</v>
      </c>
      <c r="Z124" s="7">
        <v>920000</v>
      </c>
      <c r="AA124" s="7">
        <v>920000</v>
      </c>
      <c r="AB124" s="9">
        <v>58.233007988049998</v>
      </c>
      <c r="AC124" s="9">
        <v>58.233007988049998</v>
      </c>
      <c r="AD124" s="9">
        <v>58.233007988049998</v>
      </c>
      <c r="AE124" s="9">
        <v>58.233007988049998</v>
      </c>
      <c r="AF124" s="9">
        <v>58.233007988049998</v>
      </c>
      <c r="AG124" s="9">
        <v>58.233007988049998</v>
      </c>
      <c r="AH124" s="9">
        <v>58.233007988049998</v>
      </c>
      <c r="AI124" s="9">
        <v>58.233007988049998</v>
      </c>
      <c r="AJ124" s="9">
        <v>58.233007988049998</v>
      </c>
      <c r="AK124" s="9">
        <v>58.233007988049998</v>
      </c>
      <c r="AL124" s="9">
        <v>58.233007988049998</v>
      </c>
      <c r="AM124" s="9">
        <v>58.233007988049998</v>
      </c>
      <c r="AN124" s="10">
        <v>0</v>
      </c>
      <c r="AO124" s="10">
        <v>20</v>
      </c>
      <c r="AP124" s="10">
        <v>0</v>
      </c>
      <c r="AQ124" s="10">
        <v>0</v>
      </c>
      <c r="AR124" s="10">
        <v>0</v>
      </c>
      <c r="AS124" s="10">
        <v>0</v>
      </c>
      <c r="AT124" s="10">
        <v>0</v>
      </c>
      <c r="AU124" s="10">
        <v>0</v>
      </c>
      <c r="AV124" s="10">
        <v>0</v>
      </c>
      <c r="AW124" s="10">
        <v>0</v>
      </c>
      <c r="AX124" s="10">
        <v>0</v>
      </c>
      <c r="AY124" s="10">
        <v>0</v>
      </c>
      <c r="AZ124" s="7">
        <f t="shared" si="12"/>
        <v>20</v>
      </c>
      <c r="BA124" s="11">
        <f t="shared" si="13"/>
        <v>1.6666666666666667</v>
      </c>
      <c r="BC124" s="12">
        <v>0</v>
      </c>
      <c r="BD124" s="12">
        <v>1164.6601597609999</v>
      </c>
      <c r="BE124" s="12">
        <v>0</v>
      </c>
      <c r="BF124" s="12">
        <v>0</v>
      </c>
      <c r="BG124" s="12">
        <v>0</v>
      </c>
      <c r="BH124" s="12">
        <v>0</v>
      </c>
      <c r="BI124" s="12">
        <v>0</v>
      </c>
      <c r="BJ124" s="12">
        <v>0</v>
      </c>
      <c r="BK124" s="12">
        <v>0</v>
      </c>
      <c r="BL124" s="12">
        <v>0</v>
      </c>
      <c r="BM124" s="12">
        <v>0</v>
      </c>
      <c r="BN124" s="12">
        <v>0</v>
      </c>
      <c r="BO124" s="12">
        <f t="shared" si="14"/>
        <v>1164.6601597609999</v>
      </c>
      <c r="BP124" s="12">
        <f t="shared" si="15"/>
        <v>97.055013313416666</v>
      </c>
      <c r="BQ124" s="7"/>
      <c r="BR124" s="7"/>
      <c r="BS124" s="7" t="s">
        <v>51</v>
      </c>
      <c r="BT124" s="7" t="s">
        <v>52</v>
      </c>
      <c r="BU124" s="7">
        <v>15</v>
      </c>
      <c r="BV124" s="7">
        <v>10</v>
      </c>
      <c r="BW124" s="7">
        <v>5</v>
      </c>
      <c r="BX124" s="7">
        <v>20</v>
      </c>
      <c r="BY124" s="7">
        <v>5</v>
      </c>
      <c r="BZ124" s="7"/>
    </row>
    <row r="125" spans="1:78" x14ac:dyDescent="0.35">
      <c r="A125" s="7" t="s">
        <v>41</v>
      </c>
      <c r="B125" s="7"/>
      <c r="C125" s="7" t="s">
        <v>58</v>
      </c>
      <c r="D125" s="7" t="s">
        <v>59</v>
      </c>
      <c r="E125" s="7" t="s">
        <v>60</v>
      </c>
      <c r="F125" s="7" t="s">
        <v>97</v>
      </c>
      <c r="G125" s="7" t="s">
        <v>46</v>
      </c>
      <c r="H125" s="7"/>
      <c r="I125" s="7"/>
      <c r="J125" s="7" t="s">
        <v>47</v>
      </c>
      <c r="K125" s="7" t="s">
        <v>48</v>
      </c>
      <c r="L125" s="7" t="s">
        <v>49</v>
      </c>
      <c r="M125" s="7" t="s">
        <v>49</v>
      </c>
      <c r="N125" s="7" t="s">
        <v>62</v>
      </c>
      <c r="O125" s="7" t="s">
        <v>4</v>
      </c>
      <c r="P125" s="7">
        <v>1200000</v>
      </c>
      <c r="Q125" s="7">
        <v>1200000</v>
      </c>
      <c r="R125" s="7">
        <v>1200000</v>
      </c>
      <c r="S125" s="7">
        <v>1200000</v>
      </c>
      <c r="T125" s="7">
        <v>1200000</v>
      </c>
      <c r="U125" s="7">
        <v>1200000</v>
      </c>
      <c r="V125" s="7">
        <v>1200000</v>
      </c>
      <c r="W125" s="7">
        <v>1200000</v>
      </c>
      <c r="X125" s="7">
        <v>1200000</v>
      </c>
      <c r="Y125" s="7">
        <v>1200000</v>
      </c>
      <c r="Z125" s="7">
        <v>1200000</v>
      </c>
      <c r="AA125" s="7">
        <v>1200000</v>
      </c>
      <c r="AB125" s="9">
        <v>75.956097375716993</v>
      </c>
      <c r="AC125" s="9">
        <v>75.956097375716993</v>
      </c>
      <c r="AD125" s="9">
        <v>75.956097375716993</v>
      </c>
      <c r="AE125" s="9">
        <v>75.956097375716993</v>
      </c>
      <c r="AF125" s="9">
        <v>75.956097375716993</v>
      </c>
      <c r="AG125" s="9">
        <v>75.956097375716993</v>
      </c>
      <c r="AH125" s="9">
        <v>75.956097375716993</v>
      </c>
      <c r="AI125" s="9">
        <v>75.956097375716993</v>
      </c>
      <c r="AJ125" s="9">
        <v>75.956097375716993</v>
      </c>
      <c r="AK125" s="9">
        <v>75.956097375716993</v>
      </c>
      <c r="AL125" s="9">
        <v>75.956097375716993</v>
      </c>
      <c r="AM125" s="9">
        <v>75.956097375716993</v>
      </c>
      <c r="AN125" s="10">
        <v>0</v>
      </c>
      <c r="AO125" s="10">
        <v>0</v>
      </c>
      <c r="AP125" s="10">
        <v>0</v>
      </c>
      <c r="AQ125" s="10">
        <v>0</v>
      </c>
      <c r="AR125" s="10">
        <v>5</v>
      </c>
      <c r="AS125" s="10">
        <v>0</v>
      </c>
      <c r="AT125" s="10">
        <v>0</v>
      </c>
      <c r="AU125" s="10">
        <v>0</v>
      </c>
      <c r="AV125" s="10">
        <v>0</v>
      </c>
      <c r="AW125" s="10">
        <v>0</v>
      </c>
      <c r="AX125" s="10">
        <v>0</v>
      </c>
      <c r="AY125" s="10">
        <v>0</v>
      </c>
      <c r="AZ125" s="7">
        <f t="shared" si="12"/>
        <v>5</v>
      </c>
      <c r="BA125" s="11">
        <f t="shared" si="13"/>
        <v>0.41666666666666669</v>
      </c>
      <c r="BC125" s="12">
        <v>0</v>
      </c>
      <c r="BD125" s="12">
        <v>0</v>
      </c>
      <c r="BE125" s="12">
        <v>0</v>
      </c>
      <c r="BF125" s="12">
        <v>0</v>
      </c>
      <c r="BG125" s="12">
        <v>379.78048687858001</v>
      </c>
      <c r="BH125" s="12">
        <v>0</v>
      </c>
      <c r="BI125" s="12">
        <v>0</v>
      </c>
      <c r="BJ125" s="12">
        <v>0</v>
      </c>
      <c r="BK125" s="12">
        <v>0</v>
      </c>
      <c r="BL125" s="12">
        <v>0</v>
      </c>
      <c r="BM125" s="12">
        <v>0</v>
      </c>
      <c r="BN125" s="12">
        <v>0</v>
      </c>
      <c r="BO125" s="12">
        <f t="shared" si="14"/>
        <v>379.78048687858001</v>
      </c>
      <c r="BP125" s="12">
        <f t="shared" si="15"/>
        <v>31.648373906548333</v>
      </c>
      <c r="BQ125" s="7"/>
      <c r="BR125" s="7"/>
      <c r="BS125" s="7" t="s">
        <v>63</v>
      </c>
      <c r="BT125" s="7" t="s">
        <v>52</v>
      </c>
      <c r="BU125" s="7">
        <v>0</v>
      </c>
      <c r="BV125" s="7">
        <v>10</v>
      </c>
      <c r="BW125" s="7">
        <v>0</v>
      </c>
      <c r="BX125" s="7">
        <v>0</v>
      </c>
      <c r="BY125" s="7">
        <v>5</v>
      </c>
      <c r="BZ125" s="7"/>
    </row>
    <row r="126" spans="1:78" x14ac:dyDescent="0.35">
      <c r="A126" s="7" t="s">
        <v>41</v>
      </c>
      <c r="B126" s="7"/>
      <c r="C126" s="7" t="s">
        <v>327</v>
      </c>
      <c r="D126" s="7" t="s">
        <v>59</v>
      </c>
      <c r="E126" s="7" t="s">
        <v>328</v>
      </c>
      <c r="F126" s="7" t="s">
        <v>97</v>
      </c>
      <c r="G126" s="7" t="s">
        <v>46</v>
      </c>
      <c r="H126" s="7"/>
      <c r="I126" s="7"/>
      <c r="J126" s="7" t="s">
        <v>47</v>
      </c>
      <c r="K126" s="7" t="s">
        <v>48</v>
      </c>
      <c r="L126" s="7" t="s">
        <v>49</v>
      </c>
      <c r="M126" s="7" t="s">
        <v>49</v>
      </c>
      <c r="N126" s="7" t="s">
        <v>62</v>
      </c>
      <c r="O126" s="7" t="s">
        <v>4</v>
      </c>
      <c r="P126" s="7">
        <v>1200000</v>
      </c>
      <c r="Q126" s="7">
        <v>1200000</v>
      </c>
      <c r="R126" s="7">
        <v>1200000</v>
      </c>
      <c r="S126" s="7">
        <v>1200000</v>
      </c>
      <c r="T126" s="7">
        <v>1200000</v>
      </c>
      <c r="U126" s="7">
        <v>1200000</v>
      </c>
      <c r="V126" s="7">
        <v>1200000</v>
      </c>
      <c r="W126" s="7">
        <v>1200000</v>
      </c>
      <c r="X126" s="7">
        <v>1200000</v>
      </c>
      <c r="Y126" s="7">
        <v>1200000</v>
      </c>
      <c r="Z126" s="7">
        <v>1200000</v>
      </c>
      <c r="AA126" s="7">
        <v>1200000</v>
      </c>
      <c r="AB126" s="9">
        <v>75.956097375716993</v>
      </c>
      <c r="AC126" s="9">
        <v>75.956097375716993</v>
      </c>
      <c r="AD126" s="9">
        <v>75.956097375716993</v>
      </c>
      <c r="AE126" s="9">
        <v>75.956097375716993</v>
      </c>
      <c r="AF126" s="9">
        <v>75.956097375716993</v>
      </c>
      <c r="AG126" s="9">
        <v>75.956097375716993</v>
      </c>
      <c r="AH126" s="9">
        <v>75.956097375716993</v>
      </c>
      <c r="AI126" s="9">
        <v>75.956097375716993</v>
      </c>
      <c r="AJ126" s="9">
        <v>75.956097375716993</v>
      </c>
      <c r="AK126" s="9">
        <v>75.956097375716993</v>
      </c>
      <c r="AL126" s="9">
        <v>75.956097375716993</v>
      </c>
      <c r="AM126" s="9">
        <v>75.956097375716993</v>
      </c>
      <c r="AN126" s="10">
        <v>0</v>
      </c>
      <c r="AO126" s="10">
        <v>0</v>
      </c>
      <c r="AP126" s="10">
        <v>0</v>
      </c>
      <c r="AQ126" s="10">
        <v>0</v>
      </c>
      <c r="AR126" s="10">
        <v>2</v>
      </c>
      <c r="AS126" s="10">
        <v>0</v>
      </c>
      <c r="AT126" s="10">
        <v>0</v>
      </c>
      <c r="AU126" s="10">
        <v>0</v>
      </c>
      <c r="AV126" s="10">
        <v>0</v>
      </c>
      <c r="AW126" s="10">
        <v>0</v>
      </c>
      <c r="AX126" s="10">
        <v>0</v>
      </c>
      <c r="AY126" s="10">
        <v>0</v>
      </c>
      <c r="AZ126" s="7">
        <f t="shared" si="12"/>
        <v>2</v>
      </c>
      <c r="BA126" s="11">
        <f t="shared" si="13"/>
        <v>0.16666666666666666</v>
      </c>
      <c r="BC126" s="12">
        <v>0</v>
      </c>
      <c r="BD126" s="12">
        <v>0</v>
      </c>
      <c r="BE126" s="12">
        <v>0</v>
      </c>
      <c r="BF126" s="12">
        <v>0</v>
      </c>
      <c r="BG126" s="12">
        <v>151.91219475143001</v>
      </c>
      <c r="BH126" s="12">
        <v>0</v>
      </c>
      <c r="BI126" s="12">
        <v>0</v>
      </c>
      <c r="BJ126" s="12">
        <v>0</v>
      </c>
      <c r="BK126" s="12">
        <v>0</v>
      </c>
      <c r="BL126" s="12">
        <v>0</v>
      </c>
      <c r="BM126" s="12">
        <v>0</v>
      </c>
      <c r="BN126" s="12">
        <v>0</v>
      </c>
      <c r="BO126" s="12">
        <f t="shared" si="14"/>
        <v>151.91219475143001</v>
      </c>
      <c r="BP126" s="12">
        <f t="shared" si="15"/>
        <v>12.659349562619168</v>
      </c>
      <c r="BQ126" s="7"/>
      <c r="BR126" s="7"/>
      <c r="BS126" s="7" t="s">
        <v>63</v>
      </c>
      <c r="BT126" s="7" t="s">
        <v>52</v>
      </c>
      <c r="BU126" s="7">
        <v>0</v>
      </c>
      <c r="BV126" s="7">
        <v>10</v>
      </c>
      <c r="BW126" s="7">
        <v>0</v>
      </c>
      <c r="BX126" s="7">
        <v>0</v>
      </c>
      <c r="BY126" s="7">
        <v>5</v>
      </c>
      <c r="BZ126" s="7"/>
    </row>
    <row r="127" spans="1:78" x14ac:dyDescent="0.35">
      <c r="A127" s="7" t="s">
        <v>41</v>
      </c>
      <c r="B127" s="7"/>
      <c r="C127" s="7" t="s">
        <v>329</v>
      </c>
      <c r="D127" s="7" t="s">
        <v>330</v>
      </c>
      <c r="E127" s="7" t="s">
        <v>330</v>
      </c>
      <c r="F127" s="7" t="s">
        <v>159</v>
      </c>
      <c r="G127" s="7" t="s">
        <v>46</v>
      </c>
      <c r="H127" s="7"/>
      <c r="I127" s="7"/>
      <c r="J127" s="7" t="s">
        <v>47</v>
      </c>
      <c r="K127" s="7" t="s">
        <v>48</v>
      </c>
      <c r="L127" s="7" t="s">
        <v>49</v>
      </c>
      <c r="M127" s="7" t="s">
        <v>49</v>
      </c>
      <c r="N127" s="7" t="s">
        <v>50</v>
      </c>
      <c r="O127" s="7" t="s">
        <v>4</v>
      </c>
      <c r="P127" s="7">
        <v>7500</v>
      </c>
      <c r="Q127" s="7">
        <v>7500</v>
      </c>
      <c r="R127" s="7">
        <v>7500</v>
      </c>
      <c r="S127" s="7">
        <v>7500</v>
      </c>
      <c r="T127" s="7">
        <v>7500</v>
      </c>
      <c r="U127" s="7">
        <v>7500</v>
      </c>
      <c r="V127" s="7">
        <v>7500</v>
      </c>
      <c r="W127" s="7">
        <v>7500</v>
      </c>
      <c r="X127" s="7">
        <v>7500</v>
      </c>
      <c r="Y127" s="7">
        <v>7500</v>
      </c>
      <c r="Z127" s="7">
        <v>7500</v>
      </c>
      <c r="AA127" s="7">
        <v>7500</v>
      </c>
      <c r="AB127" s="9">
        <v>0.47472560859822999</v>
      </c>
      <c r="AC127" s="9">
        <v>0.47472560859822999</v>
      </c>
      <c r="AD127" s="9">
        <v>0.47472560859822999</v>
      </c>
      <c r="AE127" s="9">
        <v>0.47472560859822999</v>
      </c>
      <c r="AF127" s="9">
        <v>0.47472560859822999</v>
      </c>
      <c r="AG127" s="9">
        <v>0.47472560859822999</v>
      </c>
      <c r="AH127" s="9">
        <v>0.47472560859822999</v>
      </c>
      <c r="AI127" s="9">
        <v>0.47472560859822999</v>
      </c>
      <c r="AJ127" s="9">
        <v>0.47472560859822999</v>
      </c>
      <c r="AK127" s="9">
        <v>0.47472560859822999</v>
      </c>
      <c r="AL127" s="9">
        <v>0.47472560859822999</v>
      </c>
      <c r="AM127" s="9">
        <v>0.47472560859822999</v>
      </c>
      <c r="AN127" s="10">
        <v>4</v>
      </c>
      <c r="AO127" s="10">
        <v>0</v>
      </c>
      <c r="AP127" s="10">
        <v>0</v>
      </c>
      <c r="AQ127" s="10">
        <v>0</v>
      </c>
      <c r="AR127" s="10">
        <v>4</v>
      </c>
      <c r="AS127" s="10">
        <v>0</v>
      </c>
      <c r="AT127" s="10">
        <v>0</v>
      </c>
      <c r="AU127" s="10">
        <v>0</v>
      </c>
      <c r="AV127" s="10">
        <v>4</v>
      </c>
      <c r="AW127" s="10">
        <v>0</v>
      </c>
      <c r="AX127" s="10">
        <v>0</v>
      </c>
      <c r="AY127" s="10">
        <v>0</v>
      </c>
      <c r="AZ127" s="7">
        <f t="shared" si="12"/>
        <v>12</v>
      </c>
      <c r="BA127" s="11">
        <f t="shared" si="13"/>
        <v>1</v>
      </c>
      <c r="BC127" s="12">
        <v>1.8989024343929</v>
      </c>
      <c r="BD127" s="12">
        <v>0</v>
      </c>
      <c r="BE127" s="12">
        <v>0</v>
      </c>
      <c r="BF127" s="12">
        <v>0</v>
      </c>
      <c r="BG127" s="12">
        <v>1.8989024343929</v>
      </c>
      <c r="BH127" s="12">
        <v>0</v>
      </c>
      <c r="BI127" s="12">
        <v>0</v>
      </c>
      <c r="BJ127" s="12">
        <v>0</v>
      </c>
      <c r="BK127" s="12">
        <v>1.8989024343929</v>
      </c>
      <c r="BL127" s="12">
        <v>0</v>
      </c>
      <c r="BM127" s="12">
        <v>0</v>
      </c>
      <c r="BN127" s="12">
        <v>0</v>
      </c>
      <c r="BO127" s="12">
        <f t="shared" si="14"/>
        <v>5.6967073031786999</v>
      </c>
      <c r="BP127" s="12">
        <f t="shared" si="15"/>
        <v>0.47472560859822499</v>
      </c>
      <c r="BQ127" s="7"/>
      <c r="BR127" s="7"/>
      <c r="BS127" s="7" t="s">
        <v>51</v>
      </c>
      <c r="BT127" s="7" t="s">
        <v>52</v>
      </c>
      <c r="BU127" s="7">
        <v>15</v>
      </c>
      <c r="BV127" s="7">
        <v>10</v>
      </c>
      <c r="BW127" s="7">
        <v>5</v>
      </c>
      <c r="BX127" s="7">
        <v>20</v>
      </c>
      <c r="BY127" s="7">
        <v>5</v>
      </c>
      <c r="BZ127" s="7"/>
    </row>
    <row r="128" spans="1:78" x14ac:dyDescent="0.35">
      <c r="A128" s="7" t="s">
        <v>41</v>
      </c>
      <c r="B128" s="7"/>
      <c r="C128" s="7" t="s">
        <v>64</v>
      </c>
      <c r="D128" s="7" t="s">
        <v>65</v>
      </c>
      <c r="E128" s="7" t="s">
        <v>66</v>
      </c>
      <c r="F128" s="7" t="s">
        <v>331</v>
      </c>
      <c r="G128" s="7" t="s">
        <v>46</v>
      </c>
      <c r="H128" s="7"/>
      <c r="I128" s="7"/>
      <c r="J128" s="7" t="s">
        <v>47</v>
      </c>
      <c r="K128" s="7" t="s">
        <v>48</v>
      </c>
      <c r="L128" s="7" t="s">
        <v>49</v>
      </c>
      <c r="M128" s="7" t="s">
        <v>49</v>
      </c>
      <c r="N128" s="7" t="s">
        <v>68</v>
      </c>
      <c r="O128" s="7" t="s">
        <v>4</v>
      </c>
      <c r="P128" s="7">
        <v>50000</v>
      </c>
      <c r="Q128" s="7">
        <v>50000</v>
      </c>
      <c r="R128" s="7">
        <v>50000</v>
      </c>
      <c r="S128" s="7">
        <v>50000</v>
      </c>
      <c r="T128" s="7">
        <v>50000</v>
      </c>
      <c r="U128" s="7">
        <v>50000</v>
      </c>
      <c r="V128" s="7">
        <v>50000</v>
      </c>
      <c r="W128" s="7">
        <v>50000</v>
      </c>
      <c r="X128" s="7">
        <v>50000</v>
      </c>
      <c r="Y128" s="7">
        <v>50000</v>
      </c>
      <c r="Z128" s="7">
        <v>50000</v>
      </c>
      <c r="AA128" s="7">
        <v>50000</v>
      </c>
      <c r="AB128" s="9">
        <v>3.1648373906548999</v>
      </c>
      <c r="AC128" s="9">
        <v>3.1648373906548999</v>
      </c>
      <c r="AD128" s="9">
        <v>3.1648373906548999</v>
      </c>
      <c r="AE128" s="9">
        <v>3.1648373906548999</v>
      </c>
      <c r="AF128" s="9">
        <v>3.1648373906548999</v>
      </c>
      <c r="AG128" s="9">
        <v>3.1648373906548999</v>
      </c>
      <c r="AH128" s="9">
        <v>3.1648373906548999</v>
      </c>
      <c r="AI128" s="9">
        <v>3.1648373906548999</v>
      </c>
      <c r="AJ128" s="9">
        <v>3.1648373906548999</v>
      </c>
      <c r="AK128" s="9">
        <v>3.1648373906548999</v>
      </c>
      <c r="AL128" s="9">
        <v>3.1648373906548999</v>
      </c>
      <c r="AM128" s="9">
        <v>3.1648373906548999</v>
      </c>
      <c r="AN128" s="10">
        <v>0</v>
      </c>
      <c r="AO128" s="10">
        <v>0</v>
      </c>
      <c r="AP128" s="10">
        <v>0</v>
      </c>
      <c r="AQ128" s="10">
        <v>0</v>
      </c>
      <c r="AR128" s="10">
        <v>0</v>
      </c>
      <c r="AS128" s="10">
        <v>0</v>
      </c>
      <c r="AT128" s="10">
        <v>0</v>
      </c>
      <c r="AU128" s="10">
        <v>0</v>
      </c>
      <c r="AV128" s="10">
        <v>0</v>
      </c>
      <c r="AW128" s="10">
        <v>0</v>
      </c>
      <c r="AX128" s="10">
        <v>25</v>
      </c>
      <c r="AY128" s="10">
        <v>0</v>
      </c>
      <c r="AZ128" s="7">
        <f t="shared" si="12"/>
        <v>25</v>
      </c>
      <c r="BA128" s="11">
        <f t="shared" si="13"/>
        <v>2.0833333333333335</v>
      </c>
      <c r="BC128" s="12">
        <v>0</v>
      </c>
      <c r="BD128" s="12">
        <v>0</v>
      </c>
      <c r="BE128" s="12">
        <v>0</v>
      </c>
      <c r="BF128" s="12">
        <v>0</v>
      </c>
      <c r="BG128" s="12">
        <v>0</v>
      </c>
      <c r="BH128" s="12">
        <v>0</v>
      </c>
      <c r="BI128" s="12">
        <v>0</v>
      </c>
      <c r="BJ128" s="12">
        <v>0</v>
      </c>
      <c r="BK128" s="12">
        <v>0</v>
      </c>
      <c r="BL128" s="12">
        <v>0</v>
      </c>
      <c r="BM128" s="12">
        <v>79.120934766372002</v>
      </c>
      <c r="BN128" s="12">
        <v>0</v>
      </c>
      <c r="BO128" s="12">
        <f t="shared" si="14"/>
        <v>79.120934766372002</v>
      </c>
      <c r="BP128" s="12">
        <f t="shared" si="15"/>
        <v>6.5934112305310002</v>
      </c>
      <c r="BQ128" s="7"/>
      <c r="BR128" s="7"/>
      <c r="BS128" s="7" t="s">
        <v>63</v>
      </c>
      <c r="BT128" s="7" t="s">
        <v>52</v>
      </c>
      <c r="BU128" s="7">
        <v>0</v>
      </c>
      <c r="BV128" s="7">
        <v>10</v>
      </c>
      <c r="BW128" s="7">
        <v>0</v>
      </c>
      <c r="BX128" s="7">
        <v>0</v>
      </c>
      <c r="BY128" s="7">
        <v>5</v>
      </c>
      <c r="BZ128" s="7"/>
    </row>
    <row r="129" spans="1:78" x14ac:dyDescent="0.35">
      <c r="A129" s="7" t="s">
        <v>41</v>
      </c>
      <c r="B129" s="7"/>
      <c r="C129" s="7" t="s">
        <v>332</v>
      </c>
      <c r="D129" s="7" t="s">
        <v>59</v>
      </c>
      <c r="E129" s="7" t="s">
        <v>333</v>
      </c>
      <c r="F129" s="7" t="s">
        <v>97</v>
      </c>
      <c r="G129" s="7" t="s">
        <v>46</v>
      </c>
      <c r="H129" s="7"/>
      <c r="I129" s="7"/>
      <c r="J129" s="7" t="s">
        <v>47</v>
      </c>
      <c r="K129" s="7" t="s">
        <v>48</v>
      </c>
      <c r="L129" s="7" t="s">
        <v>49</v>
      </c>
      <c r="M129" s="7" t="s">
        <v>49</v>
      </c>
      <c r="N129" s="7" t="s">
        <v>62</v>
      </c>
      <c r="O129" s="7" t="s">
        <v>4</v>
      </c>
      <c r="P129" s="7">
        <v>30000</v>
      </c>
      <c r="Q129" s="7">
        <v>30000</v>
      </c>
      <c r="R129" s="7">
        <v>30000</v>
      </c>
      <c r="S129" s="7">
        <v>30000</v>
      </c>
      <c r="T129" s="7">
        <v>30000</v>
      </c>
      <c r="U129" s="7">
        <v>30000</v>
      </c>
      <c r="V129" s="7">
        <v>30000</v>
      </c>
      <c r="W129" s="7">
        <v>30000</v>
      </c>
      <c r="X129" s="7">
        <v>30000</v>
      </c>
      <c r="Y129" s="7">
        <v>30000</v>
      </c>
      <c r="Z129" s="7">
        <v>30000</v>
      </c>
      <c r="AA129" s="7">
        <v>30000</v>
      </c>
      <c r="AB129" s="9">
        <v>1.8989024343929</v>
      </c>
      <c r="AC129" s="9">
        <v>1.8989024343929</v>
      </c>
      <c r="AD129" s="9">
        <v>1.8989024343929</v>
      </c>
      <c r="AE129" s="9">
        <v>1.8989024343929</v>
      </c>
      <c r="AF129" s="9">
        <v>1.8989024343929</v>
      </c>
      <c r="AG129" s="9">
        <v>1.8989024343929</v>
      </c>
      <c r="AH129" s="9">
        <v>1.8989024343929</v>
      </c>
      <c r="AI129" s="9">
        <v>1.8989024343929</v>
      </c>
      <c r="AJ129" s="9">
        <v>1.8989024343929</v>
      </c>
      <c r="AK129" s="9">
        <v>1.8989024343929</v>
      </c>
      <c r="AL129" s="9">
        <v>1.8989024343929</v>
      </c>
      <c r="AM129" s="9">
        <v>1.8989024343929</v>
      </c>
      <c r="AN129" s="10">
        <v>0</v>
      </c>
      <c r="AO129" s="10">
        <v>0</v>
      </c>
      <c r="AP129" s="10">
        <v>0</v>
      </c>
      <c r="AQ129" s="10">
        <v>0</v>
      </c>
      <c r="AR129" s="10">
        <v>4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7">
        <f t="shared" si="12"/>
        <v>4</v>
      </c>
      <c r="BA129" s="11">
        <f t="shared" si="13"/>
        <v>0.33333333333333331</v>
      </c>
      <c r="BC129" s="12">
        <v>0</v>
      </c>
      <c r="BD129" s="12">
        <v>0</v>
      </c>
      <c r="BE129" s="12">
        <v>0</v>
      </c>
      <c r="BF129" s="12">
        <v>0</v>
      </c>
      <c r="BG129" s="12">
        <v>7.5956097375717002</v>
      </c>
      <c r="BH129" s="12">
        <v>0</v>
      </c>
      <c r="BI129" s="12">
        <v>0</v>
      </c>
      <c r="BJ129" s="12">
        <v>0</v>
      </c>
      <c r="BK129" s="12">
        <v>0</v>
      </c>
      <c r="BL129" s="12">
        <v>0</v>
      </c>
      <c r="BM129" s="12">
        <v>0</v>
      </c>
      <c r="BN129" s="12">
        <v>0</v>
      </c>
      <c r="BO129" s="12">
        <f t="shared" si="14"/>
        <v>7.5956097375717002</v>
      </c>
      <c r="BP129" s="12">
        <f t="shared" si="15"/>
        <v>0.63296747813097498</v>
      </c>
      <c r="BQ129" s="7"/>
      <c r="BR129" s="7"/>
      <c r="BS129" s="7" t="s">
        <v>63</v>
      </c>
      <c r="BT129" s="7" t="s">
        <v>52</v>
      </c>
      <c r="BU129" s="7">
        <v>0</v>
      </c>
      <c r="BV129" s="7">
        <v>10</v>
      </c>
      <c r="BW129" s="7">
        <v>0</v>
      </c>
      <c r="BX129" s="7">
        <v>0</v>
      </c>
      <c r="BY129" s="7">
        <v>5</v>
      </c>
      <c r="BZ129" s="7"/>
    </row>
    <row r="130" spans="1:78" x14ac:dyDescent="0.35">
      <c r="A130" s="7" t="s">
        <v>41</v>
      </c>
      <c r="B130" s="7"/>
      <c r="C130" s="7" t="s">
        <v>334</v>
      </c>
      <c r="D130" s="7" t="s">
        <v>73</v>
      </c>
      <c r="E130" s="7" t="s">
        <v>335</v>
      </c>
      <c r="F130" s="7" t="s">
        <v>75</v>
      </c>
      <c r="G130" s="7" t="s">
        <v>46</v>
      </c>
      <c r="H130" s="7"/>
      <c r="I130" s="7"/>
      <c r="J130" s="7" t="s">
        <v>47</v>
      </c>
      <c r="K130" s="7" t="s">
        <v>48</v>
      </c>
      <c r="L130" s="7" t="s">
        <v>49</v>
      </c>
      <c r="M130" s="7" t="s">
        <v>49</v>
      </c>
      <c r="N130" s="7" t="s">
        <v>76</v>
      </c>
      <c r="O130" s="7" t="s">
        <v>6</v>
      </c>
      <c r="P130" s="7">
        <v>8067</v>
      </c>
      <c r="Q130" s="7">
        <v>8067</v>
      </c>
      <c r="R130" s="7">
        <v>8067</v>
      </c>
      <c r="S130" s="7">
        <v>8067</v>
      </c>
      <c r="T130" s="7">
        <v>8067</v>
      </c>
      <c r="U130" s="7">
        <v>8067</v>
      </c>
      <c r="V130" s="7">
        <v>8067</v>
      </c>
      <c r="W130" s="7">
        <v>8067</v>
      </c>
      <c r="X130" s="7">
        <v>8067</v>
      </c>
      <c r="Y130" s="7">
        <v>8067</v>
      </c>
      <c r="Z130" s="7">
        <v>8067</v>
      </c>
      <c r="AA130" s="7">
        <v>8067</v>
      </c>
      <c r="AB130" s="9">
        <v>53.423841059602999</v>
      </c>
      <c r="AC130" s="9">
        <v>53.423841059602999</v>
      </c>
      <c r="AD130" s="9">
        <v>53.423841059602999</v>
      </c>
      <c r="AE130" s="9">
        <v>53.423841059602999</v>
      </c>
      <c r="AF130" s="9">
        <v>53.423841059602999</v>
      </c>
      <c r="AG130" s="9">
        <v>53.423841059602999</v>
      </c>
      <c r="AH130" s="9">
        <v>53.423841059602999</v>
      </c>
      <c r="AI130" s="9">
        <v>53.423841059602999</v>
      </c>
      <c r="AJ130" s="9">
        <v>53.423841059602999</v>
      </c>
      <c r="AK130" s="9">
        <v>53.423841059602999</v>
      </c>
      <c r="AL130" s="9">
        <v>53.423841059602999</v>
      </c>
      <c r="AM130" s="9">
        <v>53.423841059602999</v>
      </c>
      <c r="AN130" s="10">
        <v>0</v>
      </c>
      <c r="AO130" s="10">
        <v>0</v>
      </c>
      <c r="AP130" s="10">
        <v>0</v>
      </c>
      <c r="AQ130" s="10">
        <v>0</v>
      </c>
      <c r="AR130" s="10">
        <v>0</v>
      </c>
      <c r="AS130" s="10">
        <v>0</v>
      </c>
      <c r="AT130" s="10">
        <v>0</v>
      </c>
      <c r="AU130" s="10">
        <v>0</v>
      </c>
      <c r="AV130" s="10">
        <v>0</v>
      </c>
      <c r="AW130" s="10">
        <v>0</v>
      </c>
      <c r="AX130" s="10">
        <v>0</v>
      </c>
      <c r="AY130" s="10">
        <v>0</v>
      </c>
      <c r="AZ130" s="7">
        <f t="shared" si="12"/>
        <v>0</v>
      </c>
      <c r="BA130" s="11">
        <f t="shared" si="13"/>
        <v>0</v>
      </c>
      <c r="BC130" s="12">
        <v>0</v>
      </c>
      <c r="BD130" s="12">
        <v>0</v>
      </c>
      <c r="BE130" s="12">
        <v>0</v>
      </c>
      <c r="BF130" s="12">
        <v>0</v>
      </c>
      <c r="BG130" s="12">
        <v>0</v>
      </c>
      <c r="BH130" s="12">
        <v>0</v>
      </c>
      <c r="BI130" s="12">
        <v>0</v>
      </c>
      <c r="BJ130" s="12">
        <v>0</v>
      </c>
      <c r="BK130" s="12">
        <v>0</v>
      </c>
      <c r="BL130" s="12">
        <v>0</v>
      </c>
      <c r="BM130" s="12">
        <v>0</v>
      </c>
      <c r="BN130" s="12">
        <v>0</v>
      </c>
      <c r="BO130" s="12">
        <f t="shared" si="14"/>
        <v>0</v>
      </c>
      <c r="BP130" s="12">
        <f t="shared" si="15"/>
        <v>0</v>
      </c>
      <c r="BQ130" s="7"/>
      <c r="BR130" s="7"/>
      <c r="BS130" s="7" t="s">
        <v>63</v>
      </c>
      <c r="BT130" s="7" t="s">
        <v>52</v>
      </c>
      <c r="BU130" s="7">
        <v>0</v>
      </c>
      <c r="BV130" s="7">
        <v>10</v>
      </c>
      <c r="BW130" s="7">
        <v>0</v>
      </c>
      <c r="BX130" s="7">
        <v>0</v>
      </c>
      <c r="BY130" s="7">
        <v>5</v>
      </c>
      <c r="BZ130" s="7"/>
    </row>
    <row r="131" spans="1:78" x14ac:dyDescent="0.35">
      <c r="A131" s="7" t="s">
        <v>41</v>
      </c>
      <c r="B131" s="7"/>
      <c r="C131" s="7" t="s">
        <v>336</v>
      </c>
      <c r="D131" s="7" t="s">
        <v>175</v>
      </c>
      <c r="E131" s="7" t="s">
        <v>337</v>
      </c>
      <c r="F131" s="7" t="s">
        <v>338</v>
      </c>
      <c r="G131" s="7" t="s">
        <v>46</v>
      </c>
      <c r="H131" s="7"/>
      <c r="I131" s="7"/>
      <c r="J131" s="7" t="s">
        <v>47</v>
      </c>
      <c r="K131" s="7" t="s">
        <v>48</v>
      </c>
      <c r="L131" s="7" t="s">
        <v>49</v>
      </c>
      <c r="M131" s="7" t="s">
        <v>49</v>
      </c>
      <c r="N131" s="7" t="s">
        <v>220</v>
      </c>
      <c r="O131" s="7" t="s">
        <v>4</v>
      </c>
      <c r="P131" s="7">
        <v>13694</v>
      </c>
      <c r="Q131" s="7">
        <v>13694</v>
      </c>
      <c r="R131" s="7">
        <v>13694</v>
      </c>
      <c r="S131" s="7">
        <v>13694</v>
      </c>
      <c r="T131" s="7">
        <v>13694</v>
      </c>
      <c r="U131" s="7">
        <v>13694</v>
      </c>
      <c r="V131" s="7">
        <v>13694</v>
      </c>
      <c r="W131" s="7">
        <v>13694</v>
      </c>
      <c r="X131" s="7">
        <v>13694</v>
      </c>
      <c r="Y131" s="7">
        <v>13694</v>
      </c>
      <c r="Z131" s="7">
        <v>13694</v>
      </c>
      <c r="AA131" s="7">
        <v>13694</v>
      </c>
      <c r="AB131" s="9">
        <v>0.86678566455256001</v>
      </c>
      <c r="AC131" s="9">
        <v>0.86678566455256001</v>
      </c>
      <c r="AD131" s="9">
        <v>0.86678566455256001</v>
      </c>
      <c r="AE131" s="9">
        <v>0.86678566455256001</v>
      </c>
      <c r="AF131" s="9">
        <v>0.86678566455256001</v>
      </c>
      <c r="AG131" s="9">
        <v>0.86678566455256001</v>
      </c>
      <c r="AH131" s="9">
        <v>0.86678566455256001</v>
      </c>
      <c r="AI131" s="9">
        <v>0.86678566455256001</v>
      </c>
      <c r="AJ131" s="9">
        <v>0.86678566455256001</v>
      </c>
      <c r="AK131" s="9">
        <v>0.86678566455256001</v>
      </c>
      <c r="AL131" s="9">
        <v>0.86678566455256001</v>
      </c>
      <c r="AM131" s="9">
        <v>0.86678566455256001</v>
      </c>
      <c r="AN131" s="10">
        <v>0</v>
      </c>
      <c r="AO131" s="10">
        <v>6</v>
      </c>
      <c r="AP131" s="10">
        <v>0</v>
      </c>
      <c r="AQ131" s="10">
        <v>0</v>
      </c>
      <c r="AR131" s="10">
        <v>0</v>
      </c>
      <c r="AS131" s="10">
        <v>0</v>
      </c>
      <c r="AT131" s="10">
        <v>6</v>
      </c>
      <c r="AU131" s="10">
        <v>0</v>
      </c>
      <c r="AV131" s="10">
        <v>0</v>
      </c>
      <c r="AW131" s="10">
        <v>0</v>
      </c>
      <c r="AX131" s="10">
        <v>0</v>
      </c>
      <c r="AY131" s="10">
        <v>0</v>
      </c>
      <c r="AZ131" s="7">
        <f t="shared" si="12"/>
        <v>12</v>
      </c>
      <c r="BA131" s="11">
        <f t="shared" si="13"/>
        <v>1</v>
      </c>
      <c r="BC131" s="12">
        <v>0</v>
      </c>
      <c r="BD131" s="12">
        <v>5.2007139873153001</v>
      </c>
      <c r="BE131" s="12">
        <v>0</v>
      </c>
      <c r="BF131" s="12">
        <v>0</v>
      </c>
      <c r="BG131" s="12">
        <v>0</v>
      </c>
      <c r="BH131" s="12">
        <v>0</v>
      </c>
      <c r="BI131" s="12">
        <v>5.2007139873153001</v>
      </c>
      <c r="BJ131" s="12">
        <v>0</v>
      </c>
      <c r="BK131" s="12">
        <v>0</v>
      </c>
      <c r="BL131" s="12">
        <v>0</v>
      </c>
      <c r="BM131" s="12">
        <v>0</v>
      </c>
      <c r="BN131" s="12">
        <v>0</v>
      </c>
      <c r="BO131" s="12">
        <f t="shared" si="14"/>
        <v>10.4014279746306</v>
      </c>
      <c r="BP131" s="12">
        <f t="shared" si="15"/>
        <v>0.86678566455255002</v>
      </c>
      <c r="BQ131" s="7"/>
      <c r="BR131" s="7"/>
      <c r="BS131" s="7" t="s">
        <v>51</v>
      </c>
      <c r="BT131" s="7" t="s">
        <v>52</v>
      </c>
      <c r="BU131" s="7">
        <v>15</v>
      </c>
      <c r="BV131" s="7">
        <v>10</v>
      </c>
      <c r="BW131" s="7">
        <v>5</v>
      </c>
      <c r="BX131" s="7">
        <v>20</v>
      </c>
      <c r="BY131" s="7">
        <v>5</v>
      </c>
      <c r="BZ131" s="7"/>
    </row>
    <row r="132" spans="1:78" x14ac:dyDescent="0.35">
      <c r="A132" s="7" t="s">
        <v>41</v>
      </c>
      <c r="B132" s="7"/>
      <c r="C132" s="7" t="s">
        <v>339</v>
      </c>
      <c r="D132" s="7" t="s">
        <v>340</v>
      </c>
      <c r="E132" s="7" t="s">
        <v>341</v>
      </c>
      <c r="F132" s="7" t="s">
        <v>342</v>
      </c>
      <c r="G132" s="7" t="s">
        <v>46</v>
      </c>
      <c r="H132" s="7"/>
      <c r="I132" s="7"/>
      <c r="J132" s="7" t="s">
        <v>47</v>
      </c>
      <c r="K132" s="7" t="s">
        <v>48</v>
      </c>
      <c r="L132" s="7" t="s">
        <v>49</v>
      </c>
      <c r="M132" s="7" t="s">
        <v>49</v>
      </c>
      <c r="N132" s="7" t="s">
        <v>50</v>
      </c>
      <c r="O132" s="7" t="s">
        <v>4</v>
      </c>
      <c r="P132" s="7">
        <v>448050</v>
      </c>
      <c r="Q132" s="7">
        <v>448050</v>
      </c>
      <c r="R132" s="7">
        <v>448050</v>
      </c>
      <c r="S132" s="7">
        <v>448050</v>
      </c>
      <c r="T132" s="7">
        <v>448050</v>
      </c>
      <c r="U132" s="7">
        <v>448050</v>
      </c>
      <c r="V132" s="7">
        <v>448050</v>
      </c>
      <c r="W132" s="7">
        <v>448050</v>
      </c>
      <c r="X132" s="7">
        <v>448050</v>
      </c>
      <c r="Y132" s="7">
        <v>448050</v>
      </c>
      <c r="Z132" s="7">
        <v>448050</v>
      </c>
      <c r="AA132" s="7">
        <v>448050</v>
      </c>
      <c r="AB132" s="9">
        <v>28.360107857658001</v>
      </c>
      <c r="AC132" s="9">
        <v>28.360107857658001</v>
      </c>
      <c r="AD132" s="9">
        <v>28.360107857658001</v>
      </c>
      <c r="AE132" s="9">
        <v>28.360107857658001</v>
      </c>
      <c r="AF132" s="9">
        <v>28.360107857658001</v>
      </c>
      <c r="AG132" s="9">
        <v>28.360107857658001</v>
      </c>
      <c r="AH132" s="9">
        <v>28.360107857658001</v>
      </c>
      <c r="AI132" s="9">
        <v>28.360107857658001</v>
      </c>
      <c r="AJ132" s="9">
        <v>28.360107857658001</v>
      </c>
      <c r="AK132" s="9">
        <v>28.360107857658001</v>
      </c>
      <c r="AL132" s="9">
        <v>28.360107857658001</v>
      </c>
      <c r="AM132" s="9">
        <v>28.360107857658001</v>
      </c>
      <c r="AN132" s="10">
        <v>0</v>
      </c>
      <c r="AO132" s="10">
        <v>10</v>
      </c>
      <c r="AP132" s="10">
        <v>0</v>
      </c>
      <c r="AQ132" s="10">
        <v>0</v>
      </c>
      <c r="AR132" s="10">
        <v>0</v>
      </c>
      <c r="AS132" s="10">
        <v>0</v>
      </c>
      <c r="AT132" s="10">
        <v>0</v>
      </c>
      <c r="AU132" s="10">
        <v>0</v>
      </c>
      <c r="AV132" s="10">
        <v>0</v>
      </c>
      <c r="AW132" s="10">
        <v>0</v>
      </c>
      <c r="AX132" s="10">
        <v>0</v>
      </c>
      <c r="AY132" s="10">
        <v>0</v>
      </c>
      <c r="AZ132" s="7">
        <f t="shared" si="12"/>
        <v>10</v>
      </c>
      <c r="BA132" s="11">
        <f t="shared" si="13"/>
        <v>0.83333333333333337</v>
      </c>
      <c r="BC132" s="12">
        <v>0</v>
      </c>
      <c r="BD132" s="12">
        <v>283.60107857657999</v>
      </c>
      <c r="BE132" s="12">
        <v>0</v>
      </c>
      <c r="BF132" s="12">
        <v>0</v>
      </c>
      <c r="BG132" s="12">
        <v>0</v>
      </c>
      <c r="BH132" s="12">
        <v>0</v>
      </c>
      <c r="BI132" s="12">
        <v>0</v>
      </c>
      <c r="BJ132" s="12">
        <v>0</v>
      </c>
      <c r="BK132" s="12">
        <v>0</v>
      </c>
      <c r="BL132" s="12">
        <v>0</v>
      </c>
      <c r="BM132" s="12">
        <v>0</v>
      </c>
      <c r="BN132" s="12">
        <v>0</v>
      </c>
      <c r="BO132" s="12">
        <f t="shared" si="14"/>
        <v>283.60107857657999</v>
      </c>
      <c r="BP132" s="12">
        <f t="shared" si="15"/>
        <v>23.633423214714998</v>
      </c>
      <c r="BQ132" s="7"/>
      <c r="BR132" s="7"/>
      <c r="BS132" s="7" t="s">
        <v>51</v>
      </c>
      <c r="BT132" s="7" t="s">
        <v>52</v>
      </c>
      <c r="BU132" s="7">
        <v>15</v>
      </c>
      <c r="BV132" s="7">
        <v>10</v>
      </c>
      <c r="BW132" s="7">
        <v>5</v>
      </c>
      <c r="BX132" s="7">
        <v>20</v>
      </c>
      <c r="BY132" s="7">
        <v>5</v>
      </c>
      <c r="BZ132" s="7"/>
    </row>
    <row r="133" spans="1:78" x14ac:dyDescent="0.35">
      <c r="A133" s="7" t="s">
        <v>41</v>
      </c>
      <c r="B133" s="7"/>
      <c r="C133" s="7" t="s">
        <v>64</v>
      </c>
      <c r="D133" s="7" t="s">
        <v>65</v>
      </c>
      <c r="E133" s="7" t="s">
        <v>66</v>
      </c>
      <c r="F133" s="7" t="s">
        <v>343</v>
      </c>
      <c r="G133" s="7" t="s">
        <v>46</v>
      </c>
      <c r="H133" s="7"/>
      <c r="I133" s="7"/>
      <c r="J133" s="7" t="s">
        <v>47</v>
      </c>
      <c r="K133" s="7" t="s">
        <v>48</v>
      </c>
      <c r="L133" s="7" t="s">
        <v>49</v>
      </c>
      <c r="M133" s="7" t="s">
        <v>49</v>
      </c>
      <c r="N133" s="7" t="s">
        <v>68</v>
      </c>
      <c r="O133" s="7" t="s">
        <v>4</v>
      </c>
      <c r="P133" s="7">
        <v>50000</v>
      </c>
      <c r="Q133" s="7">
        <v>50000</v>
      </c>
      <c r="R133" s="7">
        <v>50000</v>
      </c>
      <c r="S133" s="7">
        <v>50000</v>
      </c>
      <c r="T133" s="7">
        <v>50000</v>
      </c>
      <c r="U133" s="7">
        <v>50000</v>
      </c>
      <c r="V133" s="7">
        <v>50000</v>
      </c>
      <c r="W133" s="7">
        <v>50000</v>
      </c>
      <c r="X133" s="7">
        <v>50000</v>
      </c>
      <c r="Y133" s="7">
        <v>50000</v>
      </c>
      <c r="Z133" s="7">
        <v>50000</v>
      </c>
      <c r="AA133" s="7">
        <v>50000</v>
      </c>
      <c r="AB133" s="9">
        <v>3.1648373906548999</v>
      </c>
      <c r="AC133" s="9">
        <v>3.1648373906548999</v>
      </c>
      <c r="AD133" s="9">
        <v>3.1648373906548999</v>
      </c>
      <c r="AE133" s="9">
        <v>3.1648373906548999</v>
      </c>
      <c r="AF133" s="9">
        <v>3.1648373906548999</v>
      </c>
      <c r="AG133" s="9">
        <v>3.1648373906548999</v>
      </c>
      <c r="AH133" s="9">
        <v>3.1648373906548999</v>
      </c>
      <c r="AI133" s="9">
        <v>3.1648373906548999</v>
      </c>
      <c r="AJ133" s="9">
        <v>3.1648373906548999</v>
      </c>
      <c r="AK133" s="9">
        <v>3.1648373906548999</v>
      </c>
      <c r="AL133" s="9">
        <v>3.1648373906548999</v>
      </c>
      <c r="AM133" s="9">
        <v>3.1648373906548999</v>
      </c>
      <c r="AN133" s="10">
        <v>0</v>
      </c>
      <c r="AO133" s="10">
        <v>0</v>
      </c>
      <c r="AP133" s="10">
        <v>80</v>
      </c>
      <c r="AQ133" s="10">
        <v>0</v>
      </c>
      <c r="AR133" s="10">
        <v>0</v>
      </c>
      <c r="AS133" s="10">
        <v>0</v>
      </c>
      <c r="AT133" s="10">
        <v>0</v>
      </c>
      <c r="AU133" s="10">
        <v>0</v>
      </c>
      <c r="AV133" s="10">
        <v>0</v>
      </c>
      <c r="AW133" s="10">
        <v>0</v>
      </c>
      <c r="AX133" s="10">
        <v>0</v>
      </c>
      <c r="AY133" s="10">
        <v>0</v>
      </c>
      <c r="AZ133" s="7">
        <f t="shared" si="12"/>
        <v>80</v>
      </c>
      <c r="BA133" s="11">
        <f t="shared" si="13"/>
        <v>6.666666666666667</v>
      </c>
      <c r="BC133" s="12">
        <v>0</v>
      </c>
      <c r="BD133" s="12">
        <v>0</v>
      </c>
      <c r="BE133" s="12">
        <v>253.18699125238999</v>
      </c>
      <c r="BF133" s="12">
        <v>0</v>
      </c>
      <c r="BG133" s="12">
        <v>0</v>
      </c>
      <c r="BH133" s="12">
        <v>0</v>
      </c>
      <c r="BI133" s="12">
        <v>0</v>
      </c>
      <c r="BJ133" s="12">
        <v>0</v>
      </c>
      <c r="BK133" s="12">
        <v>0</v>
      </c>
      <c r="BL133" s="12">
        <v>0</v>
      </c>
      <c r="BM133" s="12">
        <v>0</v>
      </c>
      <c r="BN133" s="12">
        <v>0</v>
      </c>
      <c r="BO133" s="12">
        <f t="shared" si="14"/>
        <v>253.18699125238999</v>
      </c>
      <c r="BP133" s="12">
        <f t="shared" si="15"/>
        <v>21.098915937699164</v>
      </c>
      <c r="BQ133" s="7"/>
      <c r="BR133" s="7"/>
      <c r="BS133" s="7" t="s">
        <v>63</v>
      </c>
      <c r="BT133" s="7" t="s">
        <v>52</v>
      </c>
      <c r="BU133" s="7">
        <v>0</v>
      </c>
      <c r="BV133" s="7">
        <v>10</v>
      </c>
      <c r="BW133" s="7">
        <v>0</v>
      </c>
      <c r="BX133" s="7">
        <v>0</v>
      </c>
      <c r="BY133" s="7">
        <v>5</v>
      </c>
      <c r="BZ133" s="7"/>
    </row>
    <row r="134" spans="1:78" x14ac:dyDescent="0.35">
      <c r="A134" s="7" t="s">
        <v>41</v>
      </c>
      <c r="B134" s="7"/>
      <c r="C134" s="7" t="s">
        <v>64</v>
      </c>
      <c r="D134" s="7" t="s">
        <v>65</v>
      </c>
      <c r="E134" s="7" t="s">
        <v>66</v>
      </c>
      <c r="F134" s="7" t="s">
        <v>344</v>
      </c>
      <c r="G134" s="7" t="s">
        <v>46</v>
      </c>
      <c r="H134" s="7"/>
      <c r="I134" s="7"/>
      <c r="J134" s="7" t="s">
        <v>47</v>
      </c>
      <c r="K134" s="7" t="s">
        <v>48</v>
      </c>
      <c r="L134" s="7" t="s">
        <v>49</v>
      </c>
      <c r="M134" s="7" t="s">
        <v>49</v>
      </c>
      <c r="N134" s="7" t="s">
        <v>68</v>
      </c>
      <c r="O134" s="7" t="s">
        <v>4</v>
      </c>
      <c r="P134" s="7">
        <v>50000</v>
      </c>
      <c r="Q134" s="7">
        <v>50000</v>
      </c>
      <c r="R134" s="7">
        <v>50000</v>
      </c>
      <c r="S134" s="7">
        <v>50000</v>
      </c>
      <c r="T134" s="7">
        <v>50000</v>
      </c>
      <c r="U134" s="7">
        <v>50000</v>
      </c>
      <c r="V134" s="7">
        <v>50000</v>
      </c>
      <c r="W134" s="7">
        <v>50000</v>
      </c>
      <c r="X134" s="7">
        <v>50000</v>
      </c>
      <c r="Y134" s="7">
        <v>50000</v>
      </c>
      <c r="Z134" s="7">
        <v>50000</v>
      </c>
      <c r="AA134" s="7">
        <v>50000</v>
      </c>
      <c r="AB134" s="9">
        <v>3.1648373906548999</v>
      </c>
      <c r="AC134" s="9">
        <v>3.1648373906548999</v>
      </c>
      <c r="AD134" s="9">
        <v>3.1648373906548999</v>
      </c>
      <c r="AE134" s="9">
        <v>3.1648373906548999</v>
      </c>
      <c r="AF134" s="9">
        <v>3.1648373906548999</v>
      </c>
      <c r="AG134" s="9">
        <v>3.1648373906548999</v>
      </c>
      <c r="AH134" s="9">
        <v>3.1648373906548999</v>
      </c>
      <c r="AI134" s="9">
        <v>3.1648373906548999</v>
      </c>
      <c r="AJ134" s="9">
        <v>3.1648373906548999</v>
      </c>
      <c r="AK134" s="9">
        <v>3.1648373906548999</v>
      </c>
      <c r="AL134" s="9">
        <v>3.1648373906548999</v>
      </c>
      <c r="AM134" s="9">
        <v>3.1648373906548999</v>
      </c>
      <c r="AN134" s="10">
        <v>0</v>
      </c>
      <c r="AO134" s="10">
        <v>65</v>
      </c>
      <c r="AP134" s="10">
        <v>0</v>
      </c>
      <c r="AQ134" s="10">
        <v>0</v>
      </c>
      <c r="AR134" s="10">
        <v>0</v>
      </c>
      <c r="AS134" s="10">
        <v>0</v>
      </c>
      <c r="AT134" s="10">
        <v>0</v>
      </c>
      <c r="AU134" s="10">
        <v>65</v>
      </c>
      <c r="AV134" s="10">
        <v>0</v>
      </c>
      <c r="AW134" s="10">
        <v>0</v>
      </c>
      <c r="AX134" s="10">
        <v>0</v>
      </c>
      <c r="AY134" s="10">
        <v>0</v>
      </c>
      <c r="AZ134" s="7">
        <f t="shared" si="12"/>
        <v>130</v>
      </c>
      <c r="BA134" s="11">
        <f t="shared" si="13"/>
        <v>10.833333333333334</v>
      </c>
      <c r="BC134" s="12">
        <v>0</v>
      </c>
      <c r="BD134" s="12">
        <v>205.71443039256999</v>
      </c>
      <c r="BE134" s="12">
        <v>0</v>
      </c>
      <c r="BF134" s="12">
        <v>0</v>
      </c>
      <c r="BG134" s="12">
        <v>0</v>
      </c>
      <c r="BH134" s="12">
        <v>0</v>
      </c>
      <c r="BI134" s="12">
        <v>0</v>
      </c>
      <c r="BJ134" s="12">
        <v>205.71443039256999</v>
      </c>
      <c r="BK134" s="12">
        <v>0</v>
      </c>
      <c r="BL134" s="12">
        <v>0</v>
      </c>
      <c r="BM134" s="12">
        <v>0</v>
      </c>
      <c r="BN134" s="12">
        <v>0</v>
      </c>
      <c r="BO134" s="12">
        <f t="shared" si="14"/>
        <v>411.42886078513999</v>
      </c>
      <c r="BP134" s="12">
        <f t="shared" si="15"/>
        <v>34.285738398761666</v>
      </c>
      <c r="BQ134" s="7"/>
      <c r="BR134" s="7"/>
      <c r="BS134" s="7" t="s">
        <v>63</v>
      </c>
      <c r="BT134" s="7" t="s">
        <v>52</v>
      </c>
      <c r="BU134" s="7">
        <v>0</v>
      </c>
      <c r="BV134" s="7">
        <v>10</v>
      </c>
      <c r="BW134" s="7">
        <v>0</v>
      </c>
      <c r="BX134" s="7">
        <v>0</v>
      </c>
      <c r="BY134" s="7">
        <v>5</v>
      </c>
      <c r="BZ134" s="7"/>
    </row>
    <row r="135" spans="1:78" x14ac:dyDescent="0.35">
      <c r="A135" s="7" t="s">
        <v>41</v>
      </c>
      <c r="B135" s="7"/>
      <c r="C135" s="7" t="s">
        <v>345</v>
      </c>
      <c r="D135" s="7" t="s">
        <v>101</v>
      </c>
      <c r="E135" s="7" t="s">
        <v>346</v>
      </c>
      <c r="F135" s="7" t="s">
        <v>272</v>
      </c>
      <c r="G135" s="7" t="s">
        <v>46</v>
      </c>
      <c r="H135" s="7"/>
      <c r="I135" s="7"/>
      <c r="J135" s="7" t="s">
        <v>47</v>
      </c>
      <c r="K135" s="7" t="s">
        <v>48</v>
      </c>
      <c r="L135" s="7" t="s">
        <v>49</v>
      </c>
      <c r="M135" s="7" t="s">
        <v>49</v>
      </c>
      <c r="N135" s="7" t="s">
        <v>50</v>
      </c>
      <c r="O135" s="7" t="s">
        <v>4</v>
      </c>
      <c r="P135" s="7">
        <v>1200000</v>
      </c>
      <c r="Q135" s="7">
        <v>1200000</v>
      </c>
      <c r="R135" s="7">
        <v>1200000</v>
      </c>
      <c r="S135" s="7">
        <v>1200000</v>
      </c>
      <c r="T135" s="7">
        <v>1200000</v>
      </c>
      <c r="U135" s="7">
        <v>1200000</v>
      </c>
      <c r="V135" s="7">
        <v>1200000</v>
      </c>
      <c r="W135" s="7">
        <v>1200000</v>
      </c>
      <c r="X135" s="7">
        <v>1200000</v>
      </c>
      <c r="Y135" s="7">
        <v>1200000</v>
      </c>
      <c r="Z135" s="7">
        <v>1200000</v>
      </c>
      <c r="AA135" s="7">
        <v>1200000</v>
      </c>
      <c r="AB135" s="9">
        <v>75.956097375716993</v>
      </c>
      <c r="AC135" s="9">
        <v>75.956097375716993</v>
      </c>
      <c r="AD135" s="9">
        <v>75.956097375716993</v>
      </c>
      <c r="AE135" s="9">
        <v>75.956097375716993</v>
      </c>
      <c r="AF135" s="9">
        <v>75.956097375716993</v>
      </c>
      <c r="AG135" s="9">
        <v>75.956097375716993</v>
      </c>
      <c r="AH135" s="9">
        <v>75.956097375716993</v>
      </c>
      <c r="AI135" s="9">
        <v>75.956097375716993</v>
      </c>
      <c r="AJ135" s="9">
        <v>75.956097375716993</v>
      </c>
      <c r="AK135" s="9">
        <v>75.956097375716993</v>
      </c>
      <c r="AL135" s="9">
        <v>75.956097375716993</v>
      </c>
      <c r="AM135" s="9">
        <v>75.956097375716993</v>
      </c>
      <c r="AN135" s="10">
        <v>0</v>
      </c>
      <c r="AO135" s="10">
        <v>0</v>
      </c>
      <c r="AP135" s="10">
        <v>1</v>
      </c>
      <c r="AQ135" s="10">
        <v>0</v>
      </c>
      <c r="AR135" s="10">
        <v>0</v>
      </c>
      <c r="AS135" s="10">
        <v>0</v>
      </c>
      <c r="AT135" s="10">
        <v>0</v>
      </c>
      <c r="AU135" s="10">
        <v>0</v>
      </c>
      <c r="AV135" s="10">
        <v>1</v>
      </c>
      <c r="AW135" s="10">
        <v>0</v>
      </c>
      <c r="AX135" s="10">
        <v>0</v>
      </c>
      <c r="AY135" s="10">
        <v>0</v>
      </c>
      <c r="AZ135" s="7">
        <f t="shared" si="12"/>
        <v>2</v>
      </c>
      <c r="BA135" s="11">
        <f t="shared" si="13"/>
        <v>0.16666666666666666</v>
      </c>
      <c r="BC135" s="12">
        <v>0</v>
      </c>
      <c r="BD135" s="12">
        <v>0</v>
      </c>
      <c r="BE135" s="12">
        <v>75.956097375716993</v>
      </c>
      <c r="BF135" s="12">
        <v>0</v>
      </c>
      <c r="BG135" s="12">
        <v>0</v>
      </c>
      <c r="BH135" s="12">
        <v>0</v>
      </c>
      <c r="BI135" s="12">
        <v>0</v>
      </c>
      <c r="BJ135" s="12">
        <v>0</v>
      </c>
      <c r="BK135" s="12">
        <v>75.956097375716993</v>
      </c>
      <c r="BL135" s="12">
        <v>0</v>
      </c>
      <c r="BM135" s="12">
        <v>0</v>
      </c>
      <c r="BN135" s="12">
        <v>0</v>
      </c>
      <c r="BO135" s="12">
        <f t="shared" si="14"/>
        <v>151.91219475143399</v>
      </c>
      <c r="BP135" s="12">
        <f t="shared" si="15"/>
        <v>12.659349562619498</v>
      </c>
      <c r="BQ135" s="7"/>
      <c r="BR135" s="7"/>
      <c r="BS135" s="7" t="s">
        <v>57</v>
      </c>
      <c r="BT135" s="7" t="s">
        <v>52</v>
      </c>
      <c r="BU135" s="7">
        <v>0</v>
      </c>
      <c r="BV135" s="7">
        <v>10</v>
      </c>
      <c r="BW135" s="7">
        <v>0</v>
      </c>
      <c r="BX135" s="7">
        <v>10</v>
      </c>
      <c r="BY135" s="7">
        <v>5</v>
      </c>
      <c r="BZ135" s="7"/>
    </row>
    <row r="136" spans="1:78" x14ac:dyDescent="0.35">
      <c r="A136" s="7" t="s">
        <v>41</v>
      </c>
      <c r="B136" s="7"/>
      <c r="C136" s="7" t="s">
        <v>347</v>
      </c>
      <c r="D136" s="7" t="s">
        <v>101</v>
      </c>
      <c r="E136" s="7" t="s">
        <v>348</v>
      </c>
      <c r="F136" s="7" t="s">
        <v>272</v>
      </c>
      <c r="G136" s="7" t="s">
        <v>46</v>
      </c>
      <c r="H136" s="7"/>
      <c r="I136" s="7"/>
      <c r="J136" s="7" t="s">
        <v>47</v>
      </c>
      <c r="K136" s="7" t="s">
        <v>48</v>
      </c>
      <c r="L136" s="7" t="s">
        <v>49</v>
      </c>
      <c r="M136" s="7" t="s">
        <v>49</v>
      </c>
      <c r="N136" s="7" t="s">
        <v>50</v>
      </c>
      <c r="O136" s="7" t="s">
        <v>4</v>
      </c>
      <c r="P136" s="7">
        <v>1000000</v>
      </c>
      <c r="Q136" s="7">
        <v>1000000</v>
      </c>
      <c r="R136" s="7">
        <v>1000000</v>
      </c>
      <c r="S136" s="7">
        <v>1000000</v>
      </c>
      <c r="T136" s="7">
        <v>1000000</v>
      </c>
      <c r="U136" s="7">
        <v>1000000</v>
      </c>
      <c r="V136" s="7">
        <v>1000000</v>
      </c>
      <c r="W136" s="7">
        <v>1000000</v>
      </c>
      <c r="X136" s="7">
        <v>1000000</v>
      </c>
      <c r="Y136" s="7">
        <v>1000000</v>
      </c>
      <c r="Z136" s="7">
        <v>1000000</v>
      </c>
      <c r="AA136" s="7">
        <v>1000000</v>
      </c>
      <c r="AB136" s="9">
        <v>63.296747813096999</v>
      </c>
      <c r="AC136" s="9">
        <v>63.296747813096999</v>
      </c>
      <c r="AD136" s="9">
        <v>63.296747813096999</v>
      </c>
      <c r="AE136" s="9">
        <v>63.296747813096999</v>
      </c>
      <c r="AF136" s="9">
        <v>63.296747813096999</v>
      </c>
      <c r="AG136" s="9">
        <v>63.296747813096999</v>
      </c>
      <c r="AH136" s="9">
        <v>63.296747813096999</v>
      </c>
      <c r="AI136" s="9">
        <v>63.296747813096999</v>
      </c>
      <c r="AJ136" s="9">
        <v>63.296747813096999</v>
      </c>
      <c r="AK136" s="9">
        <v>63.296747813096999</v>
      </c>
      <c r="AL136" s="9">
        <v>63.296747813096999</v>
      </c>
      <c r="AM136" s="9">
        <v>63.296747813096999</v>
      </c>
      <c r="AN136" s="10">
        <v>0</v>
      </c>
      <c r="AO136" s="10">
        <v>0</v>
      </c>
      <c r="AP136" s="10">
        <v>1</v>
      </c>
      <c r="AQ136" s="10">
        <v>0</v>
      </c>
      <c r="AR136" s="10">
        <v>0</v>
      </c>
      <c r="AS136" s="10">
        <v>0</v>
      </c>
      <c r="AT136" s="10">
        <v>0</v>
      </c>
      <c r="AU136" s="10">
        <v>0</v>
      </c>
      <c r="AV136" s="10">
        <v>1</v>
      </c>
      <c r="AW136" s="10">
        <v>0</v>
      </c>
      <c r="AX136" s="10">
        <v>0</v>
      </c>
      <c r="AY136" s="10">
        <v>0</v>
      </c>
      <c r="AZ136" s="7">
        <f t="shared" si="12"/>
        <v>2</v>
      </c>
      <c r="BA136" s="11">
        <f t="shared" si="13"/>
        <v>0.16666666666666666</v>
      </c>
      <c r="BC136" s="12">
        <v>0</v>
      </c>
      <c r="BD136" s="12">
        <v>0</v>
      </c>
      <c r="BE136" s="12">
        <v>63.296747813096999</v>
      </c>
      <c r="BF136" s="12">
        <v>0</v>
      </c>
      <c r="BG136" s="12">
        <v>0</v>
      </c>
      <c r="BH136" s="12">
        <v>0</v>
      </c>
      <c r="BI136" s="12">
        <v>0</v>
      </c>
      <c r="BJ136" s="12">
        <v>0</v>
      </c>
      <c r="BK136" s="12">
        <v>63.296747813096999</v>
      </c>
      <c r="BL136" s="12">
        <v>0</v>
      </c>
      <c r="BM136" s="12">
        <v>0</v>
      </c>
      <c r="BN136" s="12">
        <v>0</v>
      </c>
      <c r="BO136" s="12">
        <f t="shared" si="14"/>
        <v>126.593495626194</v>
      </c>
      <c r="BP136" s="12">
        <f t="shared" si="15"/>
        <v>10.5494579688495</v>
      </c>
      <c r="BQ136" s="7"/>
      <c r="BR136" s="7"/>
      <c r="BS136" s="7" t="s">
        <v>57</v>
      </c>
      <c r="BT136" s="7" t="s">
        <v>52</v>
      </c>
      <c r="BU136" s="7">
        <v>0</v>
      </c>
      <c r="BV136" s="7">
        <v>10</v>
      </c>
      <c r="BW136" s="7">
        <v>0</v>
      </c>
      <c r="BX136" s="7">
        <v>10</v>
      </c>
      <c r="BY136" s="7">
        <v>5</v>
      </c>
      <c r="BZ136" s="7"/>
    </row>
    <row r="137" spans="1:78" x14ac:dyDescent="0.35">
      <c r="A137" s="7" t="s">
        <v>41</v>
      </c>
      <c r="B137" s="7"/>
      <c r="C137" s="7" t="s">
        <v>349</v>
      </c>
      <c r="D137" s="7" t="s">
        <v>101</v>
      </c>
      <c r="E137" s="7" t="s">
        <v>350</v>
      </c>
      <c r="F137" s="7" t="s">
        <v>351</v>
      </c>
      <c r="G137" s="7" t="s">
        <v>46</v>
      </c>
      <c r="H137" s="7"/>
      <c r="I137" s="7"/>
      <c r="J137" s="7" t="s">
        <v>47</v>
      </c>
      <c r="K137" s="7" t="s">
        <v>48</v>
      </c>
      <c r="L137" s="7" t="s">
        <v>49</v>
      </c>
      <c r="M137" s="7" t="s">
        <v>49</v>
      </c>
      <c r="N137" s="7" t="s">
        <v>85</v>
      </c>
      <c r="O137" s="7" t="s">
        <v>4</v>
      </c>
      <c r="P137" s="7">
        <v>700000</v>
      </c>
      <c r="Q137" s="7">
        <v>700000</v>
      </c>
      <c r="R137" s="7">
        <v>700000</v>
      </c>
      <c r="S137" s="7">
        <v>700000</v>
      </c>
      <c r="T137" s="7">
        <v>700000</v>
      </c>
      <c r="U137" s="7">
        <v>700000</v>
      </c>
      <c r="V137" s="7">
        <v>700000</v>
      </c>
      <c r="W137" s="7">
        <v>700000</v>
      </c>
      <c r="X137" s="7">
        <v>700000</v>
      </c>
      <c r="Y137" s="7">
        <v>700000</v>
      </c>
      <c r="Z137" s="7">
        <v>700000</v>
      </c>
      <c r="AA137" s="7">
        <v>700000</v>
      </c>
      <c r="AB137" s="9">
        <v>44.307723469168003</v>
      </c>
      <c r="AC137" s="9">
        <v>44.307723469168003</v>
      </c>
      <c r="AD137" s="9">
        <v>44.307723469168003</v>
      </c>
      <c r="AE137" s="9">
        <v>44.307723469168003</v>
      </c>
      <c r="AF137" s="9">
        <v>44.307723469168003</v>
      </c>
      <c r="AG137" s="9">
        <v>44.307723469168003</v>
      </c>
      <c r="AH137" s="9">
        <v>44.307723469168003</v>
      </c>
      <c r="AI137" s="9">
        <v>44.307723469168003</v>
      </c>
      <c r="AJ137" s="9">
        <v>44.307723469168003</v>
      </c>
      <c r="AK137" s="9">
        <v>44.307723469168003</v>
      </c>
      <c r="AL137" s="9">
        <v>44.307723469168003</v>
      </c>
      <c r="AM137" s="9">
        <v>44.307723469168003</v>
      </c>
      <c r="AN137" s="10">
        <v>0</v>
      </c>
      <c r="AO137" s="10">
        <v>0</v>
      </c>
      <c r="AP137" s="10">
        <v>3</v>
      </c>
      <c r="AQ137" s="10">
        <v>0</v>
      </c>
      <c r="AR137" s="10">
        <v>0</v>
      </c>
      <c r="AS137" s="10">
        <v>0</v>
      </c>
      <c r="AT137" s="10">
        <v>0</v>
      </c>
      <c r="AU137" s="10">
        <v>0</v>
      </c>
      <c r="AV137" s="10">
        <v>3</v>
      </c>
      <c r="AW137" s="10">
        <v>0</v>
      </c>
      <c r="AX137" s="10">
        <v>0</v>
      </c>
      <c r="AY137" s="10">
        <v>0</v>
      </c>
      <c r="AZ137" s="7">
        <f t="shared" si="12"/>
        <v>6</v>
      </c>
      <c r="BA137" s="11">
        <f t="shared" si="13"/>
        <v>0.5</v>
      </c>
      <c r="BC137" s="12">
        <v>0</v>
      </c>
      <c r="BD137" s="12">
        <v>0</v>
      </c>
      <c r="BE137" s="12">
        <v>132.92317040750001</v>
      </c>
      <c r="BF137" s="12">
        <v>0</v>
      </c>
      <c r="BG137" s="12">
        <v>0</v>
      </c>
      <c r="BH137" s="12">
        <v>0</v>
      </c>
      <c r="BI137" s="12">
        <v>0</v>
      </c>
      <c r="BJ137" s="12">
        <v>0</v>
      </c>
      <c r="BK137" s="12">
        <v>132.92317040750001</v>
      </c>
      <c r="BL137" s="12">
        <v>0</v>
      </c>
      <c r="BM137" s="12">
        <v>0</v>
      </c>
      <c r="BN137" s="12">
        <v>0</v>
      </c>
      <c r="BO137" s="12">
        <f t="shared" si="14"/>
        <v>265.84634081500002</v>
      </c>
      <c r="BP137" s="12">
        <f t="shared" si="15"/>
        <v>22.153861734583334</v>
      </c>
      <c r="BQ137" s="7"/>
      <c r="BR137" s="7"/>
      <c r="BS137" s="7" t="s">
        <v>57</v>
      </c>
      <c r="BT137" s="7" t="s">
        <v>52</v>
      </c>
      <c r="BU137" s="7">
        <v>0</v>
      </c>
      <c r="BV137" s="7">
        <v>10</v>
      </c>
      <c r="BW137" s="7">
        <v>0</v>
      </c>
      <c r="BX137" s="7">
        <v>10</v>
      </c>
      <c r="BY137" s="7">
        <v>5</v>
      </c>
      <c r="BZ137" s="7"/>
    </row>
    <row r="138" spans="1:78" x14ac:dyDescent="0.35">
      <c r="A138" s="7" t="s">
        <v>41</v>
      </c>
      <c r="B138" s="7"/>
      <c r="C138" s="7" t="s">
        <v>352</v>
      </c>
      <c r="D138" s="7" t="s">
        <v>353</v>
      </c>
      <c r="E138" s="7" t="s">
        <v>353</v>
      </c>
      <c r="F138" s="7" t="s">
        <v>354</v>
      </c>
      <c r="G138" s="7" t="s">
        <v>46</v>
      </c>
      <c r="H138" s="7"/>
      <c r="I138" s="7"/>
      <c r="J138" s="7" t="s">
        <v>355</v>
      </c>
      <c r="K138" s="7" t="s">
        <v>48</v>
      </c>
      <c r="L138" s="7" t="s">
        <v>49</v>
      </c>
      <c r="M138" s="7" t="s">
        <v>49</v>
      </c>
      <c r="N138" s="7" t="s">
        <v>50</v>
      </c>
      <c r="O138" s="7" t="s">
        <v>4</v>
      </c>
      <c r="P138" s="7">
        <v>300000</v>
      </c>
      <c r="Q138" s="7">
        <v>300000</v>
      </c>
      <c r="R138" s="7">
        <v>300000</v>
      </c>
      <c r="S138" s="7">
        <v>300000</v>
      </c>
      <c r="T138" s="7">
        <v>300000</v>
      </c>
      <c r="U138" s="7">
        <v>300000</v>
      </c>
      <c r="V138" s="7">
        <v>300000</v>
      </c>
      <c r="W138" s="7">
        <v>300000</v>
      </c>
      <c r="X138" s="7">
        <v>300000</v>
      </c>
      <c r="Y138" s="7">
        <v>300000</v>
      </c>
      <c r="Z138" s="7">
        <v>300000</v>
      </c>
      <c r="AA138" s="7">
        <v>300000</v>
      </c>
      <c r="AB138" s="9">
        <v>18.989024343929</v>
      </c>
      <c r="AC138" s="9">
        <v>18.989024343929</v>
      </c>
      <c r="AD138" s="9">
        <v>18.989024343929</v>
      </c>
      <c r="AE138" s="9">
        <v>18.989024343929</v>
      </c>
      <c r="AF138" s="9">
        <v>18.989024343929</v>
      </c>
      <c r="AG138" s="9">
        <v>18.989024343929</v>
      </c>
      <c r="AH138" s="9">
        <v>18.989024343929</v>
      </c>
      <c r="AI138" s="9">
        <v>18.989024343929</v>
      </c>
      <c r="AJ138" s="9">
        <v>18.989024343929</v>
      </c>
      <c r="AK138" s="9">
        <v>18.989024343929</v>
      </c>
      <c r="AL138" s="9">
        <v>18.989024343929</v>
      </c>
      <c r="AM138" s="9">
        <v>18.989024343929</v>
      </c>
      <c r="AN138" s="10">
        <v>2</v>
      </c>
      <c r="AO138" s="10">
        <v>0</v>
      </c>
      <c r="AP138" s="10">
        <v>0</v>
      </c>
      <c r="AQ138" s="10">
        <v>0</v>
      </c>
      <c r="AR138" s="10">
        <v>0</v>
      </c>
      <c r="AS138" s="10">
        <v>0</v>
      </c>
      <c r="AT138" s="10">
        <v>0</v>
      </c>
      <c r="AU138" s="10">
        <v>0</v>
      </c>
      <c r="AV138" s="10">
        <v>0</v>
      </c>
      <c r="AW138" s="10">
        <v>0</v>
      </c>
      <c r="AX138" s="10">
        <v>0</v>
      </c>
      <c r="AY138" s="10">
        <v>0</v>
      </c>
      <c r="AZ138" s="7">
        <f t="shared" si="12"/>
        <v>2</v>
      </c>
      <c r="BA138" s="11">
        <f t="shared" si="13"/>
        <v>0.16666666666666666</v>
      </c>
      <c r="BC138" s="12">
        <v>37.978048687857999</v>
      </c>
      <c r="BD138" s="12">
        <v>0</v>
      </c>
      <c r="BE138" s="12">
        <v>0</v>
      </c>
      <c r="BF138" s="12">
        <v>0</v>
      </c>
      <c r="BG138" s="12">
        <v>0</v>
      </c>
      <c r="BH138" s="12">
        <v>0</v>
      </c>
      <c r="BI138" s="12">
        <v>0</v>
      </c>
      <c r="BJ138" s="12">
        <v>0</v>
      </c>
      <c r="BK138" s="12">
        <v>0</v>
      </c>
      <c r="BL138" s="12">
        <v>0</v>
      </c>
      <c r="BM138" s="12">
        <v>0</v>
      </c>
      <c r="BN138" s="12">
        <v>0</v>
      </c>
      <c r="BO138" s="12">
        <f t="shared" si="14"/>
        <v>37.978048687857999</v>
      </c>
      <c r="BP138" s="12">
        <f t="shared" si="15"/>
        <v>3.1648373906548333</v>
      </c>
      <c r="BQ138" s="7"/>
      <c r="BR138" s="7"/>
      <c r="BS138" s="7" t="s">
        <v>51</v>
      </c>
      <c r="BT138" s="7" t="s">
        <v>52</v>
      </c>
      <c r="BU138" s="7">
        <v>15</v>
      </c>
      <c r="BV138" s="7">
        <v>10</v>
      </c>
      <c r="BW138" s="7">
        <v>5</v>
      </c>
      <c r="BX138" s="7">
        <v>20</v>
      </c>
      <c r="BY138" s="7">
        <v>5</v>
      </c>
      <c r="BZ138" s="7"/>
    </row>
    <row r="139" spans="1:78" x14ac:dyDescent="0.35">
      <c r="A139" s="7" t="s">
        <v>41</v>
      </c>
      <c r="B139" s="7"/>
      <c r="C139" s="7" t="s">
        <v>356</v>
      </c>
      <c r="D139" s="7" t="s">
        <v>73</v>
      </c>
      <c r="E139" s="7" t="s">
        <v>357</v>
      </c>
      <c r="F139" s="7" t="s">
        <v>358</v>
      </c>
      <c r="G139" s="7" t="s">
        <v>46</v>
      </c>
      <c r="H139" s="7"/>
      <c r="I139" s="7"/>
      <c r="J139" s="7" t="s">
        <v>355</v>
      </c>
      <c r="K139" s="7" t="s">
        <v>48</v>
      </c>
      <c r="L139" s="7" t="s">
        <v>49</v>
      </c>
      <c r="M139" s="7" t="s">
        <v>49</v>
      </c>
      <c r="N139" s="7" t="s">
        <v>76</v>
      </c>
      <c r="O139" s="7" t="s">
        <v>6</v>
      </c>
      <c r="P139" s="7">
        <v>27000</v>
      </c>
      <c r="Q139" s="7">
        <v>27000</v>
      </c>
      <c r="R139" s="7">
        <v>27000</v>
      </c>
      <c r="S139" s="7">
        <v>27000</v>
      </c>
      <c r="T139" s="7">
        <v>27000</v>
      </c>
      <c r="U139" s="7">
        <v>27000</v>
      </c>
      <c r="V139" s="7">
        <v>27000</v>
      </c>
      <c r="W139" s="7">
        <v>27000</v>
      </c>
      <c r="X139" s="7">
        <v>27000</v>
      </c>
      <c r="Y139" s="7">
        <v>27000</v>
      </c>
      <c r="Z139" s="7">
        <v>27000</v>
      </c>
      <c r="AA139" s="7">
        <v>27000</v>
      </c>
      <c r="AB139" s="9">
        <v>178.80794701987</v>
      </c>
      <c r="AC139" s="9">
        <v>178.80794701987</v>
      </c>
      <c r="AD139" s="9">
        <v>178.80794701987</v>
      </c>
      <c r="AE139" s="9">
        <v>178.80794701987</v>
      </c>
      <c r="AF139" s="9">
        <v>178.80794701987</v>
      </c>
      <c r="AG139" s="9">
        <v>178.80794701987</v>
      </c>
      <c r="AH139" s="9">
        <v>178.80794701987</v>
      </c>
      <c r="AI139" s="9">
        <v>178.80794701987</v>
      </c>
      <c r="AJ139" s="9">
        <v>178.80794701987</v>
      </c>
      <c r="AK139" s="9">
        <v>178.80794701987</v>
      </c>
      <c r="AL139" s="9">
        <v>178.80794701987</v>
      </c>
      <c r="AM139" s="9">
        <v>178.80794701987</v>
      </c>
      <c r="AN139" s="10">
        <v>0</v>
      </c>
      <c r="AO139" s="10">
        <v>0</v>
      </c>
      <c r="AP139" s="10">
        <v>0</v>
      </c>
      <c r="AQ139" s="10">
        <v>0</v>
      </c>
      <c r="AR139" s="10">
        <v>0</v>
      </c>
      <c r="AS139" s="10">
        <v>0</v>
      </c>
      <c r="AT139" s="10">
        <v>0</v>
      </c>
      <c r="AU139" s="10">
        <v>0</v>
      </c>
      <c r="AV139" s="10">
        <v>0</v>
      </c>
      <c r="AW139" s="10">
        <v>0</v>
      </c>
      <c r="AX139" s="10">
        <v>0</v>
      </c>
      <c r="AY139" s="10">
        <v>0</v>
      </c>
      <c r="AZ139" s="7">
        <f t="shared" si="12"/>
        <v>0</v>
      </c>
      <c r="BA139" s="11">
        <f t="shared" si="13"/>
        <v>0</v>
      </c>
      <c r="BC139" s="12">
        <v>0</v>
      </c>
      <c r="BD139" s="12">
        <v>0</v>
      </c>
      <c r="BE139" s="12">
        <v>0</v>
      </c>
      <c r="BF139" s="12">
        <v>0</v>
      </c>
      <c r="BG139" s="12">
        <v>0</v>
      </c>
      <c r="BH139" s="12">
        <v>0</v>
      </c>
      <c r="BI139" s="12">
        <v>0</v>
      </c>
      <c r="BJ139" s="12">
        <v>0</v>
      </c>
      <c r="BK139" s="12">
        <v>0</v>
      </c>
      <c r="BL139" s="12">
        <v>0</v>
      </c>
      <c r="BM139" s="12">
        <v>0</v>
      </c>
      <c r="BN139" s="12">
        <v>0</v>
      </c>
      <c r="BO139" s="12">
        <f t="shared" si="14"/>
        <v>0</v>
      </c>
      <c r="BP139" s="12">
        <f t="shared" si="15"/>
        <v>0</v>
      </c>
      <c r="BQ139" s="7"/>
      <c r="BR139" s="7"/>
      <c r="BS139" s="7" t="s">
        <v>63</v>
      </c>
      <c r="BT139" s="7" t="s">
        <v>52</v>
      </c>
      <c r="BU139" s="7">
        <v>0</v>
      </c>
      <c r="BV139" s="7">
        <v>10</v>
      </c>
      <c r="BW139" s="7">
        <v>0</v>
      </c>
      <c r="BX139" s="7">
        <v>0</v>
      </c>
      <c r="BY139" s="7">
        <v>5</v>
      </c>
      <c r="BZ139" s="7"/>
    </row>
    <row r="140" spans="1:78" x14ac:dyDescent="0.35">
      <c r="A140" s="7" t="s">
        <v>41</v>
      </c>
      <c r="B140" s="7"/>
      <c r="C140" s="7" t="s">
        <v>359</v>
      </c>
      <c r="D140" s="7" t="s">
        <v>73</v>
      </c>
      <c r="E140" s="7" t="s">
        <v>360</v>
      </c>
      <c r="F140" s="7" t="s">
        <v>358</v>
      </c>
      <c r="G140" s="7" t="s">
        <v>46</v>
      </c>
      <c r="H140" s="7"/>
      <c r="I140" s="7"/>
      <c r="J140" s="7" t="s">
        <v>355</v>
      </c>
      <c r="K140" s="7" t="s">
        <v>48</v>
      </c>
      <c r="L140" s="7" t="s">
        <v>49</v>
      </c>
      <c r="M140" s="7" t="s">
        <v>49</v>
      </c>
      <c r="N140" s="7" t="s">
        <v>76</v>
      </c>
      <c r="O140" s="7" t="s">
        <v>6</v>
      </c>
      <c r="P140" s="7">
        <v>4383</v>
      </c>
      <c r="Q140" s="7">
        <v>4383</v>
      </c>
      <c r="R140" s="7">
        <v>4383</v>
      </c>
      <c r="S140" s="7">
        <v>4383</v>
      </c>
      <c r="T140" s="7">
        <v>4383</v>
      </c>
      <c r="U140" s="7">
        <v>4383</v>
      </c>
      <c r="V140" s="7">
        <v>4383</v>
      </c>
      <c r="W140" s="7">
        <v>4383</v>
      </c>
      <c r="X140" s="7">
        <v>4383</v>
      </c>
      <c r="Y140" s="7">
        <v>4383</v>
      </c>
      <c r="Z140" s="7">
        <v>4383</v>
      </c>
      <c r="AA140" s="7">
        <v>4383</v>
      </c>
      <c r="AB140" s="9">
        <v>29.026490066225001</v>
      </c>
      <c r="AC140" s="9">
        <v>29.026490066225001</v>
      </c>
      <c r="AD140" s="9">
        <v>29.026490066225001</v>
      </c>
      <c r="AE140" s="9">
        <v>29.026490066225001</v>
      </c>
      <c r="AF140" s="9">
        <v>29.026490066225001</v>
      </c>
      <c r="AG140" s="9">
        <v>29.026490066225001</v>
      </c>
      <c r="AH140" s="9">
        <v>29.026490066225001</v>
      </c>
      <c r="AI140" s="9">
        <v>29.026490066225001</v>
      </c>
      <c r="AJ140" s="9">
        <v>29.026490066225001</v>
      </c>
      <c r="AK140" s="9">
        <v>29.026490066225001</v>
      </c>
      <c r="AL140" s="9">
        <v>29.026490066225001</v>
      </c>
      <c r="AM140" s="9">
        <v>29.026490066225001</v>
      </c>
      <c r="AN140" s="10">
        <v>0</v>
      </c>
      <c r="AO140" s="10">
        <v>0</v>
      </c>
      <c r="AP140" s="10">
        <v>0</v>
      </c>
      <c r="AQ140" s="10">
        <v>0</v>
      </c>
      <c r="AR140" s="10">
        <v>0</v>
      </c>
      <c r="AS140" s="10">
        <v>0</v>
      </c>
      <c r="AT140" s="10">
        <v>0</v>
      </c>
      <c r="AU140" s="10">
        <v>0</v>
      </c>
      <c r="AV140" s="10">
        <v>0</v>
      </c>
      <c r="AW140" s="10">
        <v>0</v>
      </c>
      <c r="AX140" s="10">
        <v>0</v>
      </c>
      <c r="AY140" s="10">
        <v>0</v>
      </c>
      <c r="AZ140" s="7">
        <f t="shared" si="12"/>
        <v>0</v>
      </c>
      <c r="BA140" s="11">
        <f t="shared" si="13"/>
        <v>0</v>
      </c>
      <c r="BC140" s="12">
        <v>0</v>
      </c>
      <c r="BD140" s="12">
        <v>0</v>
      </c>
      <c r="BE140" s="12">
        <v>0</v>
      </c>
      <c r="BF140" s="12">
        <v>0</v>
      </c>
      <c r="BG140" s="12">
        <v>0</v>
      </c>
      <c r="BH140" s="12">
        <v>0</v>
      </c>
      <c r="BI140" s="12">
        <v>0</v>
      </c>
      <c r="BJ140" s="12">
        <v>0</v>
      </c>
      <c r="BK140" s="12">
        <v>0</v>
      </c>
      <c r="BL140" s="12">
        <v>0</v>
      </c>
      <c r="BM140" s="12">
        <v>0</v>
      </c>
      <c r="BN140" s="12">
        <v>0</v>
      </c>
      <c r="BO140" s="12">
        <f t="shared" si="14"/>
        <v>0</v>
      </c>
      <c r="BP140" s="12">
        <f t="shared" si="15"/>
        <v>0</v>
      </c>
      <c r="BQ140" s="7"/>
      <c r="BR140" s="7"/>
      <c r="BS140" s="7" t="s">
        <v>63</v>
      </c>
      <c r="BT140" s="7" t="s">
        <v>52</v>
      </c>
      <c r="BU140" s="7">
        <v>0</v>
      </c>
      <c r="BV140" s="7">
        <v>10</v>
      </c>
      <c r="BW140" s="7">
        <v>0</v>
      </c>
      <c r="BX140" s="7">
        <v>0</v>
      </c>
      <c r="BY140" s="7">
        <v>5</v>
      </c>
      <c r="BZ140" s="7"/>
    </row>
    <row r="141" spans="1:78" x14ac:dyDescent="0.35">
      <c r="A141" s="7" t="s">
        <v>41</v>
      </c>
      <c r="B141" s="7"/>
      <c r="C141" s="7" t="s">
        <v>241</v>
      </c>
      <c r="D141" s="7" t="s">
        <v>242</v>
      </c>
      <c r="E141" s="7" t="s">
        <v>243</v>
      </c>
      <c r="F141" s="7" t="s">
        <v>358</v>
      </c>
      <c r="G141" s="7" t="s">
        <v>46</v>
      </c>
      <c r="H141" s="7"/>
      <c r="I141" s="7"/>
      <c r="J141" s="7" t="s">
        <v>355</v>
      </c>
      <c r="K141" s="7" t="s">
        <v>48</v>
      </c>
      <c r="L141" s="7" t="s">
        <v>49</v>
      </c>
      <c r="M141" s="7" t="s">
        <v>49</v>
      </c>
      <c r="N141" s="7" t="s">
        <v>85</v>
      </c>
      <c r="O141" s="7" t="s">
        <v>4</v>
      </c>
      <c r="P141" s="7">
        <v>560000</v>
      </c>
      <c r="Q141" s="7">
        <v>560000</v>
      </c>
      <c r="R141" s="7">
        <v>560000</v>
      </c>
      <c r="S141" s="7">
        <v>560000</v>
      </c>
      <c r="T141" s="7">
        <v>560000</v>
      </c>
      <c r="U141" s="7">
        <v>560000</v>
      </c>
      <c r="V141" s="7">
        <v>560000</v>
      </c>
      <c r="W141" s="7">
        <v>560000</v>
      </c>
      <c r="X141" s="7">
        <v>560000</v>
      </c>
      <c r="Y141" s="7">
        <v>560000</v>
      </c>
      <c r="Z141" s="7">
        <v>560000</v>
      </c>
      <c r="AA141" s="7">
        <v>560000</v>
      </c>
      <c r="AB141" s="9">
        <v>35.446178775335</v>
      </c>
      <c r="AC141" s="9">
        <v>35.446178775335</v>
      </c>
      <c r="AD141" s="9">
        <v>35.446178775335</v>
      </c>
      <c r="AE141" s="9">
        <v>35.446178775335</v>
      </c>
      <c r="AF141" s="9">
        <v>35.446178775335</v>
      </c>
      <c r="AG141" s="9">
        <v>35.446178775335</v>
      </c>
      <c r="AH141" s="9">
        <v>35.446178775335</v>
      </c>
      <c r="AI141" s="9">
        <v>35.446178775335</v>
      </c>
      <c r="AJ141" s="9">
        <v>35.446178775335</v>
      </c>
      <c r="AK141" s="9">
        <v>35.446178775335</v>
      </c>
      <c r="AL141" s="9">
        <v>35.446178775335</v>
      </c>
      <c r="AM141" s="9">
        <v>35.446178775335</v>
      </c>
      <c r="AN141" s="10">
        <v>0</v>
      </c>
      <c r="AO141" s="10">
        <v>0</v>
      </c>
      <c r="AP141" s="10">
        <v>0</v>
      </c>
      <c r="AQ141" s="10">
        <v>0</v>
      </c>
      <c r="AR141" s="10">
        <v>0</v>
      </c>
      <c r="AS141" s="10">
        <v>1</v>
      </c>
      <c r="AT141" s="10">
        <v>0</v>
      </c>
      <c r="AU141" s="10">
        <v>0</v>
      </c>
      <c r="AV141" s="10">
        <v>0</v>
      </c>
      <c r="AW141" s="10">
        <v>0</v>
      </c>
      <c r="AX141" s="10">
        <v>0</v>
      </c>
      <c r="AY141" s="10">
        <v>0</v>
      </c>
      <c r="AZ141" s="7">
        <f t="shared" ref="AZ141:AZ172" si="16">SUM(AN141:AY141)</f>
        <v>1</v>
      </c>
      <c r="BA141" s="11">
        <f t="shared" ref="BA141:BA172" si="17">AZ141/12</f>
        <v>8.3333333333333329E-2</v>
      </c>
      <c r="BC141" s="12">
        <v>0</v>
      </c>
      <c r="BD141" s="12">
        <v>0</v>
      </c>
      <c r="BE141" s="12">
        <v>0</v>
      </c>
      <c r="BF141" s="12">
        <v>0</v>
      </c>
      <c r="BG141" s="12">
        <v>0</v>
      </c>
      <c r="BH141" s="12">
        <v>35.446178775335</v>
      </c>
      <c r="BI141" s="12">
        <v>0</v>
      </c>
      <c r="BJ141" s="12">
        <v>0</v>
      </c>
      <c r="BK141" s="12">
        <v>0</v>
      </c>
      <c r="BL141" s="12">
        <v>0</v>
      </c>
      <c r="BM141" s="12">
        <v>0</v>
      </c>
      <c r="BN141" s="12">
        <v>0</v>
      </c>
      <c r="BO141" s="12">
        <f t="shared" ref="BO141:BO172" si="18">SUM(BC141:BN141)</f>
        <v>35.446178775335</v>
      </c>
      <c r="BP141" s="12">
        <f t="shared" ref="BP141:BP172" si="19">BO141/12</f>
        <v>2.9538482312779166</v>
      </c>
      <c r="BQ141" s="7"/>
      <c r="BR141" s="7"/>
      <c r="BS141" s="7" t="s">
        <v>80</v>
      </c>
      <c r="BT141" s="7" t="s">
        <v>52</v>
      </c>
      <c r="BU141" s="7">
        <v>0</v>
      </c>
      <c r="BV141" s="7">
        <v>5</v>
      </c>
      <c r="BW141" s="7">
        <v>0</v>
      </c>
      <c r="BX141" s="7">
        <v>15</v>
      </c>
      <c r="BY141" s="7">
        <v>15</v>
      </c>
      <c r="BZ141" s="7"/>
    </row>
    <row r="142" spans="1:78" x14ac:dyDescent="0.35">
      <c r="A142" s="7" t="s">
        <v>41</v>
      </c>
      <c r="B142" s="7"/>
      <c r="C142" s="7" t="s">
        <v>361</v>
      </c>
      <c r="D142" s="7" t="s">
        <v>73</v>
      </c>
      <c r="E142" s="7" t="s">
        <v>362</v>
      </c>
      <c r="F142" s="7" t="s">
        <v>358</v>
      </c>
      <c r="G142" s="7" t="s">
        <v>46</v>
      </c>
      <c r="H142" s="7"/>
      <c r="I142" s="7"/>
      <c r="J142" s="7" t="s">
        <v>355</v>
      </c>
      <c r="K142" s="7" t="s">
        <v>48</v>
      </c>
      <c r="L142" s="7" t="s">
        <v>49</v>
      </c>
      <c r="M142" s="7" t="s">
        <v>49</v>
      </c>
      <c r="N142" s="7" t="s">
        <v>76</v>
      </c>
      <c r="O142" s="7" t="s">
        <v>6</v>
      </c>
      <c r="P142" s="7">
        <v>25527</v>
      </c>
      <c r="Q142" s="7">
        <v>25527</v>
      </c>
      <c r="R142" s="7">
        <v>25527</v>
      </c>
      <c r="S142" s="7">
        <v>25527</v>
      </c>
      <c r="T142" s="7">
        <v>25527</v>
      </c>
      <c r="U142" s="7">
        <v>25527</v>
      </c>
      <c r="V142" s="7">
        <v>25527</v>
      </c>
      <c r="W142" s="7">
        <v>25527</v>
      </c>
      <c r="X142" s="7">
        <v>25527</v>
      </c>
      <c r="Y142" s="7">
        <v>25527</v>
      </c>
      <c r="Z142" s="7">
        <v>25527</v>
      </c>
      <c r="AA142" s="7">
        <v>25527</v>
      </c>
      <c r="AB142" s="9">
        <v>169.05298013244999</v>
      </c>
      <c r="AC142" s="9">
        <v>169.05298013244999</v>
      </c>
      <c r="AD142" s="9">
        <v>169.05298013244999</v>
      </c>
      <c r="AE142" s="9">
        <v>169.05298013244999</v>
      </c>
      <c r="AF142" s="9">
        <v>169.05298013244999</v>
      </c>
      <c r="AG142" s="9">
        <v>169.05298013244999</v>
      </c>
      <c r="AH142" s="9">
        <v>169.05298013244999</v>
      </c>
      <c r="AI142" s="9">
        <v>169.05298013244999</v>
      </c>
      <c r="AJ142" s="9">
        <v>169.05298013244999</v>
      </c>
      <c r="AK142" s="9">
        <v>169.05298013244999</v>
      </c>
      <c r="AL142" s="9">
        <v>169.05298013244999</v>
      </c>
      <c r="AM142" s="9">
        <v>169.05298013244999</v>
      </c>
      <c r="AN142" s="10">
        <v>0</v>
      </c>
      <c r="AO142" s="10">
        <v>0</v>
      </c>
      <c r="AP142" s="10">
        <v>0</v>
      </c>
      <c r="AQ142" s="10">
        <v>0</v>
      </c>
      <c r="AR142" s="10">
        <v>0</v>
      </c>
      <c r="AS142" s="10">
        <v>0</v>
      </c>
      <c r="AT142" s="10">
        <v>0</v>
      </c>
      <c r="AU142" s="10">
        <v>0</v>
      </c>
      <c r="AV142" s="10">
        <v>0</v>
      </c>
      <c r="AW142" s="10">
        <v>0</v>
      </c>
      <c r="AX142" s="10">
        <v>0</v>
      </c>
      <c r="AY142" s="10">
        <v>0</v>
      </c>
      <c r="AZ142" s="7">
        <f t="shared" si="16"/>
        <v>0</v>
      </c>
      <c r="BA142" s="11">
        <f t="shared" si="17"/>
        <v>0</v>
      </c>
      <c r="BC142" s="12">
        <v>0</v>
      </c>
      <c r="BD142" s="12">
        <v>0</v>
      </c>
      <c r="BE142" s="12">
        <v>0</v>
      </c>
      <c r="BF142" s="12">
        <v>0</v>
      </c>
      <c r="BG142" s="12">
        <v>0</v>
      </c>
      <c r="BH142" s="12">
        <v>0</v>
      </c>
      <c r="BI142" s="12">
        <v>0</v>
      </c>
      <c r="BJ142" s="12">
        <v>0</v>
      </c>
      <c r="BK142" s="12">
        <v>0</v>
      </c>
      <c r="BL142" s="12">
        <v>0</v>
      </c>
      <c r="BM142" s="12">
        <v>0</v>
      </c>
      <c r="BN142" s="12">
        <v>0</v>
      </c>
      <c r="BO142" s="12">
        <f t="shared" si="18"/>
        <v>0</v>
      </c>
      <c r="BP142" s="12">
        <f t="shared" si="19"/>
        <v>0</v>
      </c>
      <c r="BQ142" s="7"/>
      <c r="BR142" s="7"/>
      <c r="BS142" s="7" t="s">
        <v>63</v>
      </c>
      <c r="BT142" s="7" t="s">
        <v>52</v>
      </c>
      <c r="BU142" s="7">
        <v>0</v>
      </c>
      <c r="BV142" s="7">
        <v>10</v>
      </c>
      <c r="BW142" s="7">
        <v>0</v>
      </c>
      <c r="BX142" s="7">
        <v>0</v>
      </c>
      <c r="BY142" s="7">
        <v>5</v>
      </c>
      <c r="BZ142" s="7"/>
    </row>
    <row r="143" spans="1:78" x14ac:dyDescent="0.35">
      <c r="A143" s="7" t="s">
        <v>41</v>
      </c>
      <c r="B143" s="7"/>
      <c r="C143" s="7" t="s">
        <v>265</v>
      </c>
      <c r="D143" s="7" t="s">
        <v>123</v>
      </c>
      <c r="E143" s="7" t="s">
        <v>266</v>
      </c>
      <c r="F143" s="7" t="s">
        <v>358</v>
      </c>
      <c r="G143" s="7" t="s">
        <v>46</v>
      </c>
      <c r="H143" s="7"/>
      <c r="I143" s="7"/>
      <c r="J143" s="7" t="s">
        <v>355</v>
      </c>
      <c r="K143" s="7" t="s">
        <v>48</v>
      </c>
      <c r="L143" s="7" t="s">
        <v>49</v>
      </c>
      <c r="M143" s="7" t="s">
        <v>49</v>
      </c>
      <c r="N143" s="7" t="s">
        <v>268</v>
      </c>
      <c r="O143" s="7" t="s">
        <v>4</v>
      </c>
      <c r="P143" s="7">
        <v>23170000</v>
      </c>
      <c r="Q143" s="7">
        <v>23170000</v>
      </c>
      <c r="R143" s="7">
        <v>23170000</v>
      </c>
      <c r="S143" s="7">
        <v>23170000</v>
      </c>
      <c r="T143" s="7">
        <v>23170000</v>
      </c>
      <c r="U143" s="7">
        <v>23170000</v>
      </c>
      <c r="V143" s="7">
        <v>23170000</v>
      </c>
      <c r="W143" s="7">
        <v>23170000</v>
      </c>
      <c r="X143" s="7">
        <v>23170000</v>
      </c>
      <c r="Y143" s="7">
        <v>23170000</v>
      </c>
      <c r="Z143" s="7">
        <v>23170000</v>
      </c>
      <c r="AA143" s="7">
        <v>23170000</v>
      </c>
      <c r="AB143" s="9">
        <v>1466.5856468295001</v>
      </c>
      <c r="AC143" s="9">
        <v>1466.5856468295001</v>
      </c>
      <c r="AD143" s="9">
        <v>1466.5856468295001</v>
      </c>
      <c r="AE143" s="9">
        <v>1466.5856468295001</v>
      </c>
      <c r="AF143" s="9">
        <v>1466.5856468295001</v>
      </c>
      <c r="AG143" s="9">
        <v>1466.5856468295001</v>
      </c>
      <c r="AH143" s="9">
        <v>1466.5856468295001</v>
      </c>
      <c r="AI143" s="9">
        <v>1466.5856468295001</v>
      </c>
      <c r="AJ143" s="9">
        <v>1466.5856468295001</v>
      </c>
      <c r="AK143" s="9">
        <v>1466.5856468295001</v>
      </c>
      <c r="AL143" s="9">
        <v>1466.5856468295001</v>
      </c>
      <c r="AM143" s="9">
        <v>1466.5856468295001</v>
      </c>
      <c r="AN143" s="10">
        <v>1</v>
      </c>
      <c r="AO143" s="10">
        <v>0</v>
      </c>
      <c r="AP143" s="10">
        <v>0</v>
      </c>
      <c r="AQ143" s="10">
        <v>0</v>
      </c>
      <c r="AR143" s="10">
        <v>1</v>
      </c>
      <c r="AS143" s="10">
        <v>0</v>
      </c>
      <c r="AT143" s="10">
        <v>0</v>
      </c>
      <c r="AU143" s="10">
        <v>0</v>
      </c>
      <c r="AV143" s="10">
        <v>0</v>
      </c>
      <c r="AW143" s="10">
        <v>0</v>
      </c>
      <c r="AX143" s="10">
        <v>0</v>
      </c>
      <c r="AY143" s="10">
        <v>0</v>
      </c>
      <c r="AZ143" s="7">
        <f t="shared" si="16"/>
        <v>2</v>
      </c>
      <c r="BA143" s="11">
        <f t="shared" si="17"/>
        <v>0.16666666666666666</v>
      </c>
      <c r="BC143" s="12">
        <v>1466.5856468295001</v>
      </c>
      <c r="BD143" s="12">
        <v>0</v>
      </c>
      <c r="BE143" s="12">
        <v>0</v>
      </c>
      <c r="BF143" s="12">
        <v>0</v>
      </c>
      <c r="BG143" s="12">
        <v>1466.5856468295001</v>
      </c>
      <c r="BH143" s="12">
        <v>0</v>
      </c>
      <c r="BI143" s="12">
        <v>0</v>
      </c>
      <c r="BJ143" s="12">
        <v>0</v>
      </c>
      <c r="BK143" s="12">
        <v>0</v>
      </c>
      <c r="BL143" s="12">
        <v>0</v>
      </c>
      <c r="BM143" s="12">
        <v>0</v>
      </c>
      <c r="BN143" s="12">
        <v>0</v>
      </c>
      <c r="BO143" s="12">
        <f t="shared" si="18"/>
        <v>2933.1712936590002</v>
      </c>
      <c r="BP143" s="12">
        <f t="shared" si="19"/>
        <v>244.43094113825001</v>
      </c>
      <c r="BQ143" s="7"/>
      <c r="BR143" s="7"/>
      <c r="BS143" s="7" t="s">
        <v>125</v>
      </c>
      <c r="BT143" s="7" t="s">
        <v>52</v>
      </c>
      <c r="BU143" s="7">
        <v>15</v>
      </c>
      <c r="BV143" s="7">
        <v>10</v>
      </c>
      <c r="BW143" s="7">
        <v>5</v>
      </c>
      <c r="BX143" s="7">
        <v>20</v>
      </c>
      <c r="BY143" s="7">
        <v>5</v>
      </c>
      <c r="BZ143" s="7"/>
    </row>
    <row r="144" spans="1:78" x14ac:dyDescent="0.35">
      <c r="A144" s="7" t="s">
        <v>41</v>
      </c>
      <c r="B144" s="7"/>
      <c r="C144" s="7" t="s">
        <v>363</v>
      </c>
      <c r="D144" s="7" t="s">
        <v>73</v>
      </c>
      <c r="E144" s="7" t="s">
        <v>364</v>
      </c>
      <c r="F144" s="7" t="s">
        <v>358</v>
      </c>
      <c r="G144" s="7" t="s">
        <v>46</v>
      </c>
      <c r="H144" s="7"/>
      <c r="I144" s="7"/>
      <c r="J144" s="7" t="s">
        <v>355</v>
      </c>
      <c r="K144" s="7" t="s">
        <v>48</v>
      </c>
      <c r="L144" s="7" t="s">
        <v>49</v>
      </c>
      <c r="M144" s="7" t="s">
        <v>49</v>
      </c>
      <c r="N144" s="7" t="s">
        <v>76</v>
      </c>
      <c r="O144" s="7" t="s">
        <v>6</v>
      </c>
      <c r="P144" s="7">
        <v>7760</v>
      </c>
      <c r="Q144" s="7">
        <v>7760</v>
      </c>
      <c r="R144" s="7">
        <v>7760</v>
      </c>
      <c r="S144" s="7">
        <v>7760</v>
      </c>
      <c r="T144" s="7">
        <v>7760</v>
      </c>
      <c r="U144" s="7">
        <v>7760</v>
      </c>
      <c r="V144" s="7">
        <v>7760</v>
      </c>
      <c r="W144" s="7">
        <v>7760</v>
      </c>
      <c r="X144" s="7">
        <v>7760</v>
      </c>
      <c r="Y144" s="7">
        <v>7760</v>
      </c>
      <c r="Z144" s="7">
        <v>7760</v>
      </c>
      <c r="AA144" s="7">
        <v>7760</v>
      </c>
      <c r="AB144" s="9">
        <v>51.390728476821003</v>
      </c>
      <c r="AC144" s="9">
        <v>51.390728476821003</v>
      </c>
      <c r="AD144" s="9">
        <v>51.390728476821003</v>
      </c>
      <c r="AE144" s="9">
        <v>51.390728476821003</v>
      </c>
      <c r="AF144" s="9">
        <v>51.390728476821003</v>
      </c>
      <c r="AG144" s="9">
        <v>51.390728476821003</v>
      </c>
      <c r="AH144" s="9">
        <v>51.390728476821003</v>
      </c>
      <c r="AI144" s="9">
        <v>51.390728476821003</v>
      </c>
      <c r="AJ144" s="9">
        <v>51.390728476821003</v>
      </c>
      <c r="AK144" s="9">
        <v>51.390728476821003</v>
      </c>
      <c r="AL144" s="9">
        <v>51.390728476821003</v>
      </c>
      <c r="AM144" s="9">
        <v>51.390728476821003</v>
      </c>
      <c r="AN144" s="10">
        <v>0</v>
      </c>
      <c r="AO144" s="10">
        <v>0</v>
      </c>
      <c r="AP144" s="10">
        <v>0</v>
      </c>
      <c r="AQ144" s="10">
        <v>0</v>
      </c>
      <c r="AR144" s="10">
        <v>0</v>
      </c>
      <c r="AS144" s="10">
        <v>0</v>
      </c>
      <c r="AT144" s="10">
        <v>0</v>
      </c>
      <c r="AU144" s="10">
        <v>0</v>
      </c>
      <c r="AV144" s="10">
        <v>1</v>
      </c>
      <c r="AW144" s="10">
        <v>0</v>
      </c>
      <c r="AX144" s="10">
        <v>0</v>
      </c>
      <c r="AY144" s="10">
        <v>0</v>
      </c>
      <c r="AZ144" s="7">
        <f t="shared" si="16"/>
        <v>1</v>
      </c>
      <c r="BA144" s="11">
        <f t="shared" si="17"/>
        <v>8.3333333333333329E-2</v>
      </c>
      <c r="BC144" s="12">
        <v>0</v>
      </c>
      <c r="BD144" s="12">
        <v>0</v>
      </c>
      <c r="BE144" s="12">
        <v>0</v>
      </c>
      <c r="BF144" s="12">
        <v>0</v>
      </c>
      <c r="BG144" s="12">
        <v>0</v>
      </c>
      <c r="BH144" s="12">
        <v>0</v>
      </c>
      <c r="BI144" s="12">
        <v>0</v>
      </c>
      <c r="BJ144" s="12">
        <v>0</v>
      </c>
      <c r="BK144" s="12">
        <v>51.390728476821003</v>
      </c>
      <c r="BL144" s="12">
        <v>0</v>
      </c>
      <c r="BM144" s="12">
        <v>0</v>
      </c>
      <c r="BN144" s="12">
        <v>0</v>
      </c>
      <c r="BO144" s="12">
        <f t="shared" si="18"/>
        <v>51.390728476821003</v>
      </c>
      <c r="BP144" s="12">
        <f t="shared" si="19"/>
        <v>4.2825607064017506</v>
      </c>
      <c r="BQ144" s="7"/>
      <c r="BR144" s="7"/>
      <c r="BS144" s="7" t="s">
        <v>63</v>
      </c>
      <c r="BT144" s="7" t="s">
        <v>52</v>
      </c>
      <c r="BU144" s="7">
        <v>0</v>
      </c>
      <c r="BV144" s="7">
        <v>10</v>
      </c>
      <c r="BW144" s="7">
        <v>0</v>
      </c>
      <c r="BX144" s="7">
        <v>0</v>
      </c>
      <c r="BY144" s="7">
        <v>5</v>
      </c>
      <c r="BZ144" s="7"/>
    </row>
    <row r="145" spans="1:78" x14ac:dyDescent="0.35">
      <c r="A145" s="7" t="s">
        <v>41</v>
      </c>
      <c r="B145" s="7"/>
      <c r="C145" s="7" t="s">
        <v>365</v>
      </c>
      <c r="D145" s="7" t="s">
        <v>73</v>
      </c>
      <c r="E145" s="7" t="s">
        <v>366</v>
      </c>
      <c r="F145" s="7" t="s">
        <v>358</v>
      </c>
      <c r="G145" s="7" t="s">
        <v>46</v>
      </c>
      <c r="H145" s="7"/>
      <c r="I145" s="7"/>
      <c r="J145" s="7" t="s">
        <v>355</v>
      </c>
      <c r="K145" s="7" t="s">
        <v>48</v>
      </c>
      <c r="L145" s="7" t="s">
        <v>49</v>
      </c>
      <c r="M145" s="7" t="s">
        <v>49</v>
      </c>
      <c r="N145" s="7" t="s">
        <v>76</v>
      </c>
      <c r="O145" s="7" t="s">
        <v>6</v>
      </c>
      <c r="P145" s="7">
        <v>1400</v>
      </c>
      <c r="Q145" s="7">
        <v>1400</v>
      </c>
      <c r="R145" s="7">
        <v>1400</v>
      </c>
      <c r="S145" s="7">
        <v>1400</v>
      </c>
      <c r="T145" s="7">
        <v>1400</v>
      </c>
      <c r="U145" s="7">
        <v>1400</v>
      </c>
      <c r="V145" s="7">
        <v>1400</v>
      </c>
      <c r="W145" s="7">
        <v>1400</v>
      </c>
      <c r="X145" s="7">
        <v>1400</v>
      </c>
      <c r="Y145" s="7">
        <v>1400</v>
      </c>
      <c r="Z145" s="7">
        <v>1400</v>
      </c>
      <c r="AA145" s="7">
        <v>1400</v>
      </c>
      <c r="AB145" s="9">
        <v>9.2715231788079002</v>
      </c>
      <c r="AC145" s="9">
        <v>9.2715231788079002</v>
      </c>
      <c r="AD145" s="9">
        <v>9.2715231788079002</v>
      </c>
      <c r="AE145" s="9">
        <v>9.2715231788079002</v>
      </c>
      <c r="AF145" s="9">
        <v>9.2715231788079002</v>
      </c>
      <c r="AG145" s="9">
        <v>9.2715231788079002</v>
      </c>
      <c r="AH145" s="9">
        <v>9.2715231788079002</v>
      </c>
      <c r="AI145" s="9">
        <v>9.2715231788079002</v>
      </c>
      <c r="AJ145" s="9">
        <v>9.2715231788079002</v>
      </c>
      <c r="AK145" s="9">
        <v>9.2715231788079002</v>
      </c>
      <c r="AL145" s="9">
        <v>9.2715231788079002</v>
      </c>
      <c r="AM145" s="9">
        <v>9.2715231788079002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1</v>
      </c>
      <c r="AW145" s="10">
        <v>0</v>
      </c>
      <c r="AX145" s="10">
        <v>0</v>
      </c>
      <c r="AY145" s="10">
        <v>0</v>
      </c>
      <c r="AZ145" s="7">
        <f t="shared" si="16"/>
        <v>1</v>
      </c>
      <c r="BA145" s="11">
        <f t="shared" si="17"/>
        <v>8.3333333333333329E-2</v>
      </c>
      <c r="BC145" s="12">
        <v>0</v>
      </c>
      <c r="BD145" s="12">
        <v>0</v>
      </c>
      <c r="BE145" s="12">
        <v>0</v>
      </c>
      <c r="BF145" s="12">
        <v>0</v>
      </c>
      <c r="BG145" s="12">
        <v>0</v>
      </c>
      <c r="BH145" s="12">
        <v>0</v>
      </c>
      <c r="BI145" s="12">
        <v>0</v>
      </c>
      <c r="BJ145" s="12">
        <v>0</v>
      </c>
      <c r="BK145" s="12">
        <v>9.2715231788079002</v>
      </c>
      <c r="BL145" s="12">
        <v>0</v>
      </c>
      <c r="BM145" s="12">
        <v>0</v>
      </c>
      <c r="BN145" s="12">
        <v>0</v>
      </c>
      <c r="BO145" s="12">
        <f t="shared" si="18"/>
        <v>9.2715231788079002</v>
      </c>
      <c r="BP145" s="12">
        <f t="shared" si="19"/>
        <v>0.77262693156732498</v>
      </c>
      <c r="BQ145" s="7"/>
      <c r="BR145" s="7"/>
      <c r="BS145" s="7" t="s">
        <v>63</v>
      </c>
      <c r="BT145" s="7" t="s">
        <v>52</v>
      </c>
      <c r="BU145" s="7">
        <v>0</v>
      </c>
      <c r="BV145" s="7">
        <v>10</v>
      </c>
      <c r="BW145" s="7">
        <v>0</v>
      </c>
      <c r="BX145" s="7">
        <v>0</v>
      </c>
      <c r="BY145" s="7">
        <v>5</v>
      </c>
      <c r="BZ145" s="7"/>
    </row>
    <row r="146" spans="1:78" x14ac:dyDescent="0.35">
      <c r="A146" s="7" t="s">
        <v>41</v>
      </c>
      <c r="B146" s="7"/>
      <c r="C146" s="7" t="s">
        <v>367</v>
      </c>
      <c r="D146" s="7" t="s">
        <v>73</v>
      </c>
      <c r="E146" s="7" t="s">
        <v>368</v>
      </c>
      <c r="F146" s="7" t="s">
        <v>358</v>
      </c>
      <c r="G146" s="7" t="s">
        <v>46</v>
      </c>
      <c r="H146" s="7"/>
      <c r="I146" s="7"/>
      <c r="J146" s="7" t="s">
        <v>355</v>
      </c>
      <c r="K146" s="7" t="s">
        <v>48</v>
      </c>
      <c r="L146" s="7" t="s">
        <v>49</v>
      </c>
      <c r="M146" s="7" t="s">
        <v>49</v>
      </c>
      <c r="N146" s="7" t="s">
        <v>76</v>
      </c>
      <c r="O146" s="7" t="s">
        <v>6</v>
      </c>
      <c r="P146" s="7">
        <v>8772.5</v>
      </c>
      <c r="Q146" s="7">
        <v>8772.5</v>
      </c>
      <c r="R146" s="7">
        <v>8772.5</v>
      </c>
      <c r="S146" s="7">
        <v>8772.5</v>
      </c>
      <c r="T146" s="7">
        <v>8772.5</v>
      </c>
      <c r="U146" s="7">
        <v>8772.5</v>
      </c>
      <c r="V146" s="7">
        <v>8772.5</v>
      </c>
      <c r="W146" s="7">
        <v>8772.5</v>
      </c>
      <c r="X146" s="7">
        <v>8772.5</v>
      </c>
      <c r="Y146" s="7">
        <v>8772.5</v>
      </c>
      <c r="Z146" s="7">
        <v>8772.5</v>
      </c>
      <c r="AA146" s="7">
        <v>8772.5</v>
      </c>
      <c r="AB146" s="9">
        <v>58.096026490066002</v>
      </c>
      <c r="AC146" s="9">
        <v>58.096026490066002</v>
      </c>
      <c r="AD146" s="9">
        <v>58.096026490066002</v>
      </c>
      <c r="AE146" s="9">
        <v>58.096026490066002</v>
      </c>
      <c r="AF146" s="9">
        <v>58.096026490066002</v>
      </c>
      <c r="AG146" s="9">
        <v>58.096026490066002</v>
      </c>
      <c r="AH146" s="9">
        <v>58.096026490066002</v>
      </c>
      <c r="AI146" s="9">
        <v>58.096026490066002</v>
      </c>
      <c r="AJ146" s="9">
        <v>58.096026490066002</v>
      </c>
      <c r="AK146" s="9">
        <v>58.096026490066002</v>
      </c>
      <c r="AL146" s="9">
        <v>58.096026490066002</v>
      </c>
      <c r="AM146" s="9">
        <v>58.096026490066002</v>
      </c>
      <c r="AN146" s="10">
        <v>0</v>
      </c>
      <c r="AO146" s="10">
        <v>0</v>
      </c>
      <c r="AP146" s="10">
        <v>0</v>
      </c>
      <c r="AQ146" s="10">
        <v>0</v>
      </c>
      <c r="AR146" s="10">
        <v>0</v>
      </c>
      <c r="AS146" s="10">
        <v>0</v>
      </c>
      <c r="AT146" s="10">
        <v>0</v>
      </c>
      <c r="AU146" s="10">
        <v>0</v>
      </c>
      <c r="AV146" s="10">
        <v>1</v>
      </c>
      <c r="AW146" s="10">
        <v>0</v>
      </c>
      <c r="AX146" s="10">
        <v>0</v>
      </c>
      <c r="AY146" s="10">
        <v>0</v>
      </c>
      <c r="AZ146" s="7">
        <f t="shared" si="16"/>
        <v>1</v>
      </c>
      <c r="BA146" s="11">
        <f t="shared" si="17"/>
        <v>8.3333333333333329E-2</v>
      </c>
      <c r="BC146" s="12">
        <v>0</v>
      </c>
      <c r="BD146" s="12">
        <v>0</v>
      </c>
      <c r="BE146" s="12">
        <v>0</v>
      </c>
      <c r="BF146" s="12">
        <v>0</v>
      </c>
      <c r="BG146" s="12">
        <v>0</v>
      </c>
      <c r="BH146" s="12">
        <v>0</v>
      </c>
      <c r="BI146" s="12">
        <v>0</v>
      </c>
      <c r="BJ146" s="12">
        <v>0</v>
      </c>
      <c r="BK146" s="12">
        <v>58.096026490066002</v>
      </c>
      <c r="BL146" s="12">
        <v>0</v>
      </c>
      <c r="BM146" s="12">
        <v>0</v>
      </c>
      <c r="BN146" s="12">
        <v>0</v>
      </c>
      <c r="BO146" s="12">
        <f t="shared" si="18"/>
        <v>58.096026490066002</v>
      </c>
      <c r="BP146" s="12">
        <f t="shared" si="19"/>
        <v>4.8413355408388332</v>
      </c>
      <c r="BQ146" s="7"/>
      <c r="BR146" s="7"/>
      <c r="BS146" s="7" t="s">
        <v>63</v>
      </c>
      <c r="BT146" s="7" t="s">
        <v>52</v>
      </c>
      <c r="BU146" s="7">
        <v>0</v>
      </c>
      <c r="BV146" s="7">
        <v>10</v>
      </c>
      <c r="BW146" s="7">
        <v>0</v>
      </c>
      <c r="BX146" s="7">
        <v>0</v>
      </c>
      <c r="BY146" s="7">
        <v>5</v>
      </c>
      <c r="BZ146" s="7"/>
    </row>
    <row r="147" spans="1:78" x14ac:dyDescent="0.35">
      <c r="A147" s="7" t="s">
        <v>41</v>
      </c>
      <c r="B147" s="7"/>
      <c r="C147" s="7" t="s">
        <v>369</v>
      </c>
      <c r="D147" s="7" t="s">
        <v>73</v>
      </c>
      <c r="E147" s="7" t="s">
        <v>370</v>
      </c>
      <c r="F147" s="7" t="s">
        <v>358</v>
      </c>
      <c r="G147" s="7" t="s">
        <v>46</v>
      </c>
      <c r="H147" s="7"/>
      <c r="I147" s="7"/>
      <c r="J147" s="7" t="s">
        <v>355</v>
      </c>
      <c r="K147" s="7" t="s">
        <v>48</v>
      </c>
      <c r="L147" s="7" t="s">
        <v>49</v>
      </c>
      <c r="M147" s="7" t="s">
        <v>49</v>
      </c>
      <c r="N147" s="7" t="s">
        <v>76</v>
      </c>
      <c r="O147" s="7" t="s">
        <v>6</v>
      </c>
      <c r="P147" s="7">
        <v>231000</v>
      </c>
      <c r="Q147" s="7">
        <v>231000</v>
      </c>
      <c r="R147" s="7">
        <v>231000</v>
      </c>
      <c r="S147" s="7">
        <v>231000</v>
      </c>
      <c r="T147" s="7">
        <v>231000</v>
      </c>
      <c r="U147" s="7">
        <v>231000</v>
      </c>
      <c r="V147" s="7">
        <v>231000</v>
      </c>
      <c r="W147" s="7">
        <v>231000</v>
      </c>
      <c r="X147" s="7">
        <v>231000</v>
      </c>
      <c r="Y147" s="7">
        <v>231000</v>
      </c>
      <c r="Z147" s="7">
        <v>231000</v>
      </c>
      <c r="AA147" s="7">
        <v>231000</v>
      </c>
      <c r="AB147" s="9">
        <v>1529.8013245033001</v>
      </c>
      <c r="AC147" s="9">
        <v>1529.8013245033001</v>
      </c>
      <c r="AD147" s="9">
        <v>1529.8013245033001</v>
      </c>
      <c r="AE147" s="9">
        <v>1529.8013245033001</v>
      </c>
      <c r="AF147" s="9">
        <v>1529.8013245033001</v>
      </c>
      <c r="AG147" s="9">
        <v>1529.8013245033001</v>
      </c>
      <c r="AH147" s="9">
        <v>1529.8013245033001</v>
      </c>
      <c r="AI147" s="9">
        <v>1529.8013245033001</v>
      </c>
      <c r="AJ147" s="9">
        <v>1529.8013245033001</v>
      </c>
      <c r="AK147" s="9">
        <v>1529.8013245033001</v>
      </c>
      <c r="AL147" s="9">
        <v>1529.8013245033001</v>
      </c>
      <c r="AM147" s="9">
        <v>1529.8013245033001</v>
      </c>
      <c r="AN147" s="10">
        <v>0</v>
      </c>
      <c r="AO147" s="10">
        <v>0</v>
      </c>
      <c r="AP147" s="10">
        <v>0</v>
      </c>
      <c r="AQ147" s="10">
        <v>0</v>
      </c>
      <c r="AR147" s="10">
        <v>0</v>
      </c>
      <c r="AS147" s="10">
        <v>0</v>
      </c>
      <c r="AT147" s="10">
        <v>0</v>
      </c>
      <c r="AU147" s="10">
        <v>0</v>
      </c>
      <c r="AV147" s="10">
        <v>0</v>
      </c>
      <c r="AW147" s="10">
        <v>0</v>
      </c>
      <c r="AX147" s="10">
        <v>0</v>
      </c>
      <c r="AY147" s="10">
        <v>0</v>
      </c>
      <c r="AZ147" s="7">
        <f t="shared" si="16"/>
        <v>0</v>
      </c>
      <c r="BA147" s="11">
        <f t="shared" si="17"/>
        <v>0</v>
      </c>
      <c r="BC147" s="12">
        <v>0</v>
      </c>
      <c r="BD147" s="12">
        <v>0</v>
      </c>
      <c r="BE147" s="12">
        <v>0</v>
      </c>
      <c r="BF147" s="12">
        <v>0</v>
      </c>
      <c r="BG147" s="12">
        <v>0</v>
      </c>
      <c r="BH147" s="12">
        <v>0</v>
      </c>
      <c r="BI147" s="12">
        <v>0</v>
      </c>
      <c r="BJ147" s="12">
        <v>0</v>
      </c>
      <c r="BK147" s="12">
        <v>0</v>
      </c>
      <c r="BL147" s="12">
        <v>0</v>
      </c>
      <c r="BM147" s="12">
        <v>0</v>
      </c>
      <c r="BN147" s="12">
        <v>0</v>
      </c>
      <c r="BO147" s="12">
        <f t="shared" si="18"/>
        <v>0</v>
      </c>
      <c r="BP147" s="12">
        <f t="shared" si="19"/>
        <v>0</v>
      </c>
      <c r="BQ147" s="7"/>
      <c r="BR147" s="7"/>
      <c r="BS147" s="7" t="s">
        <v>63</v>
      </c>
      <c r="BT147" s="7" t="s">
        <v>52</v>
      </c>
      <c r="BU147" s="7">
        <v>0</v>
      </c>
      <c r="BV147" s="7">
        <v>10</v>
      </c>
      <c r="BW147" s="7">
        <v>0</v>
      </c>
      <c r="BX147" s="7">
        <v>0</v>
      </c>
      <c r="BY147" s="7">
        <v>5</v>
      </c>
      <c r="BZ147" s="7"/>
    </row>
    <row r="148" spans="1:78" x14ac:dyDescent="0.35">
      <c r="A148" s="7" t="s">
        <v>41</v>
      </c>
      <c r="B148" s="7"/>
      <c r="C148" s="7" t="s">
        <v>371</v>
      </c>
      <c r="D148" s="7" t="s">
        <v>372</v>
      </c>
      <c r="E148" s="7" t="s">
        <v>373</v>
      </c>
      <c r="F148" s="7" t="s">
        <v>374</v>
      </c>
      <c r="G148" s="7" t="s">
        <v>46</v>
      </c>
      <c r="H148" s="7"/>
      <c r="I148" s="7"/>
      <c r="J148" s="7" t="s">
        <v>355</v>
      </c>
      <c r="K148" s="7" t="s">
        <v>48</v>
      </c>
      <c r="L148" s="7" t="s">
        <v>49</v>
      </c>
      <c r="M148" s="7" t="s">
        <v>49</v>
      </c>
      <c r="N148" s="7" t="s">
        <v>50</v>
      </c>
      <c r="O148" s="7" t="s">
        <v>4</v>
      </c>
      <c r="P148" s="7">
        <v>600000</v>
      </c>
      <c r="Q148" s="7">
        <v>600000</v>
      </c>
      <c r="R148" s="7">
        <v>600000</v>
      </c>
      <c r="S148" s="7">
        <v>600000</v>
      </c>
      <c r="T148" s="7">
        <v>600000</v>
      </c>
      <c r="U148" s="7">
        <v>600000</v>
      </c>
      <c r="V148" s="7">
        <v>600000</v>
      </c>
      <c r="W148" s="7">
        <v>600000</v>
      </c>
      <c r="X148" s="7">
        <v>600000</v>
      </c>
      <c r="Y148" s="7">
        <v>600000</v>
      </c>
      <c r="Z148" s="7">
        <v>600000</v>
      </c>
      <c r="AA148" s="7">
        <v>600000</v>
      </c>
      <c r="AB148" s="9">
        <v>37.978048687857999</v>
      </c>
      <c r="AC148" s="9">
        <v>37.978048687857999</v>
      </c>
      <c r="AD148" s="9">
        <v>37.978048687857999</v>
      </c>
      <c r="AE148" s="9">
        <v>37.978048687857999</v>
      </c>
      <c r="AF148" s="9">
        <v>37.978048687857999</v>
      </c>
      <c r="AG148" s="9">
        <v>37.978048687857999</v>
      </c>
      <c r="AH148" s="9">
        <v>37.978048687857999</v>
      </c>
      <c r="AI148" s="9">
        <v>37.978048687857999</v>
      </c>
      <c r="AJ148" s="9">
        <v>37.978048687857999</v>
      </c>
      <c r="AK148" s="9">
        <v>37.978048687857999</v>
      </c>
      <c r="AL148" s="9">
        <v>37.978048687857999</v>
      </c>
      <c r="AM148" s="9">
        <v>37.978048687857999</v>
      </c>
      <c r="AN148" s="10">
        <v>2</v>
      </c>
      <c r="AO148" s="10">
        <v>0</v>
      </c>
      <c r="AP148" s="10">
        <v>0</v>
      </c>
      <c r="AQ148" s="10">
        <v>0</v>
      </c>
      <c r="AR148" s="10">
        <v>0</v>
      </c>
      <c r="AS148" s="10">
        <v>0</v>
      </c>
      <c r="AT148" s="10">
        <v>0</v>
      </c>
      <c r="AU148" s="10">
        <v>0</v>
      </c>
      <c r="AV148" s="10">
        <v>0</v>
      </c>
      <c r="AW148" s="10">
        <v>0</v>
      </c>
      <c r="AX148" s="10">
        <v>0</v>
      </c>
      <c r="AY148" s="10">
        <v>0</v>
      </c>
      <c r="AZ148" s="7">
        <f t="shared" si="16"/>
        <v>2</v>
      </c>
      <c r="BA148" s="11">
        <f t="shared" si="17"/>
        <v>0.16666666666666666</v>
      </c>
      <c r="BC148" s="12">
        <v>75.956097375716993</v>
      </c>
      <c r="BD148" s="12">
        <v>0</v>
      </c>
      <c r="BE148" s="12">
        <v>0</v>
      </c>
      <c r="BF148" s="12">
        <v>0</v>
      </c>
      <c r="BG148" s="12">
        <v>0</v>
      </c>
      <c r="BH148" s="12">
        <v>0</v>
      </c>
      <c r="BI148" s="12">
        <v>0</v>
      </c>
      <c r="BJ148" s="12">
        <v>0</v>
      </c>
      <c r="BK148" s="12">
        <v>0</v>
      </c>
      <c r="BL148" s="12">
        <v>0</v>
      </c>
      <c r="BM148" s="12">
        <v>0</v>
      </c>
      <c r="BN148" s="12">
        <v>0</v>
      </c>
      <c r="BO148" s="12">
        <f t="shared" si="18"/>
        <v>75.956097375716993</v>
      </c>
      <c r="BP148" s="12">
        <f t="shared" si="19"/>
        <v>6.3296747813097491</v>
      </c>
      <c r="BQ148" s="7"/>
      <c r="BR148" s="7"/>
      <c r="BS148" s="7" t="s">
        <v>51</v>
      </c>
      <c r="BT148" s="7" t="s">
        <v>52</v>
      </c>
      <c r="BU148" s="7">
        <v>15</v>
      </c>
      <c r="BV148" s="7">
        <v>10</v>
      </c>
      <c r="BW148" s="7">
        <v>5</v>
      </c>
      <c r="BX148" s="7">
        <v>20</v>
      </c>
      <c r="BY148" s="7">
        <v>5</v>
      </c>
      <c r="BZ148" s="7"/>
    </row>
    <row r="149" spans="1:78" x14ac:dyDescent="0.35">
      <c r="A149" s="7" t="s">
        <v>41</v>
      </c>
      <c r="B149" s="7"/>
      <c r="C149" s="7" t="s">
        <v>375</v>
      </c>
      <c r="D149" s="7" t="s">
        <v>73</v>
      </c>
      <c r="E149" s="7" t="s">
        <v>376</v>
      </c>
      <c r="F149" s="7" t="s">
        <v>358</v>
      </c>
      <c r="G149" s="7" t="s">
        <v>46</v>
      </c>
      <c r="H149" s="7"/>
      <c r="I149" s="7"/>
      <c r="J149" s="7" t="s">
        <v>355</v>
      </c>
      <c r="K149" s="7" t="s">
        <v>48</v>
      </c>
      <c r="L149" s="7" t="s">
        <v>49</v>
      </c>
      <c r="M149" s="7" t="s">
        <v>49</v>
      </c>
      <c r="N149" s="7" t="s">
        <v>76</v>
      </c>
      <c r="O149" s="7" t="s">
        <v>6</v>
      </c>
      <c r="P149" s="7">
        <v>10000</v>
      </c>
      <c r="Q149" s="7">
        <v>10000</v>
      </c>
      <c r="R149" s="7">
        <v>10000</v>
      </c>
      <c r="S149" s="7">
        <v>10000</v>
      </c>
      <c r="T149" s="7">
        <v>10000</v>
      </c>
      <c r="U149" s="7">
        <v>10000</v>
      </c>
      <c r="V149" s="7">
        <v>10000</v>
      </c>
      <c r="W149" s="7">
        <v>10000</v>
      </c>
      <c r="X149" s="7">
        <v>10000</v>
      </c>
      <c r="Y149" s="7">
        <v>10000</v>
      </c>
      <c r="Z149" s="7">
        <v>10000</v>
      </c>
      <c r="AA149" s="7">
        <v>10000</v>
      </c>
      <c r="AB149" s="9">
        <v>66.225165562914</v>
      </c>
      <c r="AC149" s="9">
        <v>66.225165562914</v>
      </c>
      <c r="AD149" s="9">
        <v>66.225165562914</v>
      </c>
      <c r="AE149" s="9">
        <v>66.225165562914</v>
      </c>
      <c r="AF149" s="9">
        <v>66.225165562914</v>
      </c>
      <c r="AG149" s="9">
        <v>66.225165562914</v>
      </c>
      <c r="AH149" s="9">
        <v>66.225165562914</v>
      </c>
      <c r="AI149" s="9">
        <v>66.225165562914</v>
      </c>
      <c r="AJ149" s="9">
        <v>66.225165562914</v>
      </c>
      <c r="AK149" s="9">
        <v>66.225165562914</v>
      </c>
      <c r="AL149" s="9">
        <v>66.225165562914</v>
      </c>
      <c r="AM149" s="9">
        <v>66.225165562914</v>
      </c>
      <c r="AN149" s="10">
        <v>0</v>
      </c>
      <c r="AO149" s="10">
        <v>0</v>
      </c>
      <c r="AP149" s="10">
        <v>0</v>
      </c>
      <c r="AQ149" s="10">
        <v>0</v>
      </c>
      <c r="AR149" s="10">
        <v>0</v>
      </c>
      <c r="AS149" s="10">
        <v>0</v>
      </c>
      <c r="AT149" s="10">
        <v>0</v>
      </c>
      <c r="AU149" s="10">
        <v>0</v>
      </c>
      <c r="AV149" s="10">
        <v>0</v>
      </c>
      <c r="AW149" s="10">
        <v>1</v>
      </c>
      <c r="AX149" s="10">
        <v>1</v>
      </c>
      <c r="AY149" s="10">
        <v>1</v>
      </c>
      <c r="AZ149" s="7">
        <f t="shared" si="16"/>
        <v>3</v>
      </c>
      <c r="BA149" s="11">
        <f t="shared" si="17"/>
        <v>0.25</v>
      </c>
      <c r="BC149" s="12">
        <v>0</v>
      </c>
      <c r="BD149" s="12">
        <v>0</v>
      </c>
      <c r="BE149" s="12">
        <v>0</v>
      </c>
      <c r="BF149" s="12">
        <v>0</v>
      </c>
      <c r="BG149" s="12">
        <v>0</v>
      </c>
      <c r="BH149" s="12">
        <v>0</v>
      </c>
      <c r="BI149" s="12">
        <v>0</v>
      </c>
      <c r="BJ149" s="12">
        <v>0</v>
      </c>
      <c r="BK149" s="12">
        <v>0</v>
      </c>
      <c r="BL149" s="12">
        <v>66.225165562914</v>
      </c>
      <c r="BM149" s="12">
        <v>66.225165562914</v>
      </c>
      <c r="BN149" s="12">
        <v>66.225165562914</v>
      </c>
      <c r="BO149" s="12">
        <f t="shared" si="18"/>
        <v>198.67549668874199</v>
      </c>
      <c r="BP149" s="12">
        <f t="shared" si="19"/>
        <v>16.5562913907285</v>
      </c>
      <c r="BQ149" s="7"/>
      <c r="BR149" s="7"/>
      <c r="BS149" s="7" t="s">
        <v>63</v>
      </c>
      <c r="BT149" s="7" t="s">
        <v>52</v>
      </c>
      <c r="BU149" s="7">
        <v>0</v>
      </c>
      <c r="BV149" s="7">
        <v>10</v>
      </c>
      <c r="BW149" s="7">
        <v>0</v>
      </c>
      <c r="BX149" s="7">
        <v>0</v>
      </c>
      <c r="BY149" s="7">
        <v>5</v>
      </c>
      <c r="BZ149" s="7"/>
    </row>
    <row r="150" spans="1:78" x14ac:dyDescent="0.35">
      <c r="A150" s="7" t="s">
        <v>41</v>
      </c>
      <c r="B150" s="7"/>
      <c r="C150" s="7" t="s">
        <v>377</v>
      </c>
      <c r="D150" s="7" t="s">
        <v>73</v>
      </c>
      <c r="E150" s="7" t="s">
        <v>378</v>
      </c>
      <c r="F150" s="7" t="s">
        <v>358</v>
      </c>
      <c r="G150" s="7" t="s">
        <v>46</v>
      </c>
      <c r="H150" s="7"/>
      <c r="I150" s="7"/>
      <c r="J150" s="7" t="s">
        <v>355</v>
      </c>
      <c r="K150" s="7" t="s">
        <v>48</v>
      </c>
      <c r="L150" s="7" t="s">
        <v>49</v>
      </c>
      <c r="M150" s="7" t="s">
        <v>49</v>
      </c>
      <c r="N150" s="7" t="s">
        <v>76</v>
      </c>
      <c r="O150" s="7" t="s">
        <v>6</v>
      </c>
      <c r="P150" s="7">
        <v>20000</v>
      </c>
      <c r="Q150" s="7">
        <v>20000</v>
      </c>
      <c r="R150" s="7">
        <v>20000</v>
      </c>
      <c r="S150" s="7">
        <v>20000</v>
      </c>
      <c r="T150" s="7">
        <v>20000</v>
      </c>
      <c r="U150" s="7">
        <v>20000</v>
      </c>
      <c r="V150" s="7">
        <v>20000</v>
      </c>
      <c r="W150" s="7">
        <v>20000</v>
      </c>
      <c r="X150" s="7">
        <v>20000</v>
      </c>
      <c r="Y150" s="7">
        <v>20000</v>
      </c>
      <c r="Z150" s="7">
        <v>20000</v>
      </c>
      <c r="AA150" s="7">
        <v>20000</v>
      </c>
      <c r="AB150" s="9">
        <v>132.45033112582999</v>
      </c>
      <c r="AC150" s="9">
        <v>132.45033112582999</v>
      </c>
      <c r="AD150" s="9">
        <v>132.45033112582999</v>
      </c>
      <c r="AE150" s="9">
        <v>132.45033112582999</v>
      </c>
      <c r="AF150" s="9">
        <v>132.45033112582999</v>
      </c>
      <c r="AG150" s="9">
        <v>132.45033112582999</v>
      </c>
      <c r="AH150" s="9">
        <v>132.45033112582999</v>
      </c>
      <c r="AI150" s="9">
        <v>132.45033112582999</v>
      </c>
      <c r="AJ150" s="9">
        <v>132.45033112582999</v>
      </c>
      <c r="AK150" s="9">
        <v>132.45033112582999</v>
      </c>
      <c r="AL150" s="9">
        <v>132.45033112582999</v>
      </c>
      <c r="AM150" s="9">
        <v>132.45033112582999</v>
      </c>
      <c r="AN150" s="10">
        <v>0</v>
      </c>
      <c r="AO150" s="10">
        <v>0</v>
      </c>
      <c r="AP150" s="10">
        <v>0</v>
      </c>
      <c r="AQ150" s="10">
        <v>0</v>
      </c>
      <c r="AR150" s="10">
        <v>0</v>
      </c>
      <c r="AS150" s="10">
        <v>0</v>
      </c>
      <c r="AT150" s="10">
        <v>0</v>
      </c>
      <c r="AU150" s="10">
        <v>0</v>
      </c>
      <c r="AV150" s="10">
        <v>1</v>
      </c>
      <c r="AW150" s="10">
        <v>0</v>
      </c>
      <c r="AX150" s="10">
        <v>0</v>
      </c>
      <c r="AY150" s="10">
        <v>0</v>
      </c>
      <c r="AZ150" s="7">
        <f t="shared" si="16"/>
        <v>1</v>
      </c>
      <c r="BA150" s="11">
        <f t="shared" si="17"/>
        <v>8.3333333333333329E-2</v>
      </c>
      <c r="BC150" s="12">
        <v>0</v>
      </c>
      <c r="BD150" s="12">
        <v>0</v>
      </c>
      <c r="BE150" s="12">
        <v>0</v>
      </c>
      <c r="BF150" s="12">
        <v>0</v>
      </c>
      <c r="BG150" s="12">
        <v>0</v>
      </c>
      <c r="BH150" s="12">
        <v>0</v>
      </c>
      <c r="BI150" s="12">
        <v>0</v>
      </c>
      <c r="BJ150" s="12">
        <v>0</v>
      </c>
      <c r="BK150" s="12">
        <v>132.45033112582999</v>
      </c>
      <c r="BL150" s="12">
        <v>0</v>
      </c>
      <c r="BM150" s="12">
        <v>0</v>
      </c>
      <c r="BN150" s="12">
        <v>0</v>
      </c>
      <c r="BO150" s="12">
        <f t="shared" si="18"/>
        <v>132.45033112582999</v>
      </c>
      <c r="BP150" s="12">
        <f t="shared" si="19"/>
        <v>11.037527593819165</v>
      </c>
      <c r="BQ150" s="7"/>
      <c r="BR150" s="7"/>
      <c r="BS150" s="7" t="s">
        <v>63</v>
      </c>
      <c r="BT150" s="7" t="s">
        <v>52</v>
      </c>
      <c r="BU150" s="7">
        <v>0</v>
      </c>
      <c r="BV150" s="7">
        <v>10</v>
      </c>
      <c r="BW150" s="7">
        <v>0</v>
      </c>
      <c r="BX150" s="7">
        <v>0</v>
      </c>
      <c r="BY150" s="7">
        <v>5</v>
      </c>
      <c r="BZ150" s="7"/>
    </row>
    <row r="151" spans="1:78" x14ac:dyDescent="0.35">
      <c r="A151" s="7" t="s">
        <v>41</v>
      </c>
      <c r="B151" s="7"/>
      <c r="C151" s="7" t="s">
        <v>379</v>
      </c>
      <c r="D151" s="7" t="s">
        <v>380</v>
      </c>
      <c r="E151" s="7" t="s">
        <v>381</v>
      </c>
      <c r="F151" s="7" t="s">
        <v>354</v>
      </c>
      <c r="G151" s="7" t="s">
        <v>46</v>
      </c>
      <c r="H151" s="7"/>
      <c r="I151" s="7"/>
      <c r="J151" s="7" t="s">
        <v>355</v>
      </c>
      <c r="K151" s="7" t="s">
        <v>48</v>
      </c>
      <c r="L151" s="7" t="s">
        <v>49</v>
      </c>
      <c r="M151" s="7" t="s">
        <v>49</v>
      </c>
      <c r="N151" s="7" t="s">
        <v>50</v>
      </c>
      <c r="O151" s="7" t="s">
        <v>4</v>
      </c>
      <c r="P151" s="7">
        <v>1200000</v>
      </c>
      <c r="Q151" s="7">
        <v>1200000</v>
      </c>
      <c r="R151" s="7">
        <v>1200000</v>
      </c>
      <c r="S151" s="7">
        <v>1200000</v>
      </c>
      <c r="T151" s="7">
        <v>1200000</v>
      </c>
      <c r="U151" s="7">
        <v>1200000</v>
      </c>
      <c r="V151" s="7">
        <v>1200000</v>
      </c>
      <c r="W151" s="7">
        <v>1200000</v>
      </c>
      <c r="X151" s="7">
        <v>1200000</v>
      </c>
      <c r="Y151" s="7">
        <v>1200000</v>
      </c>
      <c r="Z151" s="7">
        <v>1200000</v>
      </c>
      <c r="AA151" s="7">
        <v>1200000</v>
      </c>
      <c r="AB151" s="9">
        <v>75.956097375716993</v>
      </c>
      <c r="AC151" s="9">
        <v>75.956097375716993</v>
      </c>
      <c r="AD151" s="9">
        <v>75.956097375716993</v>
      </c>
      <c r="AE151" s="9">
        <v>75.956097375716993</v>
      </c>
      <c r="AF151" s="9">
        <v>75.956097375716993</v>
      </c>
      <c r="AG151" s="9">
        <v>75.956097375716993</v>
      </c>
      <c r="AH151" s="9">
        <v>75.956097375716993</v>
      </c>
      <c r="AI151" s="9">
        <v>75.956097375716993</v>
      </c>
      <c r="AJ151" s="9">
        <v>75.956097375716993</v>
      </c>
      <c r="AK151" s="9">
        <v>75.956097375716993</v>
      </c>
      <c r="AL151" s="9">
        <v>75.956097375716993</v>
      </c>
      <c r="AM151" s="9">
        <v>75.956097375716993</v>
      </c>
      <c r="AN151" s="10">
        <v>1</v>
      </c>
      <c r="AO151" s="10">
        <v>0</v>
      </c>
      <c r="AP151" s="10">
        <v>0</v>
      </c>
      <c r="AQ151" s="10">
        <v>0</v>
      </c>
      <c r="AR151" s="10">
        <v>0</v>
      </c>
      <c r="AS151" s="10">
        <v>0</v>
      </c>
      <c r="AT151" s="10">
        <v>0</v>
      </c>
      <c r="AU151" s="10">
        <v>0</v>
      </c>
      <c r="AV151" s="10">
        <v>0</v>
      </c>
      <c r="AW151" s="10">
        <v>0</v>
      </c>
      <c r="AX151" s="10">
        <v>0</v>
      </c>
      <c r="AY151" s="10">
        <v>0</v>
      </c>
      <c r="AZ151" s="7">
        <f t="shared" si="16"/>
        <v>1</v>
      </c>
      <c r="BA151" s="11">
        <f t="shared" si="17"/>
        <v>8.3333333333333329E-2</v>
      </c>
      <c r="BC151" s="12">
        <v>75.956097375716993</v>
      </c>
      <c r="BD151" s="12">
        <v>0</v>
      </c>
      <c r="BE151" s="12">
        <v>0</v>
      </c>
      <c r="BF151" s="12">
        <v>0</v>
      </c>
      <c r="BG151" s="12">
        <v>0</v>
      </c>
      <c r="BH151" s="12">
        <v>0</v>
      </c>
      <c r="BI151" s="12">
        <v>0</v>
      </c>
      <c r="BJ151" s="12">
        <v>0</v>
      </c>
      <c r="BK151" s="12">
        <v>0</v>
      </c>
      <c r="BL151" s="12">
        <v>0</v>
      </c>
      <c r="BM151" s="12">
        <v>0</v>
      </c>
      <c r="BN151" s="12">
        <v>0</v>
      </c>
      <c r="BO151" s="12">
        <f t="shared" si="18"/>
        <v>75.956097375716993</v>
      </c>
      <c r="BP151" s="12">
        <f t="shared" si="19"/>
        <v>6.3296747813097491</v>
      </c>
      <c r="BQ151" s="7"/>
      <c r="BR151" s="7"/>
      <c r="BS151" s="7" t="s">
        <v>51</v>
      </c>
      <c r="BT151" s="7" t="s">
        <v>52</v>
      </c>
      <c r="BU151" s="7">
        <v>15</v>
      </c>
      <c r="BV151" s="7">
        <v>10</v>
      </c>
      <c r="BW151" s="7">
        <v>5</v>
      </c>
      <c r="BX151" s="7">
        <v>20</v>
      </c>
      <c r="BY151" s="7">
        <v>5</v>
      </c>
      <c r="BZ151" s="7"/>
    </row>
    <row r="152" spans="1:78" x14ac:dyDescent="0.35">
      <c r="A152" s="7" t="s">
        <v>41</v>
      </c>
      <c r="B152" s="7"/>
      <c r="C152" s="7" t="s">
        <v>382</v>
      </c>
      <c r="D152" s="7" t="s">
        <v>73</v>
      </c>
      <c r="E152" s="7" t="s">
        <v>383</v>
      </c>
      <c r="F152" s="7" t="s">
        <v>358</v>
      </c>
      <c r="G152" s="7" t="s">
        <v>46</v>
      </c>
      <c r="H152" s="7"/>
      <c r="I152" s="7"/>
      <c r="J152" s="7" t="s">
        <v>355</v>
      </c>
      <c r="K152" s="7" t="s">
        <v>48</v>
      </c>
      <c r="L152" s="7" t="s">
        <v>49</v>
      </c>
      <c r="M152" s="7" t="s">
        <v>49</v>
      </c>
      <c r="N152" s="7" t="s">
        <v>76</v>
      </c>
      <c r="O152" s="7" t="s">
        <v>6</v>
      </c>
      <c r="P152" s="7">
        <v>100000</v>
      </c>
      <c r="Q152" s="7">
        <v>100000</v>
      </c>
      <c r="R152" s="7">
        <v>100000</v>
      </c>
      <c r="S152" s="7">
        <v>100000</v>
      </c>
      <c r="T152" s="7">
        <v>100000</v>
      </c>
      <c r="U152" s="7">
        <v>100000</v>
      </c>
      <c r="V152" s="7">
        <v>100000</v>
      </c>
      <c r="W152" s="7">
        <v>100000</v>
      </c>
      <c r="X152" s="7">
        <v>100000</v>
      </c>
      <c r="Y152" s="7">
        <v>100000</v>
      </c>
      <c r="Z152" s="7">
        <v>100000</v>
      </c>
      <c r="AA152" s="7">
        <v>100000</v>
      </c>
      <c r="AB152" s="9">
        <v>662.25165562914003</v>
      </c>
      <c r="AC152" s="9">
        <v>662.25165562914003</v>
      </c>
      <c r="AD152" s="9">
        <v>662.25165562914003</v>
      </c>
      <c r="AE152" s="9">
        <v>662.25165562914003</v>
      </c>
      <c r="AF152" s="9">
        <v>662.25165562914003</v>
      </c>
      <c r="AG152" s="9">
        <v>662.25165562914003</v>
      </c>
      <c r="AH152" s="9">
        <v>662.25165562914003</v>
      </c>
      <c r="AI152" s="9">
        <v>662.25165562914003</v>
      </c>
      <c r="AJ152" s="9">
        <v>662.25165562914003</v>
      </c>
      <c r="AK152" s="9">
        <v>662.25165562914003</v>
      </c>
      <c r="AL152" s="9">
        <v>662.25165562914003</v>
      </c>
      <c r="AM152" s="9">
        <v>662.25165562914003</v>
      </c>
      <c r="AN152" s="10">
        <v>0</v>
      </c>
      <c r="AO152" s="10">
        <v>0</v>
      </c>
      <c r="AP152" s="10">
        <v>0</v>
      </c>
      <c r="AQ152" s="10">
        <v>0</v>
      </c>
      <c r="AR152" s="10">
        <v>0</v>
      </c>
      <c r="AS152" s="10">
        <v>0</v>
      </c>
      <c r="AT152" s="10">
        <v>0</v>
      </c>
      <c r="AU152" s="10">
        <v>0</v>
      </c>
      <c r="AV152" s="10">
        <v>0</v>
      </c>
      <c r="AW152" s="10">
        <v>0</v>
      </c>
      <c r="AX152" s="10">
        <v>0</v>
      </c>
      <c r="AY152" s="10">
        <v>0</v>
      </c>
      <c r="AZ152" s="7">
        <f t="shared" si="16"/>
        <v>0</v>
      </c>
      <c r="BA152" s="11">
        <f t="shared" si="17"/>
        <v>0</v>
      </c>
      <c r="BC152" s="12">
        <v>0</v>
      </c>
      <c r="BD152" s="12">
        <v>0</v>
      </c>
      <c r="BE152" s="12">
        <v>0</v>
      </c>
      <c r="BF152" s="12">
        <v>0</v>
      </c>
      <c r="BG152" s="12">
        <v>0</v>
      </c>
      <c r="BH152" s="12">
        <v>0</v>
      </c>
      <c r="BI152" s="12">
        <v>0</v>
      </c>
      <c r="BJ152" s="12">
        <v>0</v>
      </c>
      <c r="BK152" s="12">
        <v>0</v>
      </c>
      <c r="BL152" s="12">
        <v>0</v>
      </c>
      <c r="BM152" s="12">
        <v>0</v>
      </c>
      <c r="BN152" s="12">
        <v>0</v>
      </c>
      <c r="BO152" s="12">
        <f t="shared" si="18"/>
        <v>0</v>
      </c>
      <c r="BP152" s="12">
        <f t="shared" si="19"/>
        <v>0</v>
      </c>
      <c r="BQ152" s="7"/>
      <c r="BR152" s="7"/>
      <c r="BS152" s="7" t="s">
        <v>63</v>
      </c>
      <c r="BT152" s="7" t="s">
        <v>52</v>
      </c>
      <c r="BU152" s="7">
        <v>0</v>
      </c>
      <c r="BV152" s="7">
        <v>10</v>
      </c>
      <c r="BW152" s="7">
        <v>0</v>
      </c>
      <c r="BX152" s="7">
        <v>0</v>
      </c>
      <c r="BY152" s="7">
        <v>5</v>
      </c>
      <c r="BZ152" s="7"/>
    </row>
    <row r="153" spans="1:78" x14ac:dyDescent="0.35">
      <c r="A153" s="7" t="s">
        <v>41</v>
      </c>
      <c r="B153" s="7"/>
      <c r="C153" s="7" t="s">
        <v>384</v>
      </c>
      <c r="D153" s="7" t="s">
        <v>73</v>
      </c>
      <c r="E153" s="7" t="s">
        <v>385</v>
      </c>
      <c r="F153" s="7" t="s">
        <v>358</v>
      </c>
      <c r="G153" s="7" t="s">
        <v>46</v>
      </c>
      <c r="H153" s="7"/>
      <c r="I153" s="7"/>
      <c r="J153" s="7" t="s">
        <v>355</v>
      </c>
      <c r="K153" s="7" t="s">
        <v>48</v>
      </c>
      <c r="L153" s="7" t="s">
        <v>49</v>
      </c>
      <c r="M153" s="7" t="s">
        <v>49</v>
      </c>
      <c r="N153" s="7" t="s">
        <v>76</v>
      </c>
      <c r="O153" s="7" t="s">
        <v>6</v>
      </c>
      <c r="P153" s="7">
        <v>8000</v>
      </c>
      <c r="Q153" s="7">
        <v>8000</v>
      </c>
      <c r="R153" s="7">
        <v>8000</v>
      </c>
      <c r="S153" s="7">
        <v>8000</v>
      </c>
      <c r="T153" s="7">
        <v>8000</v>
      </c>
      <c r="U153" s="7">
        <v>8000</v>
      </c>
      <c r="V153" s="7">
        <v>8000</v>
      </c>
      <c r="W153" s="7">
        <v>8000</v>
      </c>
      <c r="X153" s="7">
        <v>8000</v>
      </c>
      <c r="Y153" s="7">
        <v>8000</v>
      </c>
      <c r="Z153" s="7">
        <v>8000</v>
      </c>
      <c r="AA153" s="7">
        <v>8000</v>
      </c>
      <c r="AB153" s="9">
        <v>52.980132450330998</v>
      </c>
      <c r="AC153" s="9">
        <v>52.980132450330998</v>
      </c>
      <c r="AD153" s="9">
        <v>52.980132450330998</v>
      </c>
      <c r="AE153" s="9">
        <v>52.980132450330998</v>
      </c>
      <c r="AF153" s="9">
        <v>52.980132450330998</v>
      </c>
      <c r="AG153" s="9">
        <v>52.980132450330998</v>
      </c>
      <c r="AH153" s="9">
        <v>52.980132450330998</v>
      </c>
      <c r="AI153" s="9">
        <v>52.980132450330998</v>
      </c>
      <c r="AJ153" s="9">
        <v>52.980132450330998</v>
      </c>
      <c r="AK153" s="9">
        <v>52.980132450330998</v>
      </c>
      <c r="AL153" s="9">
        <v>52.980132450330998</v>
      </c>
      <c r="AM153" s="9">
        <v>52.980132450330998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0</v>
      </c>
      <c r="AU153" s="10">
        <v>0</v>
      </c>
      <c r="AV153" s="10">
        <v>0</v>
      </c>
      <c r="AW153" s="10">
        <v>0</v>
      </c>
      <c r="AX153" s="10">
        <v>0</v>
      </c>
      <c r="AY153" s="10">
        <v>0</v>
      </c>
      <c r="AZ153" s="7">
        <f t="shared" si="16"/>
        <v>0</v>
      </c>
      <c r="BA153" s="11">
        <f t="shared" si="17"/>
        <v>0</v>
      </c>
      <c r="BC153" s="12">
        <v>0</v>
      </c>
      <c r="BD153" s="12">
        <v>0</v>
      </c>
      <c r="BE153" s="12">
        <v>0</v>
      </c>
      <c r="BF153" s="12">
        <v>0</v>
      </c>
      <c r="BG153" s="12">
        <v>0</v>
      </c>
      <c r="BH153" s="12">
        <v>0</v>
      </c>
      <c r="BI153" s="12">
        <v>0</v>
      </c>
      <c r="BJ153" s="12">
        <v>0</v>
      </c>
      <c r="BK153" s="12">
        <v>0</v>
      </c>
      <c r="BL153" s="12">
        <v>0</v>
      </c>
      <c r="BM153" s="12">
        <v>0</v>
      </c>
      <c r="BN153" s="12">
        <v>0</v>
      </c>
      <c r="BO153" s="12">
        <f t="shared" si="18"/>
        <v>0</v>
      </c>
      <c r="BP153" s="12">
        <f t="shared" si="19"/>
        <v>0</v>
      </c>
      <c r="BQ153" s="7"/>
      <c r="BR153" s="7"/>
      <c r="BS153" s="7" t="s">
        <v>63</v>
      </c>
      <c r="BT153" s="7" t="s">
        <v>52</v>
      </c>
      <c r="BU153" s="7">
        <v>0</v>
      </c>
      <c r="BV153" s="7">
        <v>10</v>
      </c>
      <c r="BW153" s="7">
        <v>0</v>
      </c>
      <c r="BX153" s="7">
        <v>0</v>
      </c>
      <c r="BY153" s="7">
        <v>5</v>
      </c>
      <c r="BZ153" s="7"/>
    </row>
    <row r="154" spans="1:78" x14ac:dyDescent="0.35">
      <c r="A154" s="7" t="s">
        <v>41</v>
      </c>
      <c r="B154" s="7"/>
      <c r="C154" s="7" t="s">
        <v>386</v>
      </c>
      <c r="D154" s="7" t="s">
        <v>73</v>
      </c>
      <c r="E154" s="7" t="s">
        <v>387</v>
      </c>
      <c r="F154" s="7" t="s">
        <v>358</v>
      </c>
      <c r="G154" s="7" t="s">
        <v>46</v>
      </c>
      <c r="H154" s="7"/>
      <c r="I154" s="7"/>
      <c r="J154" s="7" t="s">
        <v>355</v>
      </c>
      <c r="K154" s="7" t="s">
        <v>48</v>
      </c>
      <c r="L154" s="7" t="s">
        <v>49</v>
      </c>
      <c r="M154" s="7" t="s">
        <v>49</v>
      </c>
      <c r="N154" s="7" t="s">
        <v>76</v>
      </c>
      <c r="O154" s="7" t="s">
        <v>6</v>
      </c>
      <c r="P154" s="7">
        <v>50000</v>
      </c>
      <c r="Q154" s="7">
        <v>50000</v>
      </c>
      <c r="R154" s="7">
        <v>50000</v>
      </c>
      <c r="S154" s="7">
        <v>50000</v>
      </c>
      <c r="T154" s="7">
        <v>50000</v>
      </c>
      <c r="U154" s="7">
        <v>50000</v>
      </c>
      <c r="V154" s="7">
        <v>50000</v>
      </c>
      <c r="W154" s="7">
        <v>50000</v>
      </c>
      <c r="X154" s="7">
        <v>50000</v>
      </c>
      <c r="Y154" s="7">
        <v>50000</v>
      </c>
      <c r="Z154" s="7">
        <v>50000</v>
      </c>
      <c r="AA154" s="7">
        <v>50000</v>
      </c>
      <c r="AB154" s="9">
        <v>331.12582781457002</v>
      </c>
      <c r="AC154" s="9">
        <v>331.12582781457002</v>
      </c>
      <c r="AD154" s="9">
        <v>331.12582781457002</v>
      </c>
      <c r="AE154" s="9">
        <v>331.12582781457002</v>
      </c>
      <c r="AF154" s="9">
        <v>331.12582781457002</v>
      </c>
      <c r="AG154" s="9">
        <v>331.12582781457002</v>
      </c>
      <c r="AH154" s="9">
        <v>331.12582781457002</v>
      </c>
      <c r="AI154" s="9">
        <v>331.12582781457002</v>
      </c>
      <c r="AJ154" s="9">
        <v>331.12582781457002</v>
      </c>
      <c r="AK154" s="9">
        <v>331.12582781457002</v>
      </c>
      <c r="AL154" s="9">
        <v>331.12582781457002</v>
      </c>
      <c r="AM154" s="9">
        <v>331.12582781457002</v>
      </c>
      <c r="AN154" s="10">
        <v>0</v>
      </c>
      <c r="AO154" s="10">
        <v>0</v>
      </c>
      <c r="AP154" s="10">
        <v>0</v>
      </c>
      <c r="AQ154" s="10">
        <v>0</v>
      </c>
      <c r="AR154" s="10">
        <v>0</v>
      </c>
      <c r="AS154" s="10">
        <v>0</v>
      </c>
      <c r="AT154" s="10">
        <v>0</v>
      </c>
      <c r="AU154" s="10">
        <v>0</v>
      </c>
      <c r="AV154" s="10">
        <v>0</v>
      </c>
      <c r="AW154" s="10">
        <v>0</v>
      </c>
      <c r="AX154" s="10">
        <v>1</v>
      </c>
      <c r="AY154" s="10">
        <v>1</v>
      </c>
      <c r="AZ154" s="7">
        <f t="shared" si="16"/>
        <v>2</v>
      </c>
      <c r="BA154" s="11">
        <f t="shared" si="17"/>
        <v>0.16666666666666666</v>
      </c>
      <c r="BC154" s="12">
        <v>0</v>
      </c>
      <c r="BD154" s="12">
        <v>0</v>
      </c>
      <c r="BE154" s="12">
        <v>0</v>
      </c>
      <c r="BF154" s="12">
        <v>0</v>
      </c>
      <c r="BG154" s="12">
        <v>0</v>
      </c>
      <c r="BH154" s="12">
        <v>0</v>
      </c>
      <c r="BI154" s="12">
        <v>0</v>
      </c>
      <c r="BJ154" s="12">
        <v>0</v>
      </c>
      <c r="BK154" s="12">
        <v>0</v>
      </c>
      <c r="BL154" s="12">
        <v>0</v>
      </c>
      <c r="BM154" s="12">
        <v>331.12582781457002</v>
      </c>
      <c r="BN154" s="12">
        <v>331.12582781457002</v>
      </c>
      <c r="BO154" s="12">
        <f t="shared" si="18"/>
        <v>662.25165562914003</v>
      </c>
      <c r="BP154" s="12">
        <f t="shared" si="19"/>
        <v>55.187637969095</v>
      </c>
      <c r="BQ154" s="7"/>
      <c r="BR154" s="7"/>
      <c r="BS154" s="7" t="s">
        <v>63</v>
      </c>
      <c r="BT154" s="7" t="s">
        <v>52</v>
      </c>
      <c r="BU154" s="7">
        <v>0</v>
      </c>
      <c r="BV154" s="7">
        <v>10</v>
      </c>
      <c r="BW154" s="7">
        <v>0</v>
      </c>
      <c r="BX154" s="7">
        <v>0</v>
      </c>
      <c r="BY154" s="7">
        <v>5</v>
      </c>
      <c r="BZ154" s="7"/>
    </row>
    <row r="155" spans="1:78" x14ac:dyDescent="0.35">
      <c r="A155" s="7" t="s">
        <v>41</v>
      </c>
      <c r="B155" s="7"/>
      <c r="C155" s="7" t="s">
        <v>388</v>
      </c>
      <c r="D155" s="7" t="s">
        <v>73</v>
      </c>
      <c r="E155" s="7" t="s">
        <v>389</v>
      </c>
      <c r="F155" s="7" t="s">
        <v>358</v>
      </c>
      <c r="G155" s="7" t="s">
        <v>46</v>
      </c>
      <c r="H155" s="7"/>
      <c r="I155" s="7"/>
      <c r="J155" s="7" t="s">
        <v>355</v>
      </c>
      <c r="K155" s="7" t="s">
        <v>48</v>
      </c>
      <c r="L155" s="7" t="s">
        <v>49</v>
      </c>
      <c r="M155" s="7" t="s">
        <v>49</v>
      </c>
      <c r="N155" s="7" t="s">
        <v>76</v>
      </c>
      <c r="O155" s="7" t="s">
        <v>6</v>
      </c>
      <c r="P155" s="7">
        <v>40000</v>
      </c>
      <c r="Q155" s="7">
        <v>40000</v>
      </c>
      <c r="R155" s="7">
        <v>40000</v>
      </c>
      <c r="S155" s="7">
        <v>40000</v>
      </c>
      <c r="T155" s="7">
        <v>40000</v>
      </c>
      <c r="U155" s="7">
        <v>40000</v>
      </c>
      <c r="V155" s="7">
        <v>40000</v>
      </c>
      <c r="W155" s="7">
        <v>40000</v>
      </c>
      <c r="X155" s="7">
        <v>40000</v>
      </c>
      <c r="Y155" s="7">
        <v>40000</v>
      </c>
      <c r="Z155" s="7">
        <v>40000</v>
      </c>
      <c r="AA155" s="7">
        <v>40000</v>
      </c>
      <c r="AB155" s="9">
        <v>264.90066225165998</v>
      </c>
      <c r="AC155" s="9">
        <v>264.90066225165998</v>
      </c>
      <c r="AD155" s="9">
        <v>264.90066225165998</v>
      </c>
      <c r="AE155" s="9">
        <v>264.90066225165998</v>
      </c>
      <c r="AF155" s="9">
        <v>264.90066225165998</v>
      </c>
      <c r="AG155" s="9">
        <v>264.90066225165998</v>
      </c>
      <c r="AH155" s="9">
        <v>264.90066225165998</v>
      </c>
      <c r="AI155" s="9">
        <v>264.90066225165998</v>
      </c>
      <c r="AJ155" s="9">
        <v>264.90066225165998</v>
      </c>
      <c r="AK155" s="9">
        <v>264.90066225165998</v>
      </c>
      <c r="AL155" s="9">
        <v>264.90066225165998</v>
      </c>
      <c r="AM155" s="9">
        <v>264.90066225165998</v>
      </c>
      <c r="AN155" s="10">
        <v>0</v>
      </c>
      <c r="AO155" s="10">
        <v>0</v>
      </c>
      <c r="AP155" s="10">
        <v>0</v>
      </c>
      <c r="AQ155" s="10">
        <v>0</v>
      </c>
      <c r="AR155" s="10">
        <v>0</v>
      </c>
      <c r="AS155" s="10">
        <v>0</v>
      </c>
      <c r="AT155" s="10">
        <v>0</v>
      </c>
      <c r="AU155" s="10">
        <v>0</v>
      </c>
      <c r="AV155" s="10">
        <v>1</v>
      </c>
      <c r="AW155" s="10">
        <v>0</v>
      </c>
      <c r="AX155" s="10">
        <v>0</v>
      </c>
      <c r="AY155" s="10">
        <v>0</v>
      </c>
      <c r="AZ155" s="7">
        <f t="shared" si="16"/>
        <v>1</v>
      </c>
      <c r="BA155" s="11">
        <f t="shared" si="17"/>
        <v>8.3333333333333329E-2</v>
      </c>
      <c r="BC155" s="12">
        <v>0</v>
      </c>
      <c r="BD155" s="12">
        <v>0</v>
      </c>
      <c r="BE155" s="12">
        <v>0</v>
      </c>
      <c r="BF155" s="12">
        <v>0</v>
      </c>
      <c r="BG155" s="12">
        <v>0</v>
      </c>
      <c r="BH155" s="12">
        <v>0</v>
      </c>
      <c r="BI155" s="12">
        <v>0</v>
      </c>
      <c r="BJ155" s="12">
        <v>0</v>
      </c>
      <c r="BK155" s="12">
        <v>264.90066225165998</v>
      </c>
      <c r="BL155" s="12">
        <v>0</v>
      </c>
      <c r="BM155" s="12">
        <v>0</v>
      </c>
      <c r="BN155" s="12">
        <v>0</v>
      </c>
      <c r="BO155" s="12">
        <f t="shared" si="18"/>
        <v>264.90066225165998</v>
      </c>
      <c r="BP155" s="12">
        <f t="shared" si="19"/>
        <v>22.075055187638331</v>
      </c>
      <c r="BQ155" s="7"/>
      <c r="BR155" s="7"/>
      <c r="BS155" s="7" t="s">
        <v>63</v>
      </c>
      <c r="BT155" s="7" t="s">
        <v>52</v>
      </c>
      <c r="BU155" s="7">
        <v>0</v>
      </c>
      <c r="BV155" s="7">
        <v>10</v>
      </c>
      <c r="BW155" s="7">
        <v>0</v>
      </c>
      <c r="BX155" s="7">
        <v>0</v>
      </c>
      <c r="BY155" s="7">
        <v>5</v>
      </c>
      <c r="BZ155" s="7"/>
    </row>
    <row r="156" spans="1:78" x14ac:dyDescent="0.35">
      <c r="A156" s="7" t="s">
        <v>41</v>
      </c>
      <c r="B156" s="7"/>
      <c r="C156" s="7" t="s">
        <v>390</v>
      </c>
      <c r="D156" s="7" t="s">
        <v>73</v>
      </c>
      <c r="E156" s="7" t="s">
        <v>391</v>
      </c>
      <c r="F156" s="7" t="s">
        <v>358</v>
      </c>
      <c r="G156" s="7" t="s">
        <v>46</v>
      </c>
      <c r="H156" s="7"/>
      <c r="I156" s="7"/>
      <c r="J156" s="7" t="s">
        <v>355</v>
      </c>
      <c r="K156" s="7" t="s">
        <v>48</v>
      </c>
      <c r="L156" s="7" t="s">
        <v>49</v>
      </c>
      <c r="M156" s="7" t="s">
        <v>49</v>
      </c>
      <c r="N156" s="7" t="s">
        <v>76</v>
      </c>
      <c r="O156" s="7" t="s">
        <v>6</v>
      </c>
      <c r="P156" s="7">
        <v>30000</v>
      </c>
      <c r="Q156" s="7">
        <v>30000</v>
      </c>
      <c r="R156" s="7">
        <v>30000</v>
      </c>
      <c r="S156" s="7">
        <v>30000</v>
      </c>
      <c r="T156" s="7">
        <v>30000</v>
      </c>
      <c r="U156" s="7">
        <v>30000</v>
      </c>
      <c r="V156" s="7">
        <v>30000</v>
      </c>
      <c r="W156" s="7">
        <v>30000</v>
      </c>
      <c r="X156" s="7">
        <v>30000</v>
      </c>
      <c r="Y156" s="7">
        <v>30000</v>
      </c>
      <c r="Z156" s="7">
        <v>30000</v>
      </c>
      <c r="AA156" s="7">
        <v>30000</v>
      </c>
      <c r="AB156" s="9">
        <v>198.67549668874</v>
      </c>
      <c r="AC156" s="9">
        <v>198.67549668874</v>
      </c>
      <c r="AD156" s="9">
        <v>198.67549668874</v>
      </c>
      <c r="AE156" s="9">
        <v>198.67549668874</v>
      </c>
      <c r="AF156" s="9">
        <v>198.67549668874</v>
      </c>
      <c r="AG156" s="9">
        <v>198.67549668874</v>
      </c>
      <c r="AH156" s="9">
        <v>198.67549668874</v>
      </c>
      <c r="AI156" s="9">
        <v>198.67549668874</v>
      </c>
      <c r="AJ156" s="9">
        <v>198.67549668874</v>
      </c>
      <c r="AK156" s="9">
        <v>198.67549668874</v>
      </c>
      <c r="AL156" s="9">
        <v>198.67549668874</v>
      </c>
      <c r="AM156" s="9">
        <v>198.67549668874</v>
      </c>
      <c r="AN156" s="10">
        <v>0</v>
      </c>
      <c r="AO156" s="10">
        <v>0</v>
      </c>
      <c r="AP156" s="10">
        <v>0</v>
      </c>
      <c r="AQ156" s="10">
        <v>0</v>
      </c>
      <c r="AR156" s="10">
        <v>0</v>
      </c>
      <c r="AS156" s="10">
        <v>0</v>
      </c>
      <c r="AT156" s="10">
        <v>0</v>
      </c>
      <c r="AU156" s="10">
        <v>0</v>
      </c>
      <c r="AV156" s="10">
        <v>1</v>
      </c>
      <c r="AW156" s="10">
        <v>0</v>
      </c>
      <c r="AX156" s="10">
        <v>0</v>
      </c>
      <c r="AY156" s="10">
        <v>0</v>
      </c>
      <c r="AZ156" s="7">
        <f t="shared" si="16"/>
        <v>1</v>
      </c>
      <c r="BA156" s="11">
        <f t="shared" si="17"/>
        <v>8.3333333333333329E-2</v>
      </c>
      <c r="BC156" s="12">
        <v>0</v>
      </c>
      <c r="BD156" s="12">
        <v>0</v>
      </c>
      <c r="BE156" s="12">
        <v>0</v>
      </c>
      <c r="BF156" s="12">
        <v>0</v>
      </c>
      <c r="BG156" s="12">
        <v>0</v>
      </c>
      <c r="BH156" s="12">
        <v>0</v>
      </c>
      <c r="BI156" s="12">
        <v>0</v>
      </c>
      <c r="BJ156" s="12">
        <v>0</v>
      </c>
      <c r="BK156" s="12">
        <v>198.67549668874</v>
      </c>
      <c r="BL156" s="12">
        <v>0</v>
      </c>
      <c r="BM156" s="12">
        <v>0</v>
      </c>
      <c r="BN156" s="12">
        <v>0</v>
      </c>
      <c r="BO156" s="12">
        <f t="shared" si="18"/>
        <v>198.67549668874</v>
      </c>
      <c r="BP156" s="12">
        <f t="shared" si="19"/>
        <v>16.556291390728333</v>
      </c>
      <c r="BQ156" s="7"/>
      <c r="BR156" s="7"/>
      <c r="BS156" s="7" t="s">
        <v>63</v>
      </c>
      <c r="BT156" s="7" t="s">
        <v>52</v>
      </c>
      <c r="BU156" s="7">
        <v>0</v>
      </c>
      <c r="BV156" s="7">
        <v>10</v>
      </c>
      <c r="BW156" s="7">
        <v>0</v>
      </c>
      <c r="BX156" s="7">
        <v>0</v>
      </c>
      <c r="BY156" s="7">
        <v>5</v>
      </c>
      <c r="BZ156" s="7"/>
    </row>
    <row r="157" spans="1:78" x14ac:dyDescent="0.35">
      <c r="A157" s="7" t="s">
        <v>41</v>
      </c>
      <c r="B157" s="7"/>
      <c r="C157" s="7" t="s">
        <v>392</v>
      </c>
      <c r="D157" s="7" t="s">
        <v>73</v>
      </c>
      <c r="E157" s="7" t="s">
        <v>393</v>
      </c>
      <c r="F157" s="7" t="s">
        <v>358</v>
      </c>
      <c r="G157" s="7" t="s">
        <v>46</v>
      </c>
      <c r="H157" s="7"/>
      <c r="I157" s="7"/>
      <c r="J157" s="7" t="s">
        <v>355</v>
      </c>
      <c r="K157" s="7" t="s">
        <v>48</v>
      </c>
      <c r="L157" s="7" t="s">
        <v>49</v>
      </c>
      <c r="M157" s="7" t="s">
        <v>49</v>
      </c>
      <c r="N157" s="7" t="s">
        <v>76</v>
      </c>
      <c r="O157" s="7" t="s">
        <v>6</v>
      </c>
      <c r="P157" s="7">
        <v>100000</v>
      </c>
      <c r="Q157" s="7">
        <v>100000</v>
      </c>
      <c r="R157" s="7">
        <v>100000</v>
      </c>
      <c r="S157" s="7">
        <v>100000</v>
      </c>
      <c r="T157" s="7">
        <v>100000</v>
      </c>
      <c r="U157" s="7">
        <v>100000</v>
      </c>
      <c r="V157" s="7">
        <v>100000</v>
      </c>
      <c r="W157" s="7">
        <v>100000</v>
      </c>
      <c r="X157" s="7">
        <v>100000</v>
      </c>
      <c r="Y157" s="7">
        <v>100000</v>
      </c>
      <c r="Z157" s="7">
        <v>100000</v>
      </c>
      <c r="AA157" s="7">
        <v>100000</v>
      </c>
      <c r="AB157" s="9">
        <v>662.25165562914003</v>
      </c>
      <c r="AC157" s="9">
        <v>662.25165562914003</v>
      </c>
      <c r="AD157" s="9">
        <v>662.25165562914003</v>
      </c>
      <c r="AE157" s="9">
        <v>662.25165562914003</v>
      </c>
      <c r="AF157" s="9">
        <v>662.25165562914003</v>
      </c>
      <c r="AG157" s="9">
        <v>662.25165562914003</v>
      </c>
      <c r="AH157" s="9">
        <v>662.25165562914003</v>
      </c>
      <c r="AI157" s="9">
        <v>662.25165562914003</v>
      </c>
      <c r="AJ157" s="9">
        <v>662.25165562914003</v>
      </c>
      <c r="AK157" s="9">
        <v>662.25165562914003</v>
      </c>
      <c r="AL157" s="9">
        <v>662.25165562914003</v>
      </c>
      <c r="AM157" s="9">
        <v>662.25165562914003</v>
      </c>
      <c r="AN157" s="10">
        <v>0</v>
      </c>
      <c r="AO157" s="10">
        <v>0</v>
      </c>
      <c r="AP157" s="10">
        <v>0</v>
      </c>
      <c r="AQ157" s="10">
        <v>0</v>
      </c>
      <c r="AR157" s="10">
        <v>0</v>
      </c>
      <c r="AS157" s="10">
        <v>0</v>
      </c>
      <c r="AT157" s="10">
        <v>0</v>
      </c>
      <c r="AU157" s="10">
        <v>0</v>
      </c>
      <c r="AV157" s="10">
        <v>0</v>
      </c>
      <c r="AW157" s="10">
        <v>1</v>
      </c>
      <c r="AX157" s="10">
        <v>0</v>
      </c>
      <c r="AY157" s="10">
        <v>0</v>
      </c>
      <c r="AZ157" s="7">
        <f t="shared" si="16"/>
        <v>1</v>
      </c>
      <c r="BA157" s="11">
        <f t="shared" si="17"/>
        <v>8.3333333333333329E-2</v>
      </c>
      <c r="BC157" s="12">
        <v>0</v>
      </c>
      <c r="BD157" s="12">
        <v>0</v>
      </c>
      <c r="BE157" s="12">
        <v>0</v>
      </c>
      <c r="BF157" s="12">
        <v>0</v>
      </c>
      <c r="BG157" s="12">
        <v>0</v>
      </c>
      <c r="BH157" s="12">
        <v>0</v>
      </c>
      <c r="BI157" s="12">
        <v>0</v>
      </c>
      <c r="BJ157" s="12">
        <v>0</v>
      </c>
      <c r="BK157" s="12">
        <v>0</v>
      </c>
      <c r="BL157" s="12">
        <v>662.25165562914003</v>
      </c>
      <c r="BM157" s="12">
        <v>0</v>
      </c>
      <c r="BN157" s="12">
        <v>0</v>
      </c>
      <c r="BO157" s="12">
        <f t="shared" si="18"/>
        <v>662.25165562914003</v>
      </c>
      <c r="BP157" s="12">
        <f t="shared" si="19"/>
        <v>55.187637969095</v>
      </c>
      <c r="BQ157" s="7"/>
      <c r="BR157" s="7"/>
      <c r="BS157" s="7" t="s">
        <v>63</v>
      </c>
      <c r="BT157" s="7" t="s">
        <v>52</v>
      </c>
      <c r="BU157" s="7">
        <v>0</v>
      </c>
      <c r="BV157" s="7">
        <v>10</v>
      </c>
      <c r="BW157" s="7">
        <v>0</v>
      </c>
      <c r="BX157" s="7">
        <v>0</v>
      </c>
      <c r="BY157" s="7">
        <v>5</v>
      </c>
      <c r="BZ157" s="7"/>
    </row>
    <row r="158" spans="1:78" x14ac:dyDescent="0.35">
      <c r="A158" s="7" t="s">
        <v>41</v>
      </c>
      <c r="B158" s="7"/>
      <c r="C158" s="7" t="s">
        <v>394</v>
      </c>
      <c r="D158" s="7" t="s">
        <v>73</v>
      </c>
      <c r="E158" s="7" t="s">
        <v>395</v>
      </c>
      <c r="F158" s="7" t="s">
        <v>358</v>
      </c>
      <c r="G158" s="7" t="s">
        <v>46</v>
      </c>
      <c r="H158" s="7"/>
      <c r="I158" s="7"/>
      <c r="J158" s="7" t="s">
        <v>355</v>
      </c>
      <c r="K158" s="7" t="s">
        <v>48</v>
      </c>
      <c r="L158" s="7" t="s">
        <v>49</v>
      </c>
      <c r="M158" s="7" t="s">
        <v>49</v>
      </c>
      <c r="N158" s="7" t="s">
        <v>76</v>
      </c>
      <c r="O158" s="7" t="s">
        <v>6</v>
      </c>
      <c r="P158" s="7">
        <v>300</v>
      </c>
      <c r="Q158" s="7">
        <v>300</v>
      </c>
      <c r="R158" s="7">
        <v>300</v>
      </c>
      <c r="S158" s="7">
        <v>300</v>
      </c>
      <c r="T158" s="7">
        <v>300</v>
      </c>
      <c r="U158" s="7">
        <v>300</v>
      </c>
      <c r="V158" s="7">
        <v>300</v>
      </c>
      <c r="W158" s="7">
        <v>300</v>
      </c>
      <c r="X158" s="7">
        <v>300</v>
      </c>
      <c r="Y158" s="7">
        <v>300</v>
      </c>
      <c r="Z158" s="7">
        <v>300</v>
      </c>
      <c r="AA158" s="7">
        <v>300</v>
      </c>
      <c r="AB158" s="9">
        <v>1.9867549668874001</v>
      </c>
      <c r="AC158" s="9">
        <v>1.9867549668874001</v>
      </c>
      <c r="AD158" s="9">
        <v>1.9867549668874001</v>
      </c>
      <c r="AE158" s="9">
        <v>1.9867549668874001</v>
      </c>
      <c r="AF158" s="9">
        <v>1.9867549668874001</v>
      </c>
      <c r="AG158" s="9">
        <v>1.9867549668874001</v>
      </c>
      <c r="AH158" s="9">
        <v>1.9867549668874001</v>
      </c>
      <c r="AI158" s="9">
        <v>1.9867549668874001</v>
      </c>
      <c r="AJ158" s="9">
        <v>1.9867549668874001</v>
      </c>
      <c r="AK158" s="9">
        <v>1.9867549668874001</v>
      </c>
      <c r="AL158" s="9">
        <v>1.9867549668874001</v>
      </c>
      <c r="AM158" s="9">
        <v>1.9867549668874001</v>
      </c>
      <c r="AN158" s="10">
        <v>0</v>
      </c>
      <c r="AO158" s="10">
        <v>0</v>
      </c>
      <c r="AP158" s="10">
        <v>0</v>
      </c>
      <c r="AQ158" s="10">
        <v>0</v>
      </c>
      <c r="AR158" s="10">
        <v>0</v>
      </c>
      <c r="AS158" s="10">
        <v>0</v>
      </c>
      <c r="AT158" s="10">
        <v>0</v>
      </c>
      <c r="AU158" s="10">
        <v>0</v>
      </c>
      <c r="AV158" s="10">
        <v>1</v>
      </c>
      <c r="AW158" s="10">
        <v>0</v>
      </c>
      <c r="AX158" s="10">
        <v>0</v>
      </c>
      <c r="AY158" s="10">
        <v>0</v>
      </c>
      <c r="AZ158" s="7">
        <f t="shared" si="16"/>
        <v>1</v>
      </c>
      <c r="BA158" s="11">
        <f t="shared" si="17"/>
        <v>8.3333333333333329E-2</v>
      </c>
      <c r="BC158" s="12">
        <v>0</v>
      </c>
      <c r="BD158" s="12">
        <v>0</v>
      </c>
      <c r="BE158" s="12">
        <v>0</v>
      </c>
      <c r="BF158" s="12">
        <v>0</v>
      </c>
      <c r="BG158" s="12">
        <v>0</v>
      </c>
      <c r="BH158" s="12">
        <v>0</v>
      </c>
      <c r="BI158" s="12">
        <v>0</v>
      </c>
      <c r="BJ158" s="12">
        <v>0</v>
      </c>
      <c r="BK158" s="12">
        <v>1.9867549668874001</v>
      </c>
      <c r="BL158" s="12">
        <v>0</v>
      </c>
      <c r="BM158" s="12">
        <v>0</v>
      </c>
      <c r="BN158" s="12">
        <v>0</v>
      </c>
      <c r="BO158" s="12">
        <f t="shared" si="18"/>
        <v>1.9867549668874001</v>
      </c>
      <c r="BP158" s="12">
        <f t="shared" si="19"/>
        <v>0.16556291390728334</v>
      </c>
      <c r="BQ158" s="7"/>
      <c r="BR158" s="7"/>
      <c r="BS158" s="7" t="s">
        <v>63</v>
      </c>
      <c r="BT158" s="7" t="s">
        <v>52</v>
      </c>
      <c r="BU158" s="7">
        <v>0</v>
      </c>
      <c r="BV158" s="7">
        <v>10</v>
      </c>
      <c r="BW158" s="7">
        <v>0</v>
      </c>
      <c r="BX158" s="7">
        <v>0</v>
      </c>
      <c r="BY158" s="7">
        <v>5</v>
      </c>
      <c r="BZ158" s="7"/>
    </row>
    <row r="159" spans="1:78" x14ac:dyDescent="0.35">
      <c r="A159" s="7" t="s">
        <v>41</v>
      </c>
      <c r="B159" s="7"/>
      <c r="C159" s="7" t="s">
        <v>396</v>
      </c>
      <c r="D159" s="7" t="s">
        <v>73</v>
      </c>
      <c r="E159" s="7" t="s">
        <v>397</v>
      </c>
      <c r="F159" s="7" t="s">
        <v>358</v>
      </c>
      <c r="G159" s="7" t="s">
        <v>46</v>
      </c>
      <c r="H159" s="7"/>
      <c r="I159" s="7"/>
      <c r="J159" s="7" t="s">
        <v>355</v>
      </c>
      <c r="K159" s="7" t="s">
        <v>48</v>
      </c>
      <c r="L159" s="7" t="s">
        <v>49</v>
      </c>
      <c r="M159" s="7" t="s">
        <v>49</v>
      </c>
      <c r="N159" s="7" t="s">
        <v>76</v>
      </c>
      <c r="O159" s="7" t="s">
        <v>6</v>
      </c>
      <c r="P159" s="7">
        <v>10000</v>
      </c>
      <c r="Q159" s="7">
        <v>10000</v>
      </c>
      <c r="R159" s="7">
        <v>10000</v>
      </c>
      <c r="S159" s="7">
        <v>10000</v>
      </c>
      <c r="T159" s="7">
        <v>10000</v>
      </c>
      <c r="U159" s="7">
        <v>10000</v>
      </c>
      <c r="V159" s="7">
        <v>10000</v>
      </c>
      <c r="W159" s="7">
        <v>10000</v>
      </c>
      <c r="X159" s="7">
        <v>10000</v>
      </c>
      <c r="Y159" s="7">
        <v>10000</v>
      </c>
      <c r="Z159" s="7">
        <v>10000</v>
      </c>
      <c r="AA159" s="7">
        <v>10000</v>
      </c>
      <c r="AB159" s="9">
        <v>66.225165562914</v>
      </c>
      <c r="AC159" s="9">
        <v>66.225165562914</v>
      </c>
      <c r="AD159" s="9">
        <v>66.225165562914</v>
      </c>
      <c r="AE159" s="9">
        <v>66.225165562914</v>
      </c>
      <c r="AF159" s="9">
        <v>66.225165562914</v>
      </c>
      <c r="AG159" s="9">
        <v>66.225165562914</v>
      </c>
      <c r="AH159" s="9">
        <v>66.225165562914</v>
      </c>
      <c r="AI159" s="9">
        <v>66.225165562914</v>
      </c>
      <c r="AJ159" s="9">
        <v>66.225165562914</v>
      </c>
      <c r="AK159" s="9">
        <v>66.225165562914</v>
      </c>
      <c r="AL159" s="9">
        <v>66.225165562914</v>
      </c>
      <c r="AM159" s="9">
        <v>66.225165562914</v>
      </c>
      <c r="AN159" s="10">
        <v>0</v>
      </c>
      <c r="AO159" s="10">
        <v>0</v>
      </c>
      <c r="AP159" s="10">
        <v>0</v>
      </c>
      <c r="AQ159" s="10">
        <v>0</v>
      </c>
      <c r="AR159" s="10">
        <v>0</v>
      </c>
      <c r="AS159" s="10">
        <v>0</v>
      </c>
      <c r="AT159" s="10">
        <v>0</v>
      </c>
      <c r="AU159" s="10">
        <v>0</v>
      </c>
      <c r="AV159" s="10">
        <v>1</v>
      </c>
      <c r="AW159" s="10">
        <v>0</v>
      </c>
      <c r="AX159" s="10">
        <v>0</v>
      </c>
      <c r="AY159" s="10">
        <v>0</v>
      </c>
      <c r="AZ159" s="7">
        <f t="shared" si="16"/>
        <v>1</v>
      </c>
      <c r="BA159" s="11">
        <f t="shared" si="17"/>
        <v>8.3333333333333329E-2</v>
      </c>
      <c r="BC159" s="12">
        <v>0</v>
      </c>
      <c r="BD159" s="12">
        <v>0</v>
      </c>
      <c r="BE159" s="12">
        <v>0</v>
      </c>
      <c r="BF159" s="12">
        <v>0</v>
      </c>
      <c r="BG159" s="12">
        <v>0</v>
      </c>
      <c r="BH159" s="12">
        <v>0</v>
      </c>
      <c r="BI159" s="12">
        <v>0</v>
      </c>
      <c r="BJ159" s="12">
        <v>0</v>
      </c>
      <c r="BK159" s="12">
        <v>66.225165562914</v>
      </c>
      <c r="BL159" s="12">
        <v>0</v>
      </c>
      <c r="BM159" s="12">
        <v>0</v>
      </c>
      <c r="BN159" s="12">
        <v>0</v>
      </c>
      <c r="BO159" s="12">
        <f t="shared" si="18"/>
        <v>66.225165562914</v>
      </c>
      <c r="BP159" s="12">
        <f t="shared" si="19"/>
        <v>5.5187637969095</v>
      </c>
      <c r="BQ159" s="7"/>
      <c r="BR159" s="7"/>
      <c r="BS159" s="7" t="s">
        <v>63</v>
      </c>
      <c r="BT159" s="7" t="s">
        <v>52</v>
      </c>
      <c r="BU159" s="7">
        <v>0</v>
      </c>
      <c r="BV159" s="7">
        <v>10</v>
      </c>
      <c r="BW159" s="7">
        <v>0</v>
      </c>
      <c r="BX159" s="7">
        <v>0</v>
      </c>
      <c r="BY159" s="7">
        <v>5</v>
      </c>
      <c r="BZ159" s="7"/>
    </row>
    <row r="160" spans="1:78" x14ac:dyDescent="0.35">
      <c r="A160" s="7" t="s">
        <v>41</v>
      </c>
      <c r="B160" s="7"/>
      <c r="C160" s="7" t="s">
        <v>398</v>
      </c>
      <c r="D160" s="7" t="s">
        <v>73</v>
      </c>
      <c r="E160" s="7" t="s">
        <v>399</v>
      </c>
      <c r="F160" s="7" t="s">
        <v>358</v>
      </c>
      <c r="G160" s="7" t="s">
        <v>46</v>
      </c>
      <c r="H160" s="7"/>
      <c r="I160" s="7"/>
      <c r="J160" s="7" t="s">
        <v>355</v>
      </c>
      <c r="K160" s="7" t="s">
        <v>48</v>
      </c>
      <c r="L160" s="7" t="s">
        <v>49</v>
      </c>
      <c r="M160" s="7" t="s">
        <v>49</v>
      </c>
      <c r="N160" s="7" t="s">
        <v>76</v>
      </c>
      <c r="O160" s="7" t="s">
        <v>6</v>
      </c>
      <c r="P160" s="7">
        <v>8000</v>
      </c>
      <c r="Q160" s="7">
        <v>8000</v>
      </c>
      <c r="R160" s="7">
        <v>8000</v>
      </c>
      <c r="S160" s="7">
        <v>8000</v>
      </c>
      <c r="T160" s="7">
        <v>8000</v>
      </c>
      <c r="U160" s="7">
        <v>8000</v>
      </c>
      <c r="V160" s="7">
        <v>8000</v>
      </c>
      <c r="W160" s="7">
        <v>8000</v>
      </c>
      <c r="X160" s="7">
        <v>8000</v>
      </c>
      <c r="Y160" s="7">
        <v>8000</v>
      </c>
      <c r="Z160" s="7">
        <v>8000</v>
      </c>
      <c r="AA160" s="7">
        <v>8000</v>
      </c>
      <c r="AB160" s="9">
        <v>52.980132450330998</v>
      </c>
      <c r="AC160" s="9">
        <v>52.980132450330998</v>
      </c>
      <c r="AD160" s="9">
        <v>52.980132450330998</v>
      </c>
      <c r="AE160" s="9">
        <v>52.980132450330998</v>
      </c>
      <c r="AF160" s="9">
        <v>52.980132450330998</v>
      </c>
      <c r="AG160" s="9">
        <v>52.980132450330998</v>
      </c>
      <c r="AH160" s="9">
        <v>52.980132450330998</v>
      </c>
      <c r="AI160" s="9">
        <v>52.980132450330998</v>
      </c>
      <c r="AJ160" s="9">
        <v>52.980132450330998</v>
      </c>
      <c r="AK160" s="9">
        <v>52.980132450330998</v>
      </c>
      <c r="AL160" s="9">
        <v>52.980132450330998</v>
      </c>
      <c r="AM160" s="9">
        <v>52.980132450330998</v>
      </c>
      <c r="AN160" s="10">
        <v>0</v>
      </c>
      <c r="AO160" s="10">
        <v>0</v>
      </c>
      <c r="AP160" s="10">
        <v>0</v>
      </c>
      <c r="AQ160" s="10">
        <v>0</v>
      </c>
      <c r="AR160" s="10">
        <v>0</v>
      </c>
      <c r="AS160" s="10">
        <v>0</v>
      </c>
      <c r="AT160" s="10">
        <v>0</v>
      </c>
      <c r="AU160" s="10">
        <v>0</v>
      </c>
      <c r="AV160" s="10">
        <v>0</v>
      </c>
      <c r="AW160" s="10">
        <v>0</v>
      </c>
      <c r="AX160" s="10">
        <v>0</v>
      </c>
      <c r="AY160" s="10">
        <v>0</v>
      </c>
      <c r="AZ160" s="7">
        <f t="shared" si="16"/>
        <v>0</v>
      </c>
      <c r="BA160" s="11">
        <f t="shared" si="17"/>
        <v>0</v>
      </c>
      <c r="BC160" s="12">
        <v>0</v>
      </c>
      <c r="BD160" s="12">
        <v>0</v>
      </c>
      <c r="BE160" s="12">
        <v>0</v>
      </c>
      <c r="BF160" s="12">
        <v>0</v>
      </c>
      <c r="BG160" s="12">
        <v>0</v>
      </c>
      <c r="BH160" s="12">
        <v>0</v>
      </c>
      <c r="BI160" s="12">
        <v>0</v>
      </c>
      <c r="BJ160" s="12">
        <v>0</v>
      </c>
      <c r="BK160" s="12">
        <v>0</v>
      </c>
      <c r="BL160" s="12">
        <v>0</v>
      </c>
      <c r="BM160" s="12">
        <v>0</v>
      </c>
      <c r="BN160" s="12">
        <v>0</v>
      </c>
      <c r="BO160" s="12">
        <f t="shared" si="18"/>
        <v>0</v>
      </c>
      <c r="BP160" s="12">
        <f t="shared" si="19"/>
        <v>0</v>
      </c>
      <c r="BQ160" s="7"/>
      <c r="BR160" s="7"/>
      <c r="BS160" s="7" t="s">
        <v>63</v>
      </c>
      <c r="BT160" s="7" t="s">
        <v>52</v>
      </c>
      <c r="BU160" s="7">
        <v>0</v>
      </c>
      <c r="BV160" s="7">
        <v>10</v>
      </c>
      <c r="BW160" s="7">
        <v>0</v>
      </c>
      <c r="BX160" s="7">
        <v>0</v>
      </c>
      <c r="BY160" s="7">
        <v>5</v>
      </c>
      <c r="BZ160" s="7"/>
    </row>
    <row r="161" spans="1:78" x14ac:dyDescent="0.35">
      <c r="A161" s="7" t="s">
        <v>41</v>
      </c>
      <c r="B161" s="7"/>
      <c r="C161" s="7" t="s">
        <v>400</v>
      </c>
      <c r="D161" s="7" t="s">
        <v>73</v>
      </c>
      <c r="E161" s="7" t="s">
        <v>401</v>
      </c>
      <c r="F161" s="7" t="s">
        <v>358</v>
      </c>
      <c r="G161" s="7" t="s">
        <v>46</v>
      </c>
      <c r="H161" s="7"/>
      <c r="I161" s="7"/>
      <c r="J161" s="7" t="s">
        <v>355</v>
      </c>
      <c r="K161" s="7" t="s">
        <v>48</v>
      </c>
      <c r="L161" s="7" t="s">
        <v>49</v>
      </c>
      <c r="M161" s="7" t="s">
        <v>49</v>
      </c>
      <c r="N161" s="7" t="s">
        <v>76</v>
      </c>
      <c r="O161" s="7" t="s">
        <v>6</v>
      </c>
      <c r="P161" s="7">
        <v>7400</v>
      </c>
      <c r="Q161" s="7">
        <v>7400</v>
      </c>
      <c r="R161" s="7">
        <v>7400</v>
      </c>
      <c r="S161" s="7">
        <v>7400</v>
      </c>
      <c r="T161" s="7">
        <v>7400</v>
      </c>
      <c r="U161" s="7">
        <v>7400</v>
      </c>
      <c r="V161" s="7">
        <v>7400</v>
      </c>
      <c r="W161" s="7">
        <v>7400</v>
      </c>
      <c r="X161" s="7">
        <v>7400</v>
      </c>
      <c r="Y161" s="7">
        <v>7400</v>
      </c>
      <c r="Z161" s="7">
        <v>7400</v>
      </c>
      <c r="AA161" s="7">
        <v>7400</v>
      </c>
      <c r="AB161" s="9">
        <v>49.006622516556</v>
      </c>
      <c r="AC161" s="9">
        <v>49.006622516556</v>
      </c>
      <c r="AD161" s="9">
        <v>49.006622516556</v>
      </c>
      <c r="AE161" s="9">
        <v>49.006622516556</v>
      </c>
      <c r="AF161" s="9">
        <v>49.006622516556</v>
      </c>
      <c r="AG161" s="9">
        <v>49.006622516556</v>
      </c>
      <c r="AH161" s="9">
        <v>49.006622516556</v>
      </c>
      <c r="AI161" s="9">
        <v>49.006622516556</v>
      </c>
      <c r="AJ161" s="9">
        <v>49.006622516556</v>
      </c>
      <c r="AK161" s="9">
        <v>49.006622516556</v>
      </c>
      <c r="AL161" s="9">
        <v>49.006622516556</v>
      </c>
      <c r="AM161" s="9">
        <v>49.006622516556</v>
      </c>
      <c r="AN161" s="10">
        <v>0</v>
      </c>
      <c r="AO161" s="10">
        <v>0</v>
      </c>
      <c r="AP161" s="10">
        <v>0</v>
      </c>
      <c r="AQ161" s="10">
        <v>0</v>
      </c>
      <c r="AR161" s="10">
        <v>0</v>
      </c>
      <c r="AS161" s="10">
        <v>0</v>
      </c>
      <c r="AT161" s="10">
        <v>0</v>
      </c>
      <c r="AU161" s="10">
        <v>0</v>
      </c>
      <c r="AV161" s="10">
        <v>1</v>
      </c>
      <c r="AW161" s="10">
        <v>0</v>
      </c>
      <c r="AX161" s="10">
        <v>0</v>
      </c>
      <c r="AY161" s="10">
        <v>0</v>
      </c>
      <c r="AZ161" s="7">
        <f t="shared" si="16"/>
        <v>1</v>
      </c>
      <c r="BA161" s="11">
        <f t="shared" si="17"/>
        <v>8.3333333333333329E-2</v>
      </c>
      <c r="BC161" s="12">
        <v>0</v>
      </c>
      <c r="BD161" s="12">
        <v>0</v>
      </c>
      <c r="BE161" s="12">
        <v>0</v>
      </c>
      <c r="BF161" s="12">
        <v>0</v>
      </c>
      <c r="BG161" s="12">
        <v>0</v>
      </c>
      <c r="BH161" s="12">
        <v>0</v>
      </c>
      <c r="BI161" s="12">
        <v>0</v>
      </c>
      <c r="BJ161" s="12">
        <v>0</v>
      </c>
      <c r="BK161" s="12">
        <v>49.006622516556</v>
      </c>
      <c r="BL161" s="12">
        <v>0</v>
      </c>
      <c r="BM161" s="12">
        <v>0</v>
      </c>
      <c r="BN161" s="12">
        <v>0</v>
      </c>
      <c r="BO161" s="12">
        <f t="shared" si="18"/>
        <v>49.006622516556</v>
      </c>
      <c r="BP161" s="12">
        <f t="shared" si="19"/>
        <v>4.0838852097130003</v>
      </c>
      <c r="BQ161" s="7"/>
      <c r="BR161" s="7"/>
      <c r="BS161" s="7" t="s">
        <v>63</v>
      </c>
      <c r="BT161" s="7" t="s">
        <v>52</v>
      </c>
      <c r="BU161" s="7">
        <v>0</v>
      </c>
      <c r="BV161" s="7">
        <v>10</v>
      </c>
      <c r="BW161" s="7">
        <v>0</v>
      </c>
      <c r="BX161" s="7">
        <v>0</v>
      </c>
      <c r="BY161" s="7">
        <v>5</v>
      </c>
      <c r="BZ161" s="7"/>
    </row>
    <row r="162" spans="1:78" x14ac:dyDescent="0.35">
      <c r="A162" s="7" t="s">
        <v>41</v>
      </c>
      <c r="B162" s="7"/>
      <c r="C162" s="7" t="s">
        <v>402</v>
      </c>
      <c r="D162" s="7" t="s">
        <v>73</v>
      </c>
      <c r="E162" s="7" t="s">
        <v>403</v>
      </c>
      <c r="F162" s="7" t="s">
        <v>358</v>
      </c>
      <c r="G162" s="7" t="s">
        <v>46</v>
      </c>
      <c r="H162" s="7"/>
      <c r="I162" s="7"/>
      <c r="J162" s="7" t="s">
        <v>355</v>
      </c>
      <c r="K162" s="7" t="s">
        <v>48</v>
      </c>
      <c r="L162" s="7" t="s">
        <v>49</v>
      </c>
      <c r="M162" s="7" t="s">
        <v>49</v>
      </c>
      <c r="N162" s="7" t="s">
        <v>76</v>
      </c>
      <c r="O162" s="7" t="s">
        <v>6</v>
      </c>
      <c r="P162" s="7">
        <v>35000</v>
      </c>
      <c r="Q162" s="7">
        <v>35000</v>
      </c>
      <c r="R162" s="7">
        <v>35000</v>
      </c>
      <c r="S162" s="7">
        <v>35000</v>
      </c>
      <c r="T162" s="7">
        <v>35000</v>
      </c>
      <c r="U162" s="7">
        <v>35000</v>
      </c>
      <c r="V162" s="7">
        <v>35000</v>
      </c>
      <c r="W162" s="7">
        <v>35000</v>
      </c>
      <c r="X162" s="7">
        <v>35000</v>
      </c>
      <c r="Y162" s="7">
        <v>35000</v>
      </c>
      <c r="Z162" s="7">
        <v>35000</v>
      </c>
      <c r="AA162" s="7">
        <v>35000</v>
      </c>
      <c r="AB162" s="9">
        <v>231.78807947019999</v>
      </c>
      <c r="AC162" s="9">
        <v>231.78807947019999</v>
      </c>
      <c r="AD162" s="9">
        <v>231.78807947019999</v>
      </c>
      <c r="AE162" s="9">
        <v>231.78807947019999</v>
      </c>
      <c r="AF162" s="9">
        <v>231.78807947019999</v>
      </c>
      <c r="AG162" s="9">
        <v>231.78807947019999</v>
      </c>
      <c r="AH162" s="9">
        <v>231.78807947019999</v>
      </c>
      <c r="AI162" s="9">
        <v>231.78807947019999</v>
      </c>
      <c r="AJ162" s="9">
        <v>231.78807947019999</v>
      </c>
      <c r="AK162" s="9">
        <v>231.78807947019999</v>
      </c>
      <c r="AL162" s="9">
        <v>231.78807947019999</v>
      </c>
      <c r="AM162" s="9">
        <v>231.78807947019999</v>
      </c>
      <c r="AN162" s="10">
        <v>0</v>
      </c>
      <c r="AO162" s="10">
        <v>0</v>
      </c>
      <c r="AP162" s="10">
        <v>0</v>
      </c>
      <c r="AQ162" s="10">
        <v>0</v>
      </c>
      <c r="AR162" s="10">
        <v>0</v>
      </c>
      <c r="AS162" s="10">
        <v>0</v>
      </c>
      <c r="AT162" s="10">
        <v>0</v>
      </c>
      <c r="AU162" s="10">
        <v>0</v>
      </c>
      <c r="AV162" s="10">
        <v>1</v>
      </c>
      <c r="AW162" s="10">
        <v>0</v>
      </c>
      <c r="AX162" s="10">
        <v>0</v>
      </c>
      <c r="AY162" s="10">
        <v>0</v>
      </c>
      <c r="AZ162" s="7">
        <f t="shared" si="16"/>
        <v>1</v>
      </c>
      <c r="BA162" s="11">
        <f t="shared" si="17"/>
        <v>8.3333333333333329E-2</v>
      </c>
      <c r="BC162" s="12">
        <v>0</v>
      </c>
      <c r="BD162" s="12">
        <v>0</v>
      </c>
      <c r="BE162" s="12">
        <v>0</v>
      </c>
      <c r="BF162" s="12">
        <v>0</v>
      </c>
      <c r="BG162" s="12">
        <v>0</v>
      </c>
      <c r="BH162" s="12">
        <v>0</v>
      </c>
      <c r="BI162" s="12">
        <v>0</v>
      </c>
      <c r="BJ162" s="12">
        <v>0</v>
      </c>
      <c r="BK162" s="12">
        <v>231.78807947019999</v>
      </c>
      <c r="BL162" s="12">
        <v>0</v>
      </c>
      <c r="BM162" s="12">
        <v>0</v>
      </c>
      <c r="BN162" s="12">
        <v>0</v>
      </c>
      <c r="BO162" s="12">
        <f t="shared" si="18"/>
        <v>231.78807947019999</v>
      </c>
      <c r="BP162" s="12">
        <f t="shared" si="19"/>
        <v>19.315673289183334</v>
      </c>
      <c r="BQ162" s="7"/>
      <c r="BR162" s="7"/>
      <c r="BS162" s="7" t="s">
        <v>63</v>
      </c>
      <c r="BT162" s="7" t="s">
        <v>52</v>
      </c>
      <c r="BU162" s="7">
        <v>0</v>
      </c>
      <c r="BV162" s="7">
        <v>10</v>
      </c>
      <c r="BW162" s="7">
        <v>0</v>
      </c>
      <c r="BX162" s="7">
        <v>0</v>
      </c>
      <c r="BY162" s="7">
        <v>5</v>
      </c>
      <c r="BZ162" s="7"/>
    </row>
    <row r="163" spans="1:78" x14ac:dyDescent="0.35">
      <c r="A163" s="7" t="s">
        <v>41</v>
      </c>
      <c r="B163" s="7"/>
      <c r="C163" s="7" t="s">
        <v>404</v>
      </c>
      <c r="D163" s="7" t="s">
        <v>73</v>
      </c>
      <c r="E163" s="7" t="s">
        <v>405</v>
      </c>
      <c r="F163" s="7" t="s">
        <v>358</v>
      </c>
      <c r="G163" s="7" t="s">
        <v>46</v>
      </c>
      <c r="H163" s="7"/>
      <c r="I163" s="7"/>
      <c r="J163" s="7" t="s">
        <v>355</v>
      </c>
      <c r="K163" s="7" t="s">
        <v>48</v>
      </c>
      <c r="L163" s="7" t="s">
        <v>49</v>
      </c>
      <c r="M163" s="7" t="s">
        <v>49</v>
      </c>
      <c r="N163" s="7" t="s">
        <v>76</v>
      </c>
      <c r="O163" s="7" t="s">
        <v>6</v>
      </c>
      <c r="P163" s="7">
        <v>20000</v>
      </c>
      <c r="Q163" s="7">
        <v>20000</v>
      </c>
      <c r="R163" s="7">
        <v>20000</v>
      </c>
      <c r="S163" s="7">
        <v>20000</v>
      </c>
      <c r="T163" s="7">
        <v>20000</v>
      </c>
      <c r="U163" s="7">
        <v>20000</v>
      </c>
      <c r="V163" s="7">
        <v>20000</v>
      </c>
      <c r="W163" s="7">
        <v>20000</v>
      </c>
      <c r="X163" s="7">
        <v>20000</v>
      </c>
      <c r="Y163" s="7">
        <v>20000</v>
      </c>
      <c r="Z163" s="7">
        <v>20000</v>
      </c>
      <c r="AA163" s="7">
        <v>20000</v>
      </c>
      <c r="AB163" s="9">
        <v>132.45033112582999</v>
      </c>
      <c r="AC163" s="9">
        <v>132.45033112582999</v>
      </c>
      <c r="AD163" s="9">
        <v>132.45033112582999</v>
      </c>
      <c r="AE163" s="9">
        <v>132.45033112582999</v>
      </c>
      <c r="AF163" s="9">
        <v>132.45033112582999</v>
      </c>
      <c r="AG163" s="9">
        <v>132.45033112582999</v>
      </c>
      <c r="AH163" s="9">
        <v>132.45033112582999</v>
      </c>
      <c r="AI163" s="9">
        <v>132.45033112582999</v>
      </c>
      <c r="AJ163" s="9">
        <v>132.45033112582999</v>
      </c>
      <c r="AK163" s="9">
        <v>132.45033112582999</v>
      </c>
      <c r="AL163" s="9">
        <v>132.45033112582999</v>
      </c>
      <c r="AM163" s="9">
        <v>132.45033112582999</v>
      </c>
      <c r="AN163" s="10">
        <v>0</v>
      </c>
      <c r="AO163" s="10">
        <v>0</v>
      </c>
      <c r="AP163" s="10">
        <v>0</v>
      </c>
      <c r="AQ163" s="10">
        <v>0</v>
      </c>
      <c r="AR163" s="10">
        <v>0</v>
      </c>
      <c r="AS163" s="10">
        <v>0</v>
      </c>
      <c r="AT163" s="10">
        <v>0</v>
      </c>
      <c r="AU163" s="10">
        <v>0</v>
      </c>
      <c r="AV163" s="10">
        <v>0</v>
      </c>
      <c r="AW163" s="10">
        <v>0</v>
      </c>
      <c r="AX163" s="10">
        <v>0</v>
      </c>
      <c r="AY163" s="10">
        <v>0</v>
      </c>
      <c r="AZ163" s="7">
        <f t="shared" si="16"/>
        <v>0</v>
      </c>
      <c r="BA163" s="11">
        <f t="shared" si="17"/>
        <v>0</v>
      </c>
      <c r="BC163" s="12">
        <v>0</v>
      </c>
      <c r="BD163" s="12">
        <v>0</v>
      </c>
      <c r="BE163" s="12">
        <v>0</v>
      </c>
      <c r="BF163" s="12">
        <v>0</v>
      </c>
      <c r="BG163" s="12">
        <v>0</v>
      </c>
      <c r="BH163" s="12">
        <v>0</v>
      </c>
      <c r="BI163" s="12">
        <v>0</v>
      </c>
      <c r="BJ163" s="12">
        <v>0</v>
      </c>
      <c r="BK163" s="12">
        <v>0</v>
      </c>
      <c r="BL163" s="12">
        <v>0</v>
      </c>
      <c r="BM163" s="12">
        <v>0</v>
      </c>
      <c r="BN163" s="12">
        <v>0</v>
      </c>
      <c r="BO163" s="12">
        <f t="shared" si="18"/>
        <v>0</v>
      </c>
      <c r="BP163" s="12">
        <f t="shared" si="19"/>
        <v>0</v>
      </c>
      <c r="BQ163" s="7"/>
      <c r="BR163" s="7"/>
      <c r="BS163" s="7" t="s">
        <v>63</v>
      </c>
      <c r="BT163" s="7" t="s">
        <v>52</v>
      </c>
      <c r="BU163" s="7">
        <v>0</v>
      </c>
      <c r="BV163" s="7">
        <v>10</v>
      </c>
      <c r="BW163" s="7">
        <v>0</v>
      </c>
      <c r="BX163" s="7">
        <v>0</v>
      </c>
      <c r="BY163" s="7">
        <v>5</v>
      </c>
      <c r="BZ163" s="7"/>
    </row>
    <row r="164" spans="1:78" x14ac:dyDescent="0.35">
      <c r="A164" s="7" t="s">
        <v>41</v>
      </c>
      <c r="B164" s="7"/>
      <c r="C164" s="7" t="s">
        <v>406</v>
      </c>
      <c r="D164" s="7" t="s">
        <v>73</v>
      </c>
      <c r="E164" s="7" t="s">
        <v>407</v>
      </c>
      <c r="F164" s="7" t="s">
        <v>358</v>
      </c>
      <c r="G164" s="7" t="s">
        <v>46</v>
      </c>
      <c r="H164" s="7"/>
      <c r="I164" s="7"/>
      <c r="J164" s="7" t="s">
        <v>355</v>
      </c>
      <c r="K164" s="7" t="s">
        <v>48</v>
      </c>
      <c r="L164" s="7" t="s">
        <v>49</v>
      </c>
      <c r="M164" s="7" t="s">
        <v>49</v>
      </c>
      <c r="N164" s="7" t="s">
        <v>76</v>
      </c>
      <c r="O164" s="7" t="s">
        <v>6</v>
      </c>
      <c r="P164" s="7">
        <v>3000</v>
      </c>
      <c r="Q164" s="7">
        <v>3000</v>
      </c>
      <c r="R164" s="7">
        <v>3000</v>
      </c>
      <c r="S164" s="7">
        <v>3000</v>
      </c>
      <c r="T164" s="7">
        <v>3000</v>
      </c>
      <c r="U164" s="7">
        <v>3000</v>
      </c>
      <c r="V164" s="7">
        <v>3000</v>
      </c>
      <c r="W164" s="7">
        <v>3000</v>
      </c>
      <c r="X164" s="7">
        <v>3000</v>
      </c>
      <c r="Y164" s="7">
        <v>3000</v>
      </c>
      <c r="Z164" s="7">
        <v>3000</v>
      </c>
      <c r="AA164" s="7">
        <v>3000</v>
      </c>
      <c r="AB164" s="9">
        <v>19.867549668873998</v>
      </c>
      <c r="AC164" s="9">
        <v>19.867549668873998</v>
      </c>
      <c r="AD164" s="9">
        <v>19.867549668873998</v>
      </c>
      <c r="AE164" s="9">
        <v>19.867549668873998</v>
      </c>
      <c r="AF164" s="9">
        <v>19.867549668873998</v>
      </c>
      <c r="AG164" s="9">
        <v>19.867549668873998</v>
      </c>
      <c r="AH164" s="9">
        <v>19.867549668873998</v>
      </c>
      <c r="AI164" s="9">
        <v>19.867549668873998</v>
      </c>
      <c r="AJ164" s="9">
        <v>19.867549668873998</v>
      </c>
      <c r="AK164" s="9">
        <v>19.867549668873998</v>
      </c>
      <c r="AL164" s="9">
        <v>19.867549668873998</v>
      </c>
      <c r="AM164" s="9">
        <v>19.867549668873998</v>
      </c>
      <c r="AN164" s="10">
        <v>0</v>
      </c>
      <c r="AO164" s="10">
        <v>0</v>
      </c>
      <c r="AP164" s="10">
        <v>0</v>
      </c>
      <c r="AQ164" s="10">
        <v>0</v>
      </c>
      <c r="AR164" s="10">
        <v>0</v>
      </c>
      <c r="AS164" s="10">
        <v>0</v>
      </c>
      <c r="AT164" s="10">
        <v>0</v>
      </c>
      <c r="AU164" s="10">
        <v>0</v>
      </c>
      <c r="AV164" s="10">
        <v>1</v>
      </c>
      <c r="AW164" s="10">
        <v>0</v>
      </c>
      <c r="AX164" s="10">
        <v>0</v>
      </c>
      <c r="AY164" s="10">
        <v>0</v>
      </c>
      <c r="AZ164" s="7">
        <f t="shared" si="16"/>
        <v>1</v>
      </c>
      <c r="BA164" s="11">
        <f t="shared" si="17"/>
        <v>8.3333333333333329E-2</v>
      </c>
      <c r="BC164" s="12">
        <v>0</v>
      </c>
      <c r="BD164" s="12">
        <v>0</v>
      </c>
      <c r="BE164" s="12">
        <v>0</v>
      </c>
      <c r="BF164" s="12">
        <v>0</v>
      </c>
      <c r="BG164" s="12">
        <v>0</v>
      </c>
      <c r="BH164" s="12">
        <v>0</v>
      </c>
      <c r="BI164" s="12">
        <v>0</v>
      </c>
      <c r="BJ164" s="12">
        <v>0</v>
      </c>
      <c r="BK164" s="12">
        <v>19.867549668873998</v>
      </c>
      <c r="BL164" s="12">
        <v>0</v>
      </c>
      <c r="BM164" s="12">
        <v>0</v>
      </c>
      <c r="BN164" s="12">
        <v>0</v>
      </c>
      <c r="BO164" s="12">
        <f t="shared" si="18"/>
        <v>19.867549668873998</v>
      </c>
      <c r="BP164" s="12">
        <f t="shared" si="19"/>
        <v>1.6556291390728333</v>
      </c>
      <c r="BQ164" s="7"/>
      <c r="BR164" s="7"/>
      <c r="BS164" s="7" t="s">
        <v>63</v>
      </c>
      <c r="BT164" s="7" t="s">
        <v>52</v>
      </c>
      <c r="BU164" s="7">
        <v>0</v>
      </c>
      <c r="BV164" s="7">
        <v>10</v>
      </c>
      <c r="BW164" s="7">
        <v>0</v>
      </c>
      <c r="BX164" s="7">
        <v>0</v>
      </c>
      <c r="BY164" s="7">
        <v>5</v>
      </c>
      <c r="BZ164" s="7"/>
    </row>
    <row r="165" spans="1:78" x14ac:dyDescent="0.35">
      <c r="A165" s="7" t="s">
        <v>41</v>
      </c>
      <c r="B165" s="7"/>
      <c r="C165" s="7" t="s">
        <v>408</v>
      </c>
      <c r="D165" s="7" t="s">
        <v>409</v>
      </c>
      <c r="E165" s="7" t="s">
        <v>410</v>
      </c>
      <c r="F165" s="7" t="s">
        <v>354</v>
      </c>
      <c r="G165" s="7" t="s">
        <v>46</v>
      </c>
      <c r="H165" s="7"/>
      <c r="I165" s="7"/>
      <c r="J165" s="7" t="s">
        <v>355</v>
      </c>
      <c r="K165" s="7" t="s">
        <v>48</v>
      </c>
      <c r="L165" s="7" t="s">
        <v>49</v>
      </c>
      <c r="M165" s="7" t="s">
        <v>49</v>
      </c>
      <c r="N165" s="7" t="s">
        <v>50</v>
      </c>
      <c r="O165" s="7" t="s">
        <v>4</v>
      </c>
      <c r="P165" s="7">
        <v>885000</v>
      </c>
      <c r="Q165" s="7">
        <v>885000</v>
      </c>
      <c r="R165" s="7">
        <v>885000</v>
      </c>
      <c r="S165" s="7">
        <v>885000</v>
      </c>
      <c r="T165" s="7">
        <v>885000</v>
      </c>
      <c r="U165" s="7">
        <v>885000</v>
      </c>
      <c r="V165" s="7">
        <v>885000</v>
      </c>
      <c r="W165" s="7">
        <v>885000</v>
      </c>
      <c r="X165" s="7">
        <v>885000</v>
      </c>
      <c r="Y165" s="7">
        <v>885000</v>
      </c>
      <c r="Z165" s="7">
        <v>885000</v>
      </c>
      <c r="AA165" s="7">
        <v>885000</v>
      </c>
      <c r="AB165" s="9">
        <v>56.017621814591003</v>
      </c>
      <c r="AC165" s="9">
        <v>56.017621814591003</v>
      </c>
      <c r="AD165" s="9">
        <v>56.017621814591003</v>
      </c>
      <c r="AE165" s="9">
        <v>56.017621814591003</v>
      </c>
      <c r="AF165" s="9">
        <v>56.017621814591003</v>
      </c>
      <c r="AG165" s="9">
        <v>56.017621814591003</v>
      </c>
      <c r="AH165" s="9">
        <v>56.017621814591003</v>
      </c>
      <c r="AI165" s="9">
        <v>56.017621814591003</v>
      </c>
      <c r="AJ165" s="9">
        <v>56.017621814591003</v>
      </c>
      <c r="AK165" s="9">
        <v>56.017621814591003</v>
      </c>
      <c r="AL165" s="9">
        <v>56.017621814591003</v>
      </c>
      <c r="AM165" s="9">
        <v>56.017621814591003</v>
      </c>
      <c r="AN165" s="10">
        <v>1</v>
      </c>
      <c r="AO165" s="10">
        <v>0</v>
      </c>
      <c r="AP165" s="10">
        <v>0</v>
      </c>
      <c r="AQ165" s="10">
        <v>0</v>
      </c>
      <c r="AR165" s="10">
        <v>0</v>
      </c>
      <c r="AS165" s="10">
        <v>0</v>
      </c>
      <c r="AT165" s="10">
        <v>0</v>
      </c>
      <c r="AU165" s="10">
        <v>0</v>
      </c>
      <c r="AV165" s="10">
        <v>0</v>
      </c>
      <c r="AW165" s="10">
        <v>0</v>
      </c>
      <c r="AX165" s="10">
        <v>0</v>
      </c>
      <c r="AY165" s="10">
        <v>0</v>
      </c>
      <c r="AZ165" s="7">
        <f t="shared" si="16"/>
        <v>1</v>
      </c>
      <c r="BA165" s="11">
        <f t="shared" si="17"/>
        <v>8.3333333333333329E-2</v>
      </c>
      <c r="BC165" s="12">
        <v>56.017621814591003</v>
      </c>
      <c r="BD165" s="12">
        <v>0</v>
      </c>
      <c r="BE165" s="12">
        <v>0</v>
      </c>
      <c r="BF165" s="12">
        <v>0</v>
      </c>
      <c r="BG165" s="12">
        <v>0</v>
      </c>
      <c r="BH165" s="12">
        <v>0</v>
      </c>
      <c r="BI165" s="12">
        <v>0</v>
      </c>
      <c r="BJ165" s="12">
        <v>0</v>
      </c>
      <c r="BK165" s="12">
        <v>0</v>
      </c>
      <c r="BL165" s="12">
        <v>0</v>
      </c>
      <c r="BM165" s="12">
        <v>0</v>
      </c>
      <c r="BN165" s="12">
        <v>0</v>
      </c>
      <c r="BO165" s="12">
        <f t="shared" si="18"/>
        <v>56.017621814591003</v>
      </c>
      <c r="BP165" s="12">
        <f t="shared" si="19"/>
        <v>4.6681351512159166</v>
      </c>
      <c r="BQ165" s="7"/>
      <c r="BR165" s="7"/>
      <c r="BS165" s="7" t="s">
        <v>51</v>
      </c>
      <c r="BT165" s="7" t="s">
        <v>52</v>
      </c>
      <c r="BU165" s="7">
        <v>15</v>
      </c>
      <c r="BV165" s="7">
        <v>10</v>
      </c>
      <c r="BW165" s="7">
        <v>5</v>
      </c>
      <c r="BX165" s="7">
        <v>20</v>
      </c>
      <c r="BY165" s="7">
        <v>5</v>
      </c>
      <c r="BZ165" s="7"/>
    </row>
    <row r="166" spans="1:78" x14ac:dyDescent="0.35">
      <c r="A166" s="7" t="s">
        <v>41</v>
      </c>
      <c r="B166" s="7"/>
      <c r="C166" s="7" t="s">
        <v>411</v>
      </c>
      <c r="D166" s="7" t="s">
        <v>73</v>
      </c>
      <c r="E166" s="7" t="s">
        <v>412</v>
      </c>
      <c r="F166" s="7" t="s">
        <v>358</v>
      </c>
      <c r="G166" s="7" t="s">
        <v>46</v>
      </c>
      <c r="H166" s="7"/>
      <c r="I166" s="7"/>
      <c r="J166" s="7" t="s">
        <v>355</v>
      </c>
      <c r="K166" s="7" t="s">
        <v>48</v>
      </c>
      <c r="L166" s="7" t="s">
        <v>49</v>
      </c>
      <c r="M166" s="7" t="s">
        <v>49</v>
      </c>
      <c r="N166" s="7" t="s">
        <v>76</v>
      </c>
      <c r="O166" s="7" t="s">
        <v>6</v>
      </c>
      <c r="P166" s="7">
        <v>3300</v>
      </c>
      <c r="Q166" s="7">
        <v>3300</v>
      </c>
      <c r="R166" s="7">
        <v>3300</v>
      </c>
      <c r="S166" s="7">
        <v>3300</v>
      </c>
      <c r="T166" s="7">
        <v>3300</v>
      </c>
      <c r="U166" s="7">
        <v>3300</v>
      </c>
      <c r="V166" s="7">
        <v>3300</v>
      </c>
      <c r="W166" s="7">
        <v>3300</v>
      </c>
      <c r="X166" s="7">
        <v>3300</v>
      </c>
      <c r="Y166" s="7">
        <v>3300</v>
      </c>
      <c r="Z166" s="7">
        <v>3300</v>
      </c>
      <c r="AA166" s="7">
        <v>3300</v>
      </c>
      <c r="AB166" s="9">
        <v>21.854304635761999</v>
      </c>
      <c r="AC166" s="9">
        <v>21.854304635761999</v>
      </c>
      <c r="AD166" s="9">
        <v>21.854304635761999</v>
      </c>
      <c r="AE166" s="9">
        <v>21.854304635761999</v>
      </c>
      <c r="AF166" s="9">
        <v>21.854304635761999</v>
      </c>
      <c r="AG166" s="9">
        <v>21.854304635761999</v>
      </c>
      <c r="AH166" s="9">
        <v>21.854304635761999</v>
      </c>
      <c r="AI166" s="9">
        <v>21.854304635761999</v>
      </c>
      <c r="AJ166" s="9">
        <v>21.854304635761999</v>
      </c>
      <c r="AK166" s="9">
        <v>21.854304635761999</v>
      </c>
      <c r="AL166" s="9">
        <v>21.854304635761999</v>
      </c>
      <c r="AM166" s="9">
        <v>21.854304635761999</v>
      </c>
      <c r="AN166" s="10">
        <v>0</v>
      </c>
      <c r="AO166" s="10">
        <v>0</v>
      </c>
      <c r="AP166" s="10">
        <v>0</v>
      </c>
      <c r="AQ166" s="10">
        <v>0</v>
      </c>
      <c r="AR166" s="10">
        <v>0</v>
      </c>
      <c r="AS166" s="10">
        <v>0</v>
      </c>
      <c r="AT166" s="10">
        <v>0</v>
      </c>
      <c r="AU166" s="10">
        <v>0</v>
      </c>
      <c r="AV166" s="10">
        <v>0</v>
      </c>
      <c r="AW166" s="10">
        <v>1</v>
      </c>
      <c r="AX166" s="10">
        <v>1</v>
      </c>
      <c r="AY166" s="10">
        <v>1</v>
      </c>
      <c r="AZ166" s="7">
        <f t="shared" si="16"/>
        <v>3</v>
      </c>
      <c r="BA166" s="11">
        <f t="shared" si="17"/>
        <v>0.25</v>
      </c>
      <c r="BC166" s="12">
        <v>0</v>
      </c>
      <c r="BD166" s="12">
        <v>0</v>
      </c>
      <c r="BE166" s="12">
        <v>0</v>
      </c>
      <c r="BF166" s="12">
        <v>0</v>
      </c>
      <c r="BG166" s="12">
        <v>0</v>
      </c>
      <c r="BH166" s="12">
        <v>0</v>
      </c>
      <c r="BI166" s="12">
        <v>0</v>
      </c>
      <c r="BJ166" s="12">
        <v>0</v>
      </c>
      <c r="BK166" s="12">
        <v>0</v>
      </c>
      <c r="BL166" s="12">
        <v>21.854304635761999</v>
      </c>
      <c r="BM166" s="12">
        <v>21.854304635761999</v>
      </c>
      <c r="BN166" s="12">
        <v>21.854304635761999</v>
      </c>
      <c r="BO166" s="12">
        <f t="shared" si="18"/>
        <v>65.562913907286003</v>
      </c>
      <c r="BP166" s="12">
        <f t="shared" si="19"/>
        <v>5.4635761589405005</v>
      </c>
      <c r="BQ166" s="7"/>
      <c r="BR166" s="7"/>
      <c r="BS166" s="7" t="s">
        <v>63</v>
      </c>
      <c r="BT166" s="7" t="s">
        <v>52</v>
      </c>
      <c r="BU166" s="7">
        <v>0</v>
      </c>
      <c r="BV166" s="7">
        <v>10</v>
      </c>
      <c r="BW166" s="7">
        <v>0</v>
      </c>
      <c r="BX166" s="7">
        <v>0</v>
      </c>
      <c r="BY166" s="7">
        <v>5</v>
      </c>
      <c r="BZ166" s="7"/>
    </row>
    <row r="167" spans="1:78" x14ac:dyDescent="0.35">
      <c r="A167" s="7" t="s">
        <v>41</v>
      </c>
      <c r="B167" s="7"/>
      <c r="C167" s="7" t="s">
        <v>413</v>
      </c>
      <c r="D167" s="7" t="s">
        <v>73</v>
      </c>
      <c r="E167" s="7" t="s">
        <v>414</v>
      </c>
      <c r="F167" s="7" t="s">
        <v>358</v>
      </c>
      <c r="G167" s="7" t="s">
        <v>46</v>
      </c>
      <c r="H167" s="7"/>
      <c r="I167" s="7"/>
      <c r="J167" s="7" t="s">
        <v>355</v>
      </c>
      <c r="K167" s="7" t="s">
        <v>48</v>
      </c>
      <c r="L167" s="7" t="s">
        <v>49</v>
      </c>
      <c r="M167" s="7" t="s">
        <v>49</v>
      </c>
      <c r="N167" s="7" t="s">
        <v>76</v>
      </c>
      <c r="O167" s="7" t="s">
        <v>6</v>
      </c>
      <c r="P167" s="7">
        <v>7239.7260273972997</v>
      </c>
      <c r="Q167" s="7">
        <v>7239.7260273972997</v>
      </c>
      <c r="R167" s="7">
        <v>7239.7260273972997</v>
      </c>
      <c r="S167" s="7">
        <v>7239.7260273972997</v>
      </c>
      <c r="T167" s="7">
        <v>7239.7260273972997</v>
      </c>
      <c r="U167" s="7">
        <v>7239.7260273972997</v>
      </c>
      <c r="V167" s="7">
        <v>7239.7260273972997</v>
      </c>
      <c r="W167" s="7">
        <v>7239.7260273972997</v>
      </c>
      <c r="X167" s="7">
        <v>7239.7260273972997</v>
      </c>
      <c r="Y167" s="7">
        <v>7239.7260273972997</v>
      </c>
      <c r="Z167" s="7">
        <v>7239.7260273972997</v>
      </c>
      <c r="AA167" s="7">
        <v>7239.7260273972997</v>
      </c>
      <c r="AB167" s="9">
        <v>47.945205479452</v>
      </c>
      <c r="AC167" s="9">
        <v>47.945205479452</v>
      </c>
      <c r="AD167" s="9">
        <v>47.945205479452</v>
      </c>
      <c r="AE167" s="9">
        <v>47.945205479452</v>
      </c>
      <c r="AF167" s="9">
        <v>47.945205479452</v>
      </c>
      <c r="AG167" s="9">
        <v>47.945205479452</v>
      </c>
      <c r="AH167" s="9">
        <v>47.945205479452</v>
      </c>
      <c r="AI167" s="9">
        <v>47.945205479452</v>
      </c>
      <c r="AJ167" s="9">
        <v>47.945205479452</v>
      </c>
      <c r="AK167" s="9">
        <v>47.945205479452</v>
      </c>
      <c r="AL167" s="9">
        <v>47.945205479452</v>
      </c>
      <c r="AM167" s="9">
        <v>47.945205479452</v>
      </c>
      <c r="AN167" s="10">
        <v>0</v>
      </c>
      <c r="AO167" s="10">
        <v>0</v>
      </c>
      <c r="AP167" s="10">
        <v>0</v>
      </c>
      <c r="AQ167" s="10">
        <v>0</v>
      </c>
      <c r="AR167" s="10">
        <v>0</v>
      </c>
      <c r="AS167" s="10">
        <v>0</v>
      </c>
      <c r="AT167" s="10">
        <v>0</v>
      </c>
      <c r="AU167" s="10">
        <v>0</v>
      </c>
      <c r="AV167" s="10">
        <v>0</v>
      </c>
      <c r="AW167" s="10">
        <v>0</v>
      </c>
      <c r="AX167" s="10">
        <v>0</v>
      </c>
      <c r="AY167" s="10">
        <v>0</v>
      </c>
      <c r="AZ167" s="7">
        <f t="shared" si="16"/>
        <v>0</v>
      </c>
      <c r="BA167" s="11">
        <f t="shared" si="17"/>
        <v>0</v>
      </c>
      <c r="BC167" s="12">
        <v>0</v>
      </c>
      <c r="BD167" s="12">
        <v>0</v>
      </c>
      <c r="BE167" s="12">
        <v>0</v>
      </c>
      <c r="BF167" s="12">
        <v>0</v>
      </c>
      <c r="BG167" s="12">
        <v>0</v>
      </c>
      <c r="BH167" s="12">
        <v>0</v>
      </c>
      <c r="BI167" s="12">
        <v>0</v>
      </c>
      <c r="BJ167" s="12">
        <v>0</v>
      </c>
      <c r="BK167" s="12">
        <v>0</v>
      </c>
      <c r="BL167" s="12">
        <v>0</v>
      </c>
      <c r="BM167" s="12">
        <v>0</v>
      </c>
      <c r="BN167" s="12">
        <v>0</v>
      </c>
      <c r="BO167" s="12">
        <f t="shared" si="18"/>
        <v>0</v>
      </c>
      <c r="BP167" s="12">
        <f t="shared" si="19"/>
        <v>0</v>
      </c>
      <c r="BQ167" s="7"/>
      <c r="BR167" s="7"/>
      <c r="BS167" s="7" t="s">
        <v>63</v>
      </c>
      <c r="BT167" s="7" t="s">
        <v>52</v>
      </c>
      <c r="BU167" s="7">
        <v>0</v>
      </c>
      <c r="BV167" s="7">
        <v>10</v>
      </c>
      <c r="BW167" s="7">
        <v>0</v>
      </c>
      <c r="BX167" s="7">
        <v>0</v>
      </c>
      <c r="BY167" s="7">
        <v>5</v>
      </c>
      <c r="BZ167" s="7"/>
    </row>
    <row r="168" spans="1:78" x14ac:dyDescent="0.35">
      <c r="A168" s="7" t="s">
        <v>41</v>
      </c>
      <c r="B168" s="7"/>
      <c r="C168" s="7" t="s">
        <v>415</v>
      </c>
      <c r="D168" s="7" t="s">
        <v>73</v>
      </c>
      <c r="E168" s="7" t="s">
        <v>416</v>
      </c>
      <c r="F168" s="7" t="s">
        <v>358</v>
      </c>
      <c r="G168" s="7" t="s">
        <v>46</v>
      </c>
      <c r="H168" s="7"/>
      <c r="I168" s="7"/>
      <c r="J168" s="7" t="s">
        <v>355</v>
      </c>
      <c r="K168" s="7" t="s">
        <v>48</v>
      </c>
      <c r="L168" s="7" t="s">
        <v>49</v>
      </c>
      <c r="M168" s="7" t="s">
        <v>49</v>
      </c>
      <c r="N168" s="7" t="s">
        <v>76</v>
      </c>
      <c r="O168" s="7" t="s">
        <v>6</v>
      </c>
      <c r="P168" s="7">
        <v>4000</v>
      </c>
      <c r="Q168" s="7">
        <v>4000</v>
      </c>
      <c r="R168" s="7">
        <v>4000</v>
      </c>
      <c r="S168" s="7">
        <v>4000</v>
      </c>
      <c r="T168" s="7">
        <v>4000</v>
      </c>
      <c r="U168" s="7">
        <v>4000</v>
      </c>
      <c r="V168" s="7">
        <v>4000</v>
      </c>
      <c r="W168" s="7">
        <v>4000</v>
      </c>
      <c r="X168" s="7">
        <v>4000</v>
      </c>
      <c r="Y168" s="7">
        <v>4000</v>
      </c>
      <c r="Z168" s="7">
        <v>4000</v>
      </c>
      <c r="AA168" s="7">
        <v>4000</v>
      </c>
      <c r="AB168" s="9">
        <v>26.490066225166</v>
      </c>
      <c r="AC168" s="9">
        <v>26.490066225166</v>
      </c>
      <c r="AD168" s="9">
        <v>26.490066225166</v>
      </c>
      <c r="AE168" s="9">
        <v>26.490066225166</v>
      </c>
      <c r="AF168" s="9">
        <v>26.490066225166</v>
      </c>
      <c r="AG168" s="9">
        <v>26.490066225166</v>
      </c>
      <c r="AH168" s="9">
        <v>26.490066225166</v>
      </c>
      <c r="AI168" s="9">
        <v>26.490066225166</v>
      </c>
      <c r="AJ168" s="9">
        <v>26.490066225166</v>
      </c>
      <c r="AK168" s="9">
        <v>26.490066225166</v>
      </c>
      <c r="AL168" s="9">
        <v>26.490066225166</v>
      </c>
      <c r="AM168" s="9">
        <v>26.490066225166</v>
      </c>
      <c r="AN168" s="10">
        <v>0</v>
      </c>
      <c r="AO168" s="10">
        <v>0</v>
      </c>
      <c r="AP168" s="10">
        <v>0</v>
      </c>
      <c r="AQ168" s="10">
        <v>0</v>
      </c>
      <c r="AR168" s="10">
        <v>0</v>
      </c>
      <c r="AS168" s="10">
        <v>0</v>
      </c>
      <c r="AT168" s="10">
        <v>0</v>
      </c>
      <c r="AU168" s="10">
        <v>0</v>
      </c>
      <c r="AV168" s="10">
        <v>0</v>
      </c>
      <c r="AW168" s="10">
        <v>0</v>
      </c>
      <c r="AX168" s="10">
        <v>0</v>
      </c>
      <c r="AY168" s="10">
        <v>0</v>
      </c>
      <c r="AZ168" s="7">
        <f t="shared" si="16"/>
        <v>0</v>
      </c>
      <c r="BA168" s="11">
        <f t="shared" si="17"/>
        <v>0</v>
      </c>
      <c r="BC168" s="12">
        <v>0</v>
      </c>
      <c r="BD168" s="12">
        <v>0</v>
      </c>
      <c r="BE168" s="12">
        <v>0</v>
      </c>
      <c r="BF168" s="12">
        <v>0</v>
      </c>
      <c r="BG168" s="12">
        <v>0</v>
      </c>
      <c r="BH168" s="12">
        <v>0</v>
      </c>
      <c r="BI168" s="12">
        <v>0</v>
      </c>
      <c r="BJ168" s="12">
        <v>0</v>
      </c>
      <c r="BK168" s="12">
        <v>0</v>
      </c>
      <c r="BL168" s="12">
        <v>0</v>
      </c>
      <c r="BM168" s="12">
        <v>0</v>
      </c>
      <c r="BN168" s="12">
        <v>0</v>
      </c>
      <c r="BO168" s="12">
        <f t="shared" si="18"/>
        <v>0</v>
      </c>
      <c r="BP168" s="12">
        <f t="shared" si="19"/>
        <v>0</v>
      </c>
      <c r="BQ168" s="7"/>
      <c r="BR168" s="7"/>
      <c r="BS168" s="7" t="s">
        <v>63</v>
      </c>
      <c r="BT168" s="7" t="s">
        <v>52</v>
      </c>
      <c r="BU168" s="7">
        <v>0</v>
      </c>
      <c r="BV168" s="7">
        <v>10</v>
      </c>
      <c r="BW168" s="7">
        <v>0</v>
      </c>
      <c r="BX168" s="7">
        <v>0</v>
      </c>
      <c r="BY168" s="7">
        <v>5</v>
      </c>
      <c r="BZ168" s="7"/>
    </row>
    <row r="169" spans="1:78" x14ac:dyDescent="0.35">
      <c r="A169" s="7" t="s">
        <v>41</v>
      </c>
      <c r="B169" s="7"/>
      <c r="C169" s="7" t="s">
        <v>417</v>
      </c>
      <c r="D169" s="7" t="s">
        <v>73</v>
      </c>
      <c r="E169" s="7" t="s">
        <v>418</v>
      </c>
      <c r="F169" s="7" t="s">
        <v>358</v>
      </c>
      <c r="G169" s="7" t="s">
        <v>46</v>
      </c>
      <c r="H169" s="7"/>
      <c r="I169" s="7"/>
      <c r="J169" s="7" t="s">
        <v>355</v>
      </c>
      <c r="K169" s="7" t="s">
        <v>48</v>
      </c>
      <c r="L169" s="7" t="s">
        <v>49</v>
      </c>
      <c r="M169" s="7" t="s">
        <v>49</v>
      </c>
      <c r="N169" s="7" t="s">
        <v>76</v>
      </c>
      <c r="O169" s="7" t="s">
        <v>6</v>
      </c>
      <c r="P169" s="7">
        <v>61200</v>
      </c>
      <c r="Q169" s="7">
        <v>61200</v>
      </c>
      <c r="R169" s="7">
        <v>61200</v>
      </c>
      <c r="S169" s="7">
        <v>61200</v>
      </c>
      <c r="T169" s="7">
        <v>61200</v>
      </c>
      <c r="U169" s="7">
        <v>61200</v>
      </c>
      <c r="V169" s="7">
        <v>61200</v>
      </c>
      <c r="W169" s="7">
        <v>61200</v>
      </c>
      <c r="X169" s="7">
        <v>61200</v>
      </c>
      <c r="Y169" s="7">
        <v>61200</v>
      </c>
      <c r="Z169" s="7">
        <v>61200</v>
      </c>
      <c r="AA169" s="7">
        <v>61200</v>
      </c>
      <c r="AB169" s="9">
        <v>405.29801324503001</v>
      </c>
      <c r="AC169" s="9">
        <v>405.29801324503001</v>
      </c>
      <c r="AD169" s="9">
        <v>405.29801324503001</v>
      </c>
      <c r="AE169" s="9">
        <v>405.29801324503001</v>
      </c>
      <c r="AF169" s="9">
        <v>405.29801324503001</v>
      </c>
      <c r="AG169" s="9">
        <v>405.29801324503001</v>
      </c>
      <c r="AH169" s="9">
        <v>405.29801324503001</v>
      </c>
      <c r="AI169" s="9">
        <v>405.29801324503001</v>
      </c>
      <c r="AJ169" s="9">
        <v>405.29801324503001</v>
      </c>
      <c r="AK169" s="9">
        <v>405.29801324503001</v>
      </c>
      <c r="AL169" s="9">
        <v>405.29801324503001</v>
      </c>
      <c r="AM169" s="9">
        <v>405.29801324503001</v>
      </c>
      <c r="AN169" s="10">
        <v>0</v>
      </c>
      <c r="AO169" s="10">
        <v>0</v>
      </c>
      <c r="AP169" s="10">
        <v>0</v>
      </c>
      <c r="AQ169" s="10">
        <v>0</v>
      </c>
      <c r="AR169" s="10">
        <v>0</v>
      </c>
      <c r="AS169" s="10">
        <v>0</v>
      </c>
      <c r="AT169" s="10">
        <v>0</v>
      </c>
      <c r="AU169" s="10">
        <v>0</v>
      </c>
      <c r="AV169" s="10">
        <v>0</v>
      </c>
      <c r="AW169" s="10">
        <v>0</v>
      </c>
      <c r="AX169" s="10">
        <v>0</v>
      </c>
      <c r="AY169" s="10">
        <v>0</v>
      </c>
      <c r="AZ169" s="7">
        <f t="shared" si="16"/>
        <v>0</v>
      </c>
      <c r="BA169" s="11">
        <f t="shared" si="17"/>
        <v>0</v>
      </c>
      <c r="BC169" s="12">
        <v>0</v>
      </c>
      <c r="BD169" s="12">
        <v>0</v>
      </c>
      <c r="BE169" s="12">
        <v>0</v>
      </c>
      <c r="BF169" s="12">
        <v>0</v>
      </c>
      <c r="BG169" s="12">
        <v>0</v>
      </c>
      <c r="BH169" s="12">
        <v>0</v>
      </c>
      <c r="BI169" s="12">
        <v>0</v>
      </c>
      <c r="BJ169" s="12">
        <v>0</v>
      </c>
      <c r="BK169" s="12">
        <v>0</v>
      </c>
      <c r="BL169" s="12">
        <v>0</v>
      </c>
      <c r="BM169" s="12">
        <v>0</v>
      </c>
      <c r="BN169" s="12">
        <v>0</v>
      </c>
      <c r="BO169" s="12">
        <f t="shared" si="18"/>
        <v>0</v>
      </c>
      <c r="BP169" s="12">
        <f t="shared" si="19"/>
        <v>0</v>
      </c>
      <c r="BQ169" s="7"/>
      <c r="BR169" s="7"/>
      <c r="BS169" s="7" t="s">
        <v>63</v>
      </c>
      <c r="BT169" s="7" t="s">
        <v>52</v>
      </c>
      <c r="BU169" s="7">
        <v>0</v>
      </c>
      <c r="BV169" s="7">
        <v>10</v>
      </c>
      <c r="BW169" s="7">
        <v>0</v>
      </c>
      <c r="BX169" s="7">
        <v>0</v>
      </c>
      <c r="BY169" s="7">
        <v>5</v>
      </c>
      <c r="BZ169" s="7"/>
    </row>
    <row r="170" spans="1:78" x14ac:dyDescent="0.35">
      <c r="A170" s="7" t="s">
        <v>41</v>
      </c>
      <c r="B170" s="7"/>
      <c r="C170" s="7" t="s">
        <v>419</v>
      </c>
      <c r="D170" s="7" t="s">
        <v>420</v>
      </c>
      <c r="E170" s="7" t="s">
        <v>421</v>
      </c>
      <c r="F170" s="7" t="s">
        <v>422</v>
      </c>
      <c r="G170" s="7" t="s">
        <v>46</v>
      </c>
      <c r="H170" s="7"/>
      <c r="I170" s="7"/>
      <c r="J170" s="7" t="s">
        <v>355</v>
      </c>
      <c r="K170" s="7" t="s">
        <v>48</v>
      </c>
      <c r="L170" s="7" t="s">
        <v>49</v>
      </c>
      <c r="M170" s="7" t="s">
        <v>49</v>
      </c>
      <c r="N170" s="7" t="s">
        <v>423</v>
      </c>
      <c r="O170" s="7" t="s">
        <v>4</v>
      </c>
      <c r="P170" s="7">
        <v>490000</v>
      </c>
      <c r="Q170" s="7">
        <v>490000</v>
      </c>
      <c r="R170" s="7">
        <v>490000</v>
      </c>
      <c r="S170" s="7">
        <v>490000</v>
      </c>
      <c r="T170" s="7">
        <v>490000</v>
      </c>
      <c r="U170" s="7">
        <v>490000</v>
      </c>
      <c r="V170" s="7">
        <v>490000</v>
      </c>
      <c r="W170" s="7">
        <v>490000</v>
      </c>
      <c r="X170" s="7">
        <v>490000</v>
      </c>
      <c r="Y170" s="7">
        <v>490000</v>
      </c>
      <c r="Z170" s="7">
        <v>490000</v>
      </c>
      <c r="AA170" s="7">
        <v>490000</v>
      </c>
      <c r="AB170" s="9">
        <v>31.015406428418</v>
      </c>
      <c r="AC170" s="9">
        <v>31.015406428418</v>
      </c>
      <c r="AD170" s="9">
        <v>31.015406428418</v>
      </c>
      <c r="AE170" s="9">
        <v>31.015406428418</v>
      </c>
      <c r="AF170" s="9">
        <v>31.015406428418</v>
      </c>
      <c r="AG170" s="9">
        <v>31.015406428418</v>
      </c>
      <c r="AH170" s="9">
        <v>31.015406428418</v>
      </c>
      <c r="AI170" s="9">
        <v>31.015406428418</v>
      </c>
      <c r="AJ170" s="9">
        <v>31.015406428418</v>
      </c>
      <c r="AK170" s="9">
        <v>31.015406428418</v>
      </c>
      <c r="AL170" s="9">
        <v>31.015406428418</v>
      </c>
      <c r="AM170" s="9">
        <v>31.015406428418</v>
      </c>
      <c r="AN170" s="10">
        <v>0</v>
      </c>
      <c r="AO170" s="10">
        <v>4</v>
      </c>
      <c r="AP170" s="10">
        <v>0</v>
      </c>
      <c r="AQ170" s="10">
        <v>0</v>
      </c>
      <c r="AR170" s="10">
        <v>0</v>
      </c>
      <c r="AS170" s="10">
        <v>4</v>
      </c>
      <c r="AT170" s="10">
        <v>0</v>
      </c>
      <c r="AU170" s="10">
        <v>0</v>
      </c>
      <c r="AV170" s="10">
        <v>0</v>
      </c>
      <c r="AW170" s="10">
        <v>4</v>
      </c>
      <c r="AX170" s="10">
        <v>0</v>
      </c>
      <c r="AY170" s="10">
        <v>0</v>
      </c>
      <c r="AZ170" s="7">
        <f t="shared" si="16"/>
        <v>12</v>
      </c>
      <c r="BA170" s="11">
        <f t="shared" si="17"/>
        <v>1</v>
      </c>
      <c r="BC170" s="12">
        <v>0</v>
      </c>
      <c r="BD170" s="12">
        <v>124.06162571367</v>
      </c>
      <c r="BE170" s="12">
        <v>0</v>
      </c>
      <c r="BF170" s="12">
        <v>0</v>
      </c>
      <c r="BG170" s="12">
        <v>0</v>
      </c>
      <c r="BH170" s="12">
        <v>124.06162571367</v>
      </c>
      <c r="BI170" s="12">
        <v>0</v>
      </c>
      <c r="BJ170" s="12">
        <v>0</v>
      </c>
      <c r="BK170" s="12">
        <v>0</v>
      </c>
      <c r="BL170" s="12">
        <v>124.06162571367</v>
      </c>
      <c r="BM170" s="12">
        <v>0</v>
      </c>
      <c r="BN170" s="12">
        <v>0</v>
      </c>
      <c r="BO170" s="12">
        <f t="shared" si="18"/>
        <v>372.18487714101002</v>
      </c>
      <c r="BP170" s="12">
        <f t="shared" si="19"/>
        <v>31.015406428417503</v>
      </c>
      <c r="BQ170" s="7"/>
      <c r="BR170" s="7"/>
      <c r="BS170" s="7" t="s">
        <v>51</v>
      </c>
      <c r="BT170" s="7" t="s">
        <v>206</v>
      </c>
      <c r="BU170" s="7">
        <v>15</v>
      </c>
      <c r="BV170" s="7">
        <v>20</v>
      </c>
      <c r="BW170" s="7">
        <v>5</v>
      </c>
      <c r="BX170" s="7">
        <v>60</v>
      </c>
      <c r="BY170" s="7">
        <v>10</v>
      </c>
      <c r="BZ170" s="7"/>
    </row>
    <row r="171" spans="1:78" x14ac:dyDescent="0.35">
      <c r="A171" s="7" t="s">
        <v>41</v>
      </c>
      <c r="B171" s="7"/>
      <c r="C171" s="7" t="s">
        <v>83</v>
      </c>
      <c r="D171" s="7" t="s">
        <v>59</v>
      </c>
      <c r="E171" s="7" t="s">
        <v>84</v>
      </c>
      <c r="F171" s="7" t="s">
        <v>358</v>
      </c>
      <c r="G171" s="7" t="s">
        <v>46</v>
      </c>
      <c r="H171" s="7"/>
      <c r="I171" s="7"/>
      <c r="J171" s="7" t="s">
        <v>355</v>
      </c>
      <c r="K171" s="7" t="s">
        <v>48</v>
      </c>
      <c r="L171" s="7" t="s">
        <v>49</v>
      </c>
      <c r="M171" s="7" t="s">
        <v>49</v>
      </c>
      <c r="N171" s="7" t="s">
        <v>85</v>
      </c>
      <c r="O171" s="7" t="s">
        <v>4</v>
      </c>
      <c r="P171" s="7">
        <v>1000000</v>
      </c>
      <c r="Q171" s="7">
        <v>1000000</v>
      </c>
      <c r="R171" s="7">
        <v>1000000</v>
      </c>
      <c r="S171" s="7">
        <v>1000000</v>
      </c>
      <c r="T171" s="7">
        <v>1000000</v>
      </c>
      <c r="U171" s="7">
        <v>1000000</v>
      </c>
      <c r="V171" s="7">
        <v>1000000</v>
      </c>
      <c r="W171" s="7">
        <v>1000000</v>
      </c>
      <c r="X171" s="7">
        <v>1000000</v>
      </c>
      <c r="Y171" s="7">
        <v>1000000</v>
      </c>
      <c r="Z171" s="7">
        <v>1000000</v>
      </c>
      <c r="AA171" s="7">
        <v>1000000</v>
      </c>
      <c r="AB171" s="9">
        <v>63.296747813096999</v>
      </c>
      <c r="AC171" s="9">
        <v>63.296747813096999</v>
      </c>
      <c r="AD171" s="9">
        <v>63.296747813096999</v>
      </c>
      <c r="AE171" s="9">
        <v>63.296747813096999</v>
      </c>
      <c r="AF171" s="9">
        <v>63.296747813096999</v>
      </c>
      <c r="AG171" s="9">
        <v>63.296747813096999</v>
      </c>
      <c r="AH171" s="9">
        <v>63.296747813096999</v>
      </c>
      <c r="AI171" s="9">
        <v>63.296747813096999</v>
      </c>
      <c r="AJ171" s="9">
        <v>63.296747813096999</v>
      </c>
      <c r="AK171" s="9">
        <v>63.296747813096999</v>
      </c>
      <c r="AL171" s="9">
        <v>63.296747813096999</v>
      </c>
      <c r="AM171" s="9">
        <v>63.296747813096999</v>
      </c>
      <c r="AN171" s="10">
        <v>0</v>
      </c>
      <c r="AO171" s="10">
        <v>0</v>
      </c>
      <c r="AP171" s="10">
        <v>0</v>
      </c>
      <c r="AQ171" s="10">
        <v>0</v>
      </c>
      <c r="AR171" s="10">
        <v>0</v>
      </c>
      <c r="AS171" s="10">
        <v>1</v>
      </c>
      <c r="AT171" s="10">
        <v>0</v>
      </c>
      <c r="AU171" s="10">
        <v>0</v>
      </c>
      <c r="AV171" s="10">
        <v>0</v>
      </c>
      <c r="AW171" s="10">
        <v>0</v>
      </c>
      <c r="AX171" s="10">
        <v>0</v>
      </c>
      <c r="AY171" s="10">
        <v>0</v>
      </c>
      <c r="AZ171" s="7">
        <f t="shared" si="16"/>
        <v>1</v>
      </c>
      <c r="BA171" s="11">
        <f t="shared" si="17"/>
        <v>8.3333333333333329E-2</v>
      </c>
      <c r="BC171" s="12">
        <v>0</v>
      </c>
      <c r="BD171" s="12">
        <v>0</v>
      </c>
      <c r="BE171" s="12">
        <v>0</v>
      </c>
      <c r="BF171" s="12">
        <v>0</v>
      </c>
      <c r="BG171" s="12">
        <v>0</v>
      </c>
      <c r="BH171" s="12">
        <v>63.296747813096999</v>
      </c>
      <c r="BI171" s="12">
        <v>0</v>
      </c>
      <c r="BJ171" s="12">
        <v>0</v>
      </c>
      <c r="BK171" s="12">
        <v>0</v>
      </c>
      <c r="BL171" s="12">
        <v>0</v>
      </c>
      <c r="BM171" s="12">
        <v>0</v>
      </c>
      <c r="BN171" s="12">
        <v>0</v>
      </c>
      <c r="BO171" s="12">
        <f t="shared" si="18"/>
        <v>63.296747813096999</v>
      </c>
      <c r="BP171" s="12">
        <f t="shared" si="19"/>
        <v>5.2747289844247502</v>
      </c>
      <c r="BQ171" s="7"/>
      <c r="BR171" s="7"/>
      <c r="BS171" s="7" t="s">
        <v>63</v>
      </c>
      <c r="BT171" s="7" t="s">
        <v>52</v>
      </c>
      <c r="BU171" s="7">
        <v>0</v>
      </c>
      <c r="BV171" s="7">
        <v>10</v>
      </c>
      <c r="BW171" s="7">
        <v>0</v>
      </c>
      <c r="BX171" s="7">
        <v>0</v>
      </c>
      <c r="BY171" s="7">
        <v>5</v>
      </c>
      <c r="BZ171" s="7"/>
    </row>
    <row r="172" spans="1:78" x14ac:dyDescent="0.35">
      <c r="A172" s="7" t="s">
        <v>41</v>
      </c>
      <c r="B172" s="7"/>
      <c r="C172" s="7" t="s">
        <v>424</v>
      </c>
      <c r="D172" s="7" t="s">
        <v>380</v>
      </c>
      <c r="E172" s="7" t="s">
        <v>425</v>
      </c>
      <c r="F172" s="7" t="s">
        <v>426</v>
      </c>
      <c r="G172" s="7" t="s">
        <v>46</v>
      </c>
      <c r="H172" s="7"/>
      <c r="I172" s="7"/>
      <c r="J172" s="7" t="s">
        <v>355</v>
      </c>
      <c r="K172" s="7" t="s">
        <v>48</v>
      </c>
      <c r="L172" s="7" t="s">
        <v>49</v>
      </c>
      <c r="M172" s="7" t="s">
        <v>49</v>
      </c>
      <c r="N172" s="7" t="s">
        <v>50</v>
      </c>
      <c r="O172" s="7" t="s">
        <v>4</v>
      </c>
      <c r="P172" s="7">
        <v>3400000</v>
      </c>
      <c r="Q172" s="7">
        <v>3400000</v>
      </c>
      <c r="R172" s="7">
        <v>3400000</v>
      </c>
      <c r="S172" s="7">
        <v>3400000</v>
      </c>
      <c r="T172" s="7">
        <v>3400000</v>
      </c>
      <c r="U172" s="7">
        <v>3400000</v>
      </c>
      <c r="V172" s="7">
        <v>3400000</v>
      </c>
      <c r="W172" s="7">
        <v>3400000</v>
      </c>
      <c r="X172" s="7">
        <v>3400000</v>
      </c>
      <c r="Y172" s="7">
        <v>3400000</v>
      </c>
      <c r="Z172" s="7">
        <v>3400000</v>
      </c>
      <c r="AA172" s="7">
        <v>3400000</v>
      </c>
      <c r="AB172" s="9">
        <v>215.20894256452999</v>
      </c>
      <c r="AC172" s="9">
        <v>215.20894256452999</v>
      </c>
      <c r="AD172" s="9">
        <v>215.20894256452999</v>
      </c>
      <c r="AE172" s="9">
        <v>215.20894256452999</v>
      </c>
      <c r="AF172" s="9">
        <v>215.20894256452999</v>
      </c>
      <c r="AG172" s="9">
        <v>215.20894256452999</v>
      </c>
      <c r="AH172" s="9">
        <v>215.20894256452999</v>
      </c>
      <c r="AI172" s="9">
        <v>215.20894256452999</v>
      </c>
      <c r="AJ172" s="9">
        <v>215.20894256452999</v>
      </c>
      <c r="AK172" s="9">
        <v>215.20894256452999</v>
      </c>
      <c r="AL172" s="9">
        <v>215.20894256452999</v>
      </c>
      <c r="AM172" s="9">
        <v>215.20894256452999</v>
      </c>
      <c r="AN172" s="10">
        <v>1</v>
      </c>
      <c r="AO172" s="10">
        <v>0</v>
      </c>
      <c r="AP172" s="10">
        <v>0</v>
      </c>
      <c r="AQ172" s="10">
        <v>0</v>
      </c>
      <c r="AR172" s="10">
        <v>0</v>
      </c>
      <c r="AS172" s="10">
        <v>0</v>
      </c>
      <c r="AT172" s="10">
        <v>0</v>
      </c>
      <c r="AU172" s="10">
        <v>0</v>
      </c>
      <c r="AV172" s="10">
        <v>0</v>
      </c>
      <c r="AW172" s="10">
        <v>0</v>
      </c>
      <c r="AX172" s="10">
        <v>0</v>
      </c>
      <c r="AY172" s="10">
        <v>0</v>
      </c>
      <c r="AZ172" s="7">
        <f t="shared" si="16"/>
        <v>1</v>
      </c>
      <c r="BA172" s="11">
        <f t="shared" si="17"/>
        <v>8.3333333333333329E-2</v>
      </c>
      <c r="BC172" s="12">
        <v>215.20894256452999</v>
      </c>
      <c r="BD172" s="12">
        <v>0</v>
      </c>
      <c r="BE172" s="12">
        <v>0</v>
      </c>
      <c r="BF172" s="12">
        <v>0</v>
      </c>
      <c r="BG172" s="12">
        <v>0</v>
      </c>
      <c r="BH172" s="12">
        <v>0</v>
      </c>
      <c r="BI172" s="12">
        <v>0</v>
      </c>
      <c r="BJ172" s="12">
        <v>0</v>
      </c>
      <c r="BK172" s="12">
        <v>0</v>
      </c>
      <c r="BL172" s="12">
        <v>0</v>
      </c>
      <c r="BM172" s="12">
        <v>0</v>
      </c>
      <c r="BN172" s="12">
        <v>0</v>
      </c>
      <c r="BO172" s="12">
        <f t="shared" si="18"/>
        <v>215.20894256452999</v>
      </c>
      <c r="BP172" s="12">
        <f t="shared" si="19"/>
        <v>17.934078547044166</v>
      </c>
      <c r="BQ172" s="7"/>
      <c r="BR172" s="7"/>
      <c r="BS172" s="7" t="s">
        <v>51</v>
      </c>
      <c r="BT172" s="7" t="s">
        <v>52</v>
      </c>
      <c r="BU172" s="7">
        <v>15</v>
      </c>
      <c r="BV172" s="7">
        <v>10</v>
      </c>
      <c r="BW172" s="7">
        <v>5</v>
      </c>
      <c r="BX172" s="7">
        <v>20</v>
      </c>
      <c r="BY172" s="7">
        <v>5</v>
      </c>
      <c r="BZ172" s="7"/>
    </row>
    <row r="173" spans="1:78" x14ac:dyDescent="0.35">
      <c r="A173" s="7" t="s">
        <v>41</v>
      </c>
      <c r="B173" s="7"/>
      <c r="C173" s="7" t="s">
        <v>427</v>
      </c>
      <c r="D173" s="7" t="s">
        <v>380</v>
      </c>
      <c r="E173" s="7" t="s">
        <v>428</v>
      </c>
      <c r="F173" s="7" t="s">
        <v>429</v>
      </c>
      <c r="G173" s="7" t="s">
        <v>46</v>
      </c>
      <c r="H173" s="7"/>
      <c r="I173" s="7"/>
      <c r="J173" s="7" t="s">
        <v>355</v>
      </c>
      <c r="K173" s="7" t="s">
        <v>48</v>
      </c>
      <c r="L173" s="7" t="s">
        <v>49</v>
      </c>
      <c r="M173" s="7" t="s">
        <v>49</v>
      </c>
      <c r="N173" s="7" t="s">
        <v>50</v>
      </c>
      <c r="O173" s="7" t="s">
        <v>4</v>
      </c>
      <c r="P173" s="7">
        <v>150000</v>
      </c>
      <c r="Q173" s="7">
        <v>150000</v>
      </c>
      <c r="R173" s="7">
        <v>150000</v>
      </c>
      <c r="S173" s="7">
        <v>150000</v>
      </c>
      <c r="T173" s="7">
        <v>150000</v>
      </c>
      <c r="U173" s="7">
        <v>150000</v>
      </c>
      <c r="V173" s="7">
        <v>150000</v>
      </c>
      <c r="W173" s="7">
        <v>150000</v>
      </c>
      <c r="X173" s="7">
        <v>150000</v>
      </c>
      <c r="Y173" s="7">
        <v>150000</v>
      </c>
      <c r="Z173" s="7">
        <v>150000</v>
      </c>
      <c r="AA173" s="7">
        <v>150000</v>
      </c>
      <c r="AB173" s="9">
        <v>9.4945121719645993</v>
      </c>
      <c r="AC173" s="9">
        <v>9.4945121719645993</v>
      </c>
      <c r="AD173" s="9">
        <v>9.4945121719645993</v>
      </c>
      <c r="AE173" s="9">
        <v>9.4945121719645993</v>
      </c>
      <c r="AF173" s="9">
        <v>9.4945121719645993</v>
      </c>
      <c r="AG173" s="9">
        <v>9.4945121719645993</v>
      </c>
      <c r="AH173" s="9">
        <v>9.4945121719645993</v>
      </c>
      <c r="AI173" s="9">
        <v>9.4945121719645993</v>
      </c>
      <c r="AJ173" s="9">
        <v>9.4945121719645993</v>
      </c>
      <c r="AK173" s="9">
        <v>9.4945121719645993</v>
      </c>
      <c r="AL173" s="9">
        <v>9.4945121719645993</v>
      </c>
      <c r="AM173" s="9">
        <v>9.4945121719645993</v>
      </c>
      <c r="AN173" s="10">
        <v>1</v>
      </c>
      <c r="AO173" s="10">
        <v>0</v>
      </c>
      <c r="AP173" s="10">
        <v>0</v>
      </c>
      <c r="AQ173" s="10">
        <v>0</v>
      </c>
      <c r="AR173" s="10">
        <v>0</v>
      </c>
      <c r="AS173" s="10">
        <v>0</v>
      </c>
      <c r="AT173" s="10">
        <v>0</v>
      </c>
      <c r="AU173" s="10">
        <v>0</v>
      </c>
      <c r="AV173" s="10">
        <v>0</v>
      </c>
      <c r="AW173" s="10">
        <v>0</v>
      </c>
      <c r="AX173" s="10">
        <v>0</v>
      </c>
      <c r="AY173" s="10">
        <v>0</v>
      </c>
      <c r="AZ173" s="7">
        <f t="shared" ref="AZ173:AZ204" si="20">SUM(AN173:AY173)</f>
        <v>1</v>
      </c>
      <c r="BA173" s="11">
        <f t="shared" ref="BA173:BA204" si="21">AZ173/12</f>
        <v>8.3333333333333329E-2</v>
      </c>
      <c r="BC173" s="12">
        <v>9.4945121719645993</v>
      </c>
      <c r="BD173" s="12">
        <v>0</v>
      </c>
      <c r="BE173" s="12">
        <v>0</v>
      </c>
      <c r="BF173" s="12">
        <v>0</v>
      </c>
      <c r="BG173" s="12">
        <v>0</v>
      </c>
      <c r="BH173" s="12">
        <v>0</v>
      </c>
      <c r="BI173" s="12">
        <v>0</v>
      </c>
      <c r="BJ173" s="12">
        <v>0</v>
      </c>
      <c r="BK173" s="12">
        <v>0</v>
      </c>
      <c r="BL173" s="12">
        <v>0</v>
      </c>
      <c r="BM173" s="12">
        <v>0</v>
      </c>
      <c r="BN173" s="12">
        <v>0</v>
      </c>
      <c r="BO173" s="12">
        <f t="shared" ref="BO173:BO204" si="22">SUM(BC173:BN173)</f>
        <v>9.4945121719645993</v>
      </c>
      <c r="BP173" s="12">
        <f t="shared" ref="BP173:BP204" si="23">BO173/12</f>
        <v>0.79120934766371664</v>
      </c>
      <c r="BQ173" s="7"/>
      <c r="BR173" s="7"/>
      <c r="BS173" s="7" t="s">
        <v>51</v>
      </c>
      <c r="BT173" s="7" t="s">
        <v>52</v>
      </c>
      <c r="BU173" s="7">
        <v>15</v>
      </c>
      <c r="BV173" s="7">
        <v>10</v>
      </c>
      <c r="BW173" s="7">
        <v>5</v>
      </c>
      <c r="BX173" s="7">
        <v>20</v>
      </c>
      <c r="BY173" s="7">
        <v>5</v>
      </c>
      <c r="BZ173" s="7"/>
    </row>
    <row r="174" spans="1:78" x14ac:dyDescent="0.35">
      <c r="A174" s="7" t="s">
        <v>41</v>
      </c>
      <c r="B174" s="7"/>
      <c r="C174" s="7" t="s">
        <v>430</v>
      </c>
      <c r="D174" s="7" t="s">
        <v>73</v>
      </c>
      <c r="E174" s="7" t="s">
        <v>431</v>
      </c>
      <c r="F174" s="7" t="s">
        <v>358</v>
      </c>
      <c r="G174" s="7" t="s">
        <v>46</v>
      </c>
      <c r="H174" s="7"/>
      <c r="I174" s="7"/>
      <c r="J174" s="7" t="s">
        <v>355</v>
      </c>
      <c r="K174" s="7" t="s">
        <v>48</v>
      </c>
      <c r="L174" s="7" t="s">
        <v>49</v>
      </c>
      <c r="M174" s="7" t="s">
        <v>49</v>
      </c>
      <c r="N174" s="7" t="s">
        <v>76</v>
      </c>
      <c r="O174" s="7" t="s">
        <v>6</v>
      </c>
      <c r="P174" s="7">
        <v>400000</v>
      </c>
      <c r="Q174" s="7">
        <v>400000</v>
      </c>
      <c r="R174" s="7">
        <v>400000</v>
      </c>
      <c r="S174" s="7">
        <v>400000</v>
      </c>
      <c r="T174" s="7">
        <v>400000</v>
      </c>
      <c r="U174" s="7">
        <v>400000</v>
      </c>
      <c r="V174" s="7">
        <v>400000</v>
      </c>
      <c r="W174" s="7">
        <v>400000</v>
      </c>
      <c r="X174" s="7">
        <v>400000</v>
      </c>
      <c r="Y174" s="7">
        <v>400000</v>
      </c>
      <c r="Z174" s="7">
        <v>400000</v>
      </c>
      <c r="AA174" s="7">
        <v>400000</v>
      </c>
      <c r="AB174" s="9">
        <v>2649.0066225166001</v>
      </c>
      <c r="AC174" s="9">
        <v>2649.0066225166001</v>
      </c>
      <c r="AD174" s="9">
        <v>2649.0066225166001</v>
      </c>
      <c r="AE174" s="9">
        <v>2649.0066225166001</v>
      </c>
      <c r="AF174" s="9">
        <v>2649.0066225166001</v>
      </c>
      <c r="AG174" s="9">
        <v>2649.0066225166001</v>
      </c>
      <c r="AH174" s="9">
        <v>2649.0066225166001</v>
      </c>
      <c r="AI174" s="9">
        <v>2649.0066225166001</v>
      </c>
      <c r="AJ174" s="9">
        <v>2649.0066225166001</v>
      </c>
      <c r="AK174" s="9">
        <v>2649.0066225166001</v>
      </c>
      <c r="AL174" s="9">
        <v>2649.0066225166001</v>
      </c>
      <c r="AM174" s="9">
        <v>2649.0066225166001</v>
      </c>
      <c r="AN174" s="10">
        <v>0</v>
      </c>
      <c r="AO174" s="10">
        <v>0</v>
      </c>
      <c r="AP174" s="10">
        <v>0</v>
      </c>
      <c r="AQ174" s="10">
        <v>0</v>
      </c>
      <c r="AR174" s="10">
        <v>0</v>
      </c>
      <c r="AS174" s="10">
        <v>0</v>
      </c>
      <c r="AT174" s="10">
        <v>0</v>
      </c>
      <c r="AU174" s="10">
        <v>0</v>
      </c>
      <c r="AV174" s="10">
        <v>0</v>
      </c>
      <c r="AW174" s="10">
        <v>1</v>
      </c>
      <c r="AX174" s="10">
        <v>1</v>
      </c>
      <c r="AY174" s="10">
        <v>1</v>
      </c>
      <c r="AZ174" s="7">
        <f t="shared" si="20"/>
        <v>3</v>
      </c>
      <c r="BA174" s="11">
        <f t="shared" si="21"/>
        <v>0.25</v>
      </c>
      <c r="BC174" s="12">
        <v>0</v>
      </c>
      <c r="BD174" s="12">
        <v>0</v>
      </c>
      <c r="BE174" s="12">
        <v>0</v>
      </c>
      <c r="BF174" s="12">
        <v>0</v>
      </c>
      <c r="BG174" s="12">
        <v>0</v>
      </c>
      <c r="BH174" s="12">
        <v>0</v>
      </c>
      <c r="BI174" s="12">
        <v>0</v>
      </c>
      <c r="BJ174" s="12">
        <v>0</v>
      </c>
      <c r="BK174" s="12">
        <v>0</v>
      </c>
      <c r="BL174" s="12">
        <v>2649.0066225166001</v>
      </c>
      <c r="BM174" s="12">
        <v>2649.0066225166001</v>
      </c>
      <c r="BN174" s="12">
        <v>2649.0066225166001</v>
      </c>
      <c r="BO174" s="12">
        <f t="shared" si="22"/>
        <v>7947.0198675498004</v>
      </c>
      <c r="BP174" s="12">
        <f t="shared" si="23"/>
        <v>662.25165562915004</v>
      </c>
      <c r="BQ174" s="7"/>
      <c r="BR174" s="7"/>
      <c r="BS174" s="7" t="s">
        <v>63</v>
      </c>
      <c r="BT174" s="7" t="s">
        <v>52</v>
      </c>
      <c r="BU174" s="7">
        <v>0</v>
      </c>
      <c r="BV174" s="7">
        <v>10</v>
      </c>
      <c r="BW174" s="7">
        <v>0</v>
      </c>
      <c r="BX174" s="7">
        <v>0</v>
      </c>
      <c r="BY174" s="7">
        <v>5</v>
      </c>
      <c r="BZ174" s="7"/>
    </row>
    <row r="175" spans="1:78" x14ac:dyDescent="0.35">
      <c r="A175" s="7" t="s">
        <v>41</v>
      </c>
      <c r="B175" s="7"/>
      <c r="C175" s="7" t="s">
        <v>181</v>
      </c>
      <c r="D175" s="7" t="s">
        <v>182</v>
      </c>
      <c r="E175" s="7" t="s">
        <v>183</v>
      </c>
      <c r="F175" s="7" t="s">
        <v>358</v>
      </c>
      <c r="G175" s="7" t="s">
        <v>46</v>
      </c>
      <c r="H175" s="7"/>
      <c r="I175" s="7"/>
      <c r="J175" s="7" t="s">
        <v>355</v>
      </c>
      <c r="K175" s="7" t="s">
        <v>48</v>
      </c>
      <c r="L175" s="7" t="s">
        <v>49</v>
      </c>
      <c r="M175" s="7" t="s">
        <v>49</v>
      </c>
      <c r="N175" s="7" t="s">
        <v>85</v>
      </c>
      <c r="O175" s="7" t="s">
        <v>4</v>
      </c>
      <c r="P175" s="7">
        <v>140000</v>
      </c>
      <c r="Q175" s="7">
        <v>140000</v>
      </c>
      <c r="R175" s="7">
        <v>140000</v>
      </c>
      <c r="S175" s="7">
        <v>140000</v>
      </c>
      <c r="T175" s="7">
        <v>140000</v>
      </c>
      <c r="U175" s="7">
        <v>140000</v>
      </c>
      <c r="V175" s="7">
        <v>140000</v>
      </c>
      <c r="W175" s="7">
        <v>140000</v>
      </c>
      <c r="X175" s="7">
        <v>140000</v>
      </c>
      <c r="Y175" s="7">
        <v>140000</v>
      </c>
      <c r="Z175" s="7">
        <v>140000</v>
      </c>
      <c r="AA175" s="7">
        <v>140000</v>
      </c>
      <c r="AB175" s="9">
        <v>8.8615446938336007</v>
      </c>
      <c r="AC175" s="9">
        <v>8.8615446938336007</v>
      </c>
      <c r="AD175" s="9">
        <v>8.8615446938336007</v>
      </c>
      <c r="AE175" s="9">
        <v>8.8615446938336007</v>
      </c>
      <c r="AF175" s="9">
        <v>8.8615446938336007</v>
      </c>
      <c r="AG175" s="9">
        <v>8.8615446938336007</v>
      </c>
      <c r="AH175" s="9">
        <v>8.8615446938336007</v>
      </c>
      <c r="AI175" s="9">
        <v>8.8615446938336007</v>
      </c>
      <c r="AJ175" s="9">
        <v>8.8615446938336007</v>
      </c>
      <c r="AK175" s="9">
        <v>8.8615446938336007</v>
      </c>
      <c r="AL175" s="9">
        <v>8.8615446938336007</v>
      </c>
      <c r="AM175" s="9">
        <v>8.8615446938336007</v>
      </c>
      <c r="AN175" s="10">
        <v>0</v>
      </c>
      <c r="AO175" s="10">
        <v>1</v>
      </c>
      <c r="AP175" s="10">
        <v>0</v>
      </c>
      <c r="AQ175" s="10">
        <v>0</v>
      </c>
      <c r="AR175" s="10">
        <v>0</v>
      </c>
      <c r="AS175" s="10">
        <v>0</v>
      </c>
      <c r="AT175" s="10">
        <v>0</v>
      </c>
      <c r="AU175" s="10">
        <v>0</v>
      </c>
      <c r="AV175" s="10">
        <v>0</v>
      </c>
      <c r="AW175" s="10">
        <v>0</v>
      </c>
      <c r="AX175" s="10">
        <v>0</v>
      </c>
      <c r="AY175" s="10">
        <v>0</v>
      </c>
      <c r="AZ175" s="7">
        <f t="shared" si="20"/>
        <v>1</v>
      </c>
      <c r="BA175" s="11">
        <f t="shared" si="21"/>
        <v>8.3333333333333329E-2</v>
      </c>
      <c r="BC175" s="12">
        <v>0</v>
      </c>
      <c r="BD175" s="12">
        <v>8.8615446938336007</v>
      </c>
      <c r="BE175" s="12">
        <v>0</v>
      </c>
      <c r="BF175" s="12">
        <v>0</v>
      </c>
      <c r="BG175" s="12">
        <v>0</v>
      </c>
      <c r="BH175" s="12">
        <v>0</v>
      </c>
      <c r="BI175" s="12">
        <v>0</v>
      </c>
      <c r="BJ175" s="12">
        <v>0</v>
      </c>
      <c r="BK175" s="12">
        <v>0</v>
      </c>
      <c r="BL175" s="12">
        <v>0</v>
      </c>
      <c r="BM175" s="12">
        <v>0</v>
      </c>
      <c r="BN175" s="12">
        <v>0</v>
      </c>
      <c r="BO175" s="12">
        <f t="shared" si="22"/>
        <v>8.8615446938336007</v>
      </c>
      <c r="BP175" s="12">
        <f t="shared" si="23"/>
        <v>0.73846205781946672</v>
      </c>
      <c r="BQ175" s="7"/>
      <c r="BR175" s="7"/>
      <c r="BS175" s="7" t="s">
        <v>80</v>
      </c>
      <c r="BT175" s="7" t="s">
        <v>52</v>
      </c>
      <c r="BU175" s="7">
        <v>0</v>
      </c>
      <c r="BV175" s="7">
        <v>5</v>
      </c>
      <c r="BW175" s="7">
        <v>0</v>
      </c>
      <c r="BX175" s="7">
        <v>15</v>
      </c>
      <c r="BY175" s="7">
        <v>15</v>
      </c>
      <c r="BZ175" s="7"/>
    </row>
    <row r="176" spans="1:78" x14ac:dyDescent="0.35">
      <c r="A176" s="7" t="s">
        <v>41</v>
      </c>
      <c r="B176" s="7"/>
      <c r="C176" s="7" t="s">
        <v>432</v>
      </c>
      <c r="D176" s="7" t="s">
        <v>73</v>
      </c>
      <c r="E176" s="7" t="s">
        <v>433</v>
      </c>
      <c r="F176" s="7" t="s">
        <v>358</v>
      </c>
      <c r="G176" s="7" t="s">
        <v>46</v>
      </c>
      <c r="H176" s="7"/>
      <c r="I176" s="7"/>
      <c r="J176" s="7" t="s">
        <v>355</v>
      </c>
      <c r="K176" s="7" t="s">
        <v>48</v>
      </c>
      <c r="L176" s="7" t="s">
        <v>49</v>
      </c>
      <c r="M176" s="7" t="s">
        <v>49</v>
      </c>
      <c r="N176" s="7" t="s">
        <v>76</v>
      </c>
      <c r="O176" s="7" t="s">
        <v>6</v>
      </c>
      <c r="P176" s="7">
        <v>45000</v>
      </c>
      <c r="Q176" s="7">
        <v>45000</v>
      </c>
      <c r="R176" s="7">
        <v>45000</v>
      </c>
      <c r="S176" s="7">
        <v>45000</v>
      </c>
      <c r="T176" s="7">
        <v>45000</v>
      </c>
      <c r="U176" s="7">
        <v>45000</v>
      </c>
      <c r="V176" s="7">
        <v>45000</v>
      </c>
      <c r="W176" s="7">
        <v>45000</v>
      </c>
      <c r="X176" s="7">
        <v>45000</v>
      </c>
      <c r="Y176" s="7">
        <v>45000</v>
      </c>
      <c r="Z176" s="7">
        <v>45000</v>
      </c>
      <c r="AA176" s="7">
        <v>45000</v>
      </c>
      <c r="AB176" s="9">
        <v>298.01324503311002</v>
      </c>
      <c r="AC176" s="9">
        <v>298.01324503311002</v>
      </c>
      <c r="AD176" s="9">
        <v>298.01324503311002</v>
      </c>
      <c r="AE176" s="9">
        <v>298.01324503311002</v>
      </c>
      <c r="AF176" s="9">
        <v>298.01324503311002</v>
      </c>
      <c r="AG176" s="9">
        <v>298.01324503311002</v>
      </c>
      <c r="AH176" s="9">
        <v>298.01324503311002</v>
      </c>
      <c r="AI176" s="9">
        <v>298.01324503311002</v>
      </c>
      <c r="AJ176" s="9">
        <v>298.01324503311002</v>
      </c>
      <c r="AK176" s="9">
        <v>298.01324503311002</v>
      </c>
      <c r="AL176" s="9">
        <v>298.01324503311002</v>
      </c>
      <c r="AM176" s="9">
        <v>298.01324503311002</v>
      </c>
      <c r="AN176" s="10">
        <v>0</v>
      </c>
      <c r="AO176" s="10">
        <v>0</v>
      </c>
      <c r="AP176" s="10">
        <v>0</v>
      </c>
      <c r="AQ176" s="10">
        <v>0</v>
      </c>
      <c r="AR176" s="10">
        <v>0</v>
      </c>
      <c r="AS176" s="10">
        <v>0</v>
      </c>
      <c r="AT176" s="10">
        <v>0</v>
      </c>
      <c r="AU176" s="10">
        <v>0</v>
      </c>
      <c r="AV176" s="10">
        <v>1</v>
      </c>
      <c r="AW176" s="10">
        <v>0</v>
      </c>
      <c r="AX176" s="10">
        <v>0</v>
      </c>
      <c r="AY176" s="10">
        <v>0</v>
      </c>
      <c r="AZ176" s="7">
        <f t="shared" si="20"/>
        <v>1</v>
      </c>
      <c r="BA176" s="11">
        <f t="shared" si="21"/>
        <v>8.3333333333333329E-2</v>
      </c>
      <c r="BC176" s="12">
        <v>0</v>
      </c>
      <c r="BD176" s="12">
        <v>0</v>
      </c>
      <c r="BE176" s="12">
        <v>0</v>
      </c>
      <c r="BF176" s="12">
        <v>0</v>
      </c>
      <c r="BG176" s="12">
        <v>0</v>
      </c>
      <c r="BH176" s="12">
        <v>0</v>
      </c>
      <c r="BI176" s="12">
        <v>0</v>
      </c>
      <c r="BJ176" s="12">
        <v>0</v>
      </c>
      <c r="BK176" s="12">
        <v>298.01324503311002</v>
      </c>
      <c r="BL176" s="12">
        <v>0</v>
      </c>
      <c r="BM176" s="12">
        <v>0</v>
      </c>
      <c r="BN176" s="12">
        <v>0</v>
      </c>
      <c r="BO176" s="12">
        <f t="shared" si="22"/>
        <v>298.01324503311002</v>
      </c>
      <c r="BP176" s="12">
        <f t="shared" si="23"/>
        <v>24.834437086092503</v>
      </c>
      <c r="BQ176" s="7"/>
      <c r="BR176" s="7"/>
      <c r="BS176" s="7" t="s">
        <v>63</v>
      </c>
      <c r="BT176" s="7" t="s">
        <v>52</v>
      </c>
      <c r="BU176" s="7">
        <v>0</v>
      </c>
      <c r="BV176" s="7">
        <v>10</v>
      </c>
      <c r="BW176" s="7">
        <v>0</v>
      </c>
      <c r="BX176" s="7">
        <v>0</v>
      </c>
      <c r="BY176" s="7">
        <v>5</v>
      </c>
      <c r="BZ176" s="7"/>
    </row>
    <row r="177" spans="1:78" x14ac:dyDescent="0.35">
      <c r="A177" s="7" t="s">
        <v>41</v>
      </c>
      <c r="B177" s="7"/>
      <c r="C177" s="7" t="s">
        <v>434</v>
      </c>
      <c r="D177" s="7" t="s">
        <v>73</v>
      </c>
      <c r="E177" s="7" t="s">
        <v>435</v>
      </c>
      <c r="F177" s="7" t="s">
        <v>358</v>
      </c>
      <c r="G177" s="7" t="s">
        <v>46</v>
      </c>
      <c r="H177" s="7"/>
      <c r="I177" s="7"/>
      <c r="J177" s="7" t="s">
        <v>355</v>
      </c>
      <c r="K177" s="7" t="s">
        <v>48</v>
      </c>
      <c r="L177" s="7" t="s">
        <v>49</v>
      </c>
      <c r="M177" s="7" t="s">
        <v>49</v>
      </c>
      <c r="N177" s="7" t="s">
        <v>76</v>
      </c>
      <c r="O177" s="7" t="s">
        <v>6</v>
      </c>
      <c r="P177" s="7">
        <v>34631</v>
      </c>
      <c r="Q177" s="7">
        <v>34631</v>
      </c>
      <c r="R177" s="7">
        <v>34631</v>
      </c>
      <c r="S177" s="7">
        <v>34631</v>
      </c>
      <c r="T177" s="7">
        <v>34631</v>
      </c>
      <c r="U177" s="7">
        <v>34631</v>
      </c>
      <c r="V177" s="7">
        <v>34631</v>
      </c>
      <c r="W177" s="7">
        <v>34631</v>
      </c>
      <c r="X177" s="7">
        <v>34631</v>
      </c>
      <c r="Y177" s="7">
        <v>34631</v>
      </c>
      <c r="Z177" s="7">
        <v>34631</v>
      </c>
      <c r="AA177" s="7">
        <v>34631</v>
      </c>
      <c r="AB177" s="9">
        <v>229.34437086093001</v>
      </c>
      <c r="AC177" s="9">
        <v>229.34437086093001</v>
      </c>
      <c r="AD177" s="9">
        <v>229.34437086093001</v>
      </c>
      <c r="AE177" s="9">
        <v>229.34437086093001</v>
      </c>
      <c r="AF177" s="9">
        <v>229.34437086093001</v>
      </c>
      <c r="AG177" s="9">
        <v>229.34437086093001</v>
      </c>
      <c r="AH177" s="9">
        <v>229.34437086093001</v>
      </c>
      <c r="AI177" s="9">
        <v>229.34437086093001</v>
      </c>
      <c r="AJ177" s="9">
        <v>229.34437086093001</v>
      </c>
      <c r="AK177" s="9">
        <v>229.34437086093001</v>
      </c>
      <c r="AL177" s="9">
        <v>229.34437086093001</v>
      </c>
      <c r="AM177" s="9">
        <v>229.34437086093001</v>
      </c>
      <c r="AN177" s="10">
        <v>0</v>
      </c>
      <c r="AO177" s="10">
        <v>0</v>
      </c>
      <c r="AP177" s="10">
        <v>0</v>
      </c>
      <c r="AQ177" s="10">
        <v>0</v>
      </c>
      <c r="AR177" s="10">
        <v>0</v>
      </c>
      <c r="AS177" s="10">
        <v>0</v>
      </c>
      <c r="AT177" s="10">
        <v>0</v>
      </c>
      <c r="AU177" s="10">
        <v>0</v>
      </c>
      <c r="AV177" s="10">
        <v>1</v>
      </c>
      <c r="AW177" s="10">
        <v>0</v>
      </c>
      <c r="AX177" s="10">
        <v>0</v>
      </c>
      <c r="AY177" s="10">
        <v>0</v>
      </c>
      <c r="AZ177" s="7">
        <f t="shared" si="20"/>
        <v>1</v>
      </c>
      <c r="BA177" s="11">
        <f t="shared" si="21"/>
        <v>8.3333333333333329E-2</v>
      </c>
      <c r="BC177" s="12">
        <v>0</v>
      </c>
      <c r="BD177" s="12">
        <v>0</v>
      </c>
      <c r="BE177" s="12">
        <v>0</v>
      </c>
      <c r="BF177" s="12">
        <v>0</v>
      </c>
      <c r="BG177" s="12">
        <v>0</v>
      </c>
      <c r="BH177" s="12">
        <v>0</v>
      </c>
      <c r="BI177" s="12">
        <v>0</v>
      </c>
      <c r="BJ177" s="12">
        <v>0</v>
      </c>
      <c r="BK177" s="12">
        <v>229.34437086093001</v>
      </c>
      <c r="BL177" s="12">
        <v>0</v>
      </c>
      <c r="BM177" s="12">
        <v>0</v>
      </c>
      <c r="BN177" s="12">
        <v>0</v>
      </c>
      <c r="BO177" s="12">
        <f t="shared" si="22"/>
        <v>229.34437086093001</v>
      </c>
      <c r="BP177" s="12">
        <f t="shared" si="23"/>
        <v>19.1120309050775</v>
      </c>
      <c r="BQ177" s="7"/>
      <c r="BR177" s="7"/>
      <c r="BS177" s="7" t="s">
        <v>63</v>
      </c>
      <c r="BT177" s="7" t="s">
        <v>52</v>
      </c>
      <c r="BU177" s="7">
        <v>0</v>
      </c>
      <c r="BV177" s="7">
        <v>10</v>
      </c>
      <c r="BW177" s="7">
        <v>0</v>
      </c>
      <c r="BX177" s="7">
        <v>0</v>
      </c>
      <c r="BY177" s="7">
        <v>5</v>
      </c>
      <c r="BZ177" s="7"/>
    </row>
    <row r="178" spans="1:78" x14ac:dyDescent="0.35">
      <c r="A178" s="7" t="s">
        <v>41</v>
      </c>
      <c r="B178" s="7"/>
      <c r="C178" s="7" t="s">
        <v>436</v>
      </c>
      <c r="D178" s="7" t="s">
        <v>73</v>
      </c>
      <c r="E178" s="7" t="s">
        <v>437</v>
      </c>
      <c r="F178" s="7" t="s">
        <v>358</v>
      </c>
      <c r="G178" s="7" t="s">
        <v>46</v>
      </c>
      <c r="H178" s="7"/>
      <c r="I178" s="7"/>
      <c r="J178" s="7" t="s">
        <v>355</v>
      </c>
      <c r="K178" s="7" t="s">
        <v>48</v>
      </c>
      <c r="L178" s="7" t="s">
        <v>49</v>
      </c>
      <c r="M178" s="7" t="s">
        <v>49</v>
      </c>
      <c r="N178" s="7" t="s">
        <v>76</v>
      </c>
      <c r="O178" s="7" t="s">
        <v>6</v>
      </c>
      <c r="P178" s="7">
        <v>10000</v>
      </c>
      <c r="Q178" s="7">
        <v>10000</v>
      </c>
      <c r="R178" s="7">
        <v>10000</v>
      </c>
      <c r="S178" s="7">
        <v>10000</v>
      </c>
      <c r="T178" s="7">
        <v>10000</v>
      </c>
      <c r="U178" s="7">
        <v>10000</v>
      </c>
      <c r="V178" s="7">
        <v>10000</v>
      </c>
      <c r="W178" s="7">
        <v>10000</v>
      </c>
      <c r="X178" s="7">
        <v>10000</v>
      </c>
      <c r="Y178" s="7">
        <v>10000</v>
      </c>
      <c r="Z178" s="7">
        <v>10000</v>
      </c>
      <c r="AA178" s="7">
        <v>10000</v>
      </c>
      <c r="AB178" s="9">
        <v>66.225165562914</v>
      </c>
      <c r="AC178" s="9">
        <v>66.225165562914</v>
      </c>
      <c r="AD178" s="9">
        <v>66.225165562914</v>
      </c>
      <c r="AE178" s="9">
        <v>66.225165562914</v>
      </c>
      <c r="AF178" s="9">
        <v>66.225165562914</v>
      </c>
      <c r="AG178" s="9">
        <v>66.225165562914</v>
      </c>
      <c r="AH178" s="9">
        <v>66.225165562914</v>
      </c>
      <c r="AI178" s="9">
        <v>66.225165562914</v>
      </c>
      <c r="AJ178" s="9">
        <v>66.225165562914</v>
      </c>
      <c r="AK178" s="9">
        <v>66.225165562914</v>
      </c>
      <c r="AL178" s="9">
        <v>66.225165562914</v>
      </c>
      <c r="AM178" s="9">
        <v>66.225165562914</v>
      </c>
      <c r="AN178" s="10">
        <v>0</v>
      </c>
      <c r="AO178" s="10">
        <v>0</v>
      </c>
      <c r="AP178" s="10">
        <v>0</v>
      </c>
      <c r="AQ178" s="10">
        <v>0</v>
      </c>
      <c r="AR178" s="10">
        <v>0</v>
      </c>
      <c r="AS178" s="10">
        <v>0</v>
      </c>
      <c r="AT178" s="10">
        <v>0</v>
      </c>
      <c r="AU178" s="10">
        <v>0</v>
      </c>
      <c r="AV178" s="10">
        <v>1</v>
      </c>
      <c r="AW178" s="10">
        <v>0</v>
      </c>
      <c r="AX178" s="10">
        <v>0</v>
      </c>
      <c r="AY178" s="10">
        <v>0</v>
      </c>
      <c r="AZ178" s="7">
        <f t="shared" si="20"/>
        <v>1</v>
      </c>
      <c r="BA178" s="11">
        <f t="shared" si="21"/>
        <v>8.3333333333333329E-2</v>
      </c>
      <c r="BC178" s="12">
        <v>0</v>
      </c>
      <c r="BD178" s="12">
        <v>0</v>
      </c>
      <c r="BE178" s="12">
        <v>0</v>
      </c>
      <c r="BF178" s="12">
        <v>0</v>
      </c>
      <c r="BG178" s="12">
        <v>0</v>
      </c>
      <c r="BH178" s="12">
        <v>0</v>
      </c>
      <c r="BI178" s="12">
        <v>0</v>
      </c>
      <c r="BJ178" s="12">
        <v>0</v>
      </c>
      <c r="BK178" s="12">
        <v>66.225165562914</v>
      </c>
      <c r="BL178" s="12">
        <v>0</v>
      </c>
      <c r="BM178" s="12">
        <v>0</v>
      </c>
      <c r="BN178" s="12">
        <v>0</v>
      </c>
      <c r="BO178" s="12">
        <f t="shared" si="22"/>
        <v>66.225165562914</v>
      </c>
      <c r="BP178" s="12">
        <f t="shared" si="23"/>
        <v>5.5187637969095</v>
      </c>
      <c r="BQ178" s="7"/>
      <c r="BR178" s="7"/>
      <c r="BS178" s="7" t="s">
        <v>63</v>
      </c>
      <c r="BT178" s="7" t="s">
        <v>52</v>
      </c>
      <c r="BU178" s="7">
        <v>0</v>
      </c>
      <c r="BV178" s="7">
        <v>10</v>
      </c>
      <c r="BW178" s="7">
        <v>0</v>
      </c>
      <c r="BX178" s="7">
        <v>0</v>
      </c>
      <c r="BY178" s="7">
        <v>5</v>
      </c>
      <c r="BZ178" s="7"/>
    </row>
    <row r="179" spans="1:78" x14ac:dyDescent="0.35">
      <c r="A179" s="7" t="s">
        <v>41</v>
      </c>
      <c r="B179" s="7"/>
      <c r="C179" s="7" t="s">
        <v>438</v>
      </c>
      <c r="D179" s="7" t="s">
        <v>73</v>
      </c>
      <c r="E179" s="7" t="s">
        <v>439</v>
      </c>
      <c r="F179" s="7" t="s">
        <v>358</v>
      </c>
      <c r="G179" s="7" t="s">
        <v>46</v>
      </c>
      <c r="H179" s="7"/>
      <c r="I179" s="7"/>
      <c r="J179" s="7" t="s">
        <v>355</v>
      </c>
      <c r="K179" s="7" t="s">
        <v>48</v>
      </c>
      <c r="L179" s="7" t="s">
        <v>49</v>
      </c>
      <c r="M179" s="7" t="s">
        <v>49</v>
      </c>
      <c r="N179" s="7" t="s">
        <v>76</v>
      </c>
      <c r="O179" s="7" t="s">
        <v>6</v>
      </c>
      <c r="P179" s="7">
        <v>4000</v>
      </c>
      <c r="Q179" s="7">
        <v>4000</v>
      </c>
      <c r="R179" s="7">
        <v>4000</v>
      </c>
      <c r="S179" s="7">
        <v>4000</v>
      </c>
      <c r="T179" s="7">
        <v>4000</v>
      </c>
      <c r="U179" s="7">
        <v>4000</v>
      </c>
      <c r="V179" s="7">
        <v>4000</v>
      </c>
      <c r="W179" s="7">
        <v>4000</v>
      </c>
      <c r="X179" s="7">
        <v>4000</v>
      </c>
      <c r="Y179" s="7">
        <v>4000</v>
      </c>
      <c r="Z179" s="7">
        <v>4000</v>
      </c>
      <c r="AA179" s="7">
        <v>4000</v>
      </c>
      <c r="AB179" s="9">
        <v>26.490066225166</v>
      </c>
      <c r="AC179" s="9">
        <v>26.490066225166</v>
      </c>
      <c r="AD179" s="9">
        <v>26.490066225166</v>
      </c>
      <c r="AE179" s="9">
        <v>26.490066225166</v>
      </c>
      <c r="AF179" s="9">
        <v>26.490066225166</v>
      </c>
      <c r="AG179" s="9">
        <v>26.490066225166</v>
      </c>
      <c r="AH179" s="9">
        <v>26.490066225166</v>
      </c>
      <c r="AI179" s="9">
        <v>26.490066225166</v>
      </c>
      <c r="AJ179" s="9">
        <v>26.490066225166</v>
      </c>
      <c r="AK179" s="9">
        <v>26.490066225166</v>
      </c>
      <c r="AL179" s="9">
        <v>26.490066225166</v>
      </c>
      <c r="AM179" s="9">
        <v>26.490066225166</v>
      </c>
      <c r="AN179" s="10">
        <v>0</v>
      </c>
      <c r="AO179" s="10">
        <v>0</v>
      </c>
      <c r="AP179" s="10">
        <v>0</v>
      </c>
      <c r="AQ179" s="10">
        <v>0</v>
      </c>
      <c r="AR179" s="10">
        <v>0</v>
      </c>
      <c r="AS179" s="10">
        <v>0</v>
      </c>
      <c r="AT179" s="10">
        <v>1</v>
      </c>
      <c r="AU179" s="10">
        <v>0</v>
      </c>
      <c r="AV179" s="10">
        <v>1</v>
      </c>
      <c r="AW179" s="10">
        <v>0</v>
      </c>
      <c r="AX179" s="10">
        <v>0</v>
      </c>
      <c r="AY179" s="10">
        <v>0</v>
      </c>
      <c r="AZ179" s="7">
        <f t="shared" si="20"/>
        <v>2</v>
      </c>
      <c r="BA179" s="11">
        <f t="shared" si="21"/>
        <v>0.16666666666666666</v>
      </c>
      <c r="BC179" s="12">
        <v>0</v>
      </c>
      <c r="BD179" s="12">
        <v>0</v>
      </c>
      <c r="BE179" s="12">
        <v>0</v>
      </c>
      <c r="BF179" s="12">
        <v>0</v>
      </c>
      <c r="BG179" s="12">
        <v>0</v>
      </c>
      <c r="BH179" s="12">
        <v>0</v>
      </c>
      <c r="BI179" s="12">
        <v>26.490066225166</v>
      </c>
      <c r="BJ179" s="12">
        <v>0</v>
      </c>
      <c r="BK179" s="12">
        <v>26.490066225166</v>
      </c>
      <c r="BL179" s="12">
        <v>0</v>
      </c>
      <c r="BM179" s="12">
        <v>0</v>
      </c>
      <c r="BN179" s="12">
        <v>0</v>
      </c>
      <c r="BO179" s="12">
        <f t="shared" si="22"/>
        <v>52.980132450332</v>
      </c>
      <c r="BP179" s="12">
        <f t="shared" si="23"/>
        <v>4.415011037527667</v>
      </c>
      <c r="BQ179" s="7"/>
      <c r="BR179" s="7"/>
      <c r="BS179" s="7" t="s">
        <v>63</v>
      </c>
      <c r="BT179" s="7" t="s">
        <v>52</v>
      </c>
      <c r="BU179" s="7">
        <v>0</v>
      </c>
      <c r="BV179" s="7">
        <v>10</v>
      </c>
      <c r="BW179" s="7">
        <v>0</v>
      </c>
      <c r="BX179" s="7">
        <v>0</v>
      </c>
      <c r="BY179" s="7">
        <v>5</v>
      </c>
      <c r="BZ179" s="7"/>
    </row>
    <row r="180" spans="1:78" x14ac:dyDescent="0.35">
      <c r="A180" s="7" t="s">
        <v>41</v>
      </c>
      <c r="B180" s="7"/>
      <c r="C180" s="7" t="s">
        <v>440</v>
      </c>
      <c r="D180" s="7" t="s">
        <v>441</v>
      </c>
      <c r="E180" s="7" t="s">
        <v>442</v>
      </c>
      <c r="F180" s="7" t="s">
        <v>354</v>
      </c>
      <c r="G180" s="7" t="s">
        <v>46</v>
      </c>
      <c r="H180" s="7"/>
      <c r="I180" s="7"/>
      <c r="J180" s="7" t="s">
        <v>355</v>
      </c>
      <c r="K180" s="7" t="s">
        <v>48</v>
      </c>
      <c r="L180" s="7" t="s">
        <v>49</v>
      </c>
      <c r="M180" s="7" t="s">
        <v>49</v>
      </c>
      <c r="N180" s="7" t="s">
        <v>50</v>
      </c>
      <c r="O180" s="7" t="s">
        <v>4</v>
      </c>
      <c r="P180" s="7">
        <v>215000</v>
      </c>
      <c r="Q180" s="7">
        <v>215000</v>
      </c>
      <c r="R180" s="7">
        <v>215000</v>
      </c>
      <c r="S180" s="7">
        <v>215000</v>
      </c>
      <c r="T180" s="7">
        <v>215000</v>
      </c>
      <c r="U180" s="7">
        <v>215000</v>
      </c>
      <c r="V180" s="7">
        <v>215000</v>
      </c>
      <c r="W180" s="7">
        <v>215000</v>
      </c>
      <c r="X180" s="7">
        <v>215000</v>
      </c>
      <c r="Y180" s="7">
        <v>215000</v>
      </c>
      <c r="Z180" s="7">
        <v>215000</v>
      </c>
      <c r="AA180" s="7">
        <v>215000</v>
      </c>
      <c r="AB180" s="9">
        <v>13.608800779816001</v>
      </c>
      <c r="AC180" s="9">
        <v>13.608800779816001</v>
      </c>
      <c r="AD180" s="9">
        <v>13.608800779816001</v>
      </c>
      <c r="AE180" s="9">
        <v>13.608800779816001</v>
      </c>
      <c r="AF180" s="9">
        <v>13.608800779816001</v>
      </c>
      <c r="AG180" s="9">
        <v>13.608800779816001</v>
      </c>
      <c r="AH180" s="9">
        <v>13.608800779816001</v>
      </c>
      <c r="AI180" s="9">
        <v>13.608800779816001</v>
      </c>
      <c r="AJ180" s="9">
        <v>13.608800779816001</v>
      </c>
      <c r="AK180" s="9">
        <v>13.608800779816001</v>
      </c>
      <c r="AL180" s="9">
        <v>13.608800779816001</v>
      </c>
      <c r="AM180" s="9">
        <v>13.608800779816001</v>
      </c>
      <c r="AN180" s="10">
        <v>1</v>
      </c>
      <c r="AO180" s="10">
        <v>0</v>
      </c>
      <c r="AP180" s="10">
        <v>0</v>
      </c>
      <c r="AQ180" s="10">
        <v>0</v>
      </c>
      <c r="AR180" s="10">
        <v>0</v>
      </c>
      <c r="AS180" s="10">
        <v>0</v>
      </c>
      <c r="AT180" s="10">
        <v>0</v>
      </c>
      <c r="AU180" s="10">
        <v>0</v>
      </c>
      <c r="AV180" s="10">
        <v>0</v>
      </c>
      <c r="AW180" s="10">
        <v>0</v>
      </c>
      <c r="AX180" s="10">
        <v>0</v>
      </c>
      <c r="AY180" s="10">
        <v>0</v>
      </c>
      <c r="AZ180" s="7">
        <f t="shared" si="20"/>
        <v>1</v>
      </c>
      <c r="BA180" s="11">
        <f t="shared" si="21"/>
        <v>8.3333333333333329E-2</v>
      </c>
      <c r="BC180" s="12">
        <v>13.608800779816001</v>
      </c>
      <c r="BD180" s="12">
        <v>0</v>
      </c>
      <c r="BE180" s="12">
        <v>0</v>
      </c>
      <c r="BF180" s="12">
        <v>0</v>
      </c>
      <c r="BG180" s="12">
        <v>0</v>
      </c>
      <c r="BH180" s="12">
        <v>0</v>
      </c>
      <c r="BI180" s="12">
        <v>0</v>
      </c>
      <c r="BJ180" s="12">
        <v>0</v>
      </c>
      <c r="BK180" s="12">
        <v>0</v>
      </c>
      <c r="BL180" s="12">
        <v>0</v>
      </c>
      <c r="BM180" s="12">
        <v>0</v>
      </c>
      <c r="BN180" s="12">
        <v>0</v>
      </c>
      <c r="BO180" s="12">
        <f t="shared" si="22"/>
        <v>13.608800779816001</v>
      </c>
      <c r="BP180" s="12">
        <f t="shared" si="23"/>
        <v>1.1340667316513333</v>
      </c>
      <c r="BQ180" s="7"/>
      <c r="BR180" s="7"/>
      <c r="BS180" s="7" t="s">
        <v>51</v>
      </c>
      <c r="BT180" s="7" t="s">
        <v>52</v>
      </c>
      <c r="BU180" s="7">
        <v>15</v>
      </c>
      <c r="BV180" s="7">
        <v>10</v>
      </c>
      <c r="BW180" s="7">
        <v>5</v>
      </c>
      <c r="BX180" s="7">
        <v>20</v>
      </c>
      <c r="BY180" s="7">
        <v>5</v>
      </c>
      <c r="BZ180" s="7"/>
    </row>
    <row r="181" spans="1:78" x14ac:dyDescent="0.35">
      <c r="A181" s="7" t="s">
        <v>41</v>
      </c>
      <c r="B181" s="7"/>
      <c r="C181" s="7" t="s">
        <v>443</v>
      </c>
      <c r="D181" s="7" t="s">
        <v>59</v>
      </c>
      <c r="E181" s="7" t="s">
        <v>444</v>
      </c>
      <c r="F181" s="7" t="s">
        <v>358</v>
      </c>
      <c r="G181" s="7" t="s">
        <v>46</v>
      </c>
      <c r="H181" s="7"/>
      <c r="I181" s="7"/>
      <c r="J181" s="7" t="s">
        <v>355</v>
      </c>
      <c r="K181" s="7" t="s">
        <v>48</v>
      </c>
      <c r="L181" s="7" t="s">
        <v>49</v>
      </c>
      <c r="M181" s="7" t="s">
        <v>49</v>
      </c>
      <c r="N181" s="7" t="s">
        <v>85</v>
      </c>
      <c r="O181" s="7" t="s">
        <v>4</v>
      </c>
      <c r="P181" s="7">
        <v>35000000</v>
      </c>
      <c r="Q181" s="7">
        <v>35000000</v>
      </c>
      <c r="R181" s="7">
        <v>35000000</v>
      </c>
      <c r="S181" s="7">
        <v>35000000</v>
      </c>
      <c r="T181" s="7">
        <v>35000000</v>
      </c>
      <c r="U181" s="7">
        <v>35000000</v>
      </c>
      <c r="V181" s="7">
        <v>35000000</v>
      </c>
      <c r="W181" s="7">
        <v>35000000</v>
      </c>
      <c r="X181" s="7">
        <v>35000000</v>
      </c>
      <c r="Y181" s="7">
        <v>35000000</v>
      </c>
      <c r="Z181" s="7">
        <v>35000000</v>
      </c>
      <c r="AA181" s="7">
        <v>35000000</v>
      </c>
      <c r="AB181" s="9">
        <v>2215.3861734584002</v>
      </c>
      <c r="AC181" s="9">
        <v>2215.3861734584002</v>
      </c>
      <c r="AD181" s="9">
        <v>2215.3861734584002</v>
      </c>
      <c r="AE181" s="9">
        <v>2215.3861734584002</v>
      </c>
      <c r="AF181" s="9">
        <v>2215.3861734584002</v>
      </c>
      <c r="AG181" s="9">
        <v>2215.3861734584002</v>
      </c>
      <c r="AH181" s="9">
        <v>2215.3861734584002</v>
      </c>
      <c r="AI181" s="9">
        <v>2215.3861734584002</v>
      </c>
      <c r="AJ181" s="9">
        <v>2215.3861734584002</v>
      </c>
      <c r="AK181" s="9">
        <v>2215.3861734584002</v>
      </c>
      <c r="AL181" s="9">
        <v>2215.3861734584002</v>
      </c>
      <c r="AM181" s="9">
        <v>2215.3861734584002</v>
      </c>
      <c r="AN181" s="10">
        <v>0</v>
      </c>
      <c r="AO181" s="10">
        <v>0</v>
      </c>
      <c r="AP181" s="10">
        <v>0</v>
      </c>
      <c r="AQ181" s="10">
        <v>0</v>
      </c>
      <c r="AR181" s="10">
        <v>0</v>
      </c>
      <c r="AS181" s="10">
        <v>1</v>
      </c>
      <c r="AT181" s="10">
        <v>0</v>
      </c>
      <c r="AU181" s="10">
        <v>0</v>
      </c>
      <c r="AV181" s="10">
        <v>0</v>
      </c>
      <c r="AW181" s="10">
        <v>0</v>
      </c>
      <c r="AX181" s="10">
        <v>0</v>
      </c>
      <c r="AY181" s="10">
        <v>0</v>
      </c>
      <c r="AZ181" s="7">
        <f t="shared" si="20"/>
        <v>1</v>
      </c>
      <c r="BA181" s="11">
        <f t="shared" si="21"/>
        <v>8.3333333333333329E-2</v>
      </c>
      <c r="BC181" s="12">
        <v>0</v>
      </c>
      <c r="BD181" s="12">
        <v>0</v>
      </c>
      <c r="BE181" s="12">
        <v>0</v>
      </c>
      <c r="BF181" s="12">
        <v>0</v>
      </c>
      <c r="BG181" s="12">
        <v>0</v>
      </c>
      <c r="BH181" s="12">
        <v>2215.3861734584002</v>
      </c>
      <c r="BI181" s="12">
        <v>0</v>
      </c>
      <c r="BJ181" s="12">
        <v>0</v>
      </c>
      <c r="BK181" s="12">
        <v>0</v>
      </c>
      <c r="BL181" s="12">
        <v>0</v>
      </c>
      <c r="BM181" s="12">
        <v>0</v>
      </c>
      <c r="BN181" s="12">
        <v>0</v>
      </c>
      <c r="BO181" s="12">
        <f t="shared" si="22"/>
        <v>2215.3861734584002</v>
      </c>
      <c r="BP181" s="12">
        <f t="shared" si="23"/>
        <v>184.61551445486668</v>
      </c>
      <c r="BQ181" s="7"/>
      <c r="BR181" s="7"/>
      <c r="BS181" s="7" t="s">
        <v>63</v>
      </c>
      <c r="BT181" s="7" t="s">
        <v>52</v>
      </c>
      <c r="BU181" s="7">
        <v>0</v>
      </c>
      <c r="BV181" s="7">
        <v>10</v>
      </c>
      <c r="BW181" s="7">
        <v>0</v>
      </c>
      <c r="BX181" s="7">
        <v>0</v>
      </c>
      <c r="BY181" s="7">
        <v>5</v>
      </c>
      <c r="BZ181" s="7"/>
    </row>
    <row r="182" spans="1:78" x14ac:dyDescent="0.35">
      <c r="A182" s="7" t="s">
        <v>41</v>
      </c>
      <c r="B182" s="7"/>
      <c r="C182" s="7" t="s">
        <v>445</v>
      </c>
      <c r="D182" s="7" t="s">
        <v>380</v>
      </c>
      <c r="E182" s="7" t="s">
        <v>446</v>
      </c>
      <c r="F182" s="7" t="s">
        <v>354</v>
      </c>
      <c r="G182" s="7" t="s">
        <v>46</v>
      </c>
      <c r="H182" s="7"/>
      <c r="I182" s="7"/>
      <c r="J182" s="7" t="s">
        <v>355</v>
      </c>
      <c r="K182" s="7" t="s">
        <v>48</v>
      </c>
      <c r="L182" s="7" t="s">
        <v>49</v>
      </c>
      <c r="M182" s="7" t="s">
        <v>49</v>
      </c>
      <c r="N182" s="7" t="s">
        <v>50</v>
      </c>
      <c r="O182" s="7" t="s">
        <v>4</v>
      </c>
      <c r="P182" s="7">
        <v>375000</v>
      </c>
      <c r="Q182" s="7">
        <v>375000</v>
      </c>
      <c r="R182" s="7">
        <v>375000</v>
      </c>
      <c r="S182" s="7">
        <v>375000</v>
      </c>
      <c r="T182" s="7">
        <v>375000</v>
      </c>
      <c r="U182" s="7">
        <v>375000</v>
      </c>
      <c r="V182" s="7">
        <v>375000</v>
      </c>
      <c r="W182" s="7">
        <v>375000</v>
      </c>
      <c r="X182" s="7">
        <v>375000</v>
      </c>
      <c r="Y182" s="7">
        <v>375000</v>
      </c>
      <c r="Z182" s="7">
        <v>375000</v>
      </c>
      <c r="AA182" s="7">
        <v>375000</v>
      </c>
      <c r="AB182" s="9">
        <v>23.736280429912</v>
      </c>
      <c r="AC182" s="9">
        <v>23.736280429912</v>
      </c>
      <c r="AD182" s="9">
        <v>23.736280429912</v>
      </c>
      <c r="AE182" s="9">
        <v>23.736280429912</v>
      </c>
      <c r="AF182" s="9">
        <v>23.736280429912</v>
      </c>
      <c r="AG182" s="9">
        <v>23.736280429912</v>
      </c>
      <c r="AH182" s="9">
        <v>23.736280429912</v>
      </c>
      <c r="AI182" s="9">
        <v>23.736280429912</v>
      </c>
      <c r="AJ182" s="9">
        <v>23.736280429912</v>
      </c>
      <c r="AK182" s="9">
        <v>23.736280429912</v>
      </c>
      <c r="AL182" s="9">
        <v>23.736280429912</v>
      </c>
      <c r="AM182" s="9">
        <v>23.736280429912</v>
      </c>
      <c r="AN182" s="10">
        <v>1</v>
      </c>
      <c r="AO182" s="10">
        <v>0</v>
      </c>
      <c r="AP182" s="10">
        <v>0</v>
      </c>
      <c r="AQ182" s="10">
        <v>0</v>
      </c>
      <c r="AR182" s="10">
        <v>0</v>
      </c>
      <c r="AS182" s="10">
        <v>0</v>
      </c>
      <c r="AT182" s="10">
        <v>0</v>
      </c>
      <c r="AU182" s="10">
        <v>0</v>
      </c>
      <c r="AV182" s="10">
        <v>0</v>
      </c>
      <c r="AW182" s="10">
        <v>0</v>
      </c>
      <c r="AX182" s="10">
        <v>0</v>
      </c>
      <c r="AY182" s="10">
        <v>0</v>
      </c>
      <c r="AZ182" s="7">
        <f t="shared" si="20"/>
        <v>1</v>
      </c>
      <c r="BA182" s="11">
        <f t="shared" si="21"/>
        <v>8.3333333333333329E-2</v>
      </c>
      <c r="BC182" s="12">
        <v>23.736280429912</v>
      </c>
      <c r="BD182" s="12">
        <v>0</v>
      </c>
      <c r="BE182" s="12">
        <v>0</v>
      </c>
      <c r="BF182" s="12">
        <v>0</v>
      </c>
      <c r="BG182" s="12">
        <v>0</v>
      </c>
      <c r="BH182" s="12">
        <v>0</v>
      </c>
      <c r="BI182" s="12">
        <v>0</v>
      </c>
      <c r="BJ182" s="12">
        <v>0</v>
      </c>
      <c r="BK182" s="12">
        <v>0</v>
      </c>
      <c r="BL182" s="12">
        <v>0</v>
      </c>
      <c r="BM182" s="12">
        <v>0</v>
      </c>
      <c r="BN182" s="12">
        <v>0</v>
      </c>
      <c r="BO182" s="12">
        <f t="shared" si="22"/>
        <v>23.736280429912</v>
      </c>
      <c r="BP182" s="12">
        <f t="shared" si="23"/>
        <v>1.9780233691593334</v>
      </c>
      <c r="BQ182" s="7"/>
      <c r="BR182" s="7"/>
      <c r="BS182" s="7" t="s">
        <v>51</v>
      </c>
      <c r="BT182" s="7" t="s">
        <v>52</v>
      </c>
      <c r="BU182" s="7">
        <v>15</v>
      </c>
      <c r="BV182" s="7">
        <v>10</v>
      </c>
      <c r="BW182" s="7">
        <v>5</v>
      </c>
      <c r="BX182" s="7">
        <v>20</v>
      </c>
      <c r="BY182" s="7">
        <v>5</v>
      </c>
      <c r="BZ182" s="7"/>
    </row>
    <row r="183" spans="1:78" x14ac:dyDescent="0.35">
      <c r="A183" s="7" t="s">
        <v>41</v>
      </c>
      <c r="B183" s="7"/>
      <c r="C183" s="7" t="s">
        <v>447</v>
      </c>
      <c r="D183" s="7" t="s">
        <v>73</v>
      </c>
      <c r="E183" s="7" t="s">
        <v>448</v>
      </c>
      <c r="F183" s="7" t="s">
        <v>358</v>
      </c>
      <c r="G183" s="7" t="s">
        <v>46</v>
      </c>
      <c r="H183" s="7"/>
      <c r="I183" s="7"/>
      <c r="J183" s="7" t="s">
        <v>355</v>
      </c>
      <c r="K183" s="7" t="s">
        <v>48</v>
      </c>
      <c r="L183" s="7" t="s">
        <v>49</v>
      </c>
      <c r="M183" s="7" t="s">
        <v>49</v>
      </c>
      <c r="N183" s="7" t="s">
        <v>76</v>
      </c>
      <c r="O183" s="7" t="s">
        <v>6</v>
      </c>
      <c r="P183" s="7">
        <v>20000</v>
      </c>
      <c r="Q183" s="7">
        <v>20000</v>
      </c>
      <c r="R183" s="7">
        <v>20000</v>
      </c>
      <c r="S183" s="7">
        <v>20000</v>
      </c>
      <c r="T183" s="7">
        <v>20000</v>
      </c>
      <c r="U183" s="7">
        <v>20000</v>
      </c>
      <c r="V183" s="7">
        <v>20000</v>
      </c>
      <c r="W183" s="7">
        <v>20000</v>
      </c>
      <c r="X183" s="7">
        <v>20000</v>
      </c>
      <c r="Y183" s="7">
        <v>20000</v>
      </c>
      <c r="Z183" s="7">
        <v>20000</v>
      </c>
      <c r="AA183" s="7">
        <v>20000</v>
      </c>
      <c r="AB183" s="9">
        <v>132.45033112582999</v>
      </c>
      <c r="AC183" s="9">
        <v>132.45033112582999</v>
      </c>
      <c r="AD183" s="9">
        <v>132.45033112582999</v>
      </c>
      <c r="AE183" s="9">
        <v>132.45033112582999</v>
      </c>
      <c r="AF183" s="9">
        <v>132.45033112582999</v>
      </c>
      <c r="AG183" s="9">
        <v>132.45033112582999</v>
      </c>
      <c r="AH183" s="9">
        <v>132.45033112582999</v>
      </c>
      <c r="AI183" s="9">
        <v>132.45033112582999</v>
      </c>
      <c r="AJ183" s="9">
        <v>132.45033112582999</v>
      </c>
      <c r="AK183" s="9">
        <v>132.45033112582999</v>
      </c>
      <c r="AL183" s="9">
        <v>132.45033112582999</v>
      </c>
      <c r="AM183" s="9">
        <v>132.45033112582999</v>
      </c>
      <c r="AN183" s="10">
        <v>0</v>
      </c>
      <c r="AO183" s="10">
        <v>0</v>
      </c>
      <c r="AP183" s="10">
        <v>0</v>
      </c>
      <c r="AQ183" s="10">
        <v>0</v>
      </c>
      <c r="AR183" s="10">
        <v>0</v>
      </c>
      <c r="AS183" s="10">
        <v>0</v>
      </c>
      <c r="AT183" s="10">
        <v>0</v>
      </c>
      <c r="AU183" s="10">
        <v>0</v>
      </c>
      <c r="AV183" s="10">
        <v>0</v>
      </c>
      <c r="AW183" s="10">
        <v>0</v>
      </c>
      <c r="AX183" s="10">
        <v>0</v>
      </c>
      <c r="AY183" s="10">
        <v>0</v>
      </c>
      <c r="AZ183" s="7">
        <f t="shared" si="20"/>
        <v>0</v>
      </c>
      <c r="BA183" s="11">
        <f t="shared" si="21"/>
        <v>0</v>
      </c>
      <c r="BC183" s="12">
        <v>0</v>
      </c>
      <c r="BD183" s="12">
        <v>0</v>
      </c>
      <c r="BE183" s="12">
        <v>0</v>
      </c>
      <c r="BF183" s="12">
        <v>0</v>
      </c>
      <c r="BG183" s="12">
        <v>0</v>
      </c>
      <c r="BH183" s="12">
        <v>0</v>
      </c>
      <c r="BI183" s="12">
        <v>0</v>
      </c>
      <c r="BJ183" s="12">
        <v>0</v>
      </c>
      <c r="BK183" s="12">
        <v>0</v>
      </c>
      <c r="BL183" s="12">
        <v>0</v>
      </c>
      <c r="BM183" s="12">
        <v>0</v>
      </c>
      <c r="BN183" s="12">
        <v>0</v>
      </c>
      <c r="BO183" s="12">
        <f t="shared" si="22"/>
        <v>0</v>
      </c>
      <c r="BP183" s="12">
        <f t="shared" si="23"/>
        <v>0</v>
      </c>
      <c r="BQ183" s="7"/>
      <c r="BR183" s="7"/>
      <c r="BS183" s="7" t="s">
        <v>63</v>
      </c>
      <c r="BT183" s="7" t="s">
        <v>52</v>
      </c>
      <c r="BU183" s="7">
        <v>0</v>
      </c>
      <c r="BV183" s="7">
        <v>10</v>
      </c>
      <c r="BW183" s="7">
        <v>0</v>
      </c>
      <c r="BX183" s="7">
        <v>0</v>
      </c>
      <c r="BY183" s="7">
        <v>5</v>
      </c>
      <c r="BZ183" s="7"/>
    </row>
    <row r="184" spans="1:78" x14ac:dyDescent="0.35">
      <c r="A184" s="7" t="s">
        <v>41</v>
      </c>
      <c r="B184" s="7"/>
      <c r="C184" s="7" t="s">
        <v>449</v>
      </c>
      <c r="D184" s="7" t="s">
        <v>380</v>
      </c>
      <c r="E184" s="7" t="s">
        <v>450</v>
      </c>
      <c r="F184" s="7" t="s">
        <v>354</v>
      </c>
      <c r="G184" s="7" t="s">
        <v>46</v>
      </c>
      <c r="H184" s="7"/>
      <c r="I184" s="7"/>
      <c r="J184" s="7" t="s">
        <v>355</v>
      </c>
      <c r="K184" s="7" t="s">
        <v>48</v>
      </c>
      <c r="L184" s="7" t="s">
        <v>49</v>
      </c>
      <c r="M184" s="7" t="s">
        <v>49</v>
      </c>
      <c r="N184" s="7" t="s">
        <v>50</v>
      </c>
      <c r="O184" s="7" t="s">
        <v>4</v>
      </c>
      <c r="P184" s="7">
        <v>3100000</v>
      </c>
      <c r="Q184" s="7">
        <v>3100000</v>
      </c>
      <c r="R184" s="7">
        <v>3100000</v>
      </c>
      <c r="S184" s="7">
        <v>3100000</v>
      </c>
      <c r="T184" s="7">
        <v>3100000</v>
      </c>
      <c r="U184" s="7">
        <v>3100000</v>
      </c>
      <c r="V184" s="7">
        <v>3100000</v>
      </c>
      <c r="W184" s="7">
        <v>3100000</v>
      </c>
      <c r="X184" s="7">
        <v>3100000</v>
      </c>
      <c r="Y184" s="7">
        <v>3100000</v>
      </c>
      <c r="Z184" s="7">
        <v>3100000</v>
      </c>
      <c r="AA184" s="7">
        <v>3100000</v>
      </c>
      <c r="AB184" s="9">
        <v>196.21991822059999</v>
      </c>
      <c r="AC184" s="9">
        <v>196.21991822059999</v>
      </c>
      <c r="AD184" s="9">
        <v>196.21991822059999</v>
      </c>
      <c r="AE184" s="9">
        <v>196.21991822059999</v>
      </c>
      <c r="AF184" s="9">
        <v>196.21991822059999</v>
      </c>
      <c r="AG184" s="9">
        <v>196.21991822059999</v>
      </c>
      <c r="AH184" s="9">
        <v>196.21991822059999</v>
      </c>
      <c r="AI184" s="9">
        <v>196.21991822059999</v>
      </c>
      <c r="AJ184" s="9">
        <v>196.21991822059999</v>
      </c>
      <c r="AK184" s="9">
        <v>196.21991822059999</v>
      </c>
      <c r="AL184" s="9">
        <v>196.21991822059999</v>
      </c>
      <c r="AM184" s="9">
        <v>196.21991822059999</v>
      </c>
      <c r="AN184" s="10">
        <v>1</v>
      </c>
      <c r="AO184" s="10">
        <v>0</v>
      </c>
      <c r="AP184" s="10">
        <v>0</v>
      </c>
      <c r="AQ184" s="10">
        <v>0</v>
      </c>
      <c r="AR184" s="10">
        <v>0</v>
      </c>
      <c r="AS184" s="10">
        <v>0</v>
      </c>
      <c r="AT184" s="10">
        <v>0</v>
      </c>
      <c r="AU184" s="10">
        <v>0</v>
      </c>
      <c r="AV184" s="10">
        <v>0</v>
      </c>
      <c r="AW184" s="10">
        <v>0</v>
      </c>
      <c r="AX184" s="10">
        <v>0</v>
      </c>
      <c r="AY184" s="10">
        <v>0</v>
      </c>
      <c r="AZ184" s="7">
        <f t="shared" si="20"/>
        <v>1</v>
      </c>
      <c r="BA184" s="11">
        <f t="shared" si="21"/>
        <v>8.3333333333333329E-2</v>
      </c>
      <c r="BC184" s="12">
        <v>196.21991822059999</v>
      </c>
      <c r="BD184" s="12">
        <v>0</v>
      </c>
      <c r="BE184" s="12">
        <v>0</v>
      </c>
      <c r="BF184" s="12">
        <v>0</v>
      </c>
      <c r="BG184" s="12">
        <v>0</v>
      </c>
      <c r="BH184" s="12">
        <v>0</v>
      </c>
      <c r="BI184" s="12">
        <v>0</v>
      </c>
      <c r="BJ184" s="12">
        <v>0</v>
      </c>
      <c r="BK184" s="12">
        <v>0</v>
      </c>
      <c r="BL184" s="12">
        <v>0</v>
      </c>
      <c r="BM184" s="12">
        <v>0</v>
      </c>
      <c r="BN184" s="12">
        <v>0</v>
      </c>
      <c r="BO184" s="12">
        <f t="shared" si="22"/>
        <v>196.21991822059999</v>
      </c>
      <c r="BP184" s="12">
        <f t="shared" si="23"/>
        <v>16.351659851716665</v>
      </c>
      <c r="BQ184" s="7"/>
      <c r="BR184" s="7"/>
      <c r="BS184" s="7" t="s">
        <v>51</v>
      </c>
      <c r="BT184" s="7" t="s">
        <v>52</v>
      </c>
      <c r="BU184" s="7">
        <v>15</v>
      </c>
      <c r="BV184" s="7">
        <v>10</v>
      </c>
      <c r="BW184" s="7">
        <v>5</v>
      </c>
      <c r="BX184" s="7">
        <v>20</v>
      </c>
      <c r="BY184" s="7">
        <v>5</v>
      </c>
      <c r="BZ184" s="7"/>
    </row>
    <row r="185" spans="1:78" x14ac:dyDescent="0.35">
      <c r="A185" s="7" t="s">
        <v>41</v>
      </c>
      <c r="B185" s="7"/>
      <c r="C185" s="7" t="s">
        <v>451</v>
      </c>
      <c r="D185" s="7" t="s">
        <v>73</v>
      </c>
      <c r="E185" s="7" t="s">
        <v>452</v>
      </c>
      <c r="F185" s="7" t="s">
        <v>358</v>
      </c>
      <c r="G185" s="7" t="s">
        <v>46</v>
      </c>
      <c r="H185" s="7"/>
      <c r="I185" s="7"/>
      <c r="J185" s="7" t="s">
        <v>355</v>
      </c>
      <c r="K185" s="7" t="s">
        <v>48</v>
      </c>
      <c r="L185" s="7" t="s">
        <v>49</v>
      </c>
      <c r="M185" s="7" t="s">
        <v>49</v>
      </c>
      <c r="N185" s="7" t="s">
        <v>76</v>
      </c>
      <c r="O185" s="7" t="s">
        <v>6</v>
      </c>
      <c r="P185" s="7">
        <v>180000</v>
      </c>
      <c r="Q185" s="7">
        <v>180000</v>
      </c>
      <c r="R185" s="7">
        <v>180000</v>
      </c>
      <c r="S185" s="7">
        <v>180000</v>
      </c>
      <c r="T185" s="7">
        <v>180000</v>
      </c>
      <c r="U185" s="7">
        <v>180000</v>
      </c>
      <c r="V185" s="7">
        <v>180000</v>
      </c>
      <c r="W185" s="7">
        <v>180000</v>
      </c>
      <c r="X185" s="7">
        <v>180000</v>
      </c>
      <c r="Y185" s="7">
        <v>180000</v>
      </c>
      <c r="Z185" s="7">
        <v>180000</v>
      </c>
      <c r="AA185" s="7">
        <v>180000</v>
      </c>
      <c r="AB185" s="9">
        <v>1192.0529801324999</v>
      </c>
      <c r="AC185" s="9">
        <v>1192.0529801324999</v>
      </c>
      <c r="AD185" s="9">
        <v>1192.0529801324999</v>
      </c>
      <c r="AE185" s="9">
        <v>1192.0529801324999</v>
      </c>
      <c r="AF185" s="9">
        <v>1192.0529801324999</v>
      </c>
      <c r="AG185" s="9">
        <v>1192.0529801324999</v>
      </c>
      <c r="AH185" s="9">
        <v>1192.0529801324999</v>
      </c>
      <c r="AI185" s="9">
        <v>1192.0529801324999</v>
      </c>
      <c r="AJ185" s="9">
        <v>1192.0529801324999</v>
      </c>
      <c r="AK185" s="9">
        <v>1192.0529801324999</v>
      </c>
      <c r="AL185" s="9">
        <v>1192.0529801324999</v>
      </c>
      <c r="AM185" s="9">
        <v>1192.0529801324999</v>
      </c>
      <c r="AN185" s="10">
        <v>0</v>
      </c>
      <c r="AO185" s="10">
        <v>0</v>
      </c>
      <c r="AP185" s="10">
        <v>0</v>
      </c>
      <c r="AQ185" s="10">
        <v>0</v>
      </c>
      <c r="AR185" s="10">
        <v>0</v>
      </c>
      <c r="AS185" s="10">
        <v>0</v>
      </c>
      <c r="AT185" s="10">
        <v>0</v>
      </c>
      <c r="AU185" s="10">
        <v>0</v>
      </c>
      <c r="AV185" s="10">
        <v>1</v>
      </c>
      <c r="AW185" s="10">
        <v>0</v>
      </c>
      <c r="AX185" s="10">
        <v>0</v>
      </c>
      <c r="AY185" s="10">
        <v>0</v>
      </c>
      <c r="AZ185" s="7">
        <f t="shared" si="20"/>
        <v>1</v>
      </c>
      <c r="BA185" s="11">
        <f t="shared" si="21"/>
        <v>8.3333333333333329E-2</v>
      </c>
      <c r="BC185" s="12">
        <v>0</v>
      </c>
      <c r="BD185" s="12">
        <v>0</v>
      </c>
      <c r="BE185" s="12">
        <v>0</v>
      </c>
      <c r="BF185" s="12">
        <v>0</v>
      </c>
      <c r="BG185" s="12">
        <v>0</v>
      </c>
      <c r="BH185" s="12">
        <v>0</v>
      </c>
      <c r="BI185" s="12">
        <v>0</v>
      </c>
      <c r="BJ185" s="12">
        <v>0</v>
      </c>
      <c r="BK185" s="12">
        <v>1192.0529801324999</v>
      </c>
      <c r="BL185" s="12">
        <v>0</v>
      </c>
      <c r="BM185" s="12">
        <v>0</v>
      </c>
      <c r="BN185" s="12">
        <v>0</v>
      </c>
      <c r="BO185" s="12">
        <f t="shared" si="22"/>
        <v>1192.0529801324999</v>
      </c>
      <c r="BP185" s="12">
        <f t="shared" si="23"/>
        <v>99.337748344374987</v>
      </c>
      <c r="BQ185" s="7"/>
      <c r="BR185" s="7"/>
      <c r="BS185" s="7" t="s">
        <v>63</v>
      </c>
      <c r="BT185" s="7" t="s">
        <v>52</v>
      </c>
      <c r="BU185" s="7">
        <v>0</v>
      </c>
      <c r="BV185" s="7">
        <v>10</v>
      </c>
      <c r="BW185" s="7">
        <v>0</v>
      </c>
      <c r="BX185" s="7">
        <v>0</v>
      </c>
      <c r="BY185" s="7">
        <v>5</v>
      </c>
      <c r="BZ185" s="7"/>
    </row>
    <row r="186" spans="1:78" x14ac:dyDescent="0.35">
      <c r="A186" s="7" t="s">
        <v>41</v>
      </c>
      <c r="B186" s="7"/>
      <c r="C186" s="7" t="s">
        <v>453</v>
      </c>
      <c r="D186" s="7" t="s">
        <v>73</v>
      </c>
      <c r="E186" s="7" t="s">
        <v>454</v>
      </c>
      <c r="F186" s="7" t="s">
        <v>358</v>
      </c>
      <c r="G186" s="7" t="s">
        <v>46</v>
      </c>
      <c r="H186" s="7"/>
      <c r="I186" s="7"/>
      <c r="J186" s="7" t="s">
        <v>355</v>
      </c>
      <c r="K186" s="7" t="s">
        <v>48</v>
      </c>
      <c r="L186" s="7" t="s">
        <v>49</v>
      </c>
      <c r="M186" s="7" t="s">
        <v>49</v>
      </c>
      <c r="N186" s="7" t="s">
        <v>76</v>
      </c>
      <c r="O186" s="7" t="s">
        <v>6</v>
      </c>
      <c r="P186" s="7">
        <v>4000</v>
      </c>
      <c r="Q186" s="7">
        <v>4000</v>
      </c>
      <c r="R186" s="7">
        <v>4000</v>
      </c>
      <c r="S186" s="7">
        <v>4000</v>
      </c>
      <c r="T186" s="7">
        <v>4000</v>
      </c>
      <c r="U186" s="7">
        <v>4000</v>
      </c>
      <c r="V186" s="7">
        <v>4000</v>
      </c>
      <c r="W186" s="7">
        <v>4000</v>
      </c>
      <c r="X186" s="7">
        <v>4000</v>
      </c>
      <c r="Y186" s="7">
        <v>4000</v>
      </c>
      <c r="Z186" s="7">
        <v>4000</v>
      </c>
      <c r="AA186" s="7">
        <v>4000</v>
      </c>
      <c r="AB186" s="9">
        <v>26.490066225166</v>
      </c>
      <c r="AC186" s="9">
        <v>26.490066225166</v>
      </c>
      <c r="AD186" s="9">
        <v>26.490066225166</v>
      </c>
      <c r="AE186" s="9">
        <v>26.490066225166</v>
      </c>
      <c r="AF186" s="9">
        <v>26.490066225166</v>
      </c>
      <c r="AG186" s="9">
        <v>26.490066225166</v>
      </c>
      <c r="AH186" s="9">
        <v>26.490066225166</v>
      </c>
      <c r="AI186" s="9">
        <v>26.490066225166</v>
      </c>
      <c r="AJ186" s="9">
        <v>26.490066225166</v>
      </c>
      <c r="AK186" s="9">
        <v>26.490066225166</v>
      </c>
      <c r="AL186" s="9">
        <v>26.490066225166</v>
      </c>
      <c r="AM186" s="9">
        <v>26.490066225166</v>
      </c>
      <c r="AN186" s="10">
        <v>0</v>
      </c>
      <c r="AO186" s="10">
        <v>0</v>
      </c>
      <c r="AP186" s="10">
        <v>0</v>
      </c>
      <c r="AQ186" s="10">
        <v>0</v>
      </c>
      <c r="AR186" s="10">
        <v>0</v>
      </c>
      <c r="AS186" s="10">
        <v>0</v>
      </c>
      <c r="AT186" s="10">
        <v>0</v>
      </c>
      <c r="AU186" s="10">
        <v>0</v>
      </c>
      <c r="AV186" s="10">
        <v>0</v>
      </c>
      <c r="AW186" s="10">
        <v>0</v>
      </c>
      <c r="AX186" s="10">
        <v>0</v>
      </c>
      <c r="AY186" s="10">
        <v>0</v>
      </c>
      <c r="AZ186" s="7">
        <f t="shared" si="20"/>
        <v>0</v>
      </c>
      <c r="BA186" s="11">
        <f t="shared" si="21"/>
        <v>0</v>
      </c>
      <c r="BC186" s="12">
        <v>0</v>
      </c>
      <c r="BD186" s="12">
        <v>0</v>
      </c>
      <c r="BE186" s="12">
        <v>0</v>
      </c>
      <c r="BF186" s="12">
        <v>0</v>
      </c>
      <c r="BG186" s="12">
        <v>0</v>
      </c>
      <c r="BH186" s="12">
        <v>0</v>
      </c>
      <c r="BI186" s="12">
        <v>0</v>
      </c>
      <c r="BJ186" s="12">
        <v>0</v>
      </c>
      <c r="BK186" s="12">
        <v>0</v>
      </c>
      <c r="BL186" s="12">
        <v>0</v>
      </c>
      <c r="BM186" s="12">
        <v>0</v>
      </c>
      <c r="BN186" s="12">
        <v>0</v>
      </c>
      <c r="BO186" s="12">
        <f t="shared" si="22"/>
        <v>0</v>
      </c>
      <c r="BP186" s="12">
        <f t="shared" si="23"/>
        <v>0</v>
      </c>
      <c r="BQ186" s="7"/>
      <c r="BR186" s="7"/>
      <c r="BS186" s="7" t="s">
        <v>63</v>
      </c>
      <c r="BT186" s="7" t="s">
        <v>52</v>
      </c>
      <c r="BU186" s="7">
        <v>0</v>
      </c>
      <c r="BV186" s="7">
        <v>10</v>
      </c>
      <c r="BW186" s="7">
        <v>0</v>
      </c>
      <c r="BX186" s="7">
        <v>0</v>
      </c>
      <c r="BY186" s="7">
        <v>5</v>
      </c>
      <c r="BZ186" s="7"/>
    </row>
    <row r="187" spans="1:78" x14ac:dyDescent="0.35">
      <c r="A187" s="7" t="s">
        <v>41</v>
      </c>
      <c r="B187" s="7"/>
      <c r="C187" s="7" t="s">
        <v>281</v>
      </c>
      <c r="D187" s="7" t="s">
        <v>282</v>
      </c>
      <c r="E187" s="7" t="s">
        <v>282</v>
      </c>
      <c r="F187" s="7" t="s">
        <v>455</v>
      </c>
      <c r="G187" s="7" t="s">
        <v>46</v>
      </c>
      <c r="H187" s="7"/>
      <c r="I187" s="7"/>
      <c r="J187" s="7" t="s">
        <v>456</v>
      </c>
      <c r="K187" s="7" t="s">
        <v>457</v>
      </c>
      <c r="L187" s="7" t="s">
        <v>458</v>
      </c>
      <c r="M187" s="7" t="s">
        <v>459</v>
      </c>
      <c r="N187" s="7" t="s">
        <v>50</v>
      </c>
      <c r="O187" s="7" t="s">
        <v>4</v>
      </c>
      <c r="P187" s="7">
        <v>57500</v>
      </c>
      <c r="Q187" s="7">
        <v>57500</v>
      </c>
      <c r="R187" s="7">
        <v>57500</v>
      </c>
      <c r="S187" s="7">
        <v>57500</v>
      </c>
      <c r="T187" s="7">
        <v>57500</v>
      </c>
      <c r="U187" s="7">
        <v>57500</v>
      </c>
      <c r="V187" s="7">
        <v>57500</v>
      </c>
      <c r="W187" s="7">
        <v>57500</v>
      </c>
      <c r="X187" s="7">
        <v>57500</v>
      </c>
      <c r="Y187" s="7">
        <v>57500</v>
      </c>
      <c r="Z187" s="7">
        <v>57500</v>
      </c>
      <c r="AA187" s="7">
        <v>57500</v>
      </c>
      <c r="AB187" s="9">
        <v>3.6395629992531</v>
      </c>
      <c r="AC187" s="9">
        <v>3.6395629992531</v>
      </c>
      <c r="AD187" s="9">
        <v>3.6395629992531</v>
      </c>
      <c r="AE187" s="9">
        <v>3.6395629992531</v>
      </c>
      <c r="AF187" s="9">
        <v>3.6395629992531</v>
      </c>
      <c r="AG187" s="9">
        <v>3.6395629992531</v>
      </c>
      <c r="AH187" s="9">
        <v>3.6395629992531</v>
      </c>
      <c r="AI187" s="9">
        <v>3.6395629992531</v>
      </c>
      <c r="AJ187" s="9">
        <v>3.6395629992531</v>
      </c>
      <c r="AK187" s="9">
        <v>3.6395629992531</v>
      </c>
      <c r="AL187" s="9">
        <v>3.6395629992531</v>
      </c>
      <c r="AM187" s="9">
        <v>3.6395629992531</v>
      </c>
      <c r="AN187" s="10">
        <v>0</v>
      </c>
      <c r="AO187" s="10">
        <v>36</v>
      </c>
      <c r="AP187" s="10">
        <v>0</v>
      </c>
      <c r="AQ187" s="10">
        <v>0</v>
      </c>
      <c r="AR187" s="10">
        <v>0</v>
      </c>
      <c r="AS187" s="10">
        <v>0</v>
      </c>
      <c r="AT187" s="10">
        <v>0</v>
      </c>
      <c r="AU187" s="10">
        <v>0</v>
      </c>
      <c r="AV187" s="10">
        <v>0</v>
      </c>
      <c r="AW187" s="10">
        <v>0</v>
      </c>
      <c r="AX187" s="10">
        <v>0</v>
      </c>
      <c r="AY187" s="10">
        <v>0</v>
      </c>
      <c r="AZ187" s="7">
        <f t="shared" si="20"/>
        <v>36</v>
      </c>
      <c r="BA187" s="11">
        <f t="shared" si="21"/>
        <v>3</v>
      </c>
      <c r="BC187" s="12">
        <v>0</v>
      </c>
      <c r="BD187" s="12">
        <v>131.02426797311</v>
      </c>
      <c r="BE187" s="12">
        <v>0</v>
      </c>
      <c r="BF187" s="12">
        <v>0</v>
      </c>
      <c r="BG187" s="12">
        <v>0</v>
      </c>
      <c r="BH187" s="12">
        <v>0</v>
      </c>
      <c r="BI187" s="12">
        <v>0</v>
      </c>
      <c r="BJ187" s="12">
        <v>0</v>
      </c>
      <c r="BK187" s="12">
        <v>0</v>
      </c>
      <c r="BL187" s="12">
        <v>0</v>
      </c>
      <c r="BM187" s="12">
        <v>0</v>
      </c>
      <c r="BN187" s="12">
        <v>0</v>
      </c>
      <c r="BO187" s="12">
        <f t="shared" si="22"/>
        <v>131.02426797311</v>
      </c>
      <c r="BP187" s="12">
        <f t="shared" si="23"/>
        <v>10.918688997759167</v>
      </c>
      <c r="BQ187" s="7"/>
      <c r="BR187" s="7"/>
      <c r="BS187" s="7" t="s">
        <v>51</v>
      </c>
      <c r="BT187" s="7" t="s">
        <v>52</v>
      </c>
      <c r="BU187" s="7">
        <v>15</v>
      </c>
      <c r="BV187" s="7">
        <v>10</v>
      </c>
      <c r="BW187" s="7">
        <v>5</v>
      </c>
      <c r="BX187" s="7">
        <v>20</v>
      </c>
      <c r="BY187" s="7">
        <v>5</v>
      </c>
      <c r="BZ187" s="7"/>
    </row>
    <row r="188" spans="1:78" x14ac:dyDescent="0.35">
      <c r="A188" s="7" t="s">
        <v>41</v>
      </c>
      <c r="B188" s="7"/>
      <c r="C188" s="7" t="s">
        <v>329</v>
      </c>
      <c r="D188" s="7" t="s">
        <v>330</v>
      </c>
      <c r="E188" s="7" t="s">
        <v>330</v>
      </c>
      <c r="F188" s="7" t="s">
        <v>460</v>
      </c>
      <c r="G188" s="7" t="s">
        <v>46</v>
      </c>
      <c r="H188" s="7"/>
      <c r="I188" s="7"/>
      <c r="J188" s="7" t="s">
        <v>456</v>
      </c>
      <c r="K188" s="7" t="s">
        <v>460</v>
      </c>
      <c r="L188" s="7" t="s">
        <v>461</v>
      </c>
      <c r="M188" s="7" t="s">
        <v>462</v>
      </c>
      <c r="N188" s="7" t="s">
        <v>50</v>
      </c>
      <c r="O188" s="7" t="s">
        <v>4</v>
      </c>
      <c r="P188" s="7">
        <v>7500</v>
      </c>
      <c r="Q188" s="7">
        <v>7500</v>
      </c>
      <c r="R188" s="7">
        <v>7500</v>
      </c>
      <c r="S188" s="7">
        <v>7500</v>
      </c>
      <c r="T188" s="7">
        <v>7500</v>
      </c>
      <c r="U188" s="7">
        <v>7500</v>
      </c>
      <c r="V188" s="7">
        <v>7500</v>
      </c>
      <c r="W188" s="7">
        <v>7500</v>
      </c>
      <c r="X188" s="7">
        <v>7500</v>
      </c>
      <c r="Y188" s="7">
        <v>7500</v>
      </c>
      <c r="Z188" s="7">
        <v>7500</v>
      </c>
      <c r="AA188" s="7">
        <v>7500</v>
      </c>
      <c r="AB188" s="9">
        <v>0.47472560859822999</v>
      </c>
      <c r="AC188" s="9">
        <v>0.47472560859822999</v>
      </c>
      <c r="AD188" s="9">
        <v>0.47472560859822999</v>
      </c>
      <c r="AE188" s="9">
        <v>0.47472560859822999</v>
      </c>
      <c r="AF188" s="9">
        <v>0.47472560859822999</v>
      </c>
      <c r="AG188" s="9">
        <v>0.47472560859822999</v>
      </c>
      <c r="AH188" s="9">
        <v>0.47472560859822999</v>
      </c>
      <c r="AI188" s="9">
        <v>0.47472560859822999</v>
      </c>
      <c r="AJ188" s="9">
        <v>0.47472560859822999</v>
      </c>
      <c r="AK188" s="9">
        <v>0.47472560859822999</v>
      </c>
      <c r="AL188" s="9">
        <v>0.47472560859822999</v>
      </c>
      <c r="AM188" s="9">
        <v>0.47472560859822999</v>
      </c>
      <c r="AN188" s="10">
        <v>0</v>
      </c>
      <c r="AO188" s="10">
        <v>6</v>
      </c>
      <c r="AP188" s="10">
        <v>0</v>
      </c>
      <c r="AQ188" s="10">
        <v>0</v>
      </c>
      <c r="AR188" s="10">
        <v>0</v>
      </c>
      <c r="AS188" s="10">
        <v>0</v>
      </c>
      <c r="AT188" s="10">
        <v>0</v>
      </c>
      <c r="AU188" s="10">
        <v>0</v>
      </c>
      <c r="AV188" s="10">
        <v>0</v>
      </c>
      <c r="AW188" s="10">
        <v>0</v>
      </c>
      <c r="AX188" s="10">
        <v>0</v>
      </c>
      <c r="AY188" s="10">
        <v>0</v>
      </c>
      <c r="AZ188" s="7">
        <f t="shared" si="20"/>
        <v>6</v>
      </c>
      <c r="BA188" s="11">
        <f t="shared" si="21"/>
        <v>0.5</v>
      </c>
      <c r="BC188" s="12">
        <v>0</v>
      </c>
      <c r="BD188" s="12">
        <v>2.8483536515894001</v>
      </c>
      <c r="BE188" s="12">
        <v>0</v>
      </c>
      <c r="BF188" s="12">
        <v>0</v>
      </c>
      <c r="BG188" s="12">
        <v>0</v>
      </c>
      <c r="BH188" s="12">
        <v>0</v>
      </c>
      <c r="BI188" s="12">
        <v>0</v>
      </c>
      <c r="BJ188" s="12">
        <v>0</v>
      </c>
      <c r="BK188" s="12">
        <v>0</v>
      </c>
      <c r="BL188" s="12">
        <v>0</v>
      </c>
      <c r="BM188" s="12">
        <v>0</v>
      </c>
      <c r="BN188" s="12">
        <v>0</v>
      </c>
      <c r="BO188" s="12">
        <f t="shared" si="22"/>
        <v>2.8483536515894001</v>
      </c>
      <c r="BP188" s="12">
        <f t="shared" si="23"/>
        <v>0.23736280429911669</v>
      </c>
      <c r="BQ188" s="7"/>
      <c r="BR188" s="7"/>
      <c r="BS188" s="7" t="s">
        <v>51</v>
      </c>
      <c r="BT188" s="7" t="s">
        <v>52</v>
      </c>
      <c r="BU188" s="7">
        <v>15</v>
      </c>
      <c r="BV188" s="7">
        <v>10</v>
      </c>
      <c r="BW188" s="7">
        <v>5</v>
      </c>
      <c r="BX188" s="7">
        <v>20</v>
      </c>
      <c r="BY188" s="7">
        <v>5</v>
      </c>
      <c r="BZ188" s="7"/>
    </row>
    <row r="189" spans="1:78" x14ac:dyDescent="0.35">
      <c r="A189" s="7" t="s">
        <v>41</v>
      </c>
      <c r="B189" s="7"/>
      <c r="C189" s="7" t="s">
        <v>329</v>
      </c>
      <c r="D189" s="7" t="s">
        <v>330</v>
      </c>
      <c r="E189" s="7" t="s">
        <v>330</v>
      </c>
      <c r="F189" s="7" t="s">
        <v>455</v>
      </c>
      <c r="G189" s="7" t="s">
        <v>46</v>
      </c>
      <c r="H189" s="7"/>
      <c r="I189" s="7"/>
      <c r="J189" s="7" t="s">
        <v>456</v>
      </c>
      <c r="K189" s="7" t="s">
        <v>457</v>
      </c>
      <c r="L189" s="7" t="s">
        <v>458</v>
      </c>
      <c r="M189" s="7" t="s">
        <v>459</v>
      </c>
      <c r="N189" s="7" t="s">
        <v>50</v>
      </c>
      <c r="O189" s="7" t="s">
        <v>4</v>
      </c>
      <c r="P189" s="7">
        <v>7500</v>
      </c>
      <c r="Q189" s="7">
        <v>7500</v>
      </c>
      <c r="R189" s="7">
        <v>7500</v>
      </c>
      <c r="S189" s="7">
        <v>7500</v>
      </c>
      <c r="T189" s="7">
        <v>7500</v>
      </c>
      <c r="U189" s="7">
        <v>7500</v>
      </c>
      <c r="V189" s="7">
        <v>7500</v>
      </c>
      <c r="W189" s="7">
        <v>7500</v>
      </c>
      <c r="X189" s="7">
        <v>7500</v>
      </c>
      <c r="Y189" s="7">
        <v>7500</v>
      </c>
      <c r="Z189" s="7">
        <v>7500</v>
      </c>
      <c r="AA189" s="7">
        <v>7500</v>
      </c>
      <c r="AB189" s="9">
        <v>0.47472560859822999</v>
      </c>
      <c r="AC189" s="9">
        <v>0.47472560859822999</v>
      </c>
      <c r="AD189" s="9">
        <v>0.47472560859822999</v>
      </c>
      <c r="AE189" s="9">
        <v>0.47472560859822999</v>
      </c>
      <c r="AF189" s="9">
        <v>0.47472560859822999</v>
      </c>
      <c r="AG189" s="9">
        <v>0.47472560859822999</v>
      </c>
      <c r="AH189" s="9">
        <v>0.47472560859822999</v>
      </c>
      <c r="AI189" s="9">
        <v>0.47472560859822999</v>
      </c>
      <c r="AJ189" s="9">
        <v>0.47472560859822999</v>
      </c>
      <c r="AK189" s="9">
        <v>0.47472560859822999</v>
      </c>
      <c r="AL189" s="9">
        <v>0.47472560859822999</v>
      </c>
      <c r="AM189" s="9">
        <v>0.47472560859822999</v>
      </c>
      <c r="AN189" s="10">
        <v>0</v>
      </c>
      <c r="AO189" s="10">
        <v>6</v>
      </c>
      <c r="AP189" s="10">
        <v>0</v>
      </c>
      <c r="AQ189" s="10">
        <v>0</v>
      </c>
      <c r="AR189" s="10">
        <v>0</v>
      </c>
      <c r="AS189" s="10">
        <v>0</v>
      </c>
      <c r="AT189" s="10">
        <v>0</v>
      </c>
      <c r="AU189" s="10">
        <v>0</v>
      </c>
      <c r="AV189" s="10">
        <v>0</v>
      </c>
      <c r="AW189" s="10">
        <v>0</v>
      </c>
      <c r="AX189" s="10">
        <v>0</v>
      </c>
      <c r="AY189" s="10">
        <v>0</v>
      </c>
      <c r="AZ189" s="7">
        <f t="shared" si="20"/>
        <v>6</v>
      </c>
      <c r="BA189" s="11">
        <f t="shared" si="21"/>
        <v>0.5</v>
      </c>
      <c r="BC189" s="12">
        <v>0</v>
      </c>
      <c r="BD189" s="12">
        <v>2.8483536515894001</v>
      </c>
      <c r="BE189" s="12">
        <v>0</v>
      </c>
      <c r="BF189" s="12">
        <v>0</v>
      </c>
      <c r="BG189" s="12">
        <v>0</v>
      </c>
      <c r="BH189" s="12">
        <v>0</v>
      </c>
      <c r="BI189" s="12">
        <v>0</v>
      </c>
      <c r="BJ189" s="12">
        <v>0</v>
      </c>
      <c r="BK189" s="12">
        <v>0</v>
      </c>
      <c r="BL189" s="12">
        <v>0</v>
      </c>
      <c r="BM189" s="12">
        <v>0</v>
      </c>
      <c r="BN189" s="12">
        <v>0</v>
      </c>
      <c r="BO189" s="12">
        <f t="shared" si="22"/>
        <v>2.8483536515894001</v>
      </c>
      <c r="BP189" s="12">
        <f t="shared" si="23"/>
        <v>0.23736280429911669</v>
      </c>
      <c r="BQ189" s="7"/>
      <c r="BR189" s="7"/>
      <c r="BS189" s="7" t="s">
        <v>51</v>
      </c>
      <c r="BT189" s="7" t="s">
        <v>52</v>
      </c>
      <c r="BU189" s="7">
        <v>15</v>
      </c>
      <c r="BV189" s="7">
        <v>10</v>
      </c>
      <c r="BW189" s="7">
        <v>5</v>
      </c>
      <c r="BX189" s="7">
        <v>20</v>
      </c>
      <c r="BY189" s="7">
        <v>5</v>
      </c>
      <c r="BZ189" s="7"/>
    </row>
    <row r="190" spans="1:78" x14ac:dyDescent="0.35">
      <c r="A190" s="7" t="s">
        <v>41</v>
      </c>
      <c r="B190" s="7"/>
      <c r="C190" s="7" t="s">
        <v>86</v>
      </c>
      <c r="D190" s="7" t="s">
        <v>87</v>
      </c>
      <c r="E190" s="7" t="s">
        <v>88</v>
      </c>
      <c r="F190" s="7" t="s">
        <v>463</v>
      </c>
      <c r="G190" s="7" t="s">
        <v>46</v>
      </c>
      <c r="H190" s="7"/>
      <c r="I190" s="7"/>
      <c r="J190" s="7" t="s">
        <v>456</v>
      </c>
      <c r="K190" s="7" t="s">
        <v>463</v>
      </c>
      <c r="L190" s="7" t="s">
        <v>461</v>
      </c>
      <c r="M190" s="7" t="s">
        <v>462</v>
      </c>
      <c r="N190" s="7" t="s">
        <v>90</v>
      </c>
      <c r="O190" s="7" t="s">
        <v>4</v>
      </c>
      <c r="P190" s="7">
        <v>1210000</v>
      </c>
      <c r="Q190" s="7">
        <v>1210000</v>
      </c>
      <c r="R190" s="7">
        <v>1210000</v>
      </c>
      <c r="S190" s="7">
        <v>1210000</v>
      </c>
      <c r="T190" s="7">
        <v>1210000</v>
      </c>
      <c r="U190" s="7">
        <v>1210000</v>
      </c>
      <c r="V190" s="7">
        <v>1210000</v>
      </c>
      <c r="W190" s="7">
        <v>1210000</v>
      </c>
      <c r="X190" s="7">
        <v>1210000</v>
      </c>
      <c r="Y190" s="7">
        <v>1210000</v>
      </c>
      <c r="Z190" s="7">
        <v>1210000</v>
      </c>
      <c r="AA190" s="7">
        <v>1210000</v>
      </c>
      <c r="AB190" s="9">
        <v>76.589064853848001</v>
      </c>
      <c r="AC190" s="9">
        <v>76.589064853848001</v>
      </c>
      <c r="AD190" s="9">
        <v>76.589064853848001</v>
      </c>
      <c r="AE190" s="9">
        <v>76.589064853848001</v>
      </c>
      <c r="AF190" s="9">
        <v>76.589064853848001</v>
      </c>
      <c r="AG190" s="9">
        <v>76.589064853848001</v>
      </c>
      <c r="AH190" s="9">
        <v>76.589064853848001</v>
      </c>
      <c r="AI190" s="9">
        <v>76.589064853848001</v>
      </c>
      <c r="AJ190" s="9">
        <v>76.589064853848001</v>
      </c>
      <c r="AK190" s="9">
        <v>76.589064853848001</v>
      </c>
      <c r="AL190" s="9">
        <v>76.589064853848001</v>
      </c>
      <c r="AM190" s="9">
        <v>76.589064853848001</v>
      </c>
      <c r="AN190" s="10">
        <v>0</v>
      </c>
      <c r="AO190" s="10">
        <v>1</v>
      </c>
      <c r="AP190" s="10">
        <v>0</v>
      </c>
      <c r="AQ190" s="10">
        <v>0</v>
      </c>
      <c r="AR190" s="10">
        <v>0</v>
      </c>
      <c r="AS190" s="10">
        <v>0</v>
      </c>
      <c r="AT190" s="10">
        <v>0</v>
      </c>
      <c r="AU190" s="10">
        <v>0</v>
      </c>
      <c r="AV190" s="10">
        <v>0</v>
      </c>
      <c r="AW190" s="10">
        <v>0</v>
      </c>
      <c r="AX190" s="10">
        <v>0</v>
      </c>
      <c r="AY190" s="10">
        <v>0</v>
      </c>
      <c r="AZ190" s="7">
        <f t="shared" si="20"/>
        <v>1</v>
      </c>
      <c r="BA190" s="11">
        <f t="shared" si="21"/>
        <v>8.3333333333333329E-2</v>
      </c>
      <c r="BC190" s="12">
        <v>0</v>
      </c>
      <c r="BD190" s="12">
        <v>76.589064853848001</v>
      </c>
      <c r="BE190" s="12">
        <v>0</v>
      </c>
      <c r="BF190" s="12">
        <v>0</v>
      </c>
      <c r="BG190" s="12">
        <v>0</v>
      </c>
      <c r="BH190" s="12">
        <v>0</v>
      </c>
      <c r="BI190" s="12">
        <v>0</v>
      </c>
      <c r="BJ190" s="12">
        <v>0</v>
      </c>
      <c r="BK190" s="12">
        <v>0</v>
      </c>
      <c r="BL190" s="12">
        <v>0</v>
      </c>
      <c r="BM190" s="12">
        <v>0</v>
      </c>
      <c r="BN190" s="12">
        <v>0</v>
      </c>
      <c r="BO190" s="12">
        <f t="shared" si="22"/>
        <v>76.589064853848001</v>
      </c>
      <c r="BP190" s="12">
        <f t="shared" si="23"/>
        <v>6.3824220711540001</v>
      </c>
      <c r="BQ190" s="7"/>
      <c r="BR190" s="7"/>
      <c r="BS190" s="7" t="s">
        <v>51</v>
      </c>
      <c r="BT190" s="7" t="s">
        <v>52</v>
      </c>
      <c r="BU190" s="7">
        <v>15</v>
      </c>
      <c r="BV190" s="7">
        <v>10</v>
      </c>
      <c r="BW190" s="7">
        <v>5</v>
      </c>
      <c r="BX190" s="7">
        <v>20</v>
      </c>
      <c r="BY190" s="7">
        <v>5</v>
      </c>
      <c r="BZ190" s="7"/>
    </row>
    <row r="191" spans="1:78" x14ac:dyDescent="0.35">
      <c r="A191" s="7" t="s">
        <v>41</v>
      </c>
      <c r="B191" s="7"/>
      <c r="C191" s="7" t="s">
        <v>464</v>
      </c>
      <c r="D191" s="7" t="s">
        <v>465</v>
      </c>
      <c r="E191" s="7" t="s">
        <v>466</v>
      </c>
      <c r="F191" s="7" t="s">
        <v>460</v>
      </c>
      <c r="G191" s="7" t="s">
        <v>46</v>
      </c>
      <c r="H191" s="7"/>
      <c r="I191" s="7"/>
      <c r="J191" s="7" t="s">
        <v>456</v>
      </c>
      <c r="K191" s="7" t="s">
        <v>460</v>
      </c>
      <c r="L191" s="7" t="s">
        <v>461</v>
      </c>
      <c r="M191" s="7" t="s">
        <v>462</v>
      </c>
      <c r="N191" s="7" t="s">
        <v>50</v>
      </c>
      <c r="O191" s="7" t="s">
        <v>4</v>
      </c>
      <c r="P191" s="7">
        <v>116550</v>
      </c>
      <c r="Q191" s="7">
        <v>116550</v>
      </c>
      <c r="R191" s="7">
        <v>116550</v>
      </c>
      <c r="S191" s="7">
        <v>116550</v>
      </c>
      <c r="T191" s="7">
        <v>116550</v>
      </c>
      <c r="U191" s="7">
        <v>116550</v>
      </c>
      <c r="V191" s="7">
        <v>116550</v>
      </c>
      <c r="W191" s="7">
        <v>116550</v>
      </c>
      <c r="X191" s="7">
        <v>116550</v>
      </c>
      <c r="Y191" s="7">
        <v>116550</v>
      </c>
      <c r="Z191" s="7">
        <v>116550</v>
      </c>
      <c r="AA191" s="7">
        <v>116550</v>
      </c>
      <c r="AB191" s="9">
        <v>7.3772359576164996</v>
      </c>
      <c r="AC191" s="9">
        <v>7.3772359576164996</v>
      </c>
      <c r="AD191" s="9">
        <v>7.3772359576164996</v>
      </c>
      <c r="AE191" s="9">
        <v>7.3772359576164996</v>
      </c>
      <c r="AF191" s="9">
        <v>7.3772359576164996</v>
      </c>
      <c r="AG191" s="9">
        <v>7.3772359576164996</v>
      </c>
      <c r="AH191" s="9">
        <v>7.3772359576164996</v>
      </c>
      <c r="AI191" s="9">
        <v>7.3772359576164996</v>
      </c>
      <c r="AJ191" s="9">
        <v>7.3772359576164996</v>
      </c>
      <c r="AK191" s="9">
        <v>7.3772359576164996</v>
      </c>
      <c r="AL191" s="9">
        <v>7.3772359576164996</v>
      </c>
      <c r="AM191" s="9">
        <v>7.3772359576164996</v>
      </c>
      <c r="AN191" s="10">
        <v>0</v>
      </c>
      <c r="AO191" s="10">
        <v>1</v>
      </c>
      <c r="AP191" s="10">
        <v>0</v>
      </c>
      <c r="AQ191" s="10">
        <v>0</v>
      </c>
      <c r="AR191" s="10">
        <v>0</v>
      </c>
      <c r="AS191" s="10">
        <v>0</v>
      </c>
      <c r="AT191" s="10">
        <v>0</v>
      </c>
      <c r="AU191" s="10">
        <v>0</v>
      </c>
      <c r="AV191" s="10">
        <v>0</v>
      </c>
      <c r="AW191" s="10">
        <v>0</v>
      </c>
      <c r="AX191" s="10">
        <v>0</v>
      </c>
      <c r="AY191" s="10">
        <v>0</v>
      </c>
      <c r="AZ191" s="7">
        <f t="shared" si="20"/>
        <v>1</v>
      </c>
      <c r="BA191" s="11">
        <f t="shared" si="21"/>
        <v>8.3333333333333329E-2</v>
      </c>
      <c r="BC191" s="12">
        <v>0</v>
      </c>
      <c r="BD191" s="12">
        <v>7.3772359576164996</v>
      </c>
      <c r="BE191" s="12">
        <v>0</v>
      </c>
      <c r="BF191" s="12">
        <v>0</v>
      </c>
      <c r="BG191" s="12">
        <v>0</v>
      </c>
      <c r="BH191" s="12">
        <v>0</v>
      </c>
      <c r="BI191" s="12">
        <v>0</v>
      </c>
      <c r="BJ191" s="12">
        <v>0</v>
      </c>
      <c r="BK191" s="12">
        <v>0</v>
      </c>
      <c r="BL191" s="12">
        <v>0</v>
      </c>
      <c r="BM191" s="12">
        <v>0</v>
      </c>
      <c r="BN191" s="12">
        <v>0</v>
      </c>
      <c r="BO191" s="12">
        <f t="shared" si="22"/>
        <v>7.3772359576164996</v>
      </c>
      <c r="BP191" s="12">
        <f t="shared" si="23"/>
        <v>0.61476966313470827</v>
      </c>
      <c r="BQ191" s="7"/>
      <c r="BR191" s="7"/>
      <c r="BS191" s="7" t="s">
        <v>51</v>
      </c>
      <c r="BT191" s="7" t="s">
        <v>52</v>
      </c>
      <c r="BU191" s="7">
        <v>15</v>
      </c>
      <c r="BV191" s="7">
        <v>10</v>
      </c>
      <c r="BW191" s="7">
        <v>5</v>
      </c>
      <c r="BX191" s="7">
        <v>20</v>
      </c>
      <c r="BY191" s="7">
        <v>5</v>
      </c>
      <c r="BZ191" s="7"/>
    </row>
    <row r="192" spans="1:78" x14ac:dyDescent="0.35">
      <c r="A192" s="7" t="s">
        <v>41</v>
      </c>
      <c r="B192" s="7"/>
      <c r="C192" s="7" t="s">
        <v>464</v>
      </c>
      <c r="D192" s="7" t="s">
        <v>465</v>
      </c>
      <c r="E192" s="7" t="s">
        <v>466</v>
      </c>
      <c r="F192" s="7" t="s">
        <v>455</v>
      </c>
      <c r="G192" s="7" t="s">
        <v>46</v>
      </c>
      <c r="H192" s="7"/>
      <c r="I192" s="7"/>
      <c r="J192" s="7" t="s">
        <v>456</v>
      </c>
      <c r="K192" s="7" t="s">
        <v>457</v>
      </c>
      <c r="L192" s="7" t="s">
        <v>458</v>
      </c>
      <c r="M192" s="7" t="s">
        <v>459</v>
      </c>
      <c r="N192" s="7" t="s">
        <v>50</v>
      </c>
      <c r="O192" s="7" t="s">
        <v>4</v>
      </c>
      <c r="P192" s="7">
        <v>116550</v>
      </c>
      <c r="Q192" s="7">
        <v>116550</v>
      </c>
      <c r="R192" s="7">
        <v>116550</v>
      </c>
      <c r="S192" s="7">
        <v>116550</v>
      </c>
      <c r="T192" s="7">
        <v>116550</v>
      </c>
      <c r="U192" s="7">
        <v>116550</v>
      </c>
      <c r="V192" s="7">
        <v>116550</v>
      </c>
      <c r="W192" s="7">
        <v>116550</v>
      </c>
      <c r="X192" s="7">
        <v>116550</v>
      </c>
      <c r="Y192" s="7">
        <v>116550</v>
      </c>
      <c r="Z192" s="7">
        <v>116550</v>
      </c>
      <c r="AA192" s="7">
        <v>116550</v>
      </c>
      <c r="AB192" s="9">
        <v>7.3772359576164996</v>
      </c>
      <c r="AC192" s="9">
        <v>7.3772359576164996</v>
      </c>
      <c r="AD192" s="9">
        <v>7.3772359576164996</v>
      </c>
      <c r="AE192" s="9">
        <v>7.3772359576164996</v>
      </c>
      <c r="AF192" s="9">
        <v>7.3772359576164996</v>
      </c>
      <c r="AG192" s="9">
        <v>7.3772359576164996</v>
      </c>
      <c r="AH192" s="9">
        <v>7.3772359576164996</v>
      </c>
      <c r="AI192" s="9">
        <v>7.3772359576164996</v>
      </c>
      <c r="AJ192" s="9">
        <v>7.3772359576164996</v>
      </c>
      <c r="AK192" s="9">
        <v>7.3772359576164996</v>
      </c>
      <c r="AL192" s="9">
        <v>7.3772359576164996</v>
      </c>
      <c r="AM192" s="9">
        <v>7.3772359576164996</v>
      </c>
      <c r="AN192" s="10">
        <v>0</v>
      </c>
      <c r="AO192" s="10">
        <v>1</v>
      </c>
      <c r="AP192" s="10">
        <v>0</v>
      </c>
      <c r="AQ192" s="10">
        <v>0</v>
      </c>
      <c r="AR192" s="10">
        <v>0</v>
      </c>
      <c r="AS192" s="10">
        <v>0</v>
      </c>
      <c r="AT192" s="10">
        <v>0</v>
      </c>
      <c r="AU192" s="10">
        <v>0</v>
      </c>
      <c r="AV192" s="10">
        <v>0</v>
      </c>
      <c r="AW192" s="10">
        <v>0</v>
      </c>
      <c r="AX192" s="10">
        <v>0</v>
      </c>
      <c r="AY192" s="10">
        <v>0</v>
      </c>
      <c r="AZ192" s="7">
        <f t="shared" si="20"/>
        <v>1</v>
      </c>
      <c r="BA192" s="11">
        <f t="shared" si="21"/>
        <v>8.3333333333333329E-2</v>
      </c>
      <c r="BC192" s="12">
        <v>0</v>
      </c>
      <c r="BD192" s="12">
        <v>7.3772359576164996</v>
      </c>
      <c r="BE192" s="12">
        <v>0</v>
      </c>
      <c r="BF192" s="12">
        <v>0</v>
      </c>
      <c r="BG192" s="12">
        <v>0</v>
      </c>
      <c r="BH192" s="12">
        <v>0</v>
      </c>
      <c r="BI192" s="12">
        <v>0</v>
      </c>
      <c r="BJ192" s="12">
        <v>0</v>
      </c>
      <c r="BK192" s="12">
        <v>0</v>
      </c>
      <c r="BL192" s="12">
        <v>0</v>
      </c>
      <c r="BM192" s="12">
        <v>0</v>
      </c>
      <c r="BN192" s="12">
        <v>0</v>
      </c>
      <c r="BO192" s="12">
        <f t="shared" si="22"/>
        <v>7.3772359576164996</v>
      </c>
      <c r="BP192" s="12">
        <f t="shared" si="23"/>
        <v>0.61476966313470827</v>
      </c>
      <c r="BQ192" s="7"/>
      <c r="BR192" s="7"/>
      <c r="BS192" s="7" t="s">
        <v>51</v>
      </c>
      <c r="BT192" s="7" t="s">
        <v>52</v>
      </c>
      <c r="BU192" s="7">
        <v>15</v>
      </c>
      <c r="BV192" s="7">
        <v>10</v>
      </c>
      <c r="BW192" s="7">
        <v>5</v>
      </c>
      <c r="BX192" s="7">
        <v>20</v>
      </c>
      <c r="BY192" s="7">
        <v>5</v>
      </c>
      <c r="BZ192" s="7"/>
    </row>
    <row r="193" spans="1:78" x14ac:dyDescent="0.35">
      <c r="A193" s="7" t="s">
        <v>41</v>
      </c>
      <c r="B193" s="7"/>
      <c r="C193" s="7" t="s">
        <v>157</v>
      </c>
      <c r="D193" s="7" t="s">
        <v>158</v>
      </c>
      <c r="E193" s="7" t="s">
        <v>158</v>
      </c>
      <c r="F193" s="7" t="s">
        <v>455</v>
      </c>
      <c r="G193" s="7" t="s">
        <v>46</v>
      </c>
      <c r="H193" s="7"/>
      <c r="I193" s="7"/>
      <c r="J193" s="7" t="s">
        <v>456</v>
      </c>
      <c r="K193" s="7" t="s">
        <v>457</v>
      </c>
      <c r="L193" s="7" t="s">
        <v>458</v>
      </c>
      <c r="M193" s="7" t="s">
        <v>459</v>
      </c>
      <c r="N193" s="7" t="s">
        <v>50</v>
      </c>
      <c r="O193" s="7" t="s">
        <v>4</v>
      </c>
      <c r="P193" s="7">
        <v>23063</v>
      </c>
      <c r="Q193" s="7">
        <v>23063</v>
      </c>
      <c r="R193" s="7">
        <v>23063</v>
      </c>
      <c r="S193" s="7">
        <v>23063</v>
      </c>
      <c r="T193" s="7">
        <v>23063</v>
      </c>
      <c r="U193" s="7">
        <v>23063</v>
      </c>
      <c r="V193" s="7">
        <v>23063</v>
      </c>
      <c r="W193" s="7">
        <v>23063</v>
      </c>
      <c r="X193" s="7">
        <v>23063</v>
      </c>
      <c r="Y193" s="7">
        <v>23063</v>
      </c>
      <c r="Z193" s="7">
        <v>23063</v>
      </c>
      <c r="AA193" s="7">
        <v>23063</v>
      </c>
      <c r="AB193" s="9">
        <v>1.4598128948135001</v>
      </c>
      <c r="AC193" s="9">
        <v>1.4598128948135001</v>
      </c>
      <c r="AD193" s="9">
        <v>1.4598128948135001</v>
      </c>
      <c r="AE193" s="9">
        <v>1.4598128948135001</v>
      </c>
      <c r="AF193" s="9">
        <v>1.4598128948135001</v>
      </c>
      <c r="AG193" s="9">
        <v>1.4598128948135001</v>
      </c>
      <c r="AH193" s="9">
        <v>1.4598128948135001</v>
      </c>
      <c r="AI193" s="9">
        <v>1.4598128948135001</v>
      </c>
      <c r="AJ193" s="9">
        <v>1.4598128948135001</v>
      </c>
      <c r="AK193" s="9">
        <v>1.4598128948135001</v>
      </c>
      <c r="AL193" s="9">
        <v>1.4598128948135001</v>
      </c>
      <c r="AM193" s="9">
        <v>1.4598128948135001</v>
      </c>
      <c r="AN193" s="10">
        <v>0</v>
      </c>
      <c r="AO193" s="10">
        <v>2</v>
      </c>
      <c r="AP193" s="10">
        <v>0</v>
      </c>
      <c r="AQ193" s="10">
        <v>0</v>
      </c>
      <c r="AR193" s="10">
        <v>0</v>
      </c>
      <c r="AS193" s="10">
        <v>0</v>
      </c>
      <c r="AT193" s="10">
        <v>0</v>
      </c>
      <c r="AU193" s="10">
        <v>0</v>
      </c>
      <c r="AV193" s="10">
        <v>0</v>
      </c>
      <c r="AW193" s="10">
        <v>0</v>
      </c>
      <c r="AX193" s="10">
        <v>0</v>
      </c>
      <c r="AY193" s="10">
        <v>0</v>
      </c>
      <c r="AZ193" s="7">
        <f t="shared" si="20"/>
        <v>2</v>
      </c>
      <c r="BA193" s="11">
        <f t="shared" si="21"/>
        <v>0.16666666666666666</v>
      </c>
      <c r="BC193" s="12">
        <v>0</v>
      </c>
      <c r="BD193" s="12">
        <v>2.9196257896268998</v>
      </c>
      <c r="BE193" s="12">
        <v>0</v>
      </c>
      <c r="BF193" s="12">
        <v>0</v>
      </c>
      <c r="BG193" s="12">
        <v>0</v>
      </c>
      <c r="BH193" s="12">
        <v>0</v>
      </c>
      <c r="BI193" s="12">
        <v>0</v>
      </c>
      <c r="BJ193" s="12">
        <v>0</v>
      </c>
      <c r="BK193" s="12">
        <v>0</v>
      </c>
      <c r="BL193" s="12">
        <v>0</v>
      </c>
      <c r="BM193" s="12">
        <v>0</v>
      </c>
      <c r="BN193" s="12">
        <v>0</v>
      </c>
      <c r="BO193" s="12">
        <f t="shared" si="22"/>
        <v>2.9196257896268998</v>
      </c>
      <c r="BP193" s="12">
        <f t="shared" si="23"/>
        <v>0.24330214913557499</v>
      </c>
      <c r="BQ193" s="7"/>
      <c r="BR193" s="7"/>
      <c r="BS193" s="7" t="s">
        <v>51</v>
      </c>
      <c r="BT193" s="7" t="s">
        <v>52</v>
      </c>
      <c r="BU193" s="7">
        <v>15</v>
      </c>
      <c r="BV193" s="7">
        <v>10</v>
      </c>
      <c r="BW193" s="7">
        <v>5</v>
      </c>
      <c r="BX193" s="7">
        <v>20</v>
      </c>
      <c r="BY193" s="7">
        <v>5</v>
      </c>
      <c r="BZ193" s="7"/>
    </row>
    <row r="194" spans="1:78" x14ac:dyDescent="0.35">
      <c r="A194" s="7" t="s">
        <v>41</v>
      </c>
      <c r="B194" s="7"/>
      <c r="C194" s="7" t="s">
        <v>157</v>
      </c>
      <c r="D194" s="7" t="s">
        <v>158</v>
      </c>
      <c r="E194" s="7" t="s">
        <v>158</v>
      </c>
      <c r="F194" s="7" t="s">
        <v>460</v>
      </c>
      <c r="G194" s="7" t="s">
        <v>46</v>
      </c>
      <c r="H194" s="7"/>
      <c r="I194" s="7"/>
      <c r="J194" s="7" t="s">
        <v>456</v>
      </c>
      <c r="K194" s="7" t="s">
        <v>460</v>
      </c>
      <c r="L194" s="7" t="s">
        <v>461</v>
      </c>
      <c r="M194" s="7" t="s">
        <v>462</v>
      </c>
      <c r="N194" s="7" t="s">
        <v>50</v>
      </c>
      <c r="O194" s="7" t="s">
        <v>4</v>
      </c>
      <c r="P194" s="7">
        <v>23063</v>
      </c>
      <c r="Q194" s="7">
        <v>23063</v>
      </c>
      <c r="R194" s="7">
        <v>23063</v>
      </c>
      <c r="S194" s="7">
        <v>23063</v>
      </c>
      <c r="T194" s="7">
        <v>23063</v>
      </c>
      <c r="U194" s="7">
        <v>23063</v>
      </c>
      <c r="V194" s="7">
        <v>23063</v>
      </c>
      <c r="W194" s="7">
        <v>23063</v>
      </c>
      <c r="X194" s="7">
        <v>23063</v>
      </c>
      <c r="Y194" s="7">
        <v>23063</v>
      </c>
      <c r="Z194" s="7">
        <v>23063</v>
      </c>
      <c r="AA194" s="7">
        <v>23063</v>
      </c>
      <c r="AB194" s="9">
        <v>1.4598128948135001</v>
      </c>
      <c r="AC194" s="9">
        <v>1.4598128948135001</v>
      </c>
      <c r="AD194" s="9">
        <v>1.4598128948135001</v>
      </c>
      <c r="AE194" s="9">
        <v>1.4598128948135001</v>
      </c>
      <c r="AF194" s="9">
        <v>1.4598128948135001</v>
      </c>
      <c r="AG194" s="9">
        <v>1.4598128948135001</v>
      </c>
      <c r="AH194" s="9">
        <v>1.4598128948135001</v>
      </c>
      <c r="AI194" s="9">
        <v>1.4598128948135001</v>
      </c>
      <c r="AJ194" s="9">
        <v>1.4598128948135001</v>
      </c>
      <c r="AK194" s="9">
        <v>1.4598128948135001</v>
      </c>
      <c r="AL194" s="9">
        <v>1.4598128948135001</v>
      </c>
      <c r="AM194" s="9">
        <v>1.4598128948135001</v>
      </c>
      <c r="AN194" s="10">
        <v>0</v>
      </c>
      <c r="AO194" s="10">
        <v>2</v>
      </c>
      <c r="AP194" s="10">
        <v>0</v>
      </c>
      <c r="AQ194" s="10">
        <v>0</v>
      </c>
      <c r="AR194" s="10">
        <v>0</v>
      </c>
      <c r="AS194" s="10">
        <v>0</v>
      </c>
      <c r="AT194" s="10">
        <v>0</v>
      </c>
      <c r="AU194" s="10">
        <v>0</v>
      </c>
      <c r="AV194" s="10">
        <v>0</v>
      </c>
      <c r="AW194" s="10">
        <v>0</v>
      </c>
      <c r="AX194" s="10">
        <v>0</v>
      </c>
      <c r="AY194" s="10">
        <v>0</v>
      </c>
      <c r="AZ194" s="7">
        <f t="shared" si="20"/>
        <v>2</v>
      </c>
      <c r="BA194" s="11">
        <f t="shared" si="21"/>
        <v>0.16666666666666666</v>
      </c>
      <c r="BC194" s="12">
        <v>0</v>
      </c>
      <c r="BD194" s="12">
        <v>2.9196257896268998</v>
      </c>
      <c r="BE194" s="12">
        <v>0</v>
      </c>
      <c r="BF194" s="12">
        <v>0</v>
      </c>
      <c r="BG194" s="12">
        <v>0</v>
      </c>
      <c r="BH194" s="12">
        <v>0</v>
      </c>
      <c r="BI194" s="12">
        <v>0</v>
      </c>
      <c r="BJ194" s="12">
        <v>0</v>
      </c>
      <c r="BK194" s="12">
        <v>0</v>
      </c>
      <c r="BL194" s="12">
        <v>0</v>
      </c>
      <c r="BM194" s="12">
        <v>0</v>
      </c>
      <c r="BN194" s="12">
        <v>0</v>
      </c>
      <c r="BO194" s="12">
        <f t="shared" si="22"/>
        <v>2.9196257896268998</v>
      </c>
      <c r="BP194" s="12">
        <f t="shared" si="23"/>
        <v>0.24330214913557499</v>
      </c>
      <c r="BQ194" s="7"/>
      <c r="BR194" s="7"/>
      <c r="BS194" s="7" t="s">
        <v>51</v>
      </c>
      <c r="BT194" s="7" t="s">
        <v>52</v>
      </c>
      <c r="BU194" s="7">
        <v>15</v>
      </c>
      <c r="BV194" s="7">
        <v>10</v>
      </c>
      <c r="BW194" s="7">
        <v>5</v>
      </c>
      <c r="BX194" s="7">
        <v>20</v>
      </c>
      <c r="BY194" s="7">
        <v>5</v>
      </c>
      <c r="BZ194" s="7"/>
    </row>
    <row r="195" spans="1:78" x14ac:dyDescent="0.35">
      <c r="A195" s="7" t="s">
        <v>41</v>
      </c>
      <c r="B195" s="7"/>
      <c r="C195" s="7" t="s">
        <v>157</v>
      </c>
      <c r="D195" s="7" t="s">
        <v>158</v>
      </c>
      <c r="E195" s="7" t="s">
        <v>158</v>
      </c>
      <c r="F195" s="7" t="s">
        <v>463</v>
      </c>
      <c r="G195" s="7" t="s">
        <v>46</v>
      </c>
      <c r="H195" s="7"/>
      <c r="I195" s="7"/>
      <c r="J195" s="7" t="s">
        <v>456</v>
      </c>
      <c r="K195" s="7" t="s">
        <v>463</v>
      </c>
      <c r="L195" s="7" t="s">
        <v>461</v>
      </c>
      <c r="M195" s="7" t="s">
        <v>462</v>
      </c>
      <c r="N195" s="7" t="s">
        <v>50</v>
      </c>
      <c r="O195" s="7" t="s">
        <v>4</v>
      </c>
      <c r="P195" s="7">
        <v>23063</v>
      </c>
      <c r="Q195" s="7">
        <v>23063</v>
      </c>
      <c r="R195" s="7">
        <v>23063</v>
      </c>
      <c r="S195" s="7">
        <v>23063</v>
      </c>
      <c r="T195" s="7">
        <v>23063</v>
      </c>
      <c r="U195" s="7">
        <v>23063</v>
      </c>
      <c r="V195" s="7">
        <v>23063</v>
      </c>
      <c r="W195" s="7">
        <v>23063</v>
      </c>
      <c r="X195" s="7">
        <v>23063</v>
      </c>
      <c r="Y195" s="7">
        <v>23063</v>
      </c>
      <c r="Z195" s="7">
        <v>23063</v>
      </c>
      <c r="AA195" s="7">
        <v>23063</v>
      </c>
      <c r="AB195" s="9">
        <v>1.4598128948135001</v>
      </c>
      <c r="AC195" s="9">
        <v>1.4598128948135001</v>
      </c>
      <c r="AD195" s="9">
        <v>1.4598128948135001</v>
      </c>
      <c r="AE195" s="9">
        <v>1.4598128948135001</v>
      </c>
      <c r="AF195" s="9">
        <v>1.4598128948135001</v>
      </c>
      <c r="AG195" s="9">
        <v>1.4598128948135001</v>
      </c>
      <c r="AH195" s="9">
        <v>1.4598128948135001</v>
      </c>
      <c r="AI195" s="9">
        <v>1.4598128948135001</v>
      </c>
      <c r="AJ195" s="9">
        <v>1.4598128948135001</v>
      </c>
      <c r="AK195" s="9">
        <v>1.4598128948135001</v>
      </c>
      <c r="AL195" s="9">
        <v>1.4598128948135001</v>
      </c>
      <c r="AM195" s="9">
        <v>1.4598128948135001</v>
      </c>
      <c r="AN195" s="10">
        <v>0</v>
      </c>
      <c r="AO195" s="10">
        <v>2</v>
      </c>
      <c r="AP195" s="10">
        <v>0</v>
      </c>
      <c r="AQ195" s="10">
        <v>0</v>
      </c>
      <c r="AR195" s="10">
        <v>0</v>
      </c>
      <c r="AS195" s="10">
        <v>0</v>
      </c>
      <c r="AT195" s="10">
        <v>0</v>
      </c>
      <c r="AU195" s="10">
        <v>0</v>
      </c>
      <c r="AV195" s="10">
        <v>0</v>
      </c>
      <c r="AW195" s="10">
        <v>0</v>
      </c>
      <c r="AX195" s="10">
        <v>0</v>
      </c>
      <c r="AY195" s="10">
        <v>0</v>
      </c>
      <c r="AZ195" s="7">
        <f t="shared" si="20"/>
        <v>2</v>
      </c>
      <c r="BA195" s="11">
        <f t="shared" si="21"/>
        <v>0.16666666666666666</v>
      </c>
      <c r="BC195" s="12">
        <v>0</v>
      </c>
      <c r="BD195" s="12">
        <v>2.9196257896268998</v>
      </c>
      <c r="BE195" s="12">
        <v>0</v>
      </c>
      <c r="BF195" s="12">
        <v>0</v>
      </c>
      <c r="BG195" s="12">
        <v>0</v>
      </c>
      <c r="BH195" s="12">
        <v>0</v>
      </c>
      <c r="BI195" s="12">
        <v>0</v>
      </c>
      <c r="BJ195" s="12">
        <v>0</v>
      </c>
      <c r="BK195" s="12">
        <v>0</v>
      </c>
      <c r="BL195" s="12">
        <v>0</v>
      </c>
      <c r="BM195" s="12">
        <v>0</v>
      </c>
      <c r="BN195" s="12">
        <v>0</v>
      </c>
      <c r="BO195" s="12">
        <f t="shared" si="22"/>
        <v>2.9196257896268998</v>
      </c>
      <c r="BP195" s="12">
        <f t="shared" si="23"/>
        <v>0.24330214913557499</v>
      </c>
      <c r="BQ195" s="7"/>
      <c r="BR195" s="7"/>
      <c r="BS195" s="7" t="s">
        <v>51</v>
      </c>
      <c r="BT195" s="7" t="s">
        <v>52</v>
      </c>
      <c r="BU195" s="7">
        <v>15</v>
      </c>
      <c r="BV195" s="7">
        <v>10</v>
      </c>
      <c r="BW195" s="7">
        <v>5</v>
      </c>
      <c r="BX195" s="7">
        <v>20</v>
      </c>
      <c r="BY195" s="7">
        <v>5</v>
      </c>
      <c r="BZ195" s="7"/>
    </row>
    <row r="196" spans="1:78" x14ac:dyDescent="0.35">
      <c r="A196" s="7" t="s">
        <v>41</v>
      </c>
      <c r="B196" s="7"/>
      <c r="C196" s="7" t="s">
        <v>86</v>
      </c>
      <c r="D196" s="7" t="s">
        <v>87</v>
      </c>
      <c r="E196" s="7" t="s">
        <v>88</v>
      </c>
      <c r="F196" s="7" t="s">
        <v>460</v>
      </c>
      <c r="G196" s="7" t="s">
        <v>46</v>
      </c>
      <c r="H196" s="7"/>
      <c r="I196" s="7"/>
      <c r="J196" s="7" t="s">
        <v>456</v>
      </c>
      <c r="K196" s="7" t="s">
        <v>460</v>
      </c>
      <c r="L196" s="7" t="s">
        <v>461</v>
      </c>
      <c r="M196" s="7" t="s">
        <v>462</v>
      </c>
      <c r="N196" s="7" t="s">
        <v>90</v>
      </c>
      <c r="O196" s="7" t="s">
        <v>4</v>
      </c>
      <c r="P196" s="7">
        <v>1210000</v>
      </c>
      <c r="Q196" s="7">
        <v>1210000</v>
      </c>
      <c r="R196" s="7">
        <v>1210000</v>
      </c>
      <c r="S196" s="7">
        <v>1210000</v>
      </c>
      <c r="T196" s="7">
        <v>1210000</v>
      </c>
      <c r="U196" s="7">
        <v>1210000</v>
      </c>
      <c r="V196" s="7">
        <v>1210000</v>
      </c>
      <c r="W196" s="7">
        <v>1210000</v>
      </c>
      <c r="X196" s="7">
        <v>1210000</v>
      </c>
      <c r="Y196" s="7">
        <v>1210000</v>
      </c>
      <c r="Z196" s="7">
        <v>1210000</v>
      </c>
      <c r="AA196" s="7">
        <v>1210000</v>
      </c>
      <c r="AB196" s="9">
        <v>76.589064853848001</v>
      </c>
      <c r="AC196" s="9">
        <v>76.589064853848001</v>
      </c>
      <c r="AD196" s="9">
        <v>76.589064853848001</v>
      </c>
      <c r="AE196" s="9">
        <v>76.589064853848001</v>
      </c>
      <c r="AF196" s="9">
        <v>76.589064853848001</v>
      </c>
      <c r="AG196" s="9">
        <v>76.589064853848001</v>
      </c>
      <c r="AH196" s="9">
        <v>76.589064853848001</v>
      </c>
      <c r="AI196" s="9">
        <v>76.589064853848001</v>
      </c>
      <c r="AJ196" s="9">
        <v>76.589064853848001</v>
      </c>
      <c r="AK196" s="9">
        <v>76.589064853848001</v>
      </c>
      <c r="AL196" s="9">
        <v>76.589064853848001</v>
      </c>
      <c r="AM196" s="9">
        <v>76.589064853848001</v>
      </c>
      <c r="AN196" s="10">
        <v>0</v>
      </c>
      <c r="AO196" s="10">
        <v>1</v>
      </c>
      <c r="AP196" s="10">
        <v>0</v>
      </c>
      <c r="AQ196" s="10">
        <v>0</v>
      </c>
      <c r="AR196" s="10">
        <v>0</v>
      </c>
      <c r="AS196" s="10">
        <v>0</v>
      </c>
      <c r="AT196" s="10">
        <v>0</v>
      </c>
      <c r="AU196" s="10">
        <v>0</v>
      </c>
      <c r="AV196" s="10">
        <v>0</v>
      </c>
      <c r="AW196" s="10">
        <v>0</v>
      </c>
      <c r="AX196" s="10">
        <v>0</v>
      </c>
      <c r="AY196" s="10">
        <v>0</v>
      </c>
      <c r="AZ196" s="7">
        <f t="shared" si="20"/>
        <v>1</v>
      </c>
      <c r="BA196" s="11">
        <f t="shared" si="21"/>
        <v>8.3333333333333329E-2</v>
      </c>
      <c r="BC196" s="12">
        <v>0</v>
      </c>
      <c r="BD196" s="12">
        <v>76.589064853848001</v>
      </c>
      <c r="BE196" s="12">
        <v>0</v>
      </c>
      <c r="BF196" s="12">
        <v>0</v>
      </c>
      <c r="BG196" s="12">
        <v>0</v>
      </c>
      <c r="BH196" s="12">
        <v>0</v>
      </c>
      <c r="BI196" s="12">
        <v>0</v>
      </c>
      <c r="BJ196" s="12">
        <v>0</v>
      </c>
      <c r="BK196" s="12">
        <v>0</v>
      </c>
      <c r="BL196" s="12">
        <v>0</v>
      </c>
      <c r="BM196" s="12">
        <v>0</v>
      </c>
      <c r="BN196" s="12">
        <v>0</v>
      </c>
      <c r="BO196" s="12">
        <f t="shared" si="22"/>
        <v>76.589064853848001</v>
      </c>
      <c r="BP196" s="12">
        <f t="shared" si="23"/>
        <v>6.3824220711540001</v>
      </c>
      <c r="BQ196" s="7"/>
      <c r="BR196" s="7"/>
      <c r="BS196" s="7" t="s">
        <v>51</v>
      </c>
      <c r="BT196" s="7" t="s">
        <v>52</v>
      </c>
      <c r="BU196" s="7">
        <v>15</v>
      </c>
      <c r="BV196" s="7">
        <v>10</v>
      </c>
      <c r="BW196" s="7">
        <v>5</v>
      </c>
      <c r="BX196" s="7">
        <v>20</v>
      </c>
      <c r="BY196" s="7">
        <v>5</v>
      </c>
      <c r="BZ196" s="7"/>
    </row>
    <row r="197" spans="1:78" x14ac:dyDescent="0.35">
      <c r="A197" s="7" t="s">
        <v>41</v>
      </c>
      <c r="B197" s="7"/>
      <c r="C197" s="7" t="s">
        <v>281</v>
      </c>
      <c r="D197" s="7" t="s">
        <v>282</v>
      </c>
      <c r="E197" s="7" t="s">
        <v>282</v>
      </c>
      <c r="F197" s="7" t="s">
        <v>460</v>
      </c>
      <c r="G197" s="7" t="s">
        <v>46</v>
      </c>
      <c r="H197" s="7"/>
      <c r="I197" s="7"/>
      <c r="J197" s="7" t="s">
        <v>456</v>
      </c>
      <c r="K197" s="7" t="s">
        <v>460</v>
      </c>
      <c r="L197" s="7" t="s">
        <v>461</v>
      </c>
      <c r="M197" s="7" t="s">
        <v>462</v>
      </c>
      <c r="N197" s="7" t="s">
        <v>50</v>
      </c>
      <c r="O197" s="7" t="s">
        <v>4</v>
      </c>
      <c r="P197" s="7">
        <v>57500</v>
      </c>
      <c r="Q197" s="7">
        <v>57500</v>
      </c>
      <c r="R197" s="7">
        <v>57500</v>
      </c>
      <c r="S197" s="7">
        <v>57500</v>
      </c>
      <c r="T197" s="7">
        <v>57500</v>
      </c>
      <c r="U197" s="7">
        <v>57500</v>
      </c>
      <c r="V197" s="7">
        <v>57500</v>
      </c>
      <c r="W197" s="7">
        <v>57500</v>
      </c>
      <c r="X197" s="7">
        <v>57500</v>
      </c>
      <c r="Y197" s="7">
        <v>57500</v>
      </c>
      <c r="Z197" s="7">
        <v>57500</v>
      </c>
      <c r="AA197" s="7">
        <v>57500</v>
      </c>
      <c r="AB197" s="9">
        <v>3.6395629992531</v>
      </c>
      <c r="AC197" s="9">
        <v>3.6395629992531</v>
      </c>
      <c r="AD197" s="9">
        <v>3.6395629992531</v>
      </c>
      <c r="AE197" s="9">
        <v>3.6395629992531</v>
      </c>
      <c r="AF197" s="9">
        <v>3.6395629992531</v>
      </c>
      <c r="AG197" s="9">
        <v>3.6395629992531</v>
      </c>
      <c r="AH197" s="9">
        <v>3.6395629992531</v>
      </c>
      <c r="AI197" s="9">
        <v>3.6395629992531</v>
      </c>
      <c r="AJ197" s="9">
        <v>3.6395629992531</v>
      </c>
      <c r="AK197" s="9">
        <v>3.6395629992531</v>
      </c>
      <c r="AL197" s="9">
        <v>3.6395629992531</v>
      </c>
      <c r="AM197" s="9">
        <v>3.6395629992531</v>
      </c>
      <c r="AN197" s="10">
        <v>0</v>
      </c>
      <c r="AO197" s="10">
        <v>36</v>
      </c>
      <c r="AP197" s="10">
        <v>0</v>
      </c>
      <c r="AQ197" s="10">
        <v>0</v>
      </c>
      <c r="AR197" s="10">
        <v>0</v>
      </c>
      <c r="AS197" s="10">
        <v>0</v>
      </c>
      <c r="AT197" s="10">
        <v>0</v>
      </c>
      <c r="AU197" s="10">
        <v>0</v>
      </c>
      <c r="AV197" s="10">
        <v>0</v>
      </c>
      <c r="AW197" s="10">
        <v>0</v>
      </c>
      <c r="AX197" s="10">
        <v>0</v>
      </c>
      <c r="AY197" s="10">
        <v>0</v>
      </c>
      <c r="AZ197" s="7">
        <f t="shared" si="20"/>
        <v>36</v>
      </c>
      <c r="BA197" s="11">
        <f t="shared" si="21"/>
        <v>3</v>
      </c>
      <c r="BC197" s="12">
        <v>0</v>
      </c>
      <c r="BD197" s="12">
        <v>131.02426797311</v>
      </c>
      <c r="BE197" s="12">
        <v>0</v>
      </c>
      <c r="BF197" s="12">
        <v>0</v>
      </c>
      <c r="BG197" s="12">
        <v>0</v>
      </c>
      <c r="BH197" s="12">
        <v>0</v>
      </c>
      <c r="BI197" s="12">
        <v>0</v>
      </c>
      <c r="BJ197" s="12">
        <v>0</v>
      </c>
      <c r="BK197" s="12">
        <v>0</v>
      </c>
      <c r="BL197" s="12">
        <v>0</v>
      </c>
      <c r="BM197" s="12">
        <v>0</v>
      </c>
      <c r="BN197" s="12">
        <v>0</v>
      </c>
      <c r="BO197" s="12">
        <f t="shared" si="22"/>
        <v>131.02426797311</v>
      </c>
      <c r="BP197" s="12">
        <f t="shared" si="23"/>
        <v>10.918688997759167</v>
      </c>
      <c r="BQ197" s="7"/>
      <c r="BR197" s="7"/>
      <c r="BS197" s="7" t="s">
        <v>51</v>
      </c>
      <c r="BT197" s="7" t="s">
        <v>52</v>
      </c>
      <c r="BU197" s="7">
        <v>15</v>
      </c>
      <c r="BV197" s="7">
        <v>10</v>
      </c>
      <c r="BW197" s="7">
        <v>5</v>
      </c>
      <c r="BX197" s="7">
        <v>20</v>
      </c>
      <c r="BY197" s="7">
        <v>5</v>
      </c>
      <c r="BZ197" s="7"/>
    </row>
    <row r="198" spans="1:78" x14ac:dyDescent="0.35">
      <c r="A198" s="7" t="s">
        <v>41</v>
      </c>
      <c r="B198" s="7"/>
      <c r="C198" s="7" t="s">
        <v>464</v>
      </c>
      <c r="D198" s="7" t="s">
        <v>465</v>
      </c>
      <c r="E198" s="7" t="s">
        <v>466</v>
      </c>
      <c r="F198" s="7" t="s">
        <v>463</v>
      </c>
      <c r="G198" s="7" t="s">
        <v>46</v>
      </c>
      <c r="H198" s="7"/>
      <c r="I198" s="7"/>
      <c r="J198" s="7" t="s">
        <v>456</v>
      </c>
      <c r="K198" s="7" t="s">
        <v>463</v>
      </c>
      <c r="L198" s="7" t="s">
        <v>461</v>
      </c>
      <c r="M198" s="7" t="s">
        <v>462</v>
      </c>
      <c r="N198" s="7" t="s">
        <v>50</v>
      </c>
      <c r="O198" s="7" t="s">
        <v>4</v>
      </c>
      <c r="P198" s="7">
        <v>116550</v>
      </c>
      <c r="Q198" s="7">
        <v>116550</v>
      </c>
      <c r="R198" s="7">
        <v>116550</v>
      </c>
      <c r="S198" s="7">
        <v>116550</v>
      </c>
      <c r="T198" s="7">
        <v>116550</v>
      </c>
      <c r="U198" s="7">
        <v>116550</v>
      </c>
      <c r="V198" s="7">
        <v>116550</v>
      </c>
      <c r="W198" s="7">
        <v>116550</v>
      </c>
      <c r="X198" s="7">
        <v>116550</v>
      </c>
      <c r="Y198" s="7">
        <v>116550</v>
      </c>
      <c r="Z198" s="7">
        <v>116550</v>
      </c>
      <c r="AA198" s="7">
        <v>116550</v>
      </c>
      <c r="AB198" s="9">
        <v>7.3772359576164996</v>
      </c>
      <c r="AC198" s="9">
        <v>7.3772359576164996</v>
      </c>
      <c r="AD198" s="9">
        <v>7.3772359576164996</v>
      </c>
      <c r="AE198" s="9">
        <v>7.3772359576164996</v>
      </c>
      <c r="AF198" s="9">
        <v>7.3772359576164996</v>
      </c>
      <c r="AG198" s="9">
        <v>7.3772359576164996</v>
      </c>
      <c r="AH198" s="9">
        <v>7.3772359576164996</v>
      </c>
      <c r="AI198" s="9">
        <v>7.3772359576164996</v>
      </c>
      <c r="AJ198" s="9">
        <v>7.3772359576164996</v>
      </c>
      <c r="AK198" s="9">
        <v>7.3772359576164996</v>
      </c>
      <c r="AL198" s="9">
        <v>7.3772359576164996</v>
      </c>
      <c r="AM198" s="9">
        <v>7.3772359576164996</v>
      </c>
      <c r="AN198" s="10">
        <v>0</v>
      </c>
      <c r="AO198" s="10">
        <v>1</v>
      </c>
      <c r="AP198" s="10">
        <v>0</v>
      </c>
      <c r="AQ198" s="10">
        <v>0</v>
      </c>
      <c r="AR198" s="10">
        <v>0</v>
      </c>
      <c r="AS198" s="10">
        <v>0</v>
      </c>
      <c r="AT198" s="10">
        <v>0</v>
      </c>
      <c r="AU198" s="10">
        <v>0</v>
      </c>
      <c r="AV198" s="10">
        <v>0</v>
      </c>
      <c r="AW198" s="10">
        <v>0</v>
      </c>
      <c r="AX198" s="10">
        <v>0</v>
      </c>
      <c r="AY198" s="10">
        <v>0</v>
      </c>
      <c r="AZ198" s="7">
        <f t="shared" si="20"/>
        <v>1</v>
      </c>
      <c r="BA198" s="11">
        <f t="shared" si="21"/>
        <v>8.3333333333333329E-2</v>
      </c>
      <c r="BC198" s="12">
        <v>0</v>
      </c>
      <c r="BD198" s="12">
        <v>7.3772359576164996</v>
      </c>
      <c r="BE198" s="12">
        <v>0</v>
      </c>
      <c r="BF198" s="12">
        <v>0</v>
      </c>
      <c r="BG198" s="12">
        <v>0</v>
      </c>
      <c r="BH198" s="12">
        <v>0</v>
      </c>
      <c r="BI198" s="12">
        <v>0</v>
      </c>
      <c r="BJ198" s="12">
        <v>0</v>
      </c>
      <c r="BK198" s="12">
        <v>0</v>
      </c>
      <c r="BL198" s="12">
        <v>0</v>
      </c>
      <c r="BM198" s="12">
        <v>0</v>
      </c>
      <c r="BN198" s="12">
        <v>0</v>
      </c>
      <c r="BO198" s="12">
        <f t="shared" si="22"/>
        <v>7.3772359576164996</v>
      </c>
      <c r="BP198" s="12">
        <f t="shared" si="23"/>
        <v>0.61476966313470827</v>
      </c>
      <c r="BQ198" s="7"/>
      <c r="BR198" s="7"/>
      <c r="BS198" s="7" t="s">
        <v>51</v>
      </c>
      <c r="BT198" s="7" t="s">
        <v>52</v>
      </c>
      <c r="BU198" s="7">
        <v>15</v>
      </c>
      <c r="BV198" s="7">
        <v>10</v>
      </c>
      <c r="BW198" s="7">
        <v>5</v>
      </c>
      <c r="BX198" s="7">
        <v>20</v>
      </c>
      <c r="BY198" s="7">
        <v>5</v>
      </c>
      <c r="BZ198" s="7"/>
    </row>
    <row r="199" spans="1:78" x14ac:dyDescent="0.35">
      <c r="A199" s="7" t="s">
        <v>41</v>
      </c>
      <c r="B199" s="7"/>
      <c r="C199" s="7" t="s">
        <v>86</v>
      </c>
      <c r="D199" s="7" t="s">
        <v>87</v>
      </c>
      <c r="E199" s="7" t="s">
        <v>88</v>
      </c>
      <c r="F199" s="7" t="s">
        <v>455</v>
      </c>
      <c r="G199" s="7" t="s">
        <v>46</v>
      </c>
      <c r="H199" s="7"/>
      <c r="I199" s="7"/>
      <c r="J199" s="7" t="s">
        <v>456</v>
      </c>
      <c r="K199" s="7" t="s">
        <v>457</v>
      </c>
      <c r="L199" s="7" t="s">
        <v>458</v>
      </c>
      <c r="M199" s="7" t="s">
        <v>459</v>
      </c>
      <c r="N199" s="7" t="s">
        <v>90</v>
      </c>
      <c r="O199" s="7" t="s">
        <v>4</v>
      </c>
      <c r="P199" s="7">
        <v>1210000</v>
      </c>
      <c r="Q199" s="7">
        <v>1210000</v>
      </c>
      <c r="R199" s="7">
        <v>1210000</v>
      </c>
      <c r="S199" s="7">
        <v>1210000</v>
      </c>
      <c r="T199" s="7">
        <v>1210000</v>
      </c>
      <c r="U199" s="7">
        <v>1210000</v>
      </c>
      <c r="V199" s="7">
        <v>1210000</v>
      </c>
      <c r="W199" s="7">
        <v>1210000</v>
      </c>
      <c r="X199" s="7">
        <v>1210000</v>
      </c>
      <c r="Y199" s="7">
        <v>1210000</v>
      </c>
      <c r="Z199" s="7">
        <v>1210000</v>
      </c>
      <c r="AA199" s="7">
        <v>1210000</v>
      </c>
      <c r="AB199" s="9">
        <v>76.589064853848001</v>
      </c>
      <c r="AC199" s="9">
        <v>76.589064853848001</v>
      </c>
      <c r="AD199" s="9">
        <v>76.589064853848001</v>
      </c>
      <c r="AE199" s="9">
        <v>76.589064853848001</v>
      </c>
      <c r="AF199" s="9">
        <v>76.589064853848001</v>
      </c>
      <c r="AG199" s="9">
        <v>76.589064853848001</v>
      </c>
      <c r="AH199" s="9">
        <v>76.589064853848001</v>
      </c>
      <c r="AI199" s="9">
        <v>76.589064853848001</v>
      </c>
      <c r="AJ199" s="9">
        <v>76.589064853848001</v>
      </c>
      <c r="AK199" s="9">
        <v>76.589064853848001</v>
      </c>
      <c r="AL199" s="9">
        <v>76.589064853848001</v>
      </c>
      <c r="AM199" s="9">
        <v>76.589064853848001</v>
      </c>
      <c r="AN199" s="10">
        <v>0</v>
      </c>
      <c r="AO199" s="10">
        <v>1</v>
      </c>
      <c r="AP199" s="10">
        <v>0</v>
      </c>
      <c r="AQ199" s="10">
        <v>0</v>
      </c>
      <c r="AR199" s="10">
        <v>0</v>
      </c>
      <c r="AS199" s="10">
        <v>0</v>
      </c>
      <c r="AT199" s="10">
        <v>0</v>
      </c>
      <c r="AU199" s="10">
        <v>0</v>
      </c>
      <c r="AV199" s="10">
        <v>0</v>
      </c>
      <c r="AW199" s="10">
        <v>0</v>
      </c>
      <c r="AX199" s="10">
        <v>0</v>
      </c>
      <c r="AY199" s="10">
        <v>0</v>
      </c>
      <c r="AZ199" s="7">
        <f t="shared" si="20"/>
        <v>1</v>
      </c>
      <c r="BA199" s="11">
        <f t="shared" si="21"/>
        <v>8.3333333333333329E-2</v>
      </c>
      <c r="BC199" s="12">
        <v>0</v>
      </c>
      <c r="BD199" s="12">
        <v>76.589064853848001</v>
      </c>
      <c r="BE199" s="12">
        <v>0</v>
      </c>
      <c r="BF199" s="12">
        <v>0</v>
      </c>
      <c r="BG199" s="12">
        <v>0</v>
      </c>
      <c r="BH199" s="12">
        <v>0</v>
      </c>
      <c r="BI199" s="12">
        <v>0</v>
      </c>
      <c r="BJ199" s="12">
        <v>0</v>
      </c>
      <c r="BK199" s="12">
        <v>0</v>
      </c>
      <c r="BL199" s="12">
        <v>0</v>
      </c>
      <c r="BM199" s="12">
        <v>0</v>
      </c>
      <c r="BN199" s="12">
        <v>0</v>
      </c>
      <c r="BO199" s="12">
        <f t="shared" si="22"/>
        <v>76.589064853848001</v>
      </c>
      <c r="BP199" s="12">
        <f t="shared" si="23"/>
        <v>6.3824220711540001</v>
      </c>
      <c r="BQ199" s="7"/>
      <c r="BR199" s="7"/>
      <c r="BS199" s="7" t="s">
        <v>51</v>
      </c>
      <c r="BT199" s="7" t="s">
        <v>52</v>
      </c>
      <c r="BU199" s="7">
        <v>15</v>
      </c>
      <c r="BV199" s="7">
        <v>10</v>
      </c>
      <c r="BW199" s="7">
        <v>5</v>
      </c>
      <c r="BX199" s="7">
        <v>20</v>
      </c>
      <c r="BY199" s="7">
        <v>5</v>
      </c>
      <c r="BZ199" s="7"/>
    </row>
    <row r="200" spans="1:78" x14ac:dyDescent="0.35">
      <c r="A200" s="7" t="s">
        <v>41</v>
      </c>
      <c r="B200" s="7"/>
      <c r="C200" s="7" t="s">
        <v>329</v>
      </c>
      <c r="D200" s="7" t="s">
        <v>330</v>
      </c>
      <c r="E200" s="7" t="s">
        <v>330</v>
      </c>
      <c r="F200" s="7" t="s">
        <v>463</v>
      </c>
      <c r="G200" s="7" t="s">
        <v>46</v>
      </c>
      <c r="H200" s="7"/>
      <c r="I200" s="7"/>
      <c r="J200" s="7" t="s">
        <v>456</v>
      </c>
      <c r="K200" s="7" t="s">
        <v>463</v>
      </c>
      <c r="L200" s="7" t="s">
        <v>461</v>
      </c>
      <c r="M200" s="7" t="s">
        <v>462</v>
      </c>
      <c r="N200" s="7" t="s">
        <v>50</v>
      </c>
      <c r="O200" s="7" t="s">
        <v>4</v>
      </c>
      <c r="P200" s="7">
        <v>7500</v>
      </c>
      <c r="Q200" s="7">
        <v>7500</v>
      </c>
      <c r="R200" s="7">
        <v>7500</v>
      </c>
      <c r="S200" s="7">
        <v>7500</v>
      </c>
      <c r="T200" s="7">
        <v>7500</v>
      </c>
      <c r="U200" s="7">
        <v>7500</v>
      </c>
      <c r="V200" s="7">
        <v>7500</v>
      </c>
      <c r="W200" s="7">
        <v>7500</v>
      </c>
      <c r="X200" s="7">
        <v>7500</v>
      </c>
      <c r="Y200" s="7">
        <v>7500</v>
      </c>
      <c r="Z200" s="7">
        <v>7500</v>
      </c>
      <c r="AA200" s="7">
        <v>7500</v>
      </c>
      <c r="AB200" s="9">
        <v>0.47472560859822999</v>
      </c>
      <c r="AC200" s="9">
        <v>0.47472560859822999</v>
      </c>
      <c r="AD200" s="9">
        <v>0.47472560859822999</v>
      </c>
      <c r="AE200" s="9">
        <v>0.47472560859822999</v>
      </c>
      <c r="AF200" s="9">
        <v>0.47472560859822999</v>
      </c>
      <c r="AG200" s="9">
        <v>0.47472560859822999</v>
      </c>
      <c r="AH200" s="9">
        <v>0.47472560859822999</v>
      </c>
      <c r="AI200" s="9">
        <v>0.47472560859822999</v>
      </c>
      <c r="AJ200" s="9">
        <v>0.47472560859822999</v>
      </c>
      <c r="AK200" s="9">
        <v>0.47472560859822999</v>
      </c>
      <c r="AL200" s="9">
        <v>0.47472560859822999</v>
      </c>
      <c r="AM200" s="9">
        <v>0.47472560859822999</v>
      </c>
      <c r="AN200" s="10">
        <v>0</v>
      </c>
      <c r="AO200" s="10">
        <v>6</v>
      </c>
      <c r="AP200" s="10">
        <v>0</v>
      </c>
      <c r="AQ200" s="10">
        <v>0</v>
      </c>
      <c r="AR200" s="10">
        <v>0</v>
      </c>
      <c r="AS200" s="10">
        <v>0</v>
      </c>
      <c r="AT200" s="10">
        <v>0</v>
      </c>
      <c r="AU200" s="10">
        <v>0</v>
      </c>
      <c r="AV200" s="10">
        <v>0</v>
      </c>
      <c r="AW200" s="10">
        <v>0</v>
      </c>
      <c r="AX200" s="10">
        <v>0</v>
      </c>
      <c r="AY200" s="10">
        <v>0</v>
      </c>
      <c r="AZ200" s="7">
        <f t="shared" si="20"/>
        <v>6</v>
      </c>
      <c r="BA200" s="11">
        <f t="shared" si="21"/>
        <v>0.5</v>
      </c>
      <c r="BC200" s="12">
        <v>0</v>
      </c>
      <c r="BD200" s="12">
        <v>2.8483536515894001</v>
      </c>
      <c r="BE200" s="12">
        <v>0</v>
      </c>
      <c r="BF200" s="12">
        <v>0</v>
      </c>
      <c r="BG200" s="12">
        <v>0</v>
      </c>
      <c r="BH200" s="12">
        <v>0</v>
      </c>
      <c r="BI200" s="12">
        <v>0</v>
      </c>
      <c r="BJ200" s="12">
        <v>0</v>
      </c>
      <c r="BK200" s="12">
        <v>0</v>
      </c>
      <c r="BL200" s="12">
        <v>0</v>
      </c>
      <c r="BM200" s="12">
        <v>0</v>
      </c>
      <c r="BN200" s="12">
        <v>0</v>
      </c>
      <c r="BO200" s="12">
        <f t="shared" si="22"/>
        <v>2.8483536515894001</v>
      </c>
      <c r="BP200" s="12">
        <f t="shared" si="23"/>
        <v>0.23736280429911669</v>
      </c>
      <c r="BQ200" s="7"/>
      <c r="BR200" s="7"/>
      <c r="BS200" s="7" t="s">
        <v>51</v>
      </c>
      <c r="BT200" s="7" t="s">
        <v>52</v>
      </c>
      <c r="BU200" s="7">
        <v>15</v>
      </c>
      <c r="BV200" s="7">
        <v>10</v>
      </c>
      <c r="BW200" s="7">
        <v>5</v>
      </c>
      <c r="BX200" s="7">
        <v>20</v>
      </c>
      <c r="BY200" s="7">
        <v>5</v>
      </c>
      <c r="BZ200" s="7"/>
    </row>
    <row r="201" spans="1:78" x14ac:dyDescent="0.35">
      <c r="A201" s="7" t="s">
        <v>41</v>
      </c>
      <c r="B201" s="7"/>
      <c r="C201" s="7" t="s">
        <v>281</v>
      </c>
      <c r="D201" s="7" t="s">
        <v>282</v>
      </c>
      <c r="E201" s="7" t="s">
        <v>282</v>
      </c>
      <c r="F201" s="7" t="s">
        <v>463</v>
      </c>
      <c r="G201" s="7" t="s">
        <v>46</v>
      </c>
      <c r="H201" s="7"/>
      <c r="I201" s="7"/>
      <c r="J201" s="7" t="s">
        <v>456</v>
      </c>
      <c r="K201" s="7" t="s">
        <v>463</v>
      </c>
      <c r="L201" s="7" t="s">
        <v>461</v>
      </c>
      <c r="M201" s="7" t="s">
        <v>462</v>
      </c>
      <c r="N201" s="7" t="s">
        <v>50</v>
      </c>
      <c r="O201" s="7" t="s">
        <v>4</v>
      </c>
      <c r="P201" s="7">
        <v>57500</v>
      </c>
      <c r="Q201" s="7">
        <v>57500</v>
      </c>
      <c r="R201" s="7">
        <v>57500</v>
      </c>
      <c r="S201" s="7">
        <v>57500</v>
      </c>
      <c r="T201" s="7">
        <v>57500</v>
      </c>
      <c r="U201" s="7">
        <v>57500</v>
      </c>
      <c r="V201" s="7">
        <v>57500</v>
      </c>
      <c r="W201" s="7">
        <v>57500</v>
      </c>
      <c r="X201" s="7">
        <v>57500</v>
      </c>
      <c r="Y201" s="7">
        <v>57500</v>
      </c>
      <c r="Z201" s="7">
        <v>57500</v>
      </c>
      <c r="AA201" s="7">
        <v>57500</v>
      </c>
      <c r="AB201" s="9">
        <v>3.6395629992531</v>
      </c>
      <c r="AC201" s="9">
        <v>3.6395629992531</v>
      </c>
      <c r="AD201" s="9">
        <v>3.6395629992531</v>
      </c>
      <c r="AE201" s="9">
        <v>3.6395629992531</v>
      </c>
      <c r="AF201" s="9">
        <v>3.6395629992531</v>
      </c>
      <c r="AG201" s="9">
        <v>3.6395629992531</v>
      </c>
      <c r="AH201" s="9">
        <v>3.6395629992531</v>
      </c>
      <c r="AI201" s="9">
        <v>3.6395629992531</v>
      </c>
      <c r="AJ201" s="9">
        <v>3.6395629992531</v>
      </c>
      <c r="AK201" s="9">
        <v>3.6395629992531</v>
      </c>
      <c r="AL201" s="9">
        <v>3.6395629992531</v>
      </c>
      <c r="AM201" s="9">
        <v>3.6395629992531</v>
      </c>
      <c r="AN201" s="10">
        <v>0</v>
      </c>
      <c r="AO201" s="10">
        <v>36</v>
      </c>
      <c r="AP201" s="10">
        <v>0</v>
      </c>
      <c r="AQ201" s="10">
        <v>0</v>
      </c>
      <c r="AR201" s="10">
        <v>0</v>
      </c>
      <c r="AS201" s="10">
        <v>0</v>
      </c>
      <c r="AT201" s="10">
        <v>0</v>
      </c>
      <c r="AU201" s="10">
        <v>0</v>
      </c>
      <c r="AV201" s="10">
        <v>0</v>
      </c>
      <c r="AW201" s="10">
        <v>0</v>
      </c>
      <c r="AX201" s="10">
        <v>0</v>
      </c>
      <c r="AY201" s="10">
        <v>0</v>
      </c>
      <c r="AZ201" s="7">
        <f t="shared" si="20"/>
        <v>36</v>
      </c>
      <c r="BA201" s="11">
        <f t="shared" si="21"/>
        <v>3</v>
      </c>
      <c r="BC201" s="12">
        <v>0</v>
      </c>
      <c r="BD201" s="12">
        <v>131.02426797311</v>
      </c>
      <c r="BE201" s="12">
        <v>0</v>
      </c>
      <c r="BF201" s="12">
        <v>0</v>
      </c>
      <c r="BG201" s="12">
        <v>0</v>
      </c>
      <c r="BH201" s="12">
        <v>0</v>
      </c>
      <c r="BI201" s="12">
        <v>0</v>
      </c>
      <c r="BJ201" s="12">
        <v>0</v>
      </c>
      <c r="BK201" s="12">
        <v>0</v>
      </c>
      <c r="BL201" s="12">
        <v>0</v>
      </c>
      <c r="BM201" s="12">
        <v>0</v>
      </c>
      <c r="BN201" s="12">
        <v>0</v>
      </c>
      <c r="BO201" s="12">
        <f t="shared" si="22"/>
        <v>131.02426797311</v>
      </c>
      <c r="BP201" s="12">
        <f t="shared" si="23"/>
        <v>10.918688997759167</v>
      </c>
      <c r="BQ201" s="7"/>
      <c r="BR201" s="7"/>
      <c r="BS201" s="7" t="s">
        <v>51</v>
      </c>
      <c r="BT201" s="7" t="s">
        <v>52</v>
      </c>
      <c r="BU201" s="7">
        <v>15</v>
      </c>
      <c r="BV201" s="7">
        <v>10</v>
      </c>
      <c r="BW201" s="7">
        <v>5</v>
      </c>
      <c r="BX201" s="7">
        <v>20</v>
      </c>
      <c r="BY201" s="7">
        <v>5</v>
      </c>
      <c r="BZ201" s="7"/>
    </row>
  </sheetData>
  <sheetProtection formatCells="0" formatColumns="0" formatRows="0" insertColumns="0" insertRows="0" insertHyperlinks="0" deleteColumns="0" deleteRows="0" sort="0" autoFilter="0" pivotTables="0"/>
  <mergeCells count="25">
    <mergeCell ref="BP10:BP11"/>
    <mergeCell ref="BR10:BR11"/>
    <mergeCell ref="BS10:BS11"/>
    <mergeCell ref="BT10:BT11"/>
    <mergeCell ref="BU10:BZ10"/>
    <mergeCell ref="P10:AA10"/>
    <mergeCell ref="AB10:AM10"/>
    <mergeCell ref="AZ10:AZ11"/>
    <mergeCell ref="BA10:BA11"/>
    <mergeCell ref="BO10:BO11"/>
    <mergeCell ref="K10:K11"/>
    <mergeCell ref="L10:L11"/>
    <mergeCell ref="M10:M11"/>
    <mergeCell ref="N10:N11"/>
    <mergeCell ref="O10:O11"/>
    <mergeCell ref="F10:F11"/>
    <mergeCell ref="G10:G11"/>
    <mergeCell ref="H10:H11"/>
    <mergeCell ref="I10:I11"/>
    <mergeCell ref="J10:J11"/>
    <mergeCell ref="A10:A11"/>
    <mergeCell ref="B10:B11"/>
    <mergeCell ref="C10:C11"/>
    <mergeCell ref="D10:D11"/>
    <mergeCell ref="E10:E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AJ102"/>
  <sheetViews>
    <sheetView tabSelected="1" zoomScale="55" zoomScaleNormal="55" workbookViewId="0">
      <pane xSplit="4" ySplit="8" topLeftCell="AI21" activePane="bottomRight" state="frozen"/>
      <selection pane="topRight" activeCell="E1" sqref="E1"/>
      <selection pane="bottomLeft" activeCell="A9" sqref="A9"/>
      <selection pane="bottomRight" activeCell="AJ52" sqref="AJ52"/>
    </sheetView>
    <sheetView workbookViewId="1"/>
  </sheetViews>
  <sheetFormatPr defaultRowHeight="14.5" x14ac:dyDescent="0.35"/>
  <cols>
    <col min="1" max="1" width="14.453125" customWidth="1"/>
    <col min="2" max="2" width="10.453125" hidden="1" customWidth="1"/>
    <col min="3" max="3" width="30.26953125" hidden="1" customWidth="1"/>
    <col min="4" max="4" width="40" customWidth="1"/>
    <col min="5" max="33" width="12" customWidth="1"/>
    <col min="34" max="35" width="17" customWidth="1"/>
    <col min="36" max="36" width="88" customWidth="1"/>
  </cols>
  <sheetData>
    <row r="7" spans="1:36" x14ac:dyDescent="0.35">
      <c r="A7" s="1"/>
      <c r="B7" s="1"/>
      <c r="C7" s="1"/>
      <c r="D7" s="1"/>
      <c r="E7" s="14" t="s">
        <v>467</v>
      </c>
      <c r="F7" s="14" t="s">
        <v>467</v>
      </c>
      <c r="G7" s="14" t="s">
        <v>467</v>
      </c>
      <c r="H7" s="14" t="s">
        <v>467</v>
      </c>
      <c r="I7" s="14" t="s">
        <v>467</v>
      </c>
      <c r="J7" s="14" t="s">
        <v>467</v>
      </c>
      <c r="K7" s="14" t="s">
        <v>467</v>
      </c>
      <c r="L7" s="14" t="s">
        <v>467</v>
      </c>
      <c r="M7" s="14" t="s">
        <v>467</v>
      </c>
      <c r="N7" s="14" t="s">
        <v>467</v>
      </c>
      <c r="O7" s="14" t="s">
        <v>467</v>
      </c>
      <c r="P7" s="14" t="s">
        <v>467</v>
      </c>
      <c r="Q7" s="15" t="s">
        <v>468</v>
      </c>
      <c r="R7" s="15" t="s">
        <v>468</v>
      </c>
      <c r="S7" s="15" t="s">
        <v>468</v>
      </c>
      <c r="T7" s="15" t="s">
        <v>468</v>
      </c>
      <c r="U7" s="15" t="s">
        <v>468</v>
      </c>
      <c r="V7" s="15" t="s">
        <v>468</v>
      </c>
      <c r="W7" s="15" t="s">
        <v>468</v>
      </c>
      <c r="X7" s="15" t="s">
        <v>468</v>
      </c>
      <c r="Y7" s="15" t="s">
        <v>468</v>
      </c>
      <c r="Z7" s="15" t="s">
        <v>468</v>
      </c>
      <c r="AA7" s="15" t="s">
        <v>468</v>
      </c>
      <c r="AB7" s="15" t="s">
        <v>468</v>
      </c>
      <c r="AC7" s="54" t="s">
        <v>469</v>
      </c>
      <c r="AD7" s="54"/>
      <c r="AE7" s="1"/>
      <c r="AF7" s="54" t="s">
        <v>470</v>
      </c>
      <c r="AG7" s="54"/>
      <c r="AH7" s="54"/>
      <c r="AI7" s="54"/>
      <c r="AJ7" s="54"/>
    </row>
    <row r="8" spans="1:36" x14ac:dyDescent="0.35">
      <c r="A8" s="17" t="s">
        <v>20</v>
      </c>
      <c r="B8" s="17" t="s">
        <v>471</v>
      </c>
      <c r="C8" s="17" t="s">
        <v>472</v>
      </c>
      <c r="D8" s="17" t="s">
        <v>473</v>
      </c>
      <c r="E8" s="18" t="s">
        <v>474</v>
      </c>
      <c r="F8" s="18" t="s">
        <v>475</v>
      </c>
      <c r="G8" s="18" t="s">
        <v>476</v>
      </c>
      <c r="H8" s="18" t="s">
        <v>477</v>
      </c>
      <c r="I8" s="18" t="s">
        <v>478</v>
      </c>
      <c r="J8" s="18" t="s">
        <v>479</v>
      </c>
      <c r="K8" s="18" t="s">
        <v>480</v>
      </c>
      <c r="L8" s="18" t="s">
        <v>481</v>
      </c>
      <c r="M8" s="18" t="s">
        <v>482</v>
      </c>
      <c r="N8" s="18" t="s">
        <v>483</v>
      </c>
      <c r="O8" s="18" t="s">
        <v>484</v>
      </c>
      <c r="P8" s="18" t="s">
        <v>485</v>
      </c>
      <c r="Q8" s="19" t="s">
        <v>474</v>
      </c>
      <c r="R8" s="19" t="s">
        <v>475</v>
      </c>
      <c r="S8" s="19" t="s">
        <v>476</v>
      </c>
      <c r="T8" s="19" t="s">
        <v>477</v>
      </c>
      <c r="U8" s="19" t="s">
        <v>478</v>
      </c>
      <c r="V8" s="19" t="s">
        <v>479</v>
      </c>
      <c r="W8" s="19" t="s">
        <v>480</v>
      </c>
      <c r="X8" s="19" t="s">
        <v>481</v>
      </c>
      <c r="Y8" s="19" t="s">
        <v>482</v>
      </c>
      <c r="Z8" s="19" t="s">
        <v>483</v>
      </c>
      <c r="AA8" s="19" t="s">
        <v>484</v>
      </c>
      <c r="AB8" s="19" t="s">
        <v>485</v>
      </c>
      <c r="AC8" s="17" t="s">
        <v>486</v>
      </c>
      <c r="AD8" s="17" t="s">
        <v>487</v>
      </c>
      <c r="AE8" s="4"/>
      <c r="AF8" s="17" t="s">
        <v>486</v>
      </c>
      <c r="AG8" s="17" t="s">
        <v>487</v>
      </c>
      <c r="AH8" s="17" t="s">
        <v>488</v>
      </c>
      <c r="AI8" s="17" t="s">
        <v>489</v>
      </c>
      <c r="AJ8" s="17" t="s">
        <v>490</v>
      </c>
    </row>
    <row r="9" spans="1:36" x14ac:dyDescent="0.35">
      <c r="A9" s="7" t="s">
        <v>47</v>
      </c>
      <c r="B9" s="7"/>
      <c r="C9" s="7"/>
      <c r="D9" s="7" t="s">
        <v>133</v>
      </c>
      <c r="E9" s="10">
        <f>SUMIFS('PLAN BUDGET SAMI-JF'!AN13:AN100000,'PLAN BUDGET SAMI-JF'!D13:D100000,SUMMARY!D9,'PLAN BUDGET SAMI-JF'!J13:J100000,SUMMARY!A9&amp;"*")</f>
        <v>0</v>
      </c>
      <c r="F9" s="10">
        <f>SUMIFS('PLAN BUDGET SAMI-JF'!AO13:AO100000,'PLAN BUDGET SAMI-JF'!D13:D100000,SUMMARY!D9,'PLAN BUDGET SAMI-JF'!J13:J100000,SUMMARY!A9&amp;"*")</f>
        <v>0</v>
      </c>
      <c r="G9" s="10">
        <f>SUMIFS('PLAN BUDGET SAMI-JF'!AP13:AP100000,'PLAN BUDGET SAMI-JF'!D13:D100000,SUMMARY!D9,'PLAN BUDGET SAMI-JF'!J13:J100000,SUMMARY!A9&amp;"*")</f>
        <v>2</v>
      </c>
      <c r="H9" s="10">
        <f>SUMIFS('PLAN BUDGET SAMI-JF'!AQ13:AQ100000,'PLAN BUDGET SAMI-JF'!D13:D100000,SUMMARY!D9,'PLAN BUDGET SAMI-JF'!J13:J100000,SUMMARY!A9&amp;"*")</f>
        <v>0</v>
      </c>
      <c r="I9" s="10">
        <f>SUMIFS('PLAN BUDGET SAMI-JF'!AR13:AR100000,'PLAN BUDGET SAMI-JF'!D13:D100000,SUMMARY!D9,'PLAN BUDGET SAMI-JF'!J13:J100000,SUMMARY!A9&amp;"*")</f>
        <v>0</v>
      </c>
      <c r="J9" s="10">
        <f>SUMIFS('PLAN BUDGET SAMI-JF'!AS13:AS100000,'PLAN BUDGET SAMI-JF'!D13:D100000,SUMMARY!D9,'PLAN BUDGET SAMI-JF'!J13:J100000,SUMMARY!A9&amp;"*")</f>
        <v>0</v>
      </c>
      <c r="K9" s="10">
        <f>SUMIFS('PLAN BUDGET SAMI-JF'!AT13:AT100000,'PLAN BUDGET SAMI-JF'!D13:D100000,SUMMARY!D9,'PLAN BUDGET SAMI-JF'!J13:J100000,SUMMARY!A9&amp;"*")</f>
        <v>0</v>
      </c>
      <c r="L9" s="10">
        <f>SUMIFS('PLAN BUDGET SAMI-JF'!AU13:AU100000,'PLAN BUDGET SAMI-JF'!D13:D100000,SUMMARY!D9,'PLAN BUDGET SAMI-JF'!J13:J100000,SUMMARY!A9&amp;"*")</f>
        <v>0</v>
      </c>
      <c r="M9" s="10">
        <f>SUMIFS('PLAN BUDGET SAMI-JF'!AV13:AV100000,'PLAN BUDGET SAMI-JF'!D13:D100000,SUMMARY!D9,'PLAN BUDGET SAMI-JF'!J13:J100000,SUMMARY!A9&amp;"*")</f>
        <v>0</v>
      </c>
      <c r="N9" s="10">
        <f>SUMIFS('PLAN BUDGET SAMI-JF'!AW13:AW100000,'PLAN BUDGET SAMI-JF'!D13:D100000,SUMMARY!D9,'PLAN BUDGET SAMI-JF'!J13:J100000,SUMMARY!A9&amp;"*")</f>
        <v>0</v>
      </c>
      <c r="O9" s="10">
        <f>SUMIFS('PLAN BUDGET SAMI-JF'!AX13:AX100000,'PLAN BUDGET SAMI-JF'!D13:D100000,SUMMARY!D9,'PLAN BUDGET SAMI-JF'!J13:J100000,SUMMARY!A9&amp;"*")</f>
        <v>0</v>
      </c>
      <c r="P9" s="10">
        <f>SUMIFS('PLAN BUDGET SAMI-JF'!AY13:AY100000,'PLAN BUDGET SAMI-JF'!D13:D100000,SUMMARY!D9,'PLAN BUDGET SAMI-JF'!J13:J100000,SUMMARY!A9&amp;"*")</f>
        <v>0</v>
      </c>
      <c r="Q9" s="10">
        <f>SUMIFS('PLAN BUDGET SAMI-JF'!BC13:BC100000,'PLAN BUDGET SAMI-JF'!D13:D100000,SUMMARY!D9,'PLAN BUDGET SAMI-JF'!J13:J100000,SUMMARY!A9&amp;"*")</f>
        <v>0</v>
      </c>
      <c r="R9" s="10">
        <f>SUMIFS('PLAN BUDGET SAMI-JF'!BD13:BD100000,'PLAN BUDGET SAMI-JF'!D13:D100000,SUMMARY!D9,'PLAN BUDGET SAMI-JF'!J13:J100000,SUMMARY!A9&amp;"*")</f>
        <v>0</v>
      </c>
      <c r="S9" s="10">
        <f>SUMIFS('PLAN BUDGET SAMI-JF'!BE13:BE100000,'PLAN BUDGET SAMI-JF'!D13:D100000,SUMMARY!D9,'PLAN BUDGET SAMI-JF'!J13:J100000,SUMMARY!A9&amp;"*")</f>
        <v>594.98942944311</v>
      </c>
      <c r="T9" s="10">
        <f>SUMIFS('PLAN BUDGET SAMI-JF'!BF13:BF100000,'PLAN BUDGET SAMI-JF'!D13:D100000,SUMMARY!D9,'PLAN BUDGET SAMI-JF'!J13:J100000,SUMMARY!A9&amp;"*")</f>
        <v>0</v>
      </c>
      <c r="U9" s="10">
        <f>SUMIFS('PLAN BUDGET SAMI-JF'!BG13:BG100000,'PLAN BUDGET SAMI-JF'!D13:D100000,SUMMARY!D9,'PLAN BUDGET SAMI-JF'!J13:J100000,SUMMARY!A9&amp;"*")</f>
        <v>0</v>
      </c>
      <c r="V9" s="10">
        <f>SUMIFS('PLAN BUDGET SAMI-JF'!BH13:BH100000,'PLAN BUDGET SAMI-JF'!D13:D100000,SUMMARY!D9,'PLAN BUDGET SAMI-JF'!J13:J100000,SUMMARY!A9&amp;"*")</f>
        <v>0</v>
      </c>
      <c r="W9" s="10">
        <f>SUMIFS('PLAN BUDGET SAMI-JF'!BI13:BI100000,'PLAN BUDGET SAMI-JF'!D13:D100000,SUMMARY!D9,'PLAN BUDGET SAMI-JF'!J13:J100000,SUMMARY!A9&amp;"*")</f>
        <v>0</v>
      </c>
      <c r="X9" s="10">
        <f>SUMIFS('PLAN BUDGET SAMI-JF'!BJ13:BJ100000,'PLAN BUDGET SAMI-JF'!D13:D100000,SUMMARY!D9,'PLAN BUDGET SAMI-JF'!J13:J100000,SUMMARY!A9&amp;"*")</f>
        <v>0</v>
      </c>
      <c r="Y9" s="10">
        <f>SUMIFS('PLAN BUDGET SAMI-JF'!BK13:BK100000,'PLAN BUDGET SAMI-JF'!D13:D100000,SUMMARY!D9,'PLAN BUDGET SAMI-JF'!J13:J100000,SUMMARY!A9&amp;"*")</f>
        <v>0</v>
      </c>
      <c r="Z9" s="10">
        <f>SUMIFS('PLAN BUDGET SAMI-JF'!BL13:BL100000,'PLAN BUDGET SAMI-JF'!D13:D100000,SUMMARY!D9,'PLAN BUDGET SAMI-JF'!J13:J100000,SUMMARY!A9&amp;"*")</f>
        <v>0</v>
      </c>
      <c r="AA9" s="10">
        <f>SUMIFS('PLAN BUDGET SAMI-JF'!BM13:BM100000,'PLAN BUDGET SAMI-JF'!D13:D100000,SUMMARY!D9,'PLAN BUDGET SAMI-JF'!J13:J100000,SUMMARY!A9&amp;"*")</f>
        <v>0</v>
      </c>
      <c r="AB9" s="10">
        <f>SUMIFS('PLAN BUDGET SAMI-JF'!BN13:BN100000,'PLAN BUDGET SAMI-JF'!D13:D100000,SUMMARY!D9,'PLAN BUDGET SAMI-JF'!J13:J100000,SUMMARY!A9&amp;"*")</f>
        <v>0</v>
      </c>
      <c r="AC9" s="10">
        <f t="shared" ref="AC9:AC40" si="0">SUM(E9:P9)</f>
        <v>2</v>
      </c>
      <c r="AD9" s="10">
        <f t="shared" ref="AD9:AD40" si="1">SUM(Q9:AB9)</f>
        <v>594.98942944311</v>
      </c>
      <c r="AE9" s="16"/>
      <c r="AF9" s="10">
        <v>8</v>
      </c>
      <c r="AG9" s="10">
        <v>1103.7499525274</v>
      </c>
      <c r="AH9" s="20">
        <f t="shared" ref="AH9:AH40" si="2">IFERROR((AC9-AF9)/AF9,1)</f>
        <v>-0.75</v>
      </c>
      <c r="AI9" s="20">
        <f t="shared" ref="AI9:AI40" si="3">IFERROR((AD9-AG9)/AG9,1)</f>
        <v>-0.46093820608491509</v>
      </c>
      <c r="AJ9" s="7"/>
    </row>
    <row r="10" spans="1:36" x14ac:dyDescent="0.35">
      <c r="A10" s="7" t="s">
        <v>47</v>
      </c>
      <c r="B10" s="7"/>
      <c r="C10" s="7"/>
      <c r="D10" s="7" t="s">
        <v>79</v>
      </c>
      <c r="E10" s="10">
        <f>SUMIFS('PLAN BUDGET SAMI-JF'!AN13:AN100000,'PLAN BUDGET SAMI-JF'!D13:D100000,SUMMARY!D10,'PLAN BUDGET SAMI-JF'!J13:J100000,SUMMARY!A10&amp;"*")</f>
        <v>0</v>
      </c>
      <c r="F10" s="10">
        <f>SUMIFS('PLAN BUDGET SAMI-JF'!AO13:AO100000,'PLAN BUDGET SAMI-JF'!D13:D100000,SUMMARY!D10,'PLAN BUDGET SAMI-JF'!J13:J100000,SUMMARY!A10&amp;"*")</f>
        <v>0</v>
      </c>
      <c r="G10" s="10">
        <f>SUMIFS('PLAN BUDGET SAMI-JF'!AP13:AP100000,'PLAN BUDGET SAMI-JF'!D13:D100000,SUMMARY!D10,'PLAN BUDGET SAMI-JF'!J13:J100000,SUMMARY!A10&amp;"*")</f>
        <v>0</v>
      </c>
      <c r="H10" s="10">
        <f>SUMIFS('PLAN BUDGET SAMI-JF'!AQ13:AQ100000,'PLAN BUDGET SAMI-JF'!D13:D100000,SUMMARY!D10,'PLAN BUDGET SAMI-JF'!J13:J100000,SUMMARY!A10&amp;"*")</f>
        <v>0</v>
      </c>
      <c r="I10" s="10">
        <f>SUMIFS('PLAN BUDGET SAMI-JF'!AR13:AR100000,'PLAN BUDGET SAMI-JF'!D13:D100000,SUMMARY!D10,'PLAN BUDGET SAMI-JF'!J13:J100000,SUMMARY!A10&amp;"*")</f>
        <v>0</v>
      </c>
      <c r="J10" s="10">
        <f>SUMIFS('PLAN BUDGET SAMI-JF'!AS13:AS100000,'PLAN BUDGET SAMI-JF'!D13:D100000,SUMMARY!D10,'PLAN BUDGET SAMI-JF'!J13:J100000,SUMMARY!A10&amp;"*")</f>
        <v>0</v>
      </c>
      <c r="K10" s="10">
        <f>SUMIFS('PLAN BUDGET SAMI-JF'!AT13:AT100000,'PLAN BUDGET SAMI-JF'!D13:D100000,SUMMARY!D10,'PLAN BUDGET SAMI-JF'!J13:J100000,SUMMARY!A10&amp;"*")</f>
        <v>0</v>
      </c>
      <c r="L10" s="10">
        <f>SUMIFS('PLAN BUDGET SAMI-JF'!AU13:AU100000,'PLAN BUDGET SAMI-JF'!D13:D100000,SUMMARY!D10,'PLAN BUDGET SAMI-JF'!J13:J100000,SUMMARY!A10&amp;"*")</f>
        <v>0</v>
      </c>
      <c r="M10" s="10">
        <f>SUMIFS('PLAN BUDGET SAMI-JF'!AV13:AV100000,'PLAN BUDGET SAMI-JF'!D13:D100000,SUMMARY!D10,'PLAN BUDGET SAMI-JF'!J13:J100000,SUMMARY!A10&amp;"*")</f>
        <v>0</v>
      </c>
      <c r="N10" s="10">
        <f>SUMIFS('PLAN BUDGET SAMI-JF'!AW13:AW100000,'PLAN BUDGET SAMI-JF'!D13:D100000,SUMMARY!D10,'PLAN BUDGET SAMI-JF'!J13:J100000,SUMMARY!A10&amp;"*")</f>
        <v>0</v>
      </c>
      <c r="O10" s="10">
        <f>SUMIFS('PLAN BUDGET SAMI-JF'!AX13:AX100000,'PLAN BUDGET SAMI-JF'!D13:D100000,SUMMARY!D10,'PLAN BUDGET SAMI-JF'!J13:J100000,SUMMARY!A10&amp;"*")</f>
        <v>0</v>
      </c>
      <c r="P10" s="10">
        <f>SUMIFS('PLAN BUDGET SAMI-JF'!AY13:AY100000,'PLAN BUDGET SAMI-JF'!D13:D100000,SUMMARY!D10,'PLAN BUDGET SAMI-JF'!J13:J100000,SUMMARY!A10&amp;"*")</f>
        <v>4</v>
      </c>
      <c r="Q10" s="10">
        <f>SUMIFS('PLAN BUDGET SAMI-JF'!BC13:BC100000,'PLAN BUDGET SAMI-JF'!D13:D100000,SUMMARY!D10,'PLAN BUDGET SAMI-JF'!J13:J100000,SUMMARY!A10&amp;"*")</f>
        <v>0</v>
      </c>
      <c r="R10" s="10">
        <f>SUMIFS('PLAN BUDGET SAMI-JF'!BD13:BD100000,'PLAN BUDGET SAMI-JF'!D13:D100000,SUMMARY!D10,'PLAN BUDGET SAMI-JF'!J13:J100000,SUMMARY!A10&amp;"*")</f>
        <v>0</v>
      </c>
      <c r="S10" s="10">
        <f>SUMIFS('PLAN BUDGET SAMI-JF'!BE13:BE100000,'PLAN BUDGET SAMI-JF'!D13:D100000,SUMMARY!D10,'PLAN BUDGET SAMI-JF'!J13:J100000,SUMMARY!A10&amp;"*")</f>
        <v>0</v>
      </c>
      <c r="T10" s="10">
        <f>SUMIFS('PLAN BUDGET SAMI-JF'!BF13:BF100000,'PLAN BUDGET SAMI-JF'!D13:D100000,SUMMARY!D10,'PLAN BUDGET SAMI-JF'!J13:J100000,SUMMARY!A10&amp;"*")</f>
        <v>0</v>
      </c>
      <c r="U10" s="10">
        <f>SUMIFS('PLAN BUDGET SAMI-JF'!BG13:BG100000,'PLAN BUDGET SAMI-JF'!D13:D100000,SUMMARY!D10,'PLAN BUDGET SAMI-JF'!J13:J100000,SUMMARY!A10&amp;"*")</f>
        <v>0</v>
      </c>
      <c r="V10" s="10">
        <f>SUMIFS('PLAN BUDGET SAMI-JF'!BH13:BH100000,'PLAN BUDGET SAMI-JF'!D13:D100000,SUMMARY!D10,'PLAN BUDGET SAMI-JF'!J13:J100000,SUMMARY!A10&amp;"*")</f>
        <v>0</v>
      </c>
      <c r="W10" s="10">
        <f>SUMIFS('PLAN BUDGET SAMI-JF'!BI13:BI100000,'PLAN BUDGET SAMI-JF'!D13:D100000,SUMMARY!D10,'PLAN BUDGET SAMI-JF'!J13:J100000,SUMMARY!A10&amp;"*")</f>
        <v>0</v>
      </c>
      <c r="X10" s="10">
        <f>SUMIFS('PLAN BUDGET SAMI-JF'!BJ13:BJ100000,'PLAN BUDGET SAMI-JF'!D13:D100000,SUMMARY!D10,'PLAN BUDGET SAMI-JF'!J13:J100000,SUMMARY!A10&amp;"*")</f>
        <v>0</v>
      </c>
      <c r="Y10" s="10">
        <f>SUMIFS('PLAN BUDGET SAMI-JF'!BK13:BK100000,'PLAN BUDGET SAMI-JF'!D13:D100000,SUMMARY!D10,'PLAN BUDGET SAMI-JF'!J13:J100000,SUMMARY!A10&amp;"*")</f>
        <v>0</v>
      </c>
      <c r="Z10" s="10">
        <f>SUMIFS('PLAN BUDGET SAMI-JF'!BL13:BL100000,'PLAN BUDGET SAMI-JF'!D13:D100000,SUMMARY!D10,'PLAN BUDGET SAMI-JF'!J13:J100000,SUMMARY!A10&amp;"*")</f>
        <v>0</v>
      </c>
      <c r="AA10" s="10">
        <f>SUMIFS('PLAN BUDGET SAMI-JF'!BM13:BM100000,'PLAN BUDGET SAMI-JF'!D13:D100000,SUMMARY!D10,'PLAN BUDGET SAMI-JF'!J13:J100000,SUMMARY!A10&amp;"*")</f>
        <v>0</v>
      </c>
      <c r="AB10" s="10">
        <f>SUMIFS('PLAN BUDGET SAMI-JF'!BN13:BN100000,'PLAN BUDGET SAMI-JF'!D13:D100000,SUMMARY!D10,'PLAN BUDGET SAMI-JF'!J13:J100000,SUMMARY!A10&amp;"*")</f>
        <v>741.72185430464003</v>
      </c>
      <c r="AC10" s="10">
        <f t="shared" si="0"/>
        <v>4</v>
      </c>
      <c r="AD10" s="10">
        <f t="shared" si="1"/>
        <v>741.72185430464003</v>
      </c>
      <c r="AE10" s="16"/>
      <c r="AF10" s="10">
        <v>0</v>
      </c>
      <c r="AG10" s="10">
        <v>0</v>
      </c>
      <c r="AH10" s="20">
        <f t="shared" si="2"/>
        <v>1</v>
      </c>
      <c r="AI10" s="20">
        <f t="shared" si="3"/>
        <v>1</v>
      </c>
      <c r="AJ10" s="36" t="s">
        <v>576</v>
      </c>
    </row>
    <row r="11" spans="1:36" x14ac:dyDescent="0.35">
      <c r="A11" s="7" t="s">
        <v>47</v>
      </c>
      <c r="B11" s="7"/>
      <c r="C11" s="7"/>
      <c r="D11" s="7" t="s">
        <v>110</v>
      </c>
      <c r="E11" s="10">
        <f>SUMIFS('PLAN BUDGET SAMI-JF'!AN13:AN100000,'PLAN BUDGET SAMI-JF'!D13:D100000,SUMMARY!D11,'PLAN BUDGET SAMI-JF'!J13:J100000,SUMMARY!A11&amp;"*")</f>
        <v>71</v>
      </c>
      <c r="F11" s="10">
        <f>SUMIFS('PLAN BUDGET SAMI-JF'!AO13:AO100000,'PLAN BUDGET SAMI-JF'!D13:D100000,SUMMARY!D11,'PLAN BUDGET SAMI-JF'!J13:J100000,SUMMARY!A11&amp;"*")</f>
        <v>65</v>
      </c>
      <c r="G11" s="10">
        <f>SUMIFS('PLAN BUDGET SAMI-JF'!AP13:AP100000,'PLAN BUDGET SAMI-JF'!D13:D100000,SUMMARY!D11,'PLAN BUDGET SAMI-JF'!J13:J100000,SUMMARY!A11&amp;"*")</f>
        <v>65</v>
      </c>
      <c r="H11" s="10">
        <f>SUMIFS('PLAN BUDGET SAMI-JF'!AQ13:AQ100000,'PLAN BUDGET SAMI-JF'!D13:D100000,SUMMARY!D11,'PLAN BUDGET SAMI-JF'!J13:J100000,SUMMARY!A11&amp;"*")</f>
        <v>71</v>
      </c>
      <c r="I11" s="10">
        <f>SUMIFS('PLAN BUDGET SAMI-JF'!AR13:AR100000,'PLAN BUDGET SAMI-JF'!D13:D100000,SUMMARY!D11,'PLAN BUDGET SAMI-JF'!J13:J100000,SUMMARY!A11&amp;"*")</f>
        <v>65</v>
      </c>
      <c r="J11" s="10">
        <f>SUMIFS('PLAN BUDGET SAMI-JF'!AS13:AS100000,'PLAN BUDGET SAMI-JF'!D13:D100000,SUMMARY!D11,'PLAN BUDGET SAMI-JF'!J13:J100000,SUMMARY!A11&amp;"*")</f>
        <v>65</v>
      </c>
      <c r="K11" s="10">
        <f>SUMIFS('PLAN BUDGET SAMI-JF'!AT13:AT100000,'PLAN BUDGET SAMI-JF'!D13:D100000,SUMMARY!D11,'PLAN BUDGET SAMI-JF'!J13:J100000,SUMMARY!A11&amp;"*")</f>
        <v>71</v>
      </c>
      <c r="L11" s="10">
        <f>SUMIFS('PLAN BUDGET SAMI-JF'!AU13:AU100000,'PLAN BUDGET SAMI-JF'!D13:D100000,SUMMARY!D11,'PLAN BUDGET SAMI-JF'!J13:J100000,SUMMARY!A11&amp;"*")</f>
        <v>65</v>
      </c>
      <c r="M11" s="10">
        <f>SUMIFS('PLAN BUDGET SAMI-JF'!AV13:AV100000,'PLAN BUDGET SAMI-JF'!D13:D100000,SUMMARY!D11,'PLAN BUDGET SAMI-JF'!J13:J100000,SUMMARY!A11&amp;"*")</f>
        <v>65</v>
      </c>
      <c r="N11" s="10">
        <f>SUMIFS('PLAN BUDGET SAMI-JF'!AW13:AW100000,'PLAN BUDGET SAMI-JF'!D13:D100000,SUMMARY!D11,'PLAN BUDGET SAMI-JF'!J13:J100000,SUMMARY!A11&amp;"*")</f>
        <v>71</v>
      </c>
      <c r="O11" s="10">
        <f>SUMIFS('PLAN BUDGET SAMI-JF'!AX13:AX100000,'PLAN BUDGET SAMI-JF'!D13:D100000,SUMMARY!D11,'PLAN BUDGET SAMI-JF'!J13:J100000,SUMMARY!A11&amp;"*")</f>
        <v>65</v>
      </c>
      <c r="P11" s="10">
        <f>SUMIFS('PLAN BUDGET SAMI-JF'!AY13:AY100000,'PLAN BUDGET SAMI-JF'!D13:D100000,SUMMARY!D11,'PLAN BUDGET SAMI-JF'!J13:J100000,SUMMARY!A11&amp;"*")</f>
        <v>65</v>
      </c>
      <c r="Q11" s="10">
        <f>SUMIFS('PLAN BUDGET SAMI-JF'!BC13:BC100000,'PLAN BUDGET SAMI-JF'!D13:D100000,SUMMARY!D11,'PLAN BUDGET SAMI-JF'!J13:J100000,SUMMARY!A11&amp;"*")</f>
        <v>175.648475181344</v>
      </c>
      <c r="R11" s="10">
        <f>SUMIFS('PLAN BUDGET SAMI-JF'!BD13:BD100000,'PLAN BUDGET SAMI-JF'!D13:D100000,SUMMARY!D11,'PLAN BUDGET SAMI-JF'!J13:J100000,SUMMARY!A11&amp;"*")</f>
        <v>99.692377805627999</v>
      </c>
      <c r="S11" s="10">
        <f>SUMIFS('PLAN BUDGET SAMI-JF'!BE13:BE100000,'PLAN BUDGET SAMI-JF'!D13:D100000,SUMMARY!D11,'PLAN BUDGET SAMI-JF'!J13:J100000,SUMMARY!A11&amp;"*")</f>
        <v>99.692377805627999</v>
      </c>
      <c r="T11" s="10">
        <f>SUMIFS('PLAN BUDGET SAMI-JF'!BF13:BF100000,'PLAN BUDGET SAMI-JF'!D13:D100000,SUMMARY!D11,'PLAN BUDGET SAMI-JF'!J13:J100000,SUMMARY!A11&amp;"*")</f>
        <v>175.648475181344</v>
      </c>
      <c r="U11" s="10">
        <f>SUMIFS('PLAN BUDGET SAMI-JF'!BG13:BG100000,'PLAN BUDGET SAMI-JF'!D13:D100000,SUMMARY!D11,'PLAN BUDGET SAMI-JF'!J13:J100000,SUMMARY!A11&amp;"*")</f>
        <v>99.692377805627999</v>
      </c>
      <c r="V11" s="10">
        <f>SUMIFS('PLAN BUDGET SAMI-JF'!BH13:BH100000,'PLAN BUDGET SAMI-JF'!D13:D100000,SUMMARY!D11,'PLAN BUDGET SAMI-JF'!J13:J100000,SUMMARY!A11&amp;"*")</f>
        <v>99.692377805627999</v>
      </c>
      <c r="W11" s="10">
        <f>SUMIFS('PLAN BUDGET SAMI-JF'!BI13:BI100000,'PLAN BUDGET SAMI-JF'!D13:D100000,SUMMARY!D11,'PLAN BUDGET SAMI-JF'!J13:J100000,SUMMARY!A11&amp;"*")</f>
        <v>175.648475181344</v>
      </c>
      <c r="X11" s="10">
        <f>SUMIFS('PLAN BUDGET SAMI-JF'!BJ13:BJ100000,'PLAN BUDGET SAMI-JF'!D13:D100000,SUMMARY!D11,'PLAN BUDGET SAMI-JF'!J13:J100000,SUMMARY!A11&amp;"*")</f>
        <v>99.692377805627999</v>
      </c>
      <c r="Y11" s="10">
        <f>SUMIFS('PLAN BUDGET SAMI-JF'!BK13:BK100000,'PLAN BUDGET SAMI-JF'!D13:D100000,SUMMARY!D11,'PLAN BUDGET SAMI-JF'!J13:J100000,SUMMARY!A11&amp;"*")</f>
        <v>99.692377805627999</v>
      </c>
      <c r="Z11" s="10">
        <f>SUMIFS('PLAN BUDGET SAMI-JF'!BL13:BL100000,'PLAN BUDGET SAMI-JF'!D13:D100000,SUMMARY!D11,'PLAN BUDGET SAMI-JF'!J13:J100000,SUMMARY!A11&amp;"*")</f>
        <v>175.648475181344</v>
      </c>
      <c r="AA11" s="10">
        <f>SUMIFS('PLAN BUDGET SAMI-JF'!BM13:BM100000,'PLAN BUDGET SAMI-JF'!D13:D100000,SUMMARY!D11,'PLAN BUDGET SAMI-JF'!J13:J100000,SUMMARY!A11&amp;"*")</f>
        <v>99.692377805627999</v>
      </c>
      <c r="AB11" s="10">
        <f>SUMIFS('PLAN BUDGET SAMI-JF'!BN13:BN100000,'PLAN BUDGET SAMI-JF'!D13:D100000,SUMMARY!D11,'PLAN BUDGET SAMI-JF'!J13:J100000,SUMMARY!A11&amp;"*")</f>
        <v>99.692377805627999</v>
      </c>
      <c r="AC11" s="10">
        <f t="shared" si="0"/>
        <v>804</v>
      </c>
      <c r="AD11" s="10">
        <f t="shared" si="1"/>
        <v>1500.1329231703999</v>
      </c>
      <c r="AE11" s="16"/>
      <c r="AF11" s="10">
        <v>815</v>
      </c>
      <c r="AG11" s="10">
        <v>1005.7853227501</v>
      </c>
      <c r="AH11" s="20">
        <f t="shared" si="2"/>
        <v>-1.3496932515337423E-2</v>
      </c>
      <c r="AI11" s="20">
        <f t="shared" si="3"/>
        <v>0.49150409062305106</v>
      </c>
      <c r="AJ11" s="36" t="s">
        <v>577</v>
      </c>
    </row>
    <row r="12" spans="1:36" x14ac:dyDescent="0.35">
      <c r="A12" s="7" t="s">
        <v>47</v>
      </c>
      <c r="B12" s="7"/>
      <c r="C12" s="7"/>
      <c r="D12" s="7" t="s">
        <v>282</v>
      </c>
      <c r="E12" s="10">
        <f>SUMIFS('PLAN BUDGET SAMI-JF'!AN13:AN100000,'PLAN BUDGET SAMI-JF'!D13:D100000,SUMMARY!D12,'PLAN BUDGET SAMI-JF'!J13:J100000,SUMMARY!A12&amp;"*")</f>
        <v>46</v>
      </c>
      <c r="F12" s="10">
        <f>SUMIFS('PLAN BUDGET SAMI-JF'!AO13:AO100000,'PLAN BUDGET SAMI-JF'!D13:D100000,SUMMARY!D12,'PLAN BUDGET SAMI-JF'!J13:J100000,SUMMARY!A12&amp;"*")</f>
        <v>46</v>
      </c>
      <c r="G12" s="10">
        <f>SUMIFS('PLAN BUDGET SAMI-JF'!AP13:AP100000,'PLAN BUDGET SAMI-JF'!D13:D100000,SUMMARY!D12,'PLAN BUDGET SAMI-JF'!J13:J100000,SUMMARY!A12&amp;"*")</f>
        <v>46</v>
      </c>
      <c r="H12" s="10">
        <f>SUMIFS('PLAN BUDGET SAMI-JF'!AQ13:AQ100000,'PLAN BUDGET SAMI-JF'!D13:D100000,SUMMARY!D12,'PLAN BUDGET SAMI-JF'!J13:J100000,SUMMARY!A12&amp;"*")</f>
        <v>46</v>
      </c>
      <c r="I12" s="10">
        <f>SUMIFS('PLAN BUDGET SAMI-JF'!AR13:AR100000,'PLAN BUDGET SAMI-JF'!D13:D100000,SUMMARY!D12,'PLAN BUDGET SAMI-JF'!J13:J100000,SUMMARY!A12&amp;"*")</f>
        <v>46</v>
      </c>
      <c r="J12" s="10">
        <f>SUMIFS('PLAN BUDGET SAMI-JF'!AS13:AS100000,'PLAN BUDGET SAMI-JF'!D13:D100000,SUMMARY!D12,'PLAN BUDGET SAMI-JF'!J13:J100000,SUMMARY!A12&amp;"*")</f>
        <v>46</v>
      </c>
      <c r="K12" s="10">
        <f>SUMIFS('PLAN BUDGET SAMI-JF'!AT13:AT100000,'PLAN BUDGET SAMI-JF'!D13:D100000,SUMMARY!D12,'PLAN BUDGET SAMI-JF'!J13:J100000,SUMMARY!A12&amp;"*")</f>
        <v>46</v>
      </c>
      <c r="L12" s="10">
        <f>SUMIFS('PLAN BUDGET SAMI-JF'!AU13:AU100000,'PLAN BUDGET SAMI-JF'!D13:D100000,SUMMARY!D12,'PLAN BUDGET SAMI-JF'!J13:J100000,SUMMARY!A12&amp;"*")</f>
        <v>46</v>
      </c>
      <c r="M12" s="10">
        <f>SUMIFS('PLAN BUDGET SAMI-JF'!AV13:AV100000,'PLAN BUDGET SAMI-JF'!D13:D100000,SUMMARY!D12,'PLAN BUDGET SAMI-JF'!J13:J100000,SUMMARY!A12&amp;"*")</f>
        <v>46</v>
      </c>
      <c r="N12" s="10">
        <f>SUMIFS('PLAN BUDGET SAMI-JF'!AW13:AW100000,'PLAN BUDGET SAMI-JF'!D13:D100000,SUMMARY!D12,'PLAN BUDGET SAMI-JF'!J13:J100000,SUMMARY!A12&amp;"*")</f>
        <v>46</v>
      </c>
      <c r="O12" s="10">
        <f>SUMIFS('PLAN BUDGET SAMI-JF'!AX13:AX100000,'PLAN BUDGET SAMI-JF'!D13:D100000,SUMMARY!D12,'PLAN BUDGET SAMI-JF'!J13:J100000,SUMMARY!A12&amp;"*")</f>
        <v>46</v>
      </c>
      <c r="P12" s="10">
        <f>SUMIFS('PLAN BUDGET SAMI-JF'!AY13:AY100000,'PLAN BUDGET SAMI-JF'!D13:D100000,SUMMARY!D12,'PLAN BUDGET SAMI-JF'!J13:J100000,SUMMARY!A12&amp;"*")</f>
        <v>46</v>
      </c>
      <c r="Q12" s="10">
        <f>SUMIFS('PLAN BUDGET SAMI-JF'!BC13:BC100000,'PLAN BUDGET SAMI-JF'!D13:D100000,SUMMARY!D12,'PLAN BUDGET SAMI-JF'!J13:J100000,SUMMARY!A12&amp;"*")</f>
        <v>167.41989796563999</v>
      </c>
      <c r="R12" s="10">
        <f>SUMIFS('PLAN BUDGET SAMI-JF'!BD13:BD100000,'PLAN BUDGET SAMI-JF'!D13:D100000,SUMMARY!D12,'PLAN BUDGET SAMI-JF'!J13:J100000,SUMMARY!A12&amp;"*")</f>
        <v>167.41989796563999</v>
      </c>
      <c r="S12" s="10">
        <f>SUMIFS('PLAN BUDGET SAMI-JF'!BE13:BE100000,'PLAN BUDGET SAMI-JF'!D13:D100000,SUMMARY!D12,'PLAN BUDGET SAMI-JF'!J13:J100000,SUMMARY!A12&amp;"*")</f>
        <v>167.41989796563999</v>
      </c>
      <c r="T12" s="10">
        <f>SUMIFS('PLAN BUDGET SAMI-JF'!BF13:BF100000,'PLAN BUDGET SAMI-JF'!D13:D100000,SUMMARY!D12,'PLAN BUDGET SAMI-JF'!J13:J100000,SUMMARY!A12&amp;"*")</f>
        <v>167.41989796563999</v>
      </c>
      <c r="U12" s="10">
        <f>SUMIFS('PLAN BUDGET SAMI-JF'!BG13:BG100000,'PLAN BUDGET SAMI-JF'!D13:D100000,SUMMARY!D12,'PLAN BUDGET SAMI-JF'!J13:J100000,SUMMARY!A12&amp;"*")</f>
        <v>167.41989796563999</v>
      </c>
      <c r="V12" s="10">
        <f>SUMIFS('PLAN BUDGET SAMI-JF'!BH13:BH100000,'PLAN BUDGET SAMI-JF'!D13:D100000,SUMMARY!D12,'PLAN BUDGET SAMI-JF'!J13:J100000,SUMMARY!A12&amp;"*")</f>
        <v>167.41989796563999</v>
      </c>
      <c r="W12" s="10">
        <f>SUMIFS('PLAN BUDGET SAMI-JF'!BI13:BI100000,'PLAN BUDGET SAMI-JF'!D13:D100000,SUMMARY!D12,'PLAN BUDGET SAMI-JF'!J13:J100000,SUMMARY!A12&amp;"*")</f>
        <v>167.41989796563999</v>
      </c>
      <c r="X12" s="10">
        <f>SUMIFS('PLAN BUDGET SAMI-JF'!BJ13:BJ100000,'PLAN BUDGET SAMI-JF'!D13:D100000,SUMMARY!D12,'PLAN BUDGET SAMI-JF'!J13:J100000,SUMMARY!A12&amp;"*")</f>
        <v>167.41989796563999</v>
      </c>
      <c r="Y12" s="10">
        <f>SUMIFS('PLAN BUDGET SAMI-JF'!BK13:BK100000,'PLAN BUDGET SAMI-JF'!D13:D100000,SUMMARY!D12,'PLAN BUDGET SAMI-JF'!J13:J100000,SUMMARY!A12&amp;"*")</f>
        <v>167.41989796563999</v>
      </c>
      <c r="Z12" s="10">
        <f>SUMIFS('PLAN BUDGET SAMI-JF'!BL13:BL100000,'PLAN BUDGET SAMI-JF'!D13:D100000,SUMMARY!D12,'PLAN BUDGET SAMI-JF'!J13:J100000,SUMMARY!A12&amp;"*")</f>
        <v>167.41989796563999</v>
      </c>
      <c r="AA12" s="10">
        <f>SUMIFS('PLAN BUDGET SAMI-JF'!BM13:BM100000,'PLAN BUDGET SAMI-JF'!D13:D100000,SUMMARY!D12,'PLAN BUDGET SAMI-JF'!J13:J100000,SUMMARY!A12&amp;"*")</f>
        <v>167.41989796563999</v>
      </c>
      <c r="AB12" s="10">
        <f>SUMIFS('PLAN BUDGET SAMI-JF'!BN13:BN100000,'PLAN BUDGET SAMI-JF'!D13:D100000,SUMMARY!D12,'PLAN BUDGET SAMI-JF'!J13:J100000,SUMMARY!A12&amp;"*")</f>
        <v>167.41989796563999</v>
      </c>
      <c r="AC12" s="10">
        <f t="shared" si="0"/>
        <v>552</v>
      </c>
      <c r="AD12" s="10">
        <f t="shared" si="1"/>
        <v>2009.0387755876802</v>
      </c>
      <c r="AE12" s="16"/>
      <c r="AF12" s="10">
        <v>612</v>
      </c>
      <c r="AG12" s="10">
        <v>1014.9253731343</v>
      </c>
      <c r="AH12" s="20">
        <f t="shared" si="2"/>
        <v>-9.8039215686274508E-2</v>
      </c>
      <c r="AI12" s="20">
        <f t="shared" si="3"/>
        <v>0.97949408771144608</v>
      </c>
      <c r="AJ12" s="36" t="s">
        <v>579</v>
      </c>
    </row>
    <row r="13" spans="1:36" x14ac:dyDescent="0.35">
      <c r="A13" s="7" t="s">
        <v>47</v>
      </c>
      <c r="B13" s="7"/>
      <c r="C13" s="7"/>
      <c r="D13" s="7" t="s">
        <v>175</v>
      </c>
      <c r="E13" s="10">
        <f>SUMIFS('PLAN BUDGET SAMI-JF'!AN13:AN100000,'PLAN BUDGET SAMI-JF'!D13:D100000,SUMMARY!D13,'PLAN BUDGET SAMI-JF'!J13:J100000,SUMMARY!A13&amp;"*")</f>
        <v>0</v>
      </c>
      <c r="F13" s="10">
        <f>SUMIFS('PLAN BUDGET SAMI-JF'!AO13:AO100000,'PLAN BUDGET SAMI-JF'!D13:D100000,SUMMARY!D13,'PLAN BUDGET SAMI-JF'!J13:J100000,SUMMARY!A13&amp;"*")</f>
        <v>34</v>
      </c>
      <c r="G13" s="10">
        <f>SUMIFS('PLAN BUDGET SAMI-JF'!AP13:AP100000,'PLAN BUDGET SAMI-JF'!D13:D100000,SUMMARY!D13,'PLAN BUDGET SAMI-JF'!J13:J100000,SUMMARY!A13&amp;"*")</f>
        <v>0</v>
      </c>
      <c r="H13" s="10">
        <f>SUMIFS('PLAN BUDGET SAMI-JF'!AQ13:AQ100000,'PLAN BUDGET SAMI-JF'!D13:D100000,SUMMARY!D13,'PLAN BUDGET SAMI-JF'!J13:J100000,SUMMARY!A13&amp;"*")</f>
        <v>0</v>
      </c>
      <c r="I13" s="10">
        <f>SUMIFS('PLAN BUDGET SAMI-JF'!AR13:AR100000,'PLAN BUDGET SAMI-JF'!D13:D100000,SUMMARY!D13,'PLAN BUDGET SAMI-JF'!J13:J100000,SUMMARY!A13&amp;"*")</f>
        <v>0</v>
      </c>
      <c r="J13" s="10">
        <f>SUMIFS('PLAN BUDGET SAMI-JF'!AS13:AS100000,'PLAN BUDGET SAMI-JF'!D13:D100000,SUMMARY!D13,'PLAN BUDGET SAMI-JF'!J13:J100000,SUMMARY!A13&amp;"*")</f>
        <v>0</v>
      </c>
      <c r="K13" s="10">
        <f>SUMIFS('PLAN BUDGET SAMI-JF'!AT13:AT100000,'PLAN BUDGET SAMI-JF'!D13:D100000,SUMMARY!D13,'PLAN BUDGET SAMI-JF'!J13:J100000,SUMMARY!A13&amp;"*")</f>
        <v>34</v>
      </c>
      <c r="L13" s="10">
        <f>SUMIFS('PLAN BUDGET SAMI-JF'!AU13:AU100000,'PLAN BUDGET SAMI-JF'!D13:D100000,SUMMARY!D13,'PLAN BUDGET SAMI-JF'!J13:J100000,SUMMARY!A13&amp;"*")</f>
        <v>0</v>
      </c>
      <c r="M13" s="10">
        <f>SUMIFS('PLAN BUDGET SAMI-JF'!AV13:AV100000,'PLAN BUDGET SAMI-JF'!D13:D100000,SUMMARY!D13,'PLAN BUDGET SAMI-JF'!J13:J100000,SUMMARY!A13&amp;"*")</f>
        <v>0</v>
      </c>
      <c r="N13" s="10">
        <f>SUMIFS('PLAN BUDGET SAMI-JF'!AW13:AW100000,'PLAN BUDGET SAMI-JF'!D13:D100000,SUMMARY!D13,'PLAN BUDGET SAMI-JF'!J13:J100000,SUMMARY!A13&amp;"*")</f>
        <v>0</v>
      </c>
      <c r="O13" s="10">
        <f>SUMIFS('PLAN BUDGET SAMI-JF'!AX13:AX100000,'PLAN BUDGET SAMI-JF'!D13:D100000,SUMMARY!D13,'PLAN BUDGET SAMI-JF'!J13:J100000,SUMMARY!A13&amp;"*")</f>
        <v>0</v>
      </c>
      <c r="P13" s="10">
        <f>SUMIFS('PLAN BUDGET SAMI-JF'!AY13:AY100000,'PLAN BUDGET SAMI-JF'!D13:D100000,SUMMARY!D13,'PLAN BUDGET SAMI-JF'!J13:J100000,SUMMARY!A13&amp;"*")</f>
        <v>0</v>
      </c>
      <c r="Q13" s="10">
        <f>SUMIFS('PLAN BUDGET SAMI-JF'!BC13:BC100000,'PLAN BUDGET SAMI-JF'!D13:D100000,SUMMARY!D13,'PLAN BUDGET SAMI-JF'!J13:J100000,SUMMARY!A13&amp;"*")</f>
        <v>0</v>
      </c>
      <c r="R13" s="10">
        <f>SUMIFS('PLAN BUDGET SAMI-JF'!BD13:BD100000,'PLAN BUDGET SAMI-JF'!D13:D100000,SUMMARY!D13,'PLAN BUDGET SAMI-JF'!J13:J100000,SUMMARY!A13&amp;"*")</f>
        <v>18.464674085045402</v>
      </c>
      <c r="S13" s="10">
        <f>SUMIFS('PLAN BUDGET SAMI-JF'!BE13:BE100000,'PLAN BUDGET SAMI-JF'!D13:D100000,SUMMARY!D13,'PLAN BUDGET SAMI-JF'!J13:J100000,SUMMARY!A13&amp;"*")</f>
        <v>0</v>
      </c>
      <c r="T13" s="10">
        <f>SUMIFS('PLAN BUDGET SAMI-JF'!BF13:BF100000,'PLAN BUDGET SAMI-JF'!D13:D100000,SUMMARY!D13,'PLAN BUDGET SAMI-JF'!J13:J100000,SUMMARY!A13&amp;"*")</f>
        <v>0</v>
      </c>
      <c r="U13" s="10">
        <f>SUMIFS('PLAN BUDGET SAMI-JF'!BG13:BG100000,'PLAN BUDGET SAMI-JF'!D13:D100000,SUMMARY!D13,'PLAN BUDGET SAMI-JF'!J13:J100000,SUMMARY!A13&amp;"*")</f>
        <v>0</v>
      </c>
      <c r="V13" s="10">
        <f>SUMIFS('PLAN BUDGET SAMI-JF'!BH13:BH100000,'PLAN BUDGET SAMI-JF'!D13:D100000,SUMMARY!D13,'PLAN BUDGET SAMI-JF'!J13:J100000,SUMMARY!A13&amp;"*")</f>
        <v>0</v>
      </c>
      <c r="W13" s="10">
        <f>SUMIFS('PLAN BUDGET SAMI-JF'!BI13:BI100000,'PLAN BUDGET SAMI-JF'!D13:D100000,SUMMARY!D13,'PLAN BUDGET SAMI-JF'!J13:J100000,SUMMARY!A13&amp;"*")</f>
        <v>18.464674085045402</v>
      </c>
      <c r="X13" s="10">
        <f>SUMIFS('PLAN BUDGET SAMI-JF'!BJ13:BJ100000,'PLAN BUDGET SAMI-JF'!D13:D100000,SUMMARY!D13,'PLAN BUDGET SAMI-JF'!J13:J100000,SUMMARY!A13&amp;"*")</f>
        <v>0</v>
      </c>
      <c r="Y13" s="10">
        <f>SUMIFS('PLAN BUDGET SAMI-JF'!BK13:BK100000,'PLAN BUDGET SAMI-JF'!D13:D100000,SUMMARY!D13,'PLAN BUDGET SAMI-JF'!J13:J100000,SUMMARY!A13&amp;"*")</f>
        <v>0</v>
      </c>
      <c r="Z13" s="10">
        <f>SUMIFS('PLAN BUDGET SAMI-JF'!BL13:BL100000,'PLAN BUDGET SAMI-JF'!D13:D100000,SUMMARY!D13,'PLAN BUDGET SAMI-JF'!J13:J100000,SUMMARY!A13&amp;"*")</f>
        <v>0</v>
      </c>
      <c r="AA13" s="10">
        <f>SUMIFS('PLAN BUDGET SAMI-JF'!BM13:BM100000,'PLAN BUDGET SAMI-JF'!D13:D100000,SUMMARY!D13,'PLAN BUDGET SAMI-JF'!J13:J100000,SUMMARY!A13&amp;"*")</f>
        <v>0</v>
      </c>
      <c r="AB13" s="10">
        <f>SUMIFS('PLAN BUDGET SAMI-JF'!BN13:BN100000,'PLAN BUDGET SAMI-JF'!D13:D100000,SUMMARY!D13,'PLAN BUDGET SAMI-JF'!J13:J100000,SUMMARY!A13&amp;"*")</f>
        <v>0</v>
      </c>
      <c r="AC13" s="10">
        <f t="shared" si="0"/>
        <v>68</v>
      </c>
      <c r="AD13" s="10">
        <f t="shared" si="1"/>
        <v>36.929348170090805</v>
      </c>
      <c r="AE13" s="16"/>
      <c r="AF13" s="10">
        <v>59</v>
      </c>
      <c r="AG13" s="10">
        <v>29.829351967895999</v>
      </c>
      <c r="AH13" s="20">
        <f t="shared" si="2"/>
        <v>0.15254237288135594</v>
      </c>
      <c r="AI13" s="20">
        <f t="shared" si="3"/>
        <v>0.23802046420036932</v>
      </c>
      <c r="AJ13" s="36" t="s">
        <v>567</v>
      </c>
    </row>
    <row r="14" spans="1:36" x14ac:dyDescent="0.35">
      <c r="A14" s="7" t="s">
        <v>47</v>
      </c>
      <c r="B14" s="7"/>
      <c r="C14" s="7"/>
      <c r="D14" s="7" t="s">
        <v>263</v>
      </c>
      <c r="E14" s="10">
        <f>SUMIFS('PLAN BUDGET SAMI-JF'!AN13:AN100000,'PLAN BUDGET SAMI-JF'!D13:D100000,SUMMARY!D14,'PLAN BUDGET SAMI-JF'!J13:J100000,SUMMARY!A14&amp;"*")</f>
        <v>0</v>
      </c>
      <c r="F14" s="10">
        <f>SUMIFS('PLAN BUDGET SAMI-JF'!AO13:AO100000,'PLAN BUDGET SAMI-JF'!D13:D100000,SUMMARY!D14,'PLAN BUDGET SAMI-JF'!J13:J100000,SUMMARY!A14&amp;"*")</f>
        <v>1</v>
      </c>
      <c r="G14" s="10">
        <f>SUMIFS('PLAN BUDGET SAMI-JF'!AP13:AP100000,'PLAN BUDGET SAMI-JF'!D13:D100000,SUMMARY!D14,'PLAN BUDGET SAMI-JF'!J13:J100000,SUMMARY!A14&amp;"*")</f>
        <v>0</v>
      </c>
      <c r="H14" s="10">
        <f>SUMIFS('PLAN BUDGET SAMI-JF'!AQ13:AQ100000,'PLAN BUDGET SAMI-JF'!D13:D100000,SUMMARY!D14,'PLAN BUDGET SAMI-JF'!J13:J100000,SUMMARY!A14&amp;"*")</f>
        <v>0</v>
      </c>
      <c r="I14" s="10">
        <f>SUMIFS('PLAN BUDGET SAMI-JF'!AR13:AR100000,'PLAN BUDGET SAMI-JF'!D13:D100000,SUMMARY!D14,'PLAN BUDGET SAMI-JF'!J13:J100000,SUMMARY!A14&amp;"*")</f>
        <v>0</v>
      </c>
      <c r="J14" s="10">
        <f>SUMIFS('PLAN BUDGET SAMI-JF'!AS13:AS100000,'PLAN BUDGET SAMI-JF'!D13:D100000,SUMMARY!D14,'PLAN BUDGET SAMI-JF'!J13:J100000,SUMMARY!A14&amp;"*")</f>
        <v>0</v>
      </c>
      <c r="K14" s="10">
        <f>SUMIFS('PLAN BUDGET SAMI-JF'!AT13:AT100000,'PLAN BUDGET SAMI-JF'!D13:D100000,SUMMARY!D14,'PLAN BUDGET SAMI-JF'!J13:J100000,SUMMARY!A14&amp;"*")</f>
        <v>0</v>
      </c>
      <c r="L14" s="10">
        <f>SUMIFS('PLAN BUDGET SAMI-JF'!AU13:AU100000,'PLAN BUDGET SAMI-JF'!D13:D100000,SUMMARY!D14,'PLAN BUDGET SAMI-JF'!J13:J100000,SUMMARY!A14&amp;"*")</f>
        <v>0</v>
      </c>
      <c r="M14" s="10">
        <f>SUMIFS('PLAN BUDGET SAMI-JF'!AV13:AV100000,'PLAN BUDGET SAMI-JF'!D13:D100000,SUMMARY!D14,'PLAN BUDGET SAMI-JF'!J13:J100000,SUMMARY!A14&amp;"*")</f>
        <v>0</v>
      </c>
      <c r="N14" s="10">
        <f>SUMIFS('PLAN BUDGET SAMI-JF'!AW13:AW100000,'PLAN BUDGET SAMI-JF'!D13:D100000,SUMMARY!D14,'PLAN BUDGET SAMI-JF'!J13:J100000,SUMMARY!A14&amp;"*")</f>
        <v>0</v>
      </c>
      <c r="O14" s="10">
        <f>SUMIFS('PLAN BUDGET SAMI-JF'!AX13:AX100000,'PLAN BUDGET SAMI-JF'!D13:D100000,SUMMARY!D14,'PLAN BUDGET SAMI-JF'!J13:J100000,SUMMARY!A14&amp;"*")</f>
        <v>0</v>
      </c>
      <c r="P14" s="10">
        <f>SUMIFS('PLAN BUDGET SAMI-JF'!AY13:AY100000,'PLAN BUDGET SAMI-JF'!D13:D100000,SUMMARY!D14,'PLAN BUDGET SAMI-JF'!J13:J100000,SUMMARY!A14&amp;"*")</f>
        <v>0</v>
      </c>
      <c r="Q14" s="10">
        <f>SUMIFS('PLAN BUDGET SAMI-JF'!BC13:BC100000,'PLAN BUDGET SAMI-JF'!D13:D100000,SUMMARY!D14,'PLAN BUDGET SAMI-JF'!J13:J100000,SUMMARY!A14&amp;"*")</f>
        <v>0</v>
      </c>
      <c r="R14" s="10">
        <f>SUMIFS('PLAN BUDGET SAMI-JF'!BD13:BD100000,'PLAN BUDGET SAMI-JF'!D13:D100000,SUMMARY!D14,'PLAN BUDGET SAMI-JF'!J13:J100000,SUMMARY!A14&amp;"*")</f>
        <v>117.09898345422999</v>
      </c>
      <c r="S14" s="10">
        <f>SUMIFS('PLAN BUDGET SAMI-JF'!BE13:BE100000,'PLAN BUDGET SAMI-JF'!D13:D100000,SUMMARY!D14,'PLAN BUDGET SAMI-JF'!J13:J100000,SUMMARY!A14&amp;"*")</f>
        <v>0</v>
      </c>
      <c r="T14" s="10">
        <f>SUMIFS('PLAN BUDGET SAMI-JF'!BF13:BF100000,'PLAN BUDGET SAMI-JF'!D13:D100000,SUMMARY!D14,'PLAN BUDGET SAMI-JF'!J13:J100000,SUMMARY!A14&amp;"*")</f>
        <v>0</v>
      </c>
      <c r="U14" s="10">
        <f>SUMIFS('PLAN BUDGET SAMI-JF'!BG13:BG100000,'PLAN BUDGET SAMI-JF'!D13:D100000,SUMMARY!D14,'PLAN BUDGET SAMI-JF'!J13:J100000,SUMMARY!A14&amp;"*")</f>
        <v>0</v>
      </c>
      <c r="V14" s="10">
        <f>SUMIFS('PLAN BUDGET SAMI-JF'!BH13:BH100000,'PLAN BUDGET SAMI-JF'!D13:D100000,SUMMARY!D14,'PLAN BUDGET SAMI-JF'!J13:J100000,SUMMARY!A14&amp;"*")</f>
        <v>0</v>
      </c>
      <c r="W14" s="10">
        <f>SUMIFS('PLAN BUDGET SAMI-JF'!BI13:BI100000,'PLAN BUDGET SAMI-JF'!D13:D100000,SUMMARY!D14,'PLAN BUDGET SAMI-JF'!J13:J100000,SUMMARY!A14&amp;"*")</f>
        <v>0</v>
      </c>
      <c r="X14" s="10">
        <f>SUMIFS('PLAN BUDGET SAMI-JF'!BJ13:BJ100000,'PLAN BUDGET SAMI-JF'!D13:D100000,SUMMARY!D14,'PLAN BUDGET SAMI-JF'!J13:J100000,SUMMARY!A14&amp;"*")</f>
        <v>0</v>
      </c>
      <c r="Y14" s="10">
        <f>SUMIFS('PLAN BUDGET SAMI-JF'!BK13:BK100000,'PLAN BUDGET SAMI-JF'!D13:D100000,SUMMARY!D14,'PLAN BUDGET SAMI-JF'!J13:J100000,SUMMARY!A14&amp;"*")</f>
        <v>0</v>
      </c>
      <c r="Z14" s="10">
        <f>SUMIFS('PLAN BUDGET SAMI-JF'!BL13:BL100000,'PLAN BUDGET SAMI-JF'!D13:D100000,SUMMARY!D14,'PLAN BUDGET SAMI-JF'!J13:J100000,SUMMARY!A14&amp;"*")</f>
        <v>0</v>
      </c>
      <c r="AA14" s="10">
        <f>SUMIFS('PLAN BUDGET SAMI-JF'!BM13:BM100000,'PLAN BUDGET SAMI-JF'!D13:D100000,SUMMARY!D14,'PLAN BUDGET SAMI-JF'!J13:J100000,SUMMARY!A14&amp;"*")</f>
        <v>0</v>
      </c>
      <c r="AB14" s="10">
        <f>SUMIFS('PLAN BUDGET SAMI-JF'!BN13:BN100000,'PLAN BUDGET SAMI-JF'!D13:D100000,SUMMARY!D14,'PLAN BUDGET SAMI-JF'!J13:J100000,SUMMARY!A14&amp;"*")</f>
        <v>0</v>
      </c>
      <c r="AC14" s="10">
        <f t="shared" si="0"/>
        <v>1</v>
      </c>
      <c r="AD14" s="10">
        <f t="shared" si="1"/>
        <v>117.09898345422999</v>
      </c>
      <c r="AE14" s="16"/>
      <c r="AF14" s="10">
        <v>3</v>
      </c>
      <c r="AG14" s="10">
        <v>351.29695036268998</v>
      </c>
      <c r="AH14" s="20">
        <f t="shared" si="2"/>
        <v>-0.66666666666666663</v>
      </c>
      <c r="AI14" s="20">
        <f t="shared" si="3"/>
        <v>-0.66666666666666663</v>
      </c>
      <c r="AJ14" s="7"/>
    </row>
    <row r="15" spans="1:36" x14ac:dyDescent="0.35">
      <c r="A15" s="7" t="s">
        <v>47</v>
      </c>
      <c r="B15" s="7"/>
      <c r="C15" s="7"/>
      <c r="D15" s="7" t="s">
        <v>70</v>
      </c>
      <c r="E15" s="10">
        <f>SUMIFS('PLAN BUDGET SAMI-JF'!AN13:AN100000,'PLAN BUDGET SAMI-JF'!D13:D100000,SUMMARY!D15,'PLAN BUDGET SAMI-JF'!J13:J100000,SUMMARY!A15&amp;"*")</f>
        <v>0</v>
      </c>
      <c r="F15" s="10">
        <f>SUMIFS('PLAN BUDGET SAMI-JF'!AO13:AO100000,'PLAN BUDGET SAMI-JF'!D13:D100000,SUMMARY!D15,'PLAN BUDGET SAMI-JF'!J13:J100000,SUMMARY!A15&amp;"*")</f>
        <v>0</v>
      </c>
      <c r="G15" s="10">
        <f>SUMIFS('PLAN BUDGET SAMI-JF'!AP13:AP100000,'PLAN BUDGET SAMI-JF'!D13:D100000,SUMMARY!D15,'PLAN BUDGET SAMI-JF'!J13:J100000,SUMMARY!A15&amp;"*")</f>
        <v>2</v>
      </c>
      <c r="H15" s="10">
        <f>SUMIFS('PLAN BUDGET SAMI-JF'!AQ13:AQ100000,'PLAN BUDGET SAMI-JF'!D13:D100000,SUMMARY!D15,'PLAN BUDGET SAMI-JF'!J13:J100000,SUMMARY!A15&amp;"*")</f>
        <v>0</v>
      </c>
      <c r="I15" s="10">
        <f>SUMIFS('PLAN BUDGET SAMI-JF'!AR13:AR100000,'PLAN BUDGET SAMI-JF'!D13:D100000,SUMMARY!D15,'PLAN BUDGET SAMI-JF'!J13:J100000,SUMMARY!A15&amp;"*")</f>
        <v>0</v>
      </c>
      <c r="J15" s="10">
        <f>SUMIFS('PLAN BUDGET SAMI-JF'!AS13:AS100000,'PLAN BUDGET SAMI-JF'!D13:D100000,SUMMARY!D15,'PLAN BUDGET SAMI-JF'!J13:J100000,SUMMARY!A15&amp;"*")</f>
        <v>0</v>
      </c>
      <c r="K15" s="10">
        <f>SUMIFS('PLAN BUDGET SAMI-JF'!AT13:AT100000,'PLAN BUDGET SAMI-JF'!D13:D100000,SUMMARY!D15,'PLAN BUDGET SAMI-JF'!J13:J100000,SUMMARY!A15&amp;"*")</f>
        <v>0</v>
      </c>
      <c r="L15" s="10">
        <f>SUMIFS('PLAN BUDGET SAMI-JF'!AU13:AU100000,'PLAN BUDGET SAMI-JF'!D13:D100000,SUMMARY!D15,'PLAN BUDGET SAMI-JF'!J13:J100000,SUMMARY!A15&amp;"*")</f>
        <v>0</v>
      </c>
      <c r="M15" s="10">
        <f>SUMIFS('PLAN BUDGET SAMI-JF'!AV13:AV100000,'PLAN BUDGET SAMI-JF'!D13:D100000,SUMMARY!D15,'PLAN BUDGET SAMI-JF'!J13:J100000,SUMMARY!A15&amp;"*")</f>
        <v>0</v>
      </c>
      <c r="N15" s="10">
        <f>SUMIFS('PLAN BUDGET SAMI-JF'!AW13:AW100000,'PLAN BUDGET SAMI-JF'!D13:D100000,SUMMARY!D15,'PLAN BUDGET SAMI-JF'!J13:J100000,SUMMARY!A15&amp;"*")</f>
        <v>0</v>
      </c>
      <c r="O15" s="10">
        <f>SUMIFS('PLAN BUDGET SAMI-JF'!AX13:AX100000,'PLAN BUDGET SAMI-JF'!D13:D100000,SUMMARY!D15,'PLAN BUDGET SAMI-JF'!J13:J100000,SUMMARY!A15&amp;"*")</f>
        <v>0</v>
      </c>
      <c r="P15" s="10">
        <f>SUMIFS('PLAN BUDGET SAMI-JF'!AY13:AY100000,'PLAN BUDGET SAMI-JF'!D13:D100000,SUMMARY!D15,'PLAN BUDGET SAMI-JF'!J13:J100000,SUMMARY!A15&amp;"*")</f>
        <v>0</v>
      </c>
      <c r="Q15" s="10">
        <f>SUMIFS('PLAN BUDGET SAMI-JF'!BC13:BC100000,'PLAN BUDGET SAMI-JF'!D13:D100000,SUMMARY!D15,'PLAN BUDGET SAMI-JF'!J13:J100000,SUMMARY!A15&amp;"*")</f>
        <v>0</v>
      </c>
      <c r="R15" s="10">
        <f>SUMIFS('PLAN BUDGET SAMI-JF'!BD13:BD100000,'PLAN BUDGET SAMI-JF'!D13:D100000,SUMMARY!D15,'PLAN BUDGET SAMI-JF'!J13:J100000,SUMMARY!A15&amp;"*")</f>
        <v>0</v>
      </c>
      <c r="S15" s="10">
        <f>SUMIFS('PLAN BUDGET SAMI-JF'!BE13:BE100000,'PLAN BUDGET SAMI-JF'!D13:D100000,SUMMARY!D15,'PLAN BUDGET SAMI-JF'!J13:J100000,SUMMARY!A15&amp;"*")</f>
        <v>59.979998227690999</v>
      </c>
      <c r="T15" s="10">
        <f>SUMIFS('PLAN BUDGET SAMI-JF'!BF13:BF100000,'PLAN BUDGET SAMI-JF'!D13:D100000,SUMMARY!D15,'PLAN BUDGET SAMI-JF'!J13:J100000,SUMMARY!A15&amp;"*")</f>
        <v>0</v>
      </c>
      <c r="U15" s="10">
        <f>SUMIFS('PLAN BUDGET SAMI-JF'!BG13:BG100000,'PLAN BUDGET SAMI-JF'!D13:D100000,SUMMARY!D15,'PLAN BUDGET SAMI-JF'!J13:J100000,SUMMARY!A15&amp;"*")</f>
        <v>0</v>
      </c>
      <c r="V15" s="10">
        <f>SUMIFS('PLAN BUDGET SAMI-JF'!BH13:BH100000,'PLAN BUDGET SAMI-JF'!D13:D100000,SUMMARY!D15,'PLAN BUDGET SAMI-JF'!J13:J100000,SUMMARY!A15&amp;"*")</f>
        <v>0</v>
      </c>
      <c r="W15" s="10">
        <f>SUMIFS('PLAN BUDGET SAMI-JF'!BI13:BI100000,'PLAN BUDGET SAMI-JF'!D13:D100000,SUMMARY!D15,'PLAN BUDGET SAMI-JF'!J13:J100000,SUMMARY!A15&amp;"*")</f>
        <v>0</v>
      </c>
      <c r="X15" s="10">
        <f>SUMIFS('PLAN BUDGET SAMI-JF'!BJ13:BJ100000,'PLAN BUDGET SAMI-JF'!D13:D100000,SUMMARY!D15,'PLAN BUDGET SAMI-JF'!J13:J100000,SUMMARY!A15&amp;"*")</f>
        <v>0</v>
      </c>
      <c r="Y15" s="10">
        <f>SUMIFS('PLAN BUDGET SAMI-JF'!BK13:BK100000,'PLAN BUDGET SAMI-JF'!D13:D100000,SUMMARY!D15,'PLAN BUDGET SAMI-JF'!J13:J100000,SUMMARY!A15&amp;"*")</f>
        <v>0</v>
      </c>
      <c r="Z15" s="10">
        <f>SUMIFS('PLAN BUDGET SAMI-JF'!BL13:BL100000,'PLAN BUDGET SAMI-JF'!D13:D100000,SUMMARY!D15,'PLAN BUDGET SAMI-JF'!J13:J100000,SUMMARY!A15&amp;"*")</f>
        <v>0</v>
      </c>
      <c r="AA15" s="10">
        <f>SUMIFS('PLAN BUDGET SAMI-JF'!BM13:BM100000,'PLAN BUDGET SAMI-JF'!D13:D100000,SUMMARY!D15,'PLAN BUDGET SAMI-JF'!J13:J100000,SUMMARY!A15&amp;"*")</f>
        <v>0</v>
      </c>
      <c r="AB15" s="10">
        <f>SUMIFS('PLAN BUDGET SAMI-JF'!BN13:BN100000,'PLAN BUDGET SAMI-JF'!D13:D100000,SUMMARY!D15,'PLAN BUDGET SAMI-JF'!J13:J100000,SUMMARY!A15&amp;"*")</f>
        <v>0</v>
      </c>
      <c r="AC15" s="10">
        <f t="shared" si="0"/>
        <v>2</v>
      </c>
      <c r="AD15" s="10">
        <f t="shared" si="1"/>
        <v>59.979998227690999</v>
      </c>
      <c r="AE15" s="16"/>
      <c r="AF15" s="10">
        <v>2</v>
      </c>
      <c r="AG15" s="10">
        <v>58.233007988049998</v>
      </c>
      <c r="AH15" s="20">
        <f t="shared" si="2"/>
        <v>0</v>
      </c>
      <c r="AI15" s="20">
        <f t="shared" si="3"/>
        <v>2.9999999999991426E-2</v>
      </c>
      <c r="AJ15" s="7"/>
    </row>
    <row r="16" spans="1:36" x14ac:dyDescent="0.35">
      <c r="A16" s="7" t="s">
        <v>47</v>
      </c>
      <c r="B16" s="7"/>
      <c r="C16" s="7"/>
      <c r="D16" s="7" t="s">
        <v>323</v>
      </c>
      <c r="E16" s="10">
        <f>SUMIFS('PLAN BUDGET SAMI-JF'!AN13:AN100000,'PLAN BUDGET SAMI-JF'!D13:D100000,SUMMARY!D16,'PLAN BUDGET SAMI-JF'!J13:J100000,SUMMARY!A16&amp;"*")</f>
        <v>0</v>
      </c>
      <c r="F16" s="10">
        <f>SUMIFS('PLAN BUDGET SAMI-JF'!AO13:AO100000,'PLAN BUDGET SAMI-JF'!D13:D100000,SUMMARY!D16,'PLAN BUDGET SAMI-JF'!J13:J100000,SUMMARY!A16&amp;"*")</f>
        <v>0</v>
      </c>
      <c r="G16" s="10">
        <f>SUMIFS('PLAN BUDGET SAMI-JF'!AP13:AP100000,'PLAN BUDGET SAMI-JF'!D13:D100000,SUMMARY!D16,'PLAN BUDGET SAMI-JF'!J13:J100000,SUMMARY!A16&amp;"*")</f>
        <v>1</v>
      </c>
      <c r="H16" s="10">
        <f>SUMIFS('PLAN BUDGET SAMI-JF'!AQ13:AQ100000,'PLAN BUDGET SAMI-JF'!D13:D100000,SUMMARY!D16,'PLAN BUDGET SAMI-JF'!J13:J100000,SUMMARY!A16&amp;"*")</f>
        <v>0</v>
      </c>
      <c r="I16" s="10">
        <f>SUMIFS('PLAN BUDGET SAMI-JF'!AR13:AR100000,'PLAN BUDGET SAMI-JF'!D13:D100000,SUMMARY!D16,'PLAN BUDGET SAMI-JF'!J13:J100000,SUMMARY!A16&amp;"*")</f>
        <v>0</v>
      </c>
      <c r="J16" s="10">
        <f>SUMIFS('PLAN BUDGET SAMI-JF'!AS13:AS100000,'PLAN BUDGET SAMI-JF'!D13:D100000,SUMMARY!D16,'PLAN BUDGET SAMI-JF'!J13:J100000,SUMMARY!A16&amp;"*")</f>
        <v>0</v>
      </c>
      <c r="K16" s="10">
        <f>SUMIFS('PLAN BUDGET SAMI-JF'!AT13:AT100000,'PLAN BUDGET SAMI-JF'!D13:D100000,SUMMARY!D16,'PLAN BUDGET SAMI-JF'!J13:J100000,SUMMARY!A16&amp;"*")</f>
        <v>0</v>
      </c>
      <c r="L16" s="10">
        <f>SUMIFS('PLAN BUDGET SAMI-JF'!AU13:AU100000,'PLAN BUDGET SAMI-JF'!D13:D100000,SUMMARY!D16,'PLAN BUDGET SAMI-JF'!J13:J100000,SUMMARY!A16&amp;"*")</f>
        <v>0</v>
      </c>
      <c r="M16" s="10">
        <f>SUMIFS('PLAN BUDGET SAMI-JF'!AV13:AV100000,'PLAN BUDGET SAMI-JF'!D13:D100000,SUMMARY!D16,'PLAN BUDGET SAMI-JF'!J13:J100000,SUMMARY!A16&amp;"*")</f>
        <v>0</v>
      </c>
      <c r="N16" s="10">
        <f>SUMIFS('PLAN BUDGET SAMI-JF'!AW13:AW100000,'PLAN BUDGET SAMI-JF'!D13:D100000,SUMMARY!D16,'PLAN BUDGET SAMI-JF'!J13:J100000,SUMMARY!A16&amp;"*")</f>
        <v>0</v>
      </c>
      <c r="O16" s="10">
        <f>SUMIFS('PLAN BUDGET SAMI-JF'!AX13:AX100000,'PLAN BUDGET SAMI-JF'!D13:D100000,SUMMARY!D16,'PLAN BUDGET SAMI-JF'!J13:J100000,SUMMARY!A16&amp;"*")</f>
        <v>0</v>
      </c>
      <c r="P16" s="10">
        <f>SUMIFS('PLAN BUDGET SAMI-JF'!AY13:AY100000,'PLAN BUDGET SAMI-JF'!D13:D100000,SUMMARY!D16,'PLAN BUDGET SAMI-JF'!J13:J100000,SUMMARY!A16&amp;"*")</f>
        <v>0</v>
      </c>
      <c r="Q16" s="10">
        <f>SUMIFS('PLAN BUDGET SAMI-JF'!BC13:BC100000,'PLAN BUDGET SAMI-JF'!D13:D100000,SUMMARY!D16,'PLAN BUDGET SAMI-JF'!J13:J100000,SUMMARY!A16&amp;"*")</f>
        <v>0</v>
      </c>
      <c r="R16" s="10">
        <f>SUMIFS('PLAN BUDGET SAMI-JF'!BD13:BD100000,'PLAN BUDGET SAMI-JF'!D13:D100000,SUMMARY!D16,'PLAN BUDGET SAMI-JF'!J13:J100000,SUMMARY!A16&amp;"*")</f>
        <v>0</v>
      </c>
      <c r="S16" s="10">
        <f>SUMIFS('PLAN BUDGET SAMI-JF'!BE13:BE100000,'PLAN BUDGET SAMI-JF'!D13:D100000,SUMMARY!D16,'PLAN BUDGET SAMI-JF'!J13:J100000,SUMMARY!A16&amp;"*")</f>
        <v>25.1895737597</v>
      </c>
      <c r="T16" s="10">
        <f>SUMIFS('PLAN BUDGET SAMI-JF'!BF13:BF100000,'PLAN BUDGET SAMI-JF'!D13:D100000,SUMMARY!D16,'PLAN BUDGET SAMI-JF'!J13:J100000,SUMMARY!A16&amp;"*")</f>
        <v>0</v>
      </c>
      <c r="U16" s="10">
        <f>SUMIFS('PLAN BUDGET SAMI-JF'!BG13:BG100000,'PLAN BUDGET SAMI-JF'!D13:D100000,SUMMARY!D16,'PLAN BUDGET SAMI-JF'!J13:J100000,SUMMARY!A16&amp;"*")</f>
        <v>0</v>
      </c>
      <c r="V16" s="10">
        <f>SUMIFS('PLAN BUDGET SAMI-JF'!BH13:BH100000,'PLAN BUDGET SAMI-JF'!D13:D100000,SUMMARY!D16,'PLAN BUDGET SAMI-JF'!J13:J100000,SUMMARY!A16&amp;"*")</f>
        <v>0</v>
      </c>
      <c r="W16" s="10">
        <f>SUMIFS('PLAN BUDGET SAMI-JF'!BI13:BI100000,'PLAN BUDGET SAMI-JF'!D13:D100000,SUMMARY!D16,'PLAN BUDGET SAMI-JF'!J13:J100000,SUMMARY!A16&amp;"*")</f>
        <v>0</v>
      </c>
      <c r="X16" s="10">
        <f>SUMIFS('PLAN BUDGET SAMI-JF'!BJ13:BJ100000,'PLAN BUDGET SAMI-JF'!D13:D100000,SUMMARY!D16,'PLAN BUDGET SAMI-JF'!J13:J100000,SUMMARY!A16&amp;"*")</f>
        <v>0</v>
      </c>
      <c r="Y16" s="10">
        <f>SUMIFS('PLAN BUDGET SAMI-JF'!BK13:BK100000,'PLAN BUDGET SAMI-JF'!D13:D100000,SUMMARY!D16,'PLAN BUDGET SAMI-JF'!J13:J100000,SUMMARY!A16&amp;"*")</f>
        <v>0</v>
      </c>
      <c r="Z16" s="10">
        <f>SUMIFS('PLAN BUDGET SAMI-JF'!BL13:BL100000,'PLAN BUDGET SAMI-JF'!D13:D100000,SUMMARY!D16,'PLAN BUDGET SAMI-JF'!J13:J100000,SUMMARY!A16&amp;"*")</f>
        <v>0</v>
      </c>
      <c r="AA16" s="10">
        <f>SUMIFS('PLAN BUDGET SAMI-JF'!BM13:BM100000,'PLAN BUDGET SAMI-JF'!D13:D100000,SUMMARY!D16,'PLAN BUDGET SAMI-JF'!J13:J100000,SUMMARY!A16&amp;"*")</f>
        <v>0</v>
      </c>
      <c r="AB16" s="10">
        <f>SUMIFS('PLAN BUDGET SAMI-JF'!BN13:BN100000,'PLAN BUDGET SAMI-JF'!D13:D100000,SUMMARY!D16,'PLAN BUDGET SAMI-JF'!J13:J100000,SUMMARY!A16&amp;"*")</f>
        <v>0</v>
      </c>
      <c r="AC16" s="10">
        <f t="shared" si="0"/>
        <v>1</v>
      </c>
      <c r="AD16" s="10">
        <f t="shared" si="1"/>
        <v>25.1895737597</v>
      </c>
      <c r="AE16" s="16"/>
      <c r="AF16" s="10">
        <v>0</v>
      </c>
      <c r="AG16" s="10">
        <v>0</v>
      </c>
      <c r="AH16" s="20">
        <f t="shared" si="2"/>
        <v>1</v>
      </c>
      <c r="AI16" s="20">
        <f t="shared" si="3"/>
        <v>1</v>
      </c>
      <c r="AJ16" s="36" t="s">
        <v>589</v>
      </c>
    </row>
    <row r="17" spans="1:36" x14ac:dyDescent="0.35">
      <c r="A17" s="7" t="s">
        <v>47</v>
      </c>
      <c r="B17" s="7"/>
      <c r="C17" s="7"/>
      <c r="D17" s="7" t="s">
        <v>158</v>
      </c>
      <c r="E17" s="10">
        <f>SUMIFS('PLAN BUDGET SAMI-JF'!AN13:AN100000,'PLAN BUDGET SAMI-JF'!D13:D100000,SUMMARY!D17,'PLAN BUDGET SAMI-JF'!J13:J100000,SUMMARY!A17&amp;"*")</f>
        <v>5</v>
      </c>
      <c r="F17" s="10">
        <f>SUMIFS('PLAN BUDGET SAMI-JF'!AO13:AO100000,'PLAN BUDGET SAMI-JF'!D13:D100000,SUMMARY!D17,'PLAN BUDGET SAMI-JF'!J13:J100000,SUMMARY!A17&amp;"*")</f>
        <v>0</v>
      </c>
      <c r="G17" s="10">
        <f>SUMIFS('PLAN BUDGET SAMI-JF'!AP13:AP100000,'PLAN BUDGET SAMI-JF'!D13:D100000,SUMMARY!D17,'PLAN BUDGET SAMI-JF'!J13:J100000,SUMMARY!A17&amp;"*")</f>
        <v>0</v>
      </c>
      <c r="H17" s="10">
        <f>SUMIFS('PLAN BUDGET SAMI-JF'!AQ13:AQ100000,'PLAN BUDGET SAMI-JF'!D13:D100000,SUMMARY!D17,'PLAN BUDGET SAMI-JF'!J13:J100000,SUMMARY!A17&amp;"*")</f>
        <v>0</v>
      </c>
      <c r="I17" s="10">
        <f>SUMIFS('PLAN BUDGET SAMI-JF'!AR13:AR100000,'PLAN BUDGET SAMI-JF'!D13:D100000,SUMMARY!D17,'PLAN BUDGET SAMI-JF'!J13:J100000,SUMMARY!A17&amp;"*")</f>
        <v>5</v>
      </c>
      <c r="J17" s="10">
        <f>SUMIFS('PLAN BUDGET SAMI-JF'!AS13:AS100000,'PLAN BUDGET SAMI-JF'!D13:D100000,SUMMARY!D17,'PLAN BUDGET SAMI-JF'!J13:J100000,SUMMARY!A17&amp;"*")</f>
        <v>0</v>
      </c>
      <c r="K17" s="10">
        <f>SUMIFS('PLAN BUDGET SAMI-JF'!AT13:AT100000,'PLAN BUDGET SAMI-JF'!D13:D100000,SUMMARY!D17,'PLAN BUDGET SAMI-JF'!J13:J100000,SUMMARY!A17&amp;"*")</f>
        <v>0</v>
      </c>
      <c r="L17" s="10">
        <f>SUMIFS('PLAN BUDGET SAMI-JF'!AU13:AU100000,'PLAN BUDGET SAMI-JF'!D13:D100000,SUMMARY!D17,'PLAN BUDGET SAMI-JF'!J13:J100000,SUMMARY!A17&amp;"*")</f>
        <v>0</v>
      </c>
      <c r="M17" s="10">
        <f>SUMIFS('PLAN BUDGET SAMI-JF'!AV13:AV100000,'PLAN BUDGET SAMI-JF'!D13:D100000,SUMMARY!D17,'PLAN BUDGET SAMI-JF'!J13:J100000,SUMMARY!A17&amp;"*")</f>
        <v>5</v>
      </c>
      <c r="N17" s="10">
        <f>SUMIFS('PLAN BUDGET SAMI-JF'!AW13:AW100000,'PLAN BUDGET SAMI-JF'!D13:D100000,SUMMARY!D17,'PLAN BUDGET SAMI-JF'!J13:J100000,SUMMARY!A17&amp;"*")</f>
        <v>0</v>
      </c>
      <c r="O17" s="10">
        <f>SUMIFS('PLAN BUDGET SAMI-JF'!AX13:AX100000,'PLAN BUDGET SAMI-JF'!D13:D100000,SUMMARY!D17,'PLAN BUDGET SAMI-JF'!J13:J100000,SUMMARY!A17&amp;"*")</f>
        <v>0</v>
      </c>
      <c r="P17" s="10">
        <f>SUMIFS('PLAN BUDGET SAMI-JF'!AY13:AY100000,'PLAN BUDGET SAMI-JF'!D13:D100000,SUMMARY!D17,'PLAN BUDGET SAMI-JF'!J13:J100000,SUMMARY!A17&amp;"*")</f>
        <v>0</v>
      </c>
      <c r="Q17" s="10">
        <f>SUMIFS('PLAN BUDGET SAMI-JF'!BC13:BC100000,'PLAN BUDGET SAMI-JF'!D13:D100000,SUMMARY!D17,'PLAN BUDGET SAMI-JF'!J13:J100000,SUMMARY!A17&amp;"*")</f>
        <v>7.2990644740672996</v>
      </c>
      <c r="R17" s="10">
        <f>SUMIFS('PLAN BUDGET SAMI-JF'!BD13:BD100000,'PLAN BUDGET SAMI-JF'!D13:D100000,SUMMARY!D17,'PLAN BUDGET SAMI-JF'!J13:J100000,SUMMARY!A17&amp;"*")</f>
        <v>0</v>
      </c>
      <c r="S17" s="10">
        <f>SUMIFS('PLAN BUDGET SAMI-JF'!BE13:BE100000,'PLAN BUDGET SAMI-JF'!D13:D100000,SUMMARY!D17,'PLAN BUDGET SAMI-JF'!J13:J100000,SUMMARY!A17&amp;"*")</f>
        <v>0</v>
      </c>
      <c r="T17" s="10">
        <f>SUMIFS('PLAN BUDGET SAMI-JF'!BF13:BF100000,'PLAN BUDGET SAMI-JF'!D13:D100000,SUMMARY!D17,'PLAN BUDGET SAMI-JF'!J13:J100000,SUMMARY!A17&amp;"*")</f>
        <v>0</v>
      </c>
      <c r="U17" s="10">
        <f>SUMIFS('PLAN BUDGET SAMI-JF'!BG13:BG100000,'PLAN BUDGET SAMI-JF'!D13:D100000,SUMMARY!D17,'PLAN BUDGET SAMI-JF'!J13:J100000,SUMMARY!A17&amp;"*")</f>
        <v>7.2990644740672996</v>
      </c>
      <c r="V17" s="10">
        <f>SUMIFS('PLAN BUDGET SAMI-JF'!BH13:BH100000,'PLAN BUDGET SAMI-JF'!D13:D100000,SUMMARY!D17,'PLAN BUDGET SAMI-JF'!J13:J100000,SUMMARY!A17&amp;"*")</f>
        <v>0</v>
      </c>
      <c r="W17" s="10">
        <f>SUMIFS('PLAN BUDGET SAMI-JF'!BI13:BI100000,'PLAN BUDGET SAMI-JF'!D13:D100000,SUMMARY!D17,'PLAN BUDGET SAMI-JF'!J13:J100000,SUMMARY!A17&amp;"*")</f>
        <v>0</v>
      </c>
      <c r="X17" s="10">
        <f>SUMIFS('PLAN BUDGET SAMI-JF'!BJ13:BJ100000,'PLAN BUDGET SAMI-JF'!D13:D100000,SUMMARY!D17,'PLAN BUDGET SAMI-JF'!J13:J100000,SUMMARY!A17&amp;"*")</f>
        <v>0</v>
      </c>
      <c r="Y17" s="10">
        <f>SUMIFS('PLAN BUDGET SAMI-JF'!BK13:BK100000,'PLAN BUDGET SAMI-JF'!D13:D100000,SUMMARY!D17,'PLAN BUDGET SAMI-JF'!J13:J100000,SUMMARY!A17&amp;"*")</f>
        <v>7.2990644740672996</v>
      </c>
      <c r="Z17" s="10">
        <f>SUMIFS('PLAN BUDGET SAMI-JF'!BL13:BL100000,'PLAN BUDGET SAMI-JF'!D13:D100000,SUMMARY!D17,'PLAN BUDGET SAMI-JF'!J13:J100000,SUMMARY!A17&amp;"*")</f>
        <v>0</v>
      </c>
      <c r="AA17" s="10">
        <f>SUMIFS('PLAN BUDGET SAMI-JF'!BM13:BM100000,'PLAN BUDGET SAMI-JF'!D13:D100000,SUMMARY!D17,'PLAN BUDGET SAMI-JF'!J13:J100000,SUMMARY!A17&amp;"*")</f>
        <v>0</v>
      </c>
      <c r="AB17" s="10">
        <f>SUMIFS('PLAN BUDGET SAMI-JF'!BN13:BN100000,'PLAN BUDGET SAMI-JF'!D13:D100000,SUMMARY!D17,'PLAN BUDGET SAMI-JF'!J13:J100000,SUMMARY!A17&amp;"*")</f>
        <v>0</v>
      </c>
      <c r="AC17" s="10">
        <f t="shared" si="0"/>
        <v>15</v>
      </c>
      <c r="AD17" s="10">
        <f t="shared" si="1"/>
        <v>21.897193422201898</v>
      </c>
      <c r="AE17" s="16"/>
      <c r="AF17" s="10">
        <v>20</v>
      </c>
      <c r="AG17" s="10">
        <v>34.180243819072999</v>
      </c>
      <c r="AH17" s="20">
        <f t="shared" si="2"/>
        <v>-0.25</v>
      </c>
      <c r="AI17" s="20">
        <f t="shared" si="3"/>
        <v>-0.35936111111112107</v>
      </c>
      <c r="AJ17" s="7"/>
    </row>
    <row r="18" spans="1:36" x14ac:dyDescent="0.35">
      <c r="A18" s="7" t="s">
        <v>47</v>
      </c>
      <c r="B18" s="7"/>
      <c r="C18" s="7"/>
      <c r="D18" s="7" t="s">
        <v>59</v>
      </c>
      <c r="E18" s="10">
        <f>SUMIFS('PLAN BUDGET SAMI-JF'!AN13:AN100000,'PLAN BUDGET SAMI-JF'!D13:D100000,SUMMARY!D18,'PLAN BUDGET SAMI-JF'!J13:J100000,SUMMARY!A18&amp;"*")</f>
        <v>6</v>
      </c>
      <c r="F18" s="10">
        <f>SUMIFS('PLAN BUDGET SAMI-JF'!AO13:AO100000,'PLAN BUDGET SAMI-JF'!D13:D100000,SUMMARY!D18,'PLAN BUDGET SAMI-JF'!J13:J100000,SUMMARY!A18&amp;"*")</f>
        <v>2</v>
      </c>
      <c r="G18" s="10">
        <f>SUMIFS('PLAN BUDGET SAMI-JF'!AP13:AP100000,'PLAN BUDGET SAMI-JF'!D13:D100000,SUMMARY!D18,'PLAN BUDGET SAMI-JF'!J13:J100000,SUMMARY!A18&amp;"*")</f>
        <v>40</v>
      </c>
      <c r="H18" s="10">
        <f>SUMIFS('PLAN BUDGET SAMI-JF'!AQ13:AQ100000,'PLAN BUDGET SAMI-JF'!D13:D100000,SUMMARY!D18,'PLAN BUDGET SAMI-JF'!J13:J100000,SUMMARY!A18&amp;"*")</f>
        <v>2</v>
      </c>
      <c r="I18" s="10">
        <f>SUMIFS('PLAN BUDGET SAMI-JF'!AR13:AR100000,'PLAN BUDGET SAMI-JF'!D13:D100000,SUMMARY!D18,'PLAN BUDGET SAMI-JF'!J13:J100000,SUMMARY!A18&amp;"*")</f>
        <v>96</v>
      </c>
      <c r="J18" s="10">
        <f>SUMIFS('PLAN BUDGET SAMI-JF'!AS13:AS100000,'PLAN BUDGET SAMI-JF'!D13:D100000,SUMMARY!D18,'PLAN BUDGET SAMI-JF'!J13:J100000,SUMMARY!A18&amp;"*")</f>
        <v>2</v>
      </c>
      <c r="K18" s="10">
        <f>SUMIFS('PLAN BUDGET SAMI-JF'!AT13:AT100000,'PLAN BUDGET SAMI-JF'!D13:D100000,SUMMARY!D18,'PLAN BUDGET SAMI-JF'!J13:J100000,SUMMARY!A18&amp;"*")</f>
        <v>16</v>
      </c>
      <c r="L18" s="10">
        <f>SUMIFS('PLAN BUDGET SAMI-JF'!AU13:AU100000,'PLAN BUDGET SAMI-JF'!D13:D100000,SUMMARY!D18,'PLAN BUDGET SAMI-JF'!J13:J100000,SUMMARY!A18&amp;"*")</f>
        <v>2</v>
      </c>
      <c r="M18" s="10">
        <f>SUMIFS('PLAN BUDGET SAMI-JF'!AV13:AV100000,'PLAN BUDGET SAMI-JF'!D13:D100000,SUMMARY!D18,'PLAN BUDGET SAMI-JF'!J13:J100000,SUMMARY!A18&amp;"*")</f>
        <v>2</v>
      </c>
      <c r="N18" s="10">
        <f>SUMIFS('PLAN BUDGET SAMI-JF'!AW13:AW100000,'PLAN BUDGET SAMI-JF'!D13:D100000,SUMMARY!D18,'PLAN BUDGET SAMI-JF'!J13:J100000,SUMMARY!A18&amp;"*")</f>
        <v>2</v>
      </c>
      <c r="O18" s="10">
        <f>SUMIFS('PLAN BUDGET SAMI-JF'!AX13:AX100000,'PLAN BUDGET SAMI-JF'!D13:D100000,SUMMARY!D18,'PLAN BUDGET SAMI-JF'!J13:J100000,SUMMARY!A18&amp;"*")</f>
        <v>2</v>
      </c>
      <c r="P18" s="10">
        <f>SUMIFS('PLAN BUDGET SAMI-JF'!AY13:AY100000,'PLAN BUDGET SAMI-JF'!D13:D100000,SUMMARY!D18,'PLAN BUDGET SAMI-JF'!J13:J100000,SUMMARY!A18&amp;"*")</f>
        <v>3</v>
      </c>
      <c r="Q18" s="10">
        <f>SUMIFS('PLAN BUDGET SAMI-JF'!BC13:BC100000,'PLAN BUDGET SAMI-JF'!D13:D100000,SUMMARY!D18,'PLAN BUDGET SAMI-JF'!J13:J100000,SUMMARY!A18&amp;"*")</f>
        <v>3293.5829757067354</v>
      </c>
      <c r="R18" s="10">
        <f>SUMIFS('PLAN BUDGET SAMI-JF'!BD13:BD100000,'PLAN BUDGET SAMI-JF'!D13:D100000,SUMMARY!D18,'PLAN BUDGET SAMI-JF'!J13:J100000,SUMMARY!A18&amp;"*")</f>
        <v>2.1520894256453</v>
      </c>
      <c r="S18" s="10">
        <f>SUMIFS('PLAN BUDGET SAMI-JF'!BE13:BE100000,'PLAN BUDGET SAMI-JF'!D13:D100000,SUMMARY!D18,'PLAN BUDGET SAMI-JF'!J13:J100000,SUMMARY!A18&amp;"*")</f>
        <v>4325.2782628840323</v>
      </c>
      <c r="T18" s="10">
        <f>SUMIFS('PLAN BUDGET SAMI-JF'!BF13:BF100000,'PLAN BUDGET SAMI-JF'!D13:D100000,SUMMARY!D18,'PLAN BUDGET SAMI-JF'!J13:J100000,SUMMARY!A18&amp;"*")</f>
        <v>2.1520894256453</v>
      </c>
      <c r="U18" s="10">
        <f>SUMIFS('PLAN BUDGET SAMI-JF'!BG13:BG100000,'PLAN BUDGET SAMI-JF'!D13:D100000,SUMMARY!D18,'PLAN BUDGET SAMI-JF'!J13:J100000,SUMMARY!A18&amp;"*")</f>
        <v>2560.2901522919656</v>
      </c>
      <c r="V18" s="10">
        <f>SUMIFS('PLAN BUDGET SAMI-JF'!BH13:BH100000,'PLAN BUDGET SAMI-JF'!D13:D100000,SUMMARY!D18,'PLAN BUDGET SAMI-JF'!J13:J100000,SUMMARY!A18&amp;"*")</f>
        <v>2.1520894256453</v>
      </c>
      <c r="W18" s="10">
        <f>SUMIFS('PLAN BUDGET SAMI-JF'!BI13:BI100000,'PLAN BUDGET SAMI-JF'!D13:D100000,SUMMARY!D18,'PLAN BUDGET SAMI-JF'!J13:J100000,SUMMARY!A18&amp;"*")</f>
        <v>2102.1520894256455</v>
      </c>
      <c r="X18" s="10">
        <f>SUMIFS('PLAN BUDGET SAMI-JF'!BJ13:BJ100000,'PLAN BUDGET SAMI-JF'!D13:D100000,SUMMARY!D18,'PLAN BUDGET SAMI-JF'!J13:J100000,SUMMARY!A18&amp;"*")</f>
        <v>2.1520894256453</v>
      </c>
      <c r="Y18" s="10">
        <f>SUMIFS('PLAN BUDGET SAMI-JF'!BK13:BK100000,'PLAN BUDGET SAMI-JF'!D13:D100000,SUMMARY!D18,'PLAN BUDGET SAMI-JF'!J13:J100000,SUMMARY!A18&amp;"*")</f>
        <v>2.1520894256453</v>
      </c>
      <c r="Z18" s="10">
        <f>SUMIFS('PLAN BUDGET SAMI-JF'!BL13:BL100000,'PLAN BUDGET SAMI-JF'!D13:D100000,SUMMARY!D18,'PLAN BUDGET SAMI-JF'!J13:J100000,SUMMARY!A18&amp;"*")</f>
        <v>2.1520894256453</v>
      </c>
      <c r="AA18" s="10">
        <f>SUMIFS('PLAN BUDGET SAMI-JF'!BM13:BM100000,'PLAN BUDGET SAMI-JF'!D13:D100000,SUMMARY!D18,'PLAN BUDGET SAMI-JF'!J13:J100000,SUMMARY!A18&amp;"*")</f>
        <v>2.1520894256453</v>
      </c>
      <c r="AB18" s="10">
        <f>SUMIFS('PLAN BUDGET SAMI-JF'!BN13:BN100000,'PLAN BUDGET SAMI-JF'!D13:D100000,SUMMARY!D18,'PLAN BUDGET SAMI-JF'!J13:J100000,SUMMARY!A18&amp;"*")</f>
        <v>65.4488372387423</v>
      </c>
      <c r="AC18" s="10">
        <f t="shared" si="0"/>
        <v>175</v>
      </c>
      <c r="AD18" s="10">
        <f t="shared" si="1"/>
        <v>12361.816943526635</v>
      </c>
      <c r="AE18" s="16"/>
      <c r="AF18" s="10">
        <v>0</v>
      </c>
      <c r="AG18" s="10">
        <v>0</v>
      </c>
      <c r="AH18" s="20">
        <f t="shared" si="2"/>
        <v>1</v>
      </c>
      <c r="AI18" s="20">
        <f t="shared" si="3"/>
        <v>1</v>
      </c>
      <c r="AJ18" s="36" t="s">
        <v>575</v>
      </c>
    </row>
    <row r="19" spans="1:36" x14ac:dyDescent="0.35">
      <c r="A19" s="7" t="s">
        <v>47</v>
      </c>
      <c r="B19" s="7"/>
      <c r="C19" s="7"/>
      <c r="D19" s="7" t="s">
        <v>203</v>
      </c>
      <c r="E19" s="10">
        <f>SUMIFS('PLAN BUDGET SAMI-JF'!AN13:AN100000,'PLAN BUDGET SAMI-JF'!D13:D100000,SUMMARY!D19,'PLAN BUDGET SAMI-JF'!J13:J100000,SUMMARY!A19&amp;"*")</f>
        <v>1</v>
      </c>
      <c r="F19" s="10">
        <f>SUMIFS('PLAN BUDGET SAMI-JF'!AO13:AO100000,'PLAN BUDGET SAMI-JF'!D13:D100000,SUMMARY!D19,'PLAN BUDGET SAMI-JF'!J13:J100000,SUMMARY!A19&amp;"*")</f>
        <v>0</v>
      </c>
      <c r="G19" s="10">
        <f>SUMIFS('PLAN BUDGET SAMI-JF'!AP13:AP100000,'PLAN BUDGET SAMI-JF'!D13:D100000,SUMMARY!D19,'PLAN BUDGET SAMI-JF'!J13:J100000,SUMMARY!A19&amp;"*")</f>
        <v>0</v>
      </c>
      <c r="H19" s="10">
        <f>SUMIFS('PLAN BUDGET SAMI-JF'!AQ13:AQ100000,'PLAN BUDGET SAMI-JF'!D13:D100000,SUMMARY!D19,'PLAN BUDGET SAMI-JF'!J13:J100000,SUMMARY!A19&amp;"*")</f>
        <v>0</v>
      </c>
      <c r="I19" s="10">
        <f>SUMIFS('PLAN BUDGET SAMI-JF'!AR13:AR100000,'PLAN BUDGET SAMI-JF'!D13:D100000,SUMMARY!D19,'PLAN BUDGET SAMI-JF'!J13:J100000,SUMMARY!A19&amp;"*")</f>
        <v>0</v>
      </c>
      <c r="J19" s="10">
        <f>SUMIFS('PLAN BUDGET SAMI-JF'!AS13:AS100000,'PLAN BUDGET SAMI-JF'!D13:D100000,SUMMARY!D19,'PLAN BUDGET SAMI-JF'!J13:J100000,SUMMARY!A19&amp;"*")</f>
        <v>0</v>
      </c>
      <c r="K19" s="10">
        <f>SUMIFS('PLAN BUDGET SAMI-JF'!AT13:AT100000,'PLAN BUDGET SAMI-JF'!D13:D100000,SUMMARY!D19,'PLAN BUDGET SAMI-JF'!J13:J100000,SUMMARY!A19&amp;"*")</f>
        <v>0</v>
      </c>
      <c r="L19" s="10">
        <f>SUMIFS('PLAN BUDGET SAMI-JF'!AU13:AU100000,'PLAN BUDGET SAMI-JF'!D13:D100000,SUMMARY!D19,'PLAN BUDGET SAMI-JF'!J13:J100000,SUMMARY!A19&amp;"*")</f>
        <v>0</v>
      </c>
      <c r="M19" s="10">
        <f>SUMIFS('PLAN BUDGET SAMI-JF'!AV13:AV100000,'PLAN BUDGET SAMI-JF'!D13:D100000,SUMMARY!D19,'PLAN BUDGET SAMI-JF'!J13:J100000,SUMMARY!A19&amp;"*")</f>
        <v>0</v>
      </c>
      <c r="N19" s="10">
        <f>SUMIFS('PLAN BUDGET SAMI-JF'!AW13:AW100000,'PLAN BUDGET SAMI-JF'!D13:D100000,SUMMARY!D19,'PLAN BUDGET SAMI-JF'!J13:J100000,SUMMARY!A19&amp;"*")</f>
        <v>0</v>
      </c>
      <c r="O19" s="10">
        <f>SUMIFS('PLAN BUDGET SAMI-JF'!AX13:AX100000,'PLAN BUDGET SAMI-JF'!D13:D100000,SUMMARY!D19,'PLAN BUDGET SAMI-JF'!J13:J100000,SUMMARY!A19&amp;"*")</f>
        <v>0</v>
      </c>
      <c r="P19" s="10">
        <f>SUMIFS('PLAN BUDGET SAMI-JF'!AY13:AY100000,'PLAN BUDGET SAMI-JF'!D13:D100000,SUMMARY!D19,'PLAN BUDGET SAMI-JF'!J13:J100000,SUMMARY!A19&amp;"*")</f>
        <v>0</v>
      </c>
      <c r="Q19" s="10">
        <f>SUMIFS('PLAN BUDGET SAMI-JF'!BC13:BC100000,'PLAN BUDGET SAMI-JF'!D13:D100000,SUMMARY!D19,'PLAN BUDGET SAMI-JF'!J13:J100000,SUMMARY!A19&amp;"*")</f>
        <v>2.2786829212714999</v>
      </c>
      <c r="R19" s="10">
        <f>SUMIFS('PLAN BUDGET SAMI-JF'!BD13:BD100000,'PLAN BUDGET SAMI-JF'!D13:D100000,SUMMARY!D19,'PLAN BUDGET SAMI-JF'!J13:J100000,SUMMARY!A19&amp;"*")</f>
        <v>0</v>
      </c>
      <c r="S19" s="10">
        <f>SUMIFS('PLAN BUDGET SAMI-JF'!BE13:BE100000,'PLAN BUDGET SAMI-JF'!D13:D100000,SUMMARY!D19,'PLAN BUDGET SAMI-JF'!J13:J100000,SUMMARY!A19&amp;"*")</f>
        <v>0</v>
      </c>
      <c r="T19" s="10">
        <f>SUMIFS('PLAN BUDGET SAMI-JF'!BF13:BF100000,'PLAN BUDGET SAMI-JF'!D13:D100000,SUMMARY!D19,'PLAN BUDGET SAMI-JF'!J13:J100000,SUMMARY!A19&amp;"*")</f>
        <v>0</v>
      </c>
      <c r="U19" s="10">
        <f>SUMIFS('PLAN BUDGET SAMI-JF'!BG13:BG100000,'PLAN BUDGET SAMI-JF'!D13:D100000,SUMMARY!D19,'PLAN BUDGET SAMI-JF'!J13:J100000,SUMMARY!A19&amp;"*")</f>
        <v>0</v>
      </c>
      <c r="V19" s="10">
        <f>SUMIFS('PLAN BUDGET SAMI-JF'!BH13:BH100000,'PLAN BUDGET SAMI-JF'!D13:D100000,SUMMARY!D19,'PLAN BUDGET SAMI-JF'!J13:J100000,SUMMARY!A19&amp;"*")</f>
        <v>0</v>
      </c>
      <c r="W19" s="10">
        <f>SUMIFS('PLAN BUDGET SAMI-JF'!BI13:BI100000,'PLAN BUDGET SAMI-JF'!D13:D100000,SUMMARY!D19,'PLAN BUDGET SAMI-JF'!J13:J100000,SUMMARY!A19&amp;"*")</f>
        <v>0</v>
      </c>
      <c r="X19" s="10">
        <f>SUMIFS('PLAN BUDGET SAMI-JF'!BJ13:BJ100000,'PLAN BUDGET SAMI-JF'!D13:D100000,SUMMARY!D19,'PLAN BUDGET SAMI-JF'!J13:J100000,SUMMARY!A19&amp;"*")</f>
        <v>0</v>
      </c>
      <c r="Y19" s="10">
        <f>SUMIFS('PLAN BUDGET SAMI-JF'!BK13:BK100000,'PLAN BUDGET SAMI-JF'!D13:D100000,SUMMARY!D19,'PLAN BUDGET SAMI-JF'!J13:J100000,SUMMARY!A19&amp;"*")</f>
        <v>0</v>
      </c>
      <c r="Z19" s="10">
        <f>SUMIFS('PLAN BUDGET SAMI-JF'!BL13:BL100000,'PLAN BUDGET SAMI-JF'!D13:D100000,SUMMARY!D19,'PLAN BUDGET SAMI-JF'!J13:J100000,SUMMARY!A19&amp;"*")</f>
        <v>0</v>
      </c>
      <c r="AA19" s="10">
        <f>SUMIFS('PLAN BUDGET SAMI-JF'!BM13:BM100000,'PLAN BUDGET SAMI-JF'!D13:D100000,SUMMARY!D19,'PLAN BUDGET SAMI-JF'!J13:J100000,SUMMARY!A19&amp;"*")</f>
        <v>0</v>
      </c>
      <c r="AB19" s="10">
        <f>SUMIFS('PLAN BUDGET SAMI-JF'!BN13:BN100000,'PLAN BUDGET SAMI-JF'!D13:D100000,SUMMARY!D19,'PLAN BUDGET SAMI-JF'!J13:J100000,SUMMARY!A19&amp;"*")</f>
        <v>0</v>
      </c>
      <c r="AC19" s="10">
        <f t="shared" si="0"/>
        <v>1</v>
      </c>
      <c r="AD19" s="10">
        <f t="shared" si="1"/>
        <v>2.2786829212714999</v>
      </c>
      <c r="AE19" s="16"/>
      <c r="AF19" s="10">
        <v>0</v>
      </c>
      <c r="AG19" s="10">
        <v>0</v>
      </c>
      <c r="AH19" s="20">
        <f t="shared" si="2"/>
        <v>1</v>
      </c>
      <c r="AI19" s="20">
        <f t="shared" si="3"/>
        <v>1</v>
      </c>
      <c r="AJ19" s="36" t="s">
        <v>571</v>
      </c>
    </row>
    <row r="20" spans="1:36" x14ac:dyDescent="0.35">
      <c r="A20" s="7" t="s">
        <v>47</v>
      </c>
      <c r="B20" s="7"/>
      <c r="C20" s="7"/>
      <c r="D20" s="7" t="s">
        <v>340</v>
      </c>
      <c r="E20" s="10">
        <f>SUMIFS('PLAN BUDGET SAMI-JF'!AN13:AN100000,'PLAN BUDGET SAMI-JF'!D13:D100000,SUMMARY!D20,'PLAN BUDGET SAMI-JF'!J13:J100000,SUMMARY!A20&amp;"*")</f>
        <v>0</v>
      </c>
      <c r="F20" s="10">
        <f>SUMIFS('PLAN BUDGET SAMI-JF'!AO13:AO100000,'PLAN BUDGET SAMI-JF'!D13:D100000,SUMMARY!D20,'PLAN BUDGET SAMI-JF'!J13:J100000,SUMMARY!A20&amp;"*")</f>
        <v>10</v>
      </c>
      <c r="G20" s="10">
        <f>SUMIFS('PLAN BUDGET SAMI-JF'!AP13:AP100000,'PLAN BUDGET SAMI-JF'!D13:D100000,SUMMARY!D20,'PLAN BUDGET SAMI-JF'!J13:J100000,SUMMARY!A20&amp;"*")</f>
        <v>0</v>
      </c>
      <c r="H20" s="10">
        <f>SUMIFS('PLAN BUDGET SAMI-JF'!AQ13:AQ100000,'PLAN BUDGET SAMI-JF'!D13:D100000,SUMMARY!D20,'PLAN BUDGET SAMI-JF'!J13:J100000,SUMMARY!A20&amp;"*")</f>
        <v>0</v>
      </c>
      <c r="I20" s="10">
        <f>SUMIFS('PLAN BUDGET SAMI-JF'!AR13:AR100000,'PLAN BUDGET SAMI-JF'!D13:D100000,SUMMARY!D20,'PLAN BUDGET SAMI-JF'!J13:J100000,SUMMARY!A20&amp;"*")</f>
        <v>0</v>
      </c>
      <c r="J20" s="10">
        <f>SUMIFS('PLAN BUDGET SAMI-JF'!AS13:AS100000,'PLAN BUDGET SAMI-JF'!D13:D100000,SUMMARY!D20,'PLAN BUDGET SAMI-JF'!J13:J100000,SUMMARY!A20&amp;"*")</f>
        <v>0</v>
      </c>
      <c r="K20" s="10">
        <f>SUMIFS('PLAN BUDGET SAMI-JF'!AT13:AT100000,'PLAN BUDGET SAMI-JF'!D13:D100000,SUMMARY!D20,'PLAN BUDGET SAMI-JF'!J13:J100000,SUMMARY!A20&amp;"*")</f>
        <v>0</v>
      </c>
      <c r="L20" s="10">
        <f>SUMIFS('PLAN BUDGET SAMI-JF'!AU13:AU100000,'PLAN BUDGET SAMI-JF'!D13:D100000,SUMMARY!D20,'PLAN BUDGET SAMI-JF'!J13:J100000,SUMMARY!A20&amp;"*")</f>
        <v>0</v>
      </c>
      <c r="M20" s="10">
        <f>SUMIFS('PLAN BUDGET SAMI-JF'!AV13:AV100000,'PLAN BUDGET SAMI-JF'!D13:D100000,SUMMARY!D20,'PLAN BUDGET SAMI-JF'!J13:J100000,SUMMARY!A20&amp;"*")</f>
        <v>0</v>
      </c>
      <c r="N20" s="10">
        <f>SUMIFS('PLAN BUDGET SAMI-JF'!AW13:AW100000,'PLAN BUDGET SAMI-JF'!D13:D100000,SUMMARY!D20,'PLAN BUDGET SAMI-JF'!J13:J100000,SUMMARY!A20&amp;"*")</f>
        <v>0</v>
      </c>
      <c r="O20" s="10">
        <f>SUMIFS('PLAN BUDGET SAMI-JF'!AX13:AX100000,'PLAN BUDGET SAMI-JF'!D13:D100000,SUMMARY!D20,'PLAN BUDGET SAMI-JF'!J13:J100000,SUMMARY!A20&amp;"*")</f>
        <v>0</v>
      </c>
      <c r="P20" s="10">
        <f>SUMIFS('PLAN BUDGET SAMI-JF'!AY13:AY100000,'PLAN BUDGET SAMI-JF'!D13:D100000,SUMMARY!D20,'PLAN BUDGET SAMI-JF'!J13:J100000,SUMMARY!A20&amp;"*")</f>
        <v>0</v>
      </c>
      <c r="Q20" s="10">
        <f>SUMIFS('PLAN BUDGET SAMI-JF'!BC13:BC100000,'PLAN BUDGET SAMI-JF'!D13:D100000,SUMMARY!D20,'PLAN BUDGET SAMI-JF'!J13:J100000,SUMMARY!A20&amp;"*")</f>
        <v>0</v>
      </c>
      <c r="R20" s="10">
        <f>SUMIFS('PLAN BUDGET SAMI-JF'!BD13:BD100000,'PLAN BUDGET SAMI-JF'!D13:D100000,SUMMARY!D20,'PLAN BUDGET SAMI-JF'!J13:J100000,SUMMARY!A20&amp;"*")</f>
        <v>283.60107857657999</v>
      </c>
      <c r="S20" s="10">
        <f>SUMIFS('PLAN BUDGET SAMI-JF'!BE13:BE100000,'PLAN BUDGET SAMI-JF'!D13:D100000,SUMMARY!D20,'PLAN BUDGET SAMI-JF'!J13:J100000,SUMMARY!A20&amp;"*")</f>
        <v>0</v>
      </c>
      <c r="T20" s="10">
        <f>SUMIFS('PLAN BUDGET SAMI-JF'!BF13:BF100000,'PLAN BUDGET SAMI-JF'!D13:D100000,SUMMARY!D20,'PLAN BUDGET SAMI-JF'!J13:J100000,SUMMARY!A20&amp;"*")</f>
        <v>0</v>
      </c>
      <c r="U20" s="10">
        <f>SUMIFS('PLAN BUDGET SAMI-JF'!BG13:BG100000,'PLAN BUDGET SAMI-JF'!D13:D100000,SUMMARY!D20,'PLAN BUDGET SAMI-JF'!J13:J100000,SUMMARY!A20&amp;"*")</f>
        <v>0</v>
      </c>
      <c r="V20" s="10">
        <f>SUMIFS('PLAN BUDGET SAMI-JF'!BH13:BH100000,'PLAN BUDGET SAMI-JF'!D13:D100000,SUMMARY!D20,'PLAN BUDGET SAMI-JF'!J13:J100000,SUMMARY!A20&amp;"*")</f>
        <v>0</v>
      </c>
      <c r="W20" s="10">
        <f>SUMIFS('PLAN BUDGET SAMI-JF'!BI13:BI100000,'PLAN BUDGET SAMI-JF'!D13:D100000,SUMMARY!D20,'PLAN BUDGET SAMI-JF'!J13:J100000,SUMMARY!A20&amp;"*")</f>
        <v>0</v>
      </c>
      <c r="X20" s="10">
        <f>SUMIFS('PLAN BUDGET SAMI-JF'!BJ13:BJ100000,'PLAN BUDGET SAMI-JF'!D13:D100000,SUMMARY!D20,'PLAN BUDGET SAMI-JF'!J13:J100000,SUMMARY!A20&amp;"*")</f>
        <v>0</v>
      </c>
      <c r="Y20" s="10">
        <f>SUMIFS('PLAN BUDGET SAMI-JF'!BK13:BK100000,'PLAN BUDGET SAMI-JF'!D13:D100000,SUMMARY!D20,'PLAN BUDGET SAMI-JF'!J13:J100000,SUMMARY!A20&amp;"*")</f>
        <v>0</v>
      </c>
      <c r="Z20" s="10">
        <f>SUMIFS('PLAN BUDGET SAMI-JF'!BL13:BL100000,'PLAN BUDGET SAMI-JF'!D13:D100000,SUMMARY!D20,'PLAN BUDGET SAMI-JF'!J13:J100000,SUMMARY!A20&amp;"*")</f>
        <v>0</v>
      </c>
      <c r="AA20" s="10">
        <f>SUMIFS('PLAN BUDGET SAMI-JF'!BM13:BM100000,'PLAN BUDGET SAMI-JF'!D13:D100000,SUMMARY!D20,'PLAN BUDGET SAMI-JF'!J13:J100000,SUMMARY!A20&amp;"*")</f>
        <v>0</v>
      </c>
      <c r="AB20" s="10">
        <f>SUMIFS('PLAN BUDGET SAMI-JF'!BN13:BN100000,'PLAN BUDGET SAMI-JF'!D13:D100000,SUMMARY!D20,'PLAN BUDGET SAMI-JF'!J13:J100000,SUMMARY!A20&amp;"*")</f>
        <v>0</v>
      </c>
      <c r="AC20" s="10">
        <f t="shared" si="0"/>
        <v>10</v>
      </c>
      <c r="AD20" s="10">
        <f t="shared" si="1"/>
        <v>283.60107857657999</v>
      </c>
      <c r="AE20" s="16"/>
      <c r="AF20" s="10">
        <v>10</v>
      </c>
      <c r="AG20" s="10">
        <v>265.84634081501002</v>
      </c>
      <c r="AH20" s="20">
        <f t="shared" si="2"/>
        <v>0</v>
      </c>
      <c r="AI20" s="20">
        <f t="shared" si="3"/>
        <v>6.6785714285699571E-2</v>
      </c>
      <c r="AJ20" s="7"/>
    </row>
    <row r="21" spans="1:36" x14ac:dyDescent="0.35">
      <c r="A21" s="7" t="s">
        <v>47</v>
      </c>
      <c r="B21" s="7"/>
      <c r="C21" s="7"/>
      <c r="D21" s="7" t="s">
        <v>65</v>
      </c>
      <c r="E21" s="10">
        <f>SUMIFS('PLAN BUDGET SAMI-JF'!AN13:AN100000,'PLAN BUDGET SAMI-JF'!D13:D100000,SUMMARY!D21,'PLAN BUDGET SAMI-JF'!J13:J100000,SUMMARY!A21&amp;"*")</f>
        <v>15</v>
      </c>
      <c r="F21" s="10">
        <f>SUMIFS('PLAN BUDGET SAMI-JF'!AO13:AO100000,'PLAN BUDGET SAMI-JF'!D13:D100000,SUMMARY!D21,'PLAN BUDGET SAMI-JF'!J13:J100000,SUMMARY!A21&amp;"*")</f>
        <v>65</v>
      </c>
      <c r="G21" s="10">
        <f>SUMIFS('PLAN BUDGET SAMI-JF'!AP13:AP100000,'PLAN BUDGET SAMI-JF'!D13:D100000,SUMMARY!D21,'PLAN BUDGET SAMI-JF'!J13:J100000,SUMMARY!A21&amp;"*")</f>
        <v>170</v>
      </c>
      <c r="H21" s="10">
        <f>SUMIFS('PLAN BUDGET SAMI-JF'!AQ13:AQ100000,'PLAN BUDGET SAMI-JF'!D13:D100000,SUMMARY!D21,'PLAN BUDGET SAMI-JF'!J13:J100000,SUMMARY!A21&amp;"*")</f>
        <v>15</v>
      </c>
      <c r="I21" s="10">
        <f>SUMIFS('PLAN BUDGET SAMI-JF'!AR13:AR100000,'PLAN BUDGET SAMI-JF'!D13:D100000,SUMMARY!D21,'PLAN BUDGET SAMI-JF'!J13:J100000,SUMMARY!A21&amp;"*")</f>
        <v>0</v>
      </c>
      <c r="J21" s="10">
        <f>SUMIFS('PLAN BUDGET SAMI-JF'!AS13:AS100000,'PLAN BUDGET SAMI-JF'!D13:D100000,SUMMARY!D21,'PLAN BUDGET SAMI-JF'!J13:J100000,SUMMARY!A21&amp;"*")</f>
        <v>0</v>
      </c>
      <c r="K21" s="10">
        <f>SUMIFS('PLAN BUDGET SAMI-JF'!AT13:AT100000,'PLAN BUDGET SAMI-JF'!D13:D100000,SUMMARY!D21,'PLAN BUDGET SAMI-JF'!J13:J100000,SUMMARY!A21&amp;"*")</f>
        <v>15</v>
      </c>
      <c r="L21" s="10">
        <f>SUMIFS('PLAN BUDGET SAMI-JF'!AU13:AU100000,'PLAN BUDGET SAMI-JF'!D13:D100000,SUMMARY!D21,'PLAN BUDGET SAMI-JF'!J13:J100000,SUMMARY!A21&amp;"*")</f>
        <v>65</v>
      </c>
      <c r="M21" s="10">
        <f>SUMIFS('PLAN BUDGET SAMI-JF'!AV13:AV100000,'PLAN BUDGET SAMI-JF'!D13:D100000,SUMMARY!D21,'PLAN BUDGET SAMI-JF'!J13:J100000,SUMMARY!A21&amp;"*")</f>
        <v>89</v>
      </c>
      <c r="N21" s="10">
        <f>SUMIFS('PLAN BUDGET SAMI-JF'!AW13:AW100000,'PLAN BUDGET SAMI-JF'!D13:D100000,SUMMARY!D21,'PLAN BUDGET SAMI-JF'!J13:J100000,SUMMARY!A21&amp;"*")</f>
        <v>15</v>
      </c>
      <c r="O21" s="10">
        <f>SUMIFS('PLAN BUDGET SAMI-JF'!AX13:AX100000,'PLAN BUDGET SAMI-JF'!D13:D100000,SUMMARY!D21,'PLAN BUDGET SAMI-JF'!J13:J100000,SUMMARY!A21&amp;"*")</f>
        <v>140</v>
      </c>
      <c r="P21" s="10">
        <f>SUMIFS('PLAN BUDGET SAMI-JF'!AY13:AY100000,'PLAN BUDGET SAMI-JF'!D13:D100000,SUMMARY!D21,'PLAN BUDGET SAMI-JF'!J13:J100000,SUMMARY!A21&amp;"*")</f>
        <v>0</v>
      </c>
      <c r="Q21" s="10">
        <f>SUMIFS('PLAN BUDGET SAMI-JF'!BC13:BC100000,'PLAN BUDGET SAMI-JF'!D13:D100000,SUMMARY!D21,'PLAN BUDGET SAMI-JF'!J13:J100000,SUMMARY!A21&amp;"*")</f>
        <v>47.472560859822998</v>
      </c>
      <c r="R21" s="10">
        <f>SUMIFS('PLAN BUDGET SAMI-JF'!BD13:BD100000,'PLAN BUDGET SAMI-JF'!D13:D100000,SUMMARY!D21,'PLAN BUDGET SAMI-JF'!J13:J100000,SUMMARY!A21&amp;"*")</f>
        <v>205.71443039256999</v>
      </c>
      <c r="S21" s="10">
        <f>SUMIFS('PLAN BUDGET SAMI-JF'!BE13:BE100000,'PLAN BUDGET SAMI-JF'!D13:D100000,SUMMARY!D21,'PLAN BUDGET SAMI-JF'!J13:J100000,SUMMARY!A21&amp;"*")</f>
        <v>598.154266833767</v>
      </c>
      <c r="T21" s="10">
        <f>SUMIFS('PLAN BUDGET SAMI-JF'!BF13:BF100000,'PLAN BUDGET SAMI-JF'!D13:D100000,SUMMARY!D21,'PLAN BUDGET SAMI-JF'!J13:J100000,SUMMARY!A21&amp;"*")</f>
        <v>47.472560859822998</v>
      </c>
      <c r="U21" s="10">
        <f>SUMIFS('PLAN BUDGET SAMI-JF'!BG13:BG100000,'PLAN BUDGET SAMI-JF'!D13:D100000,SUMMARY!D21,'PLAN BUDGET SAMI-JF'!J13:J100000,SUMMARY!A21&amp;"*")</f>
        <v>0</v>
      </c>
      <c r="V21" s="10">
        <f>SUMIFS('PLAN BUDGET SAMI-JF'!BH13:BH100000,'PLAN BUDGET SAMI-JF'!D13:D100000,SUMMARY!D21,'PLAN BUDGET SAMI-JF'!J13:J100000,SUMMARY!A21&amp;"*")</f>
        <v>0</v>
      </c>
      <c r="W21" s="10">
        <f>SUMIFS('PLAN BUDGET SAMI-JF'!BI13:BI100000,'PLAN BUDGET SAMI-JF'!D13:D100000,SUMMARY!D21,'PLAN BUDGET SAMI-JF'!J13:J100000,SUMMARY!A21&amp;"*")</f>
        <v>47.472560859822998</v>
      </c>
      <c r="X21" s="10">
        <f>SUMIFS('PLAN BUDGET SAMI-JF'!BJ13:BJ100000,'PLAN BUDGET SAMI-JF'!D13:D100000,SUMMARY!D21,'PLAN BUDGET SAMI-JF'!J13:J100000,SUMMARY!A21&amp;"*")</f>
        <v>205.71443039256999</v>
      </c>
      <c r="Y21" s="10">
        <f>SUMIFS('PLAN BUDGET SAMI-JF'!BK13:BK100000,'PLAN BUDGET SAMI-JF'!D13:D100000,SUMMARY!D21,'PLAN BUDGET SAMI-JF'!J13:J100000,SUMMARY!A21&amp;"*")</f>
        <v>281.67052776828001</v>
      </c>
      <c r="Z21" s="10">
        <f>SUMIFS('PLAN BUDGET SAMI-JF'!BL13:BL100000,'PLAN BUDGET SAMI-JF'!D13:D100000,SUMMARY!D21,'PLAN BUDGET SAMI-JF'!J13:J100000,SUMMARY!A21&amp;"*")</f>
        <v>47.472560859822998</v>
      </c>
      <c r="AA21" s="10">
        <f>SUMIFS('PLAN BUDGET SAMI-JF'!BM13:BM100000,'PLAN BUDGET SAMI-JF'!D13:D100000,SUMMARY!D21,'PLAN BUDGET SAMI-JF'!J13:J100000,SUMMARY!A21&amp;"*")</f>
        <v>506.37398250477901</v>
      </c>
      <c r="AB21" s="10">
        <f>SUMIFS('PLAN BUDGET SAMI-JF'!BN13:BN100000,'PLAN BUDGET SAMI-JF'!D13:D100000,SUMMARY!D21,'PLAN BUDGET SAMI-JF'!J13:J100000,SUMMARY!A21&amp;"*")</f>
        <v>0</v>
      </c>
      <c r="AC21" s="10">
        <f t="shared" si="0"/>
        <v>589</v>
      </c>
      <c r="AD21" s="10">
        <f t="shared" si="1"/>
        <v>1987.517881331258</v>
      </c>
      <c r="AE21" s="16"/>
      <c r="AF21" s="10">
        <v>478</v>
      </c>
      <c r="AG21" s="10">
        <v>2079.2981656602001</v>
      </c>
      <c r="AH21" s="20">
        <f t="shared" si="2"/>
        <v>0.23221757322175732</v>
      </c>
      <c r="AI21" s="20">
        <f t="shared" si="3"/>
        <v>-4.4140030441377737E-2</v>
      </c>
      <c r="AJ21" s="7"/>
    </row>
    <row r="22" spans="1:36" x14ac:dyDescent="0.35">
      <c r="A22" s="7" t="s">
        <v>47</v>
      </c>
      <c r="B22" s="7"/>
      <c r="C22" s="7"/>
      <c r="D22" s="7" t="s">
        <v>106</v>
      </c>
      <c r="E22" s="10">
        <f>SUMIFS('PLAN BUDGET SAMI-JF'!AN13:AN100000,'PLAN BUDGET SAMI-JF'!D13:D100000,SUMMARY!D22,'PLAN BUDGET SAMI-JF'!J13:J100000,SUMMARY!A22&amp;"*")</f>
        <v>0</v>
      </c>
      <c r="F22" s="10">
        <f>SUMIFS('PLAN BUDGET SAMI-JF'!AO13:AO100000,'PLAN BUDGET SAMI-JF'!D13:D100000,SUMMARY!D22,'PLAN BUDGET SAMI-JF'!J13:J100000,SUMMARY!A22&amp;"*")</f>
        <v>0</v>
      </c>
      <c r="G22" s="10">
        <f>SUMIFS('PLAN BUDGET SAMI-JF'!AP13:AP100000,'PLAN BUDGET SAMI-JF'!D13:D100000,SUMMARY!D22,'PLAN BUDGET SAMI-JF'!J13:J100000,SUMMARY!A22&amp;"*")</f>
        <v>13</v>
      </c>
      <c r="H22" s="10">
        <f>SUMIFS('PLAN BUDGET SAMI-JF'!AQ13:AQ100000,'PLAN BUDGET SAMI-JF'!D13:D100000,SUMMARY!D22,'PLAN BUDGET SAMI-JF'!J13:J100000,SUMMARY!A22&amp;"*")</f>
        <v>0</v>
      </c>
      <c r="I22" s="10">
        <f>SUMIFS('PLAN BUDGET SAMI-JF'!AR13:AR100000,'PLAN BUDGET SAMI-JF'!D13:D100000,SUMMARY!D22,'PLAN BUDGET SAMI-JF'!J13:J100000,SUMMARY!A22&amp;"*")</f>
        <v>0</v>
      </c>
      <c r="J22" s="10">
        <f>SUMIFS('PLAN BUDGET SAMI-JF'!AS13:AS100000,'PLAN BUDGET SAMI-JF'!D13:D100000,SUMMARY!D22,'PLAN BUDGET SAMI-JF'!J13:J100000,SUMMARY!A22&amp;"*")</f>
        <v>0</v>
      </c>
      <c r="K22" s="10">
        <f>SUMIFS('PLAN BUDGET SAMI-JF'!AT13:AT100000,'PLAN BUDGET SAMI-JF'!D13:D100000,SUMMARY!D22,'PLAN BUDGET SAMI-JF'!J13:J100000,SUMMARY!A22&amp;"*")</f>
        <v>0</v>
      </c>
      <c r="L22" s="10">
        <f>SUMIFS('PLAN BUDGET SAMI-JF'!AU13:AU100000,'PLAN BUDGET SAMI-JF'!D13:D100000,SUMMARY!D22,'PLAN BUDGET SAMI-JF'!J13:J100000,SUMMARY!A22&amp;"*")</f>
        <v>13</v>
      </c>
      <c r="M22" s="10">
        <f>SUMIFS('PLAN BUDGET SAMI-JF'!AV13:AV100000,'PLAN BUDGET SAMI-JF'!D13:D100000,SUMMARY!D22,'PLAN BUDGET SAMI-JF'!J13:J100000,SUMMARY!A22&amp;"*")</f>
        <v>0</v>
      </c>
      <c r="N22" s="10">
        <f>SUMIFS('PLAN BUDGET SAMI-JF'!AW13:AW100000,'PLAN BUDGET SAMI-JF'!D13:D100000,SUMMARY!D22,'PLAN BUDGET SAMI-JF'!J13:J100000,SUMMARY!A22&amp;"*")</f>
        <v>0</v>
      </c>
      <c r="O22" s="10">
        <f>SUMIFS('PLAN BUDGET SAMI-JF'!AX13:AX100000,'PLAN BUDGET SAMI-JF'!D13:D100000,SUMMARY!D22,'PLAN BUDGET SAMI-JF'!J13:J100000,SUMMARY!A22&amp;"*")</f>
        <v>0</v>
      </c>
      <c r="P22" s="10">
        <f>SUMIFS('PLAN BUDGET SAMI-JF'!AY13:AY100000,'PLAN BUDGET SAMI-JF'!D13:D100000,SUMMARY!D22,'PLAN BUDGET SAMI-JF'!J13:J100000,SUMMARY!A22&amp;"*")</f>
        <v>0</v>
      </c>
      <c r="Q22" s="10">
        <f>SUMIFS('PLAN BUDGET SAMI-JF'!BC13:BC100000,'PLAN BUDGET SAMI-JF'!D13:D100000,SUMMARY!D22,'PLAN BUDGET SAMI-JF'!J13:J100000,SUMMARY!A22&amp;"*")</f>
        <v>0</v>
      </c>
      <c r="R22" s="10">
        <f>SUMIFS('PLAN BUDGET SAMI-JF'!BD13:BD100000,'PLAN BUDGET SAMI-JF'!D13:D100000,SUMMARY!D22,'PLAN BUDGET SAMI-JF'!J13:J100000,SUMMARY!A22&amp;"*")</f>
        <v>0</v>
      </c>
      <c r="S22" s="10">
        <f>SUMIFS('PLAN BUDGET SAMI-JF'!BE13:BE100000,'PLAN BUDGET SAMI-JF'!D13:D100000,SUMMARY!D22,'PLAN BUDGET SAMI-JF'!J13:J100000,SUMMARY!A22&amp;"*")</f>
        <v>27.154304811818999</v>
      </c>
      <c r="T22" s="10">
        <f>SUMIFS('PLAN BUDGET SAMI-JF'!BF13:BF100000,'PLAN BUDGET SAMI-JF'!D13:D100000,SUMMARY!D22,'PLAN BUDGET SAMI-JF'!J13:J100000,SUMMARY!A22&amp;"*")</f>
        <v>0</v>
      </c>
      <c r="U22" s="10">
        <f>SUMIFS('PLAN BUDGET SAMI-JF'!BG13:BG100000,'PLAN BUDGET SAMI-JF'!D13:D100000,SUMMARY!D22,'PLAN BUDGET SAMI-JF'!J13:J100000,SUMMARY!A22&amp;"*")</f>
        <v>0</v>
      </c>
      <c r="V22" s="10">
        <f>SUMIFS('PLAN BUDGET SAMI-JF'!BH13:BH100000,'PLAN BUDGET SAMI-JF'!D13:D100000,SUMMARY!D22,'PLAN BUDGET SAMI-JF'!J13:J100000,SUMMARY!A22&amp;"*")</f>
        <v>0</v>
      </c>
      <c r="W22" s="10">
        <f>SUMIFS('PLAN BUDGET SAMI-JF'!BI13:BI100000,'PLAN BUDGET SAMI-JF'!D13:D100000,SUMMARY!D22,'PLAN BUDGET SAMI-JF'!J13:J100000,SUMMARY!A22&amp;"*")</f>
        <v>0</v>
      </c>
      <c r="X22" s="10">
        <f>SUMIFS('PLAN BUDGET SAMI-JF'!BJ13:BJ100000,'PLAN BUDGET SAMI-JF'!D13:D100000,SUMMARY!D22,'PLAN BUDGET SAMI-JF'!J13:J100000,SUMMARY!A22&amp;"*")</f>
        <v>27.154304811818999</v>
      </c>
      <c r="Y22" s="10">
        <f>SUMIFS('PLAN BUDGET SAMI-JF'!BK13:BK100000,'PLAN BUDGET SAMI-JF'!D13:D100000,SUMMARY!D22,'PLAN BUDGET SAMI-JF'!J13:J100000,SUMMARY!A22&amp;"*")</f>
        <v>0</v>
      </c>
      <c r="Z22" s="10">
        <f>SUMIFS('PLAN BUDGET SAMI-JF'!BL13:BL100000,'PLAN BUDGET SAMI-JF'!D13:D100000,SUMMARY!D22,'PLAN BUDGET SAMI-JF'!J13:J100000,SUMMARY!A22&amp;"*")</f>
        <v>0</v>
      </c>
      <c r="AA22" s="10">
        <f>SUMIFS('PLAN BUDGET SAMI-JF'!BM13:BM100000,'PLAN BUDGET SAMI-JF'!D13:D100000,SUMMARY!D22,'PLAN BUDGET SAMI-JF'!J13:J100000,SUMMARY!A22&amp;"*")</f>
        <v>0</v>
      </c>
      <c r="AB22" s="10">
        <f>SUMIFS('PLAN BUDGET SAMI-JF'!BN13:BN100000,'PLAN BUDGET SAMI-JF'!D13:D100000,SUMMARY!D22,'PLAN BUDGET SAMI-JF'!J13:J100000,SUMMARY!A22&amp;"*")</f>
        <v>0</v>
      </c>
      <c r="AC22" s="10">
        <f t="shared" si="0"/>
        <v>26</v>
      </c>
      <c r="AD22" s="10">
        <f t="shared" si="1"/>
        <v>54.308609623637999</v>
      </c>
      <c r="AE22" s="16"/>
      <c r="AF22" s="10">
        <v>12</v>
      </c>
      <c r="AG22" s="10">
        <v>22.027268238958001</v>
      </c>
      <c r="AH22" s="20">
        <f t="shared" si="2"/>
        <v>1.1666666666666667</v>
      </c>
      <c r="AI22" s="20">
        <f t="shared" si="3"/>
        <v>1.465517241379318</v>
      </c>
      <c r="AJ22" s="7" t="s">
        <v>590</v>
      </c>
    </row>
    <row r="23" spans="1:36" x14ac:dyDescent="0.35">
      <c r="A23" s="7" t="s">
        <v>47</v>
      </c>
      <c r="B23" s="7"/>
      <c r="C23" s="7"/>
      <c r="D23" s="7" t="s">
        <v>54</v>
      </c>
      <c r="E23" s="10">
        <f>SUMIFS('PLAN BUDGET SAMI-JF'!AN13:AN100000,'PLAN BUDGET SAMI-JF'!D13:D100000,SUMMARY!D23,'PLAN BUDGET SAMI-JF'!J13:J100000,SUMMARY!A23&amp;"*")</f>
        <v>0</v>
      </c>
      <c r="F23" s="10">
        <f>SUMIFS('PLAN BUDGET SAMI-JF'!AO13:AO100000,'PLAN BUDGET SAMI-JF'!D13:D100000,SUMMARY!D23,'PLAN BUDGET SAMI-JF'!J13:J100000,SUMMARY!A23&amp;"*")</f>
        <v>0</v>
      </c>
      <c r="G23" s="10">
        <f>SUMIFS('PLAN BUDGET SAMI-JF'!AP13:AP100000,'PLAN BUDGET SAMI-JF'!D13:D100000,SUMMARY!D23,'PLAN BUDGET SAMI-JF'!J13:J100000,SUMMARY!A23&amp;"*")</f>
        <v>12</v>
      </c>
      <c r="H23" s="10">
        <f>SUMIFS('PLAN BUDGET SAMI-JF'!AQ13:AQ100000,'PLAN BUDGET SAMI-JF'!D13:D100000,SUMMARY!D23,'PLAN BUDGET SAMI-JF'!J13:J100000,SUMMARY!A23&amp;"*")</f>
        <v>0</v>
      </c>
      <c r="I23" s="10">
        <f>SUMIFS('PLAN BUDGET SAMI-JF'!AR13:AR100000,'PLAN BUDGET SAMI-JF'!D13:D100000,SUMMARY!D23,'PLAN BUDGET SAMI-JF'!J13:J100000,SUMMARY!A23&amp;"*")</f>
        <v>0</v>
      </c>
      <c r="J23" s="10">
        <f>SUMIFS('PLAN BUDGET SAMI-JF'!AS13:AS100000,'PLAN BUDGET SAMI-JF'!D13:D100000,SUMMARY!D23,'PLAN BUDGET SAMI-JF'!J13:J100000,SUMMARY!A23&amp;"*")</f>
        <v>0</v>
      </c>
      <c r="K23" s="10">
        <f>SUMIFS('PLAN BUDGET SAMI-JF'!AT13:AT100000,'PLAN BUDGET SAMI-JF'!D13:D100000,SUMMARY!D23,'PLAN BUDGET SAMI-JF'!J13:J100000,SUMMARY!A23&amp;"*")</f>
        <v>0</v>
      </c>
      <c r="L23" s="10">
        <f>SUMIFS('PLAN BUDGET SAMI-JF'!AU13:AU100000,'PLAN BUDGET SAMI-JF'!D13:D100000,SUMMARY!D23,'PLAN BUDGET SAMI-JF'!J13:J100000,SUMMARY!A23&amp;"*")</f>
        <v>0</v>
      </c>
      <c r="M23" s="10">
        <f>SUMIFS('PLAN BUDGET SAMI-JF'!AV13:AV100000,'PLAN BUDGET SAMI-JF'!D13:D100000,SUMMARY!D23,'PLAN BUDGET SAMI-JF'!J13:J100000,SUMMARY!A23&amp;"*")</f>
        <v>0</v>
      </c>
      <c r="N23" s="10">
        <f>SUMIFS('PLAN BUDGET SAMI-JF'!AW13:AW100000,'PLAN BUDGET SAMI-JF'!D13:D100000,SUMMARY!D23,'PLAN BUDGET SAMI-JF'!J13:J100000,SUMMARY!A23&amp;"*")</f>
        <v>0</v>
      </c>
      <c r="O23" s="10">
        <f>SUMIFS('PLAN BUDGET SAMI-JF'!AX13:AX100000,'PLAN BUDGET SAMI-JF'!D13:D100000,SUMMARY!D23,'PLAN BUDGET SAMI-JF'!J13:J100000,SUMMARY!A23&amp;"*")</f>
        <v>0</v>
      </c>
      <c r="P23" s="10">
        <f>SUMIFS('PLAN BUDGET SAMI-JF'!AY13:AY100000,'PLAN BUDGET SAMI-JF'!D13:D100000,SUMMARY!D23,'PLAN BUDGET SAMI-JF'!J13:J100000,SUMMARY!A23&amp;"*")</f>
        <v>0</v>
      </c>
      <c r="Q23" s="10">
        <f>SUMIFS('PLAN BUDGET SAMI-JF'!BC13:BC100000,'PLAN BUDGET SAMI-JF'!D13:D100000,SUMMARY!D23,'PLAN BUDGET SAMI-JF'!J13:J100000,SUMMARY!A23&amp;"*")</f>
        <v>0</v>
      </c>
      <c r="R23" s="10">
        <f>SUMIFS('PLAN BUDGET SAMI-JF'!BD13:BD100000,'PLAN BUDGET SAMI-JF'!D13:D100000,SUMMARY!D23,'PLAN BUDGET SAMI-JF'!J13:J100000,SUMMARY!A23&amp;"*")</f>
        <v>0</v>
      </c>
      <c r="S23" s="10">
        <f>SUMIFS('PLAN BUDGET SAMI-JF'!BE13:BE100000,'PLAN BUDGET SAMI-JF'!D13:D100000,SUMMARY!D23,'PLAN BUDGET SAMI-JF'!J13:J100000,SUMMARY!A23&amp;"*")</f>
        <v>151.91219475143299</v>
      </c>
      <c r="T23" s="10">
        <f>SUMIFS('PLAN BUDGET SAMI-JF'!BF13:BF100000,'PLAN BUDGET SAMI-JF'!D13:D100000,SUMMARY!D23,'PLAN BUDGET SAMI-JF'!J13:J100000,SUMMARY!A23&amp;"*")</f>
        <v>0</v>
      </c>
      <c r="U23" s="10">
        <f>SUMIFS('PLAN BUDGET SAMI-JF'!BG13:BG100000,'PLAN BUDGET SAMI-JF'!D13:D100000,SUMMARY!D23,'PLAN BUDGET SAMI-JF'!J13:J100000,SUMMARY!A23&amp;"*")</f>
        <v>0</v>
      </c>
      <c r="V23" s="10">
        <f>SUMIFS('PLAN BUDGET SAMI-JF'!BH13:BH100000,'PLAN BUDGET SAMI-JF'!D13:D100000,SUMMARY!D23,'PLAN BUDGET SAMI-JF'!J13:J100000,SUMMARY!A23&amp;"*")</f>
        <v>0</v>
      </c>
      <c r="W23" s="10">
        <f>SUMIFS('PLAN BUDGET SAMI-JF'!BI13:BI100000,'PLAN BUDGET SAMI-JF'!D13:D100000,SUMMARY!D23,'PLAN BUDGET SAMI-JF'!J13:J100000,SUMMARY!A23&amp;"*")</f>
        <v>0</v>
      </c>
      <c r="X23" s="10">
        <f>SUMIFS('PLAN BUDGET SAMI-JF'!BJ13:BJ100000,'PLAN BUDGET SAMI-JF'!D13:D100000,SUMMARY!D23,'PLAN BUDGET SAMI-JF'!J13:J100000,SUMMARY!A23&amp;"*")</f>
        <v>0</v>
      </c>
      <c r="Y23" s="10">
        <f>SUMIFS('PLAN BUDGET SAMI-JF'!BK13:BK100000,'PLAN BUDGET SAMI-JF'!D13:D100000,SUMMARY!D23,'PLAN BUDGET SAMI-JF'!J13:J100000,SUMMARY!A23&amp;"*")</f>
        <v>0</v>
      </c>
      <c r="Z23" s="10">
        <f>SUMIFS('PLAN BUDGET SAMI-JF'!BL13:BL100000,'PLAN BUDGET SAMI-JF'!D13:D100000,SUMMARY!D23,'PLAN BUDGET SAMI-JF'!J13:J100000,SUMMARY!A23&amp;"*")</f>
        <v>0</v>
      </c>
      <c r="AA23" s="10">
        <f>SUMIFS('PLAN BUDGET SAMI-JF'!BM13:BM100000,'PLAN BUDGET SAMI-JF'!D13:D100000,SUMMARY!D23,'PLAN BUDGET SAMI-JF'!J13:J100000,SUMMARY!A23&amp;"*")</f>
        <v>0</v>
      </c>
      <c r="AB23" s="10">
        <f>SUMIFS('PLAN BUDGET SAMI-JF'!BN13:BN100000,'PLAN BUDGET SAMI-JF'!D13:D100000,SUMMARY!D23,'PLAN BUDGET SAMI-JF'!J13:J100000,SUMMARY!A23&amp;"*")</f>
        <v>0</v>
      </c>
      <c r="AC23" s="10">
        <f t="shared" si="0"/>
        <v>12</v>
      </c>
      <c r="AD23" s="10">
        <f t="shared" si="1"/>
        <v>151.91219475143299</v>
      </c>
      <c r="AE23" s="16"/>
      <c r="AF23" s="10">
        <v>0</v>
      </c>
      <c r="AG23" s="10">
        <v>0</v>
      </c>
      <c r="AH23" s="20">
        <f t="shared" si="2"/>
        <v>1</v>
      </c>
      <c r="AI23" s="20">
        <f t="shared" si="3"/>
        <v>1</v>
      </c>
      <c r="AJ23" s="36" t="s">
        <v>578</v>
      </c>
    </row>
    <row r="24" spans="1:36" x14ac:dyDescent="0.35">
      <c r="A24" s="7" t="s">
        <v>47</v>
      </c>
      <c r="B24" s="7"/>
      <c r="C24" s="7"/>
      <c r="D24" s="7" t="s">
        <v>101</v>
      </c>
      <c r="E24" s="10">
        <f>SUMIFS('PLAN BUDGET SAMI-JF'!AN13:AN100000,'PLAN BUDGET SAMI-JF'!D13:D100000,SUMMARY!D24,'PLAN BUDGET SAMI-JF'!J13:J100000,SUMMARY!A24&amp;"*")</f>
        <v>0</v>
      </c>
      <c r="F24" s="10">
        <f>SUMIFS('PLAN BUDGET SAMI-JF'!AO13:AO100000,'PLAN BUDGET SAMI-JF'!D13:D100000,SUMMARY!D24,'PLAN BUDGET SAMI-JF'!J13:J100000,SUMMARY!A24&amp;"*")</f>
        <v>0</v>
      </c>
      <c r="G24" s="10">
        <f>SUMIFS('PLAN BUDGET SAMI-JF'!AP13:AP100000,'PLAN BUDGET SAMI-JF'!D13:D100000,SUMMARY!D24,'PLAN BUDGET SAMI-JF'!J13:J100000,SUMMARY!A24&amp;"*")</f>
        <v>49</v>
      </c>
      <c r="H24" s="10">
        <f>SUMIFS('PLAN BUDGET SAMI-JF'!AQ13:AQ100000,'PLAN BUDGET SAMI-JF'!D13:D100000,SUMMARY!D24,'PLAN BUDGET SAMI-JF'!J13:J100000,SUMMARY!A24&amp;"*")</f>
        <v>0</v>
      </c>
      <c r="I24" s="10">
        <f>SUMIFS('PLAN BUDGET SAMI-JF'!AR13:AR100000,'PLAN BUDGET SAMI-JF'!D13:D100000,SUMMARY!D24,'PLAN BUDGET SAMI-JF'!J13:J100000,SUMMARY!A24&amp;"*")</f>
        <v>0</v>
      </c>
      <c r="J24" s="10">
        <f>SUMIFS('PLAN BUDGET SAMI-JF'!AS13:AS100000,'PLAN BUDGET SAMI-JF'!D13:D100000,SUMMARY!D24,'PLAN BUDGET SAMI-JF'!J13:J100000,SUMMARY!A24&amp;"*")</f>
        <v>1</v>
      </c>
      <c r="K24" s="10">
        <f>SUMIFS('PLAN BUDGET SAMI-JF'!AT13:AT100000,'PLAN BUDGET SAMI-JF'!D13:D100000,SUMMARY!D24,'PLAN BUDGET SAMI-JF'!J13:J100000,SUMMARY!A24&amp;"*")</f>
        <v>0</v>
      </c>
      <c r="L24" s="10">
        <f>SUMIFS('PLAN BUDGET SAMI-JF'!AU13:AU100000,'PLAN BUDGET SAMI-JF'!D13:D100000,SUMMARY!D24,'PLAN BUDGET SAMI-JF'!J13:J100000,SUMMARY!A24&amp;"*")</f>
        <v>0</v>
      </c>
      <c r="M24" s="10">
        <f>SUMIFS('PLAN BUDGET SAMI-JF'!AV13:AV100000,'PLAN BUDGET SAMI-JF'!D13:D100000,SUMMARY!D24,'PLAN BUDGET SAMI-JF'!J13:J100000,SUMMARY!A24&amp;"*")</f>
        <v>49</v>
      </c>
      <c r="N24" s="10">
        <f>SUMIFS('PLAN BUDGET SAMI-JF'!AW13:AW100000,'PLAN BUDGET SAMI-JF'!D13:D100000,SUMMARY!D24,'PLAN BUDGET SAMI-JF'!J13:J100000,SUMMARY!A24&amp;"*")</f>
        <v>0</v>
      </c>
      <c r="O24" s="10">
        <f>SUMIFS('PLAN BUDGET SAMI-JF'!AX13:AX100000,'PLAN BUDGET SAMI-JF'!D13:D100000,SUMMARY!D24,'PLAN BUDGET SAMI-JF'!J13:J100000,SUMMARY!A24&amp;"*")</f>
        <v>0</v>
      </c>
      <c r="P24" s="10">
        <f>SUMIFS('PLAN BUDGET SAMI-JF'!AY13:AY100000,'PLAN BUDGET SAMI-JF'!D13:D100000,SUMMARY!D24,'PLAN BUDGET SAMI-JF'!J13:J100000,SUMMARY!A24&amp;"*")</f>
        <v>0</v>
      </c>
      <c r="Q24" s="10">
        <f>SUMIFS('PLAN BUDGET SAMI-JF'!BC13:BC100000,'PLAN BUDGET SAMI-JF'!D13:D100000,SUMMARY!D24,'PLAN BUDGET SAMI-JF'!J13:J100000,SUMMARY!A24&amp;"*")</f>
        <v>0</v>
      </c>
      <c r="R24" s="10">
        <f>SUMIFS('PLAN BUDGET SAMI-JF'!BD13:BD100000,'PLAN BUDGET SAMI-JF'!D13:D100000,SUMMARY!D24,'PLAN BUDGET SAMI-JF'!J13:J100000,SUMMARY!A24&amp;"*")</f>
        <v>0</v>
      </c>
      <c r="S24" s="10">
        <f>SUMIFS('PLAN BUDGET SAMI-JF'!BE13:BE100000,'PLAN BUDGET SAMI-JF'!D13:D100000,SUMMARY!D24,'PLAN BUDGET SAMI-JF'!J13:J100000,SUMMARY!A24&amp;"*")</f>
        <v>1253.2756066993279</v>
      </c>
      <c r="T24" s="10">
        <f>SUMIFS('PLAN BUDGET SAMI-JF'!BF13:BF100000,'PLAN BUDGET SAMI-JF'!D13:D100000,SUMMARY!D24,'PLAN BUDGET SAMI-JF'!J13:J100000,SUMMARY!A24&amp;"*")</f>
        <v>0</v>
      </c>
      <c r="U24" s="10">
        <f>SUMIFS('PLAN BUDGET SAMI-JF'!BG13:BG100000,'PLAN BUDGET SAMI-JF'!D13:D100000,SUMMARY!D24,'PLAN BUDGET SAMI-JF'!J13:J100000,SUMMARY!A24&amp;"*")</f>
        <v>0</v>
      </c>
      <c r="V24" s="10">
        <f>SUMIFS('PLAN BUDGET SAMI-JF'!BH13:BH100000,'PLAN BUDGET SAMI-JF'!D13:D100000,SUMMARY!D24,'PLAN BUDGET SAMI-JF'!J13:J100000,SUMMARY!A24&amp;"*")</f>
        <v>158.24186953274</v>
      </c>
      <c r="W24" s="10">
        <f>SUMIFS('PLAN BUDGET SAMI-JF'!BI13:BI100000,'PLAN BUDGET SAMI-JF'!D13:D100000,SUMMARY!D24,'PLAN BUDGET SAMI-JF'!J13:J100000,SUMMARY!A24&amp;"*")</f>
        <v>0</v>
      </c>
      <c r="X24" s="10">
        <f>SUMIFS('PLAN BUDGET SAMI-JF'!BJ13:BJ100000,'PLAN BUDGET SAMI-JF'!D13:D100000,SUMMARY!D24,'PLAN BUDGET SAMI-JF'!J13:J100000,SUMMARY!A24&amp;"*")</f>
        <v>0</v>
      </c>
      <c r="Y24" s="10">
        <f>SUMIFS('PLAN BUDGET SAMI-JF'!BK13:BK100000,'PLAN BUDGET SAMI-JF'!D13:D100000,SUMMARY!D24,'PLAN BUDGET SAMI-JF'!J13:J100000,SUMMARY!A24&amp;"*")</f>
        <v>1253.2756066993279</v>
      </c>
      <c r="Z24" s="10">
        <f>SUMIFS('PLAN BUDGET SAMI-JF'!BL13:BL100000,'PLAN BUDGET SAMI-JF'!D13:D100000,SUMMARY!D24,'PLAN BUDGET SAMI-JF'!J13:J100000,SUMMARY!A24&amp;"*")</f>
        <v>0</v>
      </c>
      <c r="AA24" s="10">
        <f>SUMIFS('PLAN BUDGET SAMI-JF'!BM13:BM100000,'PLAN BUDGET SAMI-JF'!D13:D100000,SUMMARY!D24,'PLAN BUDGET SAMI-JF'!J13:J100000,SUMMARY!A24&amp;"*")</f>
        <v>0</v>
      </c>
      <c r="AB24" s="10">
        <f>SUMIFS('PLAN BUDGET SAMI-JF'!BN13:BN100000,'PLAN BUDGET SAMI-JF'!D13:D100000,SUMMARY!D24,'PLAN BUDGET SAMI-JF'!J13:J100000,SUMMARY!A24&amp;"*")</f>
        <v>0</v>
      </c>
      <c r="AC24" s="10">
        <f t="shared" si="0"/>
        <v>99</v>
      </c>
      <c r="AD24" s="10">
        <f t="shared" si="1"/>
        <v>2664.7930829313959</v>
      </c>
      <c r="AE24" s="16"/>
      <c r="AF24" s="10">
        <v>164</v>
      </c>
      <c r="AG24" s="10">
        <v>1556.4670287240999</v>
      </c>
      <c r="AH24" s="20">
        <f t="shared" si="2"/>
        <v>-0.39634146341463417</v>
      </c>
      <c r="AI24" s="20">
        <f t="shared" si="3"/>
        <v>0.71207808052049548</v>
      </c>
      <c r="AJ24" s="36" t="s">
        <v>577</v>
      </c>
    </row>
    <row r="25" spans="1:36" x14ac:dyDescent="0.35">
      <c r="A25" s="7" t="s">
        <v>47</v>
      </c>
      <c r="B25" s="7"/>
      <c r="C25" s="7"/>
      <c r="D25" s="7" t="s">
        <v>78</v>
      </c>
      <c r="E25" s="10">
        <f>SUMIFS('PLAN BUDGET SAMI-JF'!AN13:AN100000,'PLAN BUDGET SAMI-JF'!D13:D100000,SUMMARY!D25,'PLAN BUDGET SAMI-JF'!J13:J100000,SUMMARY!A25&amp;"*")</f>
        <v>0</v>
      </c>
      <c r="F25" s="10">
        <f>SUMIFS('PLAN BUDGET SAMI-JF'!AO13:AO100000,'PLAN BUDGET SAMI-JF'!D13:D100000,SUMMARY!D25,'PLAN BUDGET SAMI-JF'!J13:J100000,SUMMARY!A25&amp;"*")</f>
        <v>0</v>
      </c>
      <c r="G25" s="10">
        <f>SUMIFS('PLAN BUDGET SAMI-JF'!AP13:AP100000,'PLAN BUDGET SAMI-JF'!D13:D100000,SUMMARY!D25,'PLAN BUDGET SAMI-JF'!J13:J100000,SUMMARY!A25&amp;"*")</f>
        <v>1</v>
      </c>
      <c r="H25" s="10">
        <f>SUMIFS('PLAN BUDGET SAMI-JF'!AQ13:AQ100000,'PLAN BUDGET SAMI-JF'!D13:D100000,SUMMARY!D25,'PLAN BUDGET SAMI-JF'!J13:J100000,SUMMARY!A25&amp;"*")</f>
        <v>0</v>
      </c>
      <c r="I25" s="10">
        <f>SUMIFS('PLAN BUDGET SAMI-JF'!AR13:AR100000,'PLAN BUDGET SAMI-JF'!D13:D100000,SUMMARY!D25,'PLAN BUDGET SAMI-JF'!J13:J100000,SUMMARY!A25&amp;"*")</f>
        <v>0</v>
      </c>
      <c r="J25" s="10">
        <f>SUMIFS('PLAN BUDGET SAMI-JF'!AS13:AS100000,'PLAN BUDGET SAMI-JF'!D13:D100000,SUMMARY!D25,'PLAN BUDGET SAMI-JF'!J13:J100000,SUMMARY!A25&amp;"*")</f>
        <v>0</v>
      </c>
      <c r="K25" s="10">
        <f>SUMIFS('PLAN BUDGET SAMI-JF'!AT13:AT100000,'PLAN BUDGET SAMI-JF'!D13:D100000,SUMMARY!D25,'PLAN BUDGET SAMI-JF'!J13:J100000,SUMMARY!A25&amp;"*")</f>
        <v>0</v>
      </c>
      <c r="L25" s="10">
        <f>SUMIFS('PLAN BUDGET SAMI-JF'!AU13:AU100000,'PLAN BUDGET SAMI-JF'!D13:D100000,SUMMARY!D25,'PLAN BUDGET SAMI-JF'!J13:J100000,SUMMARY!A25&amp;"*")</f>
        <v>0</v>
      </c>
      <c r="M25" s="10">
        <f>SUMIFS('PLAN BUDGET SAMI-JF'!AV13:AV100000,'PLAN BUDGET SAMI-JF'!D13:D100000,SUMMARY!D25,'PLAN BUDGET SAMI-JF'!J13:J100000,SUMMARY!A25&amp;"*")</f>
        <v>0</v>
      </c>
      <c r="N25" s="10">
        <f>SUMIFS('PLAN BUDGET SAMI-JF'!AW13:AW100000,'PLAN BUDGET SAMI-JF'!D13:D100000,SUMMARY!D25,'PLAN BUDGET SAMI-JF'!J13:J100000,SUMMARY!A25&amp;"*")</f>
        <v>0</v>
      </c>
      <c r="O25" s="10">
        <f>SUMIFS('PLAN BUDGET SAMI-JF'!AX13:AX100000,'PLAN BUDGET SAMI-JF'!D13:D100000,SUMMARY!D25,'PLAN BUDGET SAMI-JF'!J13:J100000,SUMMARY!A25&amp;"*")</f>
        <v>0</v>
      </c>
      <c r="P25" s="10">
        <f>SUMIFS('PLAN BUDGET SAMI-JF'!AY13:AY100000,'PLAN BUDGET SAMI-JF'!D13:D100000,SUMMARY!D25,'PLAN BUDGET SAMI-JF'!J13:J100000,SUMMARY!A25&amp;"*")</f>
        <v>0</v>
      </c>
      <c r="Q25" s="10">
        <f>SUMIFS('PLAN BUDGET SAMI-JF'!BC13:BC100000,'PLAN BUDGET SAMI-JF'!D13:D100000,SUMMARY!D25,'PLAN BUDGET SAMI-JF'!J13:J100000,SUMMARY!A25&amp;"*")</f>
        <v>0</v>
      </c>
      <c r="R25" s="10">
        <f>SUMIFS('PLAN BUDGET SAMI-JF'!BD13:BD100000,'PLAN BUDGET SAMI-JF'!D13:D100000,SUMMARY!D25,'PLAN BUDGET SAMI-JF'!J13:J100000,SUMMARY!A25&amp;"*")</f>
        <v>0</v>
      </c>
      <c r="S25" s="10">
        <f>SUMIFS('PLAN BUDGET SAMI-JF'!BE13:BE100000,'PLAN BUDGET SAMI-JF'!D13:D100000,SUMMARY!D25,'PLAN BUDGET SAMI-JF'!J13:J100000,SUMMARY!A25&amp;"*")</f>
        <v>2.8806349929741</v>
      </c>
      <c r="T25" s="10">
        <f>SUMIFS('PLAN BUDGET SAMI-JF'!BF13:BF100000,'PLAN BUDGET SAMI-JF'!D13:D100000,SUMMARY!D25,'PLAN BUDGET SAMI-JF'!J13:J100000,SUMMARY!A25&amp;"*")</f>
        <v>0</v>
      </c>
      <c r="U25" s="10">
        <f>SUMIFS('PLAN BUDGET SAMI-JF'!BG13:BG100000,'PLAN BUDGET SAMI-JF'!D13:D100000,SUMMARY!D25,'PLAN BUDGET SAMI-JF'!J13:J100000,SUMMARY!A25&amp;"*")</f>
        <v>0</v>
      </c>
      <c r="V25" s="10">
        <f>SUMIFS('PLAN BUDGET SAMI-JF'!BH13:BH100000,'PLAN BUDGET SAMI-JF'!D13:D100000,SUMMARY!D25,'PLAN BUDGET SAMI-JF'!J13:J100000,SUMMARY!A25&amp;"*")</f>
        <v>0</v>
      </c>
      <c r="W25" s="10">
        <f>SUMIFS('PLAN BUDGET SAMI-JF'!BI13:BI100000,'PLAN BUDGET SAMI-JF'!D13:D100000,SUMMARY!D25,'PLAN BUDGET SAMI-JF'!J13:J100000,SUMMARY!A25&amp;"*")</f>
        <v>0</v>
      </c>
      <c r="X25" s="10">
        <f>SUMIFS('PLAN BUDGET SAMI-JF'!BJ13:BJ100000,'PLAN BUDGET SAMI-JF'!D13:D100000,SUMMARY!D25,'PLAN BUDGET SAMI-JF'!J13:J100000,SUMMARY!A25&amp;"*")</f>
        <v>0</v>
      </c>
      <c r="Y25" s="10">
        <f>SUMIFS('PLAN BUDGET SAMI-JF'!BK13:BK100000,'PLAN BUDGET SAMI-JF'!D13:D100000,SUMMARY!D25,'PLAN BUDGET SAMI-JF'!J13:J100000,SUMMARY!A25&amp;"*")</f>
        <v>0</v>
      </c>
      <c r="Z25" s="10">
        <f>SUMIFS('PLAN BUDGET SAMI-JF'!BL13:BL100000,'PLAN BUDGET SAMI-JF'!D13:D100000,SUMMARY!D25,'PLAN BUDGET SAMI-JF'!J13:J100000,SUMMARY!A25&amp;"*")</f>
        <v>0</v>
      </c>
      <c r="AA25" s="10">
        <f>SUMIFS('PLAN BUDGET SAMI-JF'!BM13:BM100000,'PLAN BUDGET SAMI-JF'!D13:D100000,SUMMARY!D25,'PLAN BUDGET SAMI-JF'!J13:J100000,SUMMARY!A25&amp;"*")</f>
        <v>0</v>
      </c>
      <c r="AB25" s="10">
        <f>SUMIFS('PLAN BUDGET SAMI-JF'!BN13:BN100000,'PLAN BUDGET SAMI-JF'!D13:D100000,SUMMARY!D25,'PLAN BUDGET SAMI-JF'!J13:J100000,SUMMARY!A25&amp;"*")</f>
        <v>0</v>
      </c>
      <c r="AC25" s="10">
        <f t="shared" si="0"/>
        <v>1</v>
      </c>
      <c r="AD25" s="10">
        <f t="shared" si="1"/>
        <v>2.8806349929741</v>
      </c>
      <c r="AE25" s="16"/>
      <c r="AF25" s="10">
        <v>0</v>
      </c>
      <c r="AG25" s="10">
        <v>0</v>
      </c>
      <c r="AH25" s="20">
        <f t="shared" si="2"/>
        <v>1</v>
      </c>
      <c r="AI25" s="20">
        <f t="shared" si="3"/>
        <v>1</v>
      </c>
      <c r="AJ25" s="36" t="s">
        <v>568</v>
      </c>
    </row>
    <row r="26" spans="1:36" x14ac:dyDescent="0.35">
      <c r="A26" s="7" t="s">
        <v>47</v>
      </c>
      <c r="B26" s="7"/>
      <c r="C26" s="7"/>
      <c r="D26" s="7" t="s">
        <v>193</v>
      </c>
      <c r="E26" s="10">
        <f>SUMIFS('PLAN BUDGET SAMI-JF'!AN13:AN100000,'PLAN BUDGET SAMI-JF'!D13:D100000,SUMMARY!D26,'PLAN BUDGET SAMI-JF'!J13:J100000,SUMMARY!A26&amp;"*")</f>
        <v>0</v>
      </c>
      <c r="F26" s="10">
        <f>SUMIFS('PLAN BUDGET SAMI-JF'!AO13:AO100000,'PLAN BUDGET SAMI-JF'!D13:D100000,SUMMARY!D26,'PLAN BUDGET SAMI-JF'!J13:J100000,SUMMARY!A26&amp;"*")</f>
        <v>0</v>
      </c>
      <c r="G26" s="10">
        <f>SUMIFS('PLAN BUDGET SAMI-JF'!AP13:AP100000,'PLAN BUDGET SAMI-JF'!D13:D100000,SUMMARY!D26,'PLAN BUDGET SAMI-JF'!J13:J100000,SUMMARY!A26&amp;"*")</f>
        <v>0</v>
      </c>
      <c r="H26" s="10">
        <f>SUMIFS('PLAN BUDGET SAMI-JF'!AQ13:AQ100000,'PLAN BUDGET SAMI-JF'!D13:D100000,SUMMARY!D26,'PLAN BUDGET SAMI-JF'!J13:J100000,SUMMARY!A26&amp;"*")</f>
        <v>0</v>
      </c>
      <c r="I26" s="10">
        <f>SUMIFS('PLAN BUDGET SAMI-JF'!AR13:AR100000,'PLAN BUDGET SAMI-JF'!D13:D100000,SUMMARY!D26,'PLAN BUDGET SAMI-JF'!J13:J100000,SUMMARY!A26&amp;"*")</f>
        <v>0</v>
      </c>
      <c r="J26" s="10">
        <f>SUMIFS('PLAN BUDGET SAMI-JF'!AS13:AS100000,'PLAN BUDGET SAMI-JF'!D13:D100000,SUMMARY!D26,'PLAN BUDGET SAMI-JF'!J13:J100000,SUMMARY!A26&amp;"*")</f>
        <v>0</v>
      </c>
      <c r="K26" s="10">
        <f>SUMIFS('PLAN BUDGET SAMI-JF'!AT13:AT100000,'PLAN BUDGET SAMI-JF'!D13:D100000,SUMMARY!D26,'PLAN BUDGET SAMI-JF'!J13:J100000,SUMMARY!A26&amp;"*")</f>
        <v>0</v>
      </c>
      <c r="L26" s="10">
        <f>SUMIFS('PLAN BUDGET SAMI-JF'!AU13:AU100000,'PLAN BUDGET SAMI-JF'!D13:D100000,SUMMARY!D26,'PLAN BUDGET SAMI-JF'!J13:J100000,SUMMARY!A26&amp;"*")</f>
        <v>0</v>
      </c>
      <c r="M26" s="10">
        <f>SUMIFS('PLAN BUDGET SAMI-JF'!AV13:AV100000,'PLAN BUDGET SAMI-JF'!D13:D100000,SUMMARY!D26,'PLAN BUDGET SAMI-JF'!J13:J100000,SUMMARY!A26&amp;"*")</f>
        <v>0</v>
      </c>
      <c r="N26" s="10">
        <f>SUMIFS('PLAN BUDGET SAMI-JF'!AW13:AW100000,'PLAN BUDGET SAMI-JF'!D13:D100000,SUMMARY!D26,'PLAN BUDGET SAMI-JF'!J13:J100000,SUMMARY!A26&amp;"*")</f>
        <v>0</v>
      </c>
      <c r="O26" s="10">
        <f>SUMIFS('PLAN BUDGET SAMI-JF'!AX13:AX100000,'PLAN BUDGET SAMI-JF'!D13:D100000,SUMMARY!D26,'PLAN BUDGET SAMI-JF'!J13:J100000,SUMMARY!A26&amp;"*")</f>
        <v>0</v>
      </c>
      <c r="P26" s="10">
        <f>SUMIFS('PLAN BUDGET SAMI-JF'!AY13:AY100000,'PLAN BUDGET SAMI-JF'!D13:D100000,SUMMARY!D26,'PLAN BUDGET SAMI-JF'!J13:J100000,SUMMARY!A26&amp;"*")</f>
        <v>1</v>
      </c>
      <c r="Q26" s="10">
        <f>SUMIFS('PLAN BUDGET SAMI-JF'!BC13:BC100000,'PLAN BUDGET SAMI-JF'!D13:D100000,SUMMARY!D26,'PLAN BUDGET SAMI-JF'!J13:J100000,SUMMARY!A26&amp;"*")</f>
        <v>0</v>
      </c>
      <c r="R26" s="10">
        <f>SUMIFS('PLAN BUDGET SAMI-JF'!BD13:BD100000,'PLAN BUDGET SAMI-JF'!D13:D100000,SUMMARY!D26,'PLAN BUDGET SAMI-JF'!J13:J100000,SUMMARY!A26&amp;"*")</f>
        <v>0</v>
      </c>
      <c r="S26" s="10">
        <f>SUMIFS('PLAN BUDGET SAMI-JF'!BE13:BE100000,'PLAN BUDGET SAMI-JF'!D13:D100000,SUMMARY!D26,'PLAN BUDGET SAMI-JF'!J13:J100000,SUMMARY!A26&amp;"*")</f>
        <v>0</v>
      </c>
      <c r="T26" s="10">
        <f>SUMIFS('PLAN BUDGET SAMI-JF'!BF13:BF100000,'PLAN BUDGET SAMI-JF'!D13:D100000,SUMMARY!D26,'PLAN BUDGET SAMI-JF'!J13:J100000,SUMMARY!A26&amp;"*")</f>
        <v>0</v>
      </c>
      <c r="U26" s="10">
        <f>SUMIFS('PLAN BUDGET SAMI-JF'!BG13:BG100000,'PLAN BUDGET SAMI-JF'!D13:D100000,SUMMARY!D26,'PLAN BUDGET SAMI-JF'!J13:J100000,SUMMARY!A26&amp;"*")</f>
        <v>0</v>
      </c>
      <c r="V26" s="10">
        <f>SUMIFS('PLAN BUDGET SAMI-JF'!BH13:BH100000,'PLAN BUDGET SAMI-JF'!D13:D100000,SUMMARY!D26,'PLAN BUDGET SAMI-JF'!J13:J100000,SUMMARY!A26&amp;"*")</f>
        <v>0</v>
      </c>
      <c r="W26" s="10">
        <f>SUMIFS('PLAN BUDGET SAMI-JF'!BI13:BI100000,'PLAN BUDGET SAMI-JF'!D13:D100000,SUMMARY!D26,'PLAN BUDGET SAMI-JF'!J13:J100000,SUMMARY!A26&amp;"*")</f>
        <v>0</v>
      </c>
      <c r="X26" s="10">
        <f>SUMIFS('PLAN BUDGET SAMI-JF'!BJ13:BJ100000,'PLAN BUDGET SAMI-JF'!D13:D100000,SUMMARY!D26,'PLAN BUDGET SAMI-JF'!J13:J100000,SUMMARY!A26&amp;"*")</f>
        <v>0</v>
      </c>
      <c r="Y26" s="10">
        <f>SUMIFS('PLAN BUDGET SAMI-JF'!BK13:BK100000,'PLAN BUDGET SAMI-JF'!D13:D100000,SUMMARY!D26,'PLAN BUDGET SAMI-JF'!J13:J100000,SUMMARY!A26&amp;"*")</f>
        <v>0</v>
      </c>
      <c r="Z26" s="10">
        <f>SUMIFS('PLAN BUDGET SAMI-JF'!BL13:BL100000,'PLAN BUDGET SAMI-JF'!D13:D100000,SUMMARY!D26,'PLAN BUDGET SAMI-JF'!J13:J100000,SUMMARY!A26&amp;"*")</f>
        <v>0</v>
      </c>
      <c r="AA26" s="10">
        <f>SUMIFS('PLAN BUDGET SAMI-JF'!BM13:BM100000,'PLAN BUDGET SAMI-JF'!D13:D100000,SUMMARY!D26,'PLAN BUDGET SAMI-JF'!J13:J100000,SUMMARY!A26&amp;"*")</f>
        <v>0</v>
      </c>
      <c r="AB26" s="10">
        <f>SUMIFS('PLAN BUDGET SAMI-JF'!BN13:BN100000,'PLAN BUDGET SAMI-JF'!D13:D100000,SUMMARY!D26,'PLAN BUDGET SAMI-JF'!J13:J100000,SUMMARY!A26&amp;"*")</f>
        <v>316.48373906549</v>
      </c>
      <c r="AC26" s="10">
        <f t="shared" si="0"/>
        <v>1</v>
      </c>
      <c r="AD26" s="10">
        <f t="shared" si="1"/>
        <v>316.48373906549</v>
      </c>
      <c r="AE26" s="16"/>
      <c r="AF26" s="10">
        <v>0</v>
      </c>
      <c r="AG26" s="10">
        <v>0</v>
      </c>
      <c r="AH26" s="20">
        <f t="shared" si="2"/>
        <v>1</v>
      </c>
      <c r="AI26" s="20">
        <f t="shared" si="3"/>
        <v>1</v>
      </c>
      <c r="AJ26" s="36" t="s">
        <v>569</v>
      </c>
    </row>
    <row r="27" spans="1:36" x14ac:dyDescent="0.35">
      <c r="A27" s="7" t="s">
        <v>47</v>
      </c>
      <c r="B27" s="7"/>
      <c r="C27" s="7"/>
      <c r="D27" s="7" t="s">
        <v>179</v>
      </c>
      <c r="E27" s="10">
        <f>SUMIFS('PLAN BUDGET SAMI-JF'!AN13:AN100000,'PLAN BUDGET SAMI-JF'!D13:D100000,SUMMARY!D27,'PLAN BUDGET SAMI-JF'!J13:J100000,SUMMARY!A27&amp;"*")</f>
        <v>17</v>
      </c>
      <c r="F27" s="10">
        <f>SUMIFS('PLAN BUDGET SAMI-JF'!AO13:AO100000,'PLAN BUDGET SAMI-JF'!D13:D100000,SUMMARY!D27,'PLAN BUDGET SAMI-JF'!J13:J100000,SUMMARY!A27&amp;"*")</f>
        <v>0</v>
      </c>
      <c r="G27" s="10">
        <f>SUMIFS('PLAN BUDGET SAMI-JF'!AP13:AP100000,'PLAN BUDGET SAMI-JF'!D13:D100000,SUMMARY!D27,'PLAN BUDGET SAMI-JF'!J13:J100000,SUMMARY!A27&amp;"*")</f>
        <v>0</v>
      </c>
      <c r="H27" s="10">
        <f>SUMIFS('PLAN BUDGET SAMI-JF'!AQ13:AQ100000,'PLAN BUDGET SAMI-JF'!D13:D100000,SUMMARY!D27,'PLAN BUDGET SAMI-JF'!J13:J100000,SUMMARY!A27&amp;"*")</f>
        <v>0</v>
      </c>
      <c r="I27" s="10">
        <f>SUMIFS('PLAN BUDGET SAMI-JF'!AR13:AR100000,'PLAN BUDGET SAMI-JF'!D13:D100000,SUMMARY!D27,'PLAN BUDGET SAMI-JF'!J13:J100000,SUMMARY!A27&amp;"*")</f>
        <v>0</v>
      </c>
      <c r="J27" s="10">
        <f>SUMIFS('PLAN BUDGET SAMI-JF'!AS13:AS100000,'PLAN BUDGET SAMI-JF'!D13:D100000,SUMMARY!D27,'PLAN BUDGET SAMI-JF'!J13:J100000,SUMMARY!A27&amp;"*")</f>
        <v>0</v>
      </c>
      <c r="K27" s="10">
        <f>SUMIFS('PLAN BUDGET SAMI-JF'!AT13:AT100000,'PLAN BUDGET SAMI-JF'!D13:D100000,SUMMARY!D27,'PLAN BUDGET SAMI-JF'!J13:J100000,SUMMARY!A27&amp;"*")</f>
        <v>0</v>
      </c>
      <c r="L27" s="10">
        <f>SUMIFS('PLAN BUDGET SAMI-JF'!AU13:AU100000,'PLAN BUDGET SAMI-JF'!D13:D100000,SUMMARY!D27,'PLAN BUDGET SAMI-JF'!J13:J100000,SUMMARY!A27&amp;"*")</f>
        <v>0</v>
      </c>
      <c r="M27" s="10">
        <f>SUMIFS('PLAN BUDGET SAMI-JF'!AV13:AV100000,'PLAN BUDGET SAMI-JF'!D13:D100000,SUMMARY!D27,'PLAN BUDGET SAMI-JF'!J13:J100000,SUMMARY!A27&amp;"*")</f>
        <v>0</v>
      </c>
      <c r="N27" s="10">
        <f>SUMIFS('PLAN BUDGET SAMI-JF'!AW13:AW100000,'PLAN BUDGET SAMI-JF'!D13:D100000,SUMMARY!D27,'PLAN BUDGET SAMI-JF'!J13:J100000,SUMMARY!A27&amp;"*")</f>
        <v>0</v>
      </c>
      <c r="O27" s="10">
        <f>SUMIFS('PLAN BUDGET SAMI-JF'!AX13:AX100000,'PLAN BUDGET SAMI-JF'!D13:D100000,SUMMARY!D27,'PLAN BUDGET SAMI-JF'!J13:J100000,SUMMARY!A27&amp;"*")</f>
        <v>0</v>
      </c>
      <c r="P27" s="10">
        <f>SUMIFS('PLAN BUDGET SAMI-JF'!AY13:AY100000,'PLAN BUDGET SAMI-JF'!D13:D100000,SUMMARY!D27,'PLAN BUDGET SAMI-JF'!J13:J100000,SUMMARY!A27&amp;"*")</f>
        <v>0</v>
      </c>
      <c r="Q27" s="10">
        <f>SUMIFS('PLAN BUDGET SAMI-JF'!BC13:BC100000,'PLAN BUDGET SAMI-JF'!D13:D100000,SUMMARY!D27,'PLAN BUDGET SAMI-JF'!J13:J100000,SUMMARY!A27&amp;"*")</f>
        <v>269.01117820565997</v>
      </c>
      <c r="R27" s="10">
        <f>SUMIFS('PLAN BUDGET SAMI-JF'!BD13:BD100000,'PLAN BUDGET SAMI-JF'!D13:D100000,SUMMARY!D27,'PLAN BUDGET SAMI-JF'!J13:J100000,SUMMARY!A27&amp;"*")</f>
        <v>0</v>
      </c>
      <c r="S27" s="10">
        <f>SUMIFS('PLAN BUDGET SAMI-JF'!BE13:BE100000,'PLAN BUDGET SAMI-JF'!D13:D100000,SUMMARY!D27,'PLAN BUDGET SAMI-JF'!J13:J100000,SUMMARY!A27&amp;"*")</f>
        <v>0</v>
      </c>
      <c r="T27" s="10">
        <f>SUMIFS('PLAN BUDGET SAMI-JF'!BF13:BF100000,'PLAN BUDGET SAMI-JF'!D13:D100000,SUMMARY!D27,'PLAN BUDGET SAMI-JF'!J13:J100000,SUMMARY!A27&amp;"*")</f>
        <v>0</v>
      </c>
      <c r="U27" s="10">
        <f>SUMIFS('PLAN BUDGET SAMI-JF'!BG13:BG100000,'PLAN BUDGET SAMI-JF'!D13:D100000,SUMMARY!D27,'PLAN BUDGET SAMI-JF'!J13:J100000,SUMMARY!A27&amp;"*")</f>
        <v>0</v>
      </c>
      <c r="V27" s="10">
        <f>SUMIFS('PLAN BUDGET SAMI-JF'!BH13:BH100000,'PLAN BUDGET SAMI-JF'!D13:D100000,SUMMARY!D27,'PLAN BUDGET SAMI-JF'!J13:J100000,SUMMARY!A27&amp;"*")</f>
        <v>0</v>
      </c>
      <c r="W27" s="10">
        <f>SUMIFS('PLAN BUDGET SAMI-JF'!BI13:BI100000,'PLAN BUDGET SAMI-JF'!D13:D100000,SUMMARY!D27,'PLAN BUDGET SAMI-JF'!J13:J100000,SUMMARY!A27&amp;"*")</f>
        <v>0</v>
      </c>
      <c r="X27" s="10">
        <f>SUMIFS('PLAN BUDGET SAMI-JF'!BJ13:BJ100000,'PLAN BUDGET SAMI-JF'!D13:D100000,SUMMARY!D27,'PLAN BUDGET SAMI-JF'!J13:J100000,SUMMARY!A27&amp;"*")</f>
        <v>0</v>
      </c>
      <c r="Y27" s="10">
        <f>SUMIFS('PLAN BUDGET SAMI-JF'!BK13:BK100000,'PLAN BUDGET SAMI-JF'!D13:D100000,SUMMARY!D27,'PLAN BUDGET SAMI-JF'!J13:J100000,SUMMARY!A27&amp;"*")</f>
        <v>0</v>
      </c>
      <c r="Z27" s="10">
        <f>SUMIFS('PLAN BUDGET SAMI-JF'!BL13:BL100000,'PLAN BUDGET SAMI-JF'!D13:D100000,SUMMARY!D27,'PLAN BUDGET SAMI-JF'!J13:J100000,SUMMARY!A27&amp;"*")</f>
        <v>0</v>
      </c>
      <c r="AA27" s="10">
        <f>SUMIFS('PLAN BUDGET SAMI-JF'!BM13:BM100000,'PLAN BUDGET SAMI-JF'!D13:D100000,SUMMARY!D27,'PLAN BUDGET SAMI-JF'!J13:J100000,SUMMARY!A27&amp;"*")</f>
        <v>0</v>
      </c>
      <c r="AB27" s="10">
        <f>SUMIFS('PLAN BUDGET SAMI-JF'!BN13:BN100000,'PLAN BUDGET SAMI-JF'!D13:D100000,SUMMARY!D27,'PLAN BUDGET SAMI-JF'!J13:J100000,SUMMARY!A27&amp;"*")</f>
        <v>0</v>
      </c>
      <c r="AC27" s="10">
        <f t="shared" si="0"/>
        <v>17</v>
      </c>
      <c r="AD27" s="10">
        <f t="shared" si="1"/>
        <v>269.01117820565997</v>
      </c>
      <c r="AE27" s="16"/>
      <c r="AF27" s="10">
        <v>32</v>
      </c>
      <c r="AG27" s="10">
        <v>506.37398250477997</v>
      </c>
      <c r="AH27" s="20">
        <f t="shared" si="2"/>
        <v>-0.46875</v>
      </c>
      <c r="AI27" s="20">
        <f t="shared" si="3"/>
        <v>-0.46875000000000866</v>
      </c>
      <c r="AJ27" s="7"/>
    </row>
    <row r="28" spans="1:36" x14ac:dyDescent="0.35">
      <c r="A28" s="7" t="s">
        <v>47</v>
      </c>
      <c r="B28" s="7"/>
      <c r="C28" s="7"/>
      <c r="D28" s="7" t="s">
        <v>314</v>
      </c>
      <c r="E28" s="10">
        <f>SUMIFS('PLAN BUDGET SAMI-JF'!AN13:AN100000,'PLAN BUDGET SAMI-JF'!D13:D100000,SUMMARY!D28,'PLAN BUDGET SAMI-JF'!J13:J100000,SUMMARY!A28&amp;"*")</f>
        <v>1</v>
      </c>
      <c r="F28" s="10">
        <f>SUMIFS('PLAN BUDGET SAMI-JF'!AO13:AO100000,'PLAN BUDGET SAMI-JF'!D13:D100000,SUMMARY!D28,'PLAN BUDGET SAMI-JF'!J13:J100000,SUMMARY!A28&amp;"*")</f>
        <v>0</v>
      </c>
      <c r="G28" s="10">
        <f>SUMIFS('PLAN BUDGET SAMI-JF'!AP13:AP100000,'PLAN BUDGET SAMI-JF'!D13:D100000,SUMMARY!D28,'PLAN BUDGET SAMI-JF'!J13:J100000,SUMMARY!A28&amp;"*")</f>
        <v>0</v>
      </c>
      <c r="H28" s="10">
        <f>SUMIFS('PLAN BUDGET SAMI-JF'!AQ13:AQ100000,'PLAN BUDGET SAMI-JF'!D13:D100000,SUMMARY!D28,'PLAN BUDGET SAMI-JF'!J13:J100000,SUMMARY!A28&amp;"*")</f>
        <v>0</v>
      </c>
      <c r="I28" s="10">
        <f>SUMIFS('PLAN BUDGET SAMI-JF'!AR13:AR100000,'PLAN BUDGET SAMI-JF'!D13:D100000,SUMMARY!D28,'PLAN BUDGET SAMI-JF'!J13:J100000,SUMMARY!A28&amp;"*")</f>
        <v>0</v>
      </c>
      <c r="J28" s="10">
        <f>SUMIFS('PLAN BUDGET SAMI-JF'!AS13:AS100000,'PLAN BUDGET SAMI-JF'!D13:D100000,SUMMARY!D28,'PLAN BUDGET SAMI-JF'!J13:J100000,SUMMARY!A28&amp;"*")</f>
        <v>0</v>
      </c>
      <c r="K28" s="10">
        <f>SUMIFS('PLAN BUDGET SAMI-JF'!AT13:AT100000,'PLAN BUDGET SAMI-JF'!D13:D100000,SUMMARY!D28,'PLAN BUDGET SAMI-JF'!J13:J100000,SUMMARY!A28&amp;"*")</f>
        <v>0</v>
      </c>
      <c r="L28" s="10">
        <f>SUMIFS('PLAN BUDGET SAMI-JF'!AU13:AU100000,'PLAN BUDGET SAMI-JF'!D13:D100000,SUMMARY!D28,'PLAN BUDGET SAMI-JF'!J13:J100000,SUMMARY!A28&amp;"*")</f>
        <v>0</v>
      </c>
      <c r="M28" s="10">
        <f>SUMIFS('PLAN BUDGET SAMI-JF'!AV13:AV100000,'PLAN BUDGET SAMI-JF'!D13:D100000,SUMMARY!D28,'PLAN BUDGET SAMI-JF'!J13:J100000,SUMMARY!A28&amp;"*")</f>
        <v>0</v>
      </c>
      <c r="N28" s="10">
        <f>SUMIFS('PLAN BUDGET SAMI-JF'!AW13:AW100000,'PLAN BUDGET SAMI-JF'!D13:D100000,SUMMARY!D28,'PLAN BUDGET SAMI-JF'!J13:J100000,SUMMARY!A28&amp;"*")</f>
        <v>0</v>
      </c>
      <c r="O28" s="10">
        <f>SUMIFS('PLAN BUDGET SAMI-JF'!AX13:AX100000,'PLAN BUDGET SAMI-JF'!D13:D100000,SUMMARY!D28,'PLAN BUDGET SAMI-JF'!J13:J100000,SUMMARY!A28&amp;"*")</f>
        <v>0</v>
      </c>
      <c r="P28" s="10">
        <f>SUMIFS('PLAN BUDGET SAMI-JF'!AY13:AY100000,'PLAN BUDGET SAMI-JF'!D13:D100000,SUMMARY!D28,'PLAN BUDGET SAMI-JF'!J13:J100000,SUMMARY!A28&amp;"*")</f>
        <v>0</v>
      </c>
      <c r="Q28" s="10">
        <f>SUMIFS('PLAN BUDGET SAMI-JF'!BC13:BC100000,'PLAN BUDGET SAMI-JF'!D13:D100000,SUMMARY!D28,'PLAN BUDGET SAMI-JF'!J13:J100000,SUMMARY!A28&amp;"*")</f>
        <v>2.8483536515894001</v>
      </c>
      <c r="R28" s="10">
        <f>SUMIFS('PLAN BUDGET SAMI-JF'!BD13:BD100000,'PLAN BUDGET SAMI-JF'!D13:D100000,SUMMARY!D28,'PLAN BUDGET SAMI-JF'!J13:J100000,SUMMARY!A28&amp;"*")</f>
        <v>0</v>
      </c>
      <c r="S28" s="10">
        <f>SUMIFS('PLAN BUDGET SAMI-JF'!BE13:BE100000,'PLAN BUDGET SAMI-JF'!D13:D100000,SUMMARY!D28,'PLAN BUDGET SAMI-JF'!J13:J100000,SUMMARY!A28&amp;"*")</f>
        <v>0</v>
      </c>
      <c r="T28" s="10">
        <f>SUMIFS('PLAN BUDGET SAMI-JF'!BF13:BF100000,'PLAN BUDGET SAMI-JF'!D13:D100000,SUMMARY!D28,'PLAN BUDGET SAMI-JF'!J13:J100000,SUMMARY!A28&amp;"*")</f>
        <v>0</v>
      </c>
      <c r="U28" s="10">
        <f>SUMIFS('PLAN BUDGET SAMI-JF'!BG13:BG100000,'PLAN BUDGET SAMI-JF'!D13:D100000,SUMMARY!D28,'PLAN BUDGET SAMI-JF'!J13:J100000,SUMMARY!A28&amp;"*")</f>
        <v>0</v>
      </c>
      <c r="V28" s="10">
        <f>SUMIFS('PLAN BUDGET SAMI-JF'!BH13:BH100000,'PLAN BUDGET SAMI-JF'!D13:D100000,SUMMARY!D28,'PLAN BUDGET SAMI-JF'!J13:J100000,SUMMARY!A28&amp;"*")</f>
        <v>0</v>
      </c>
      <c r="W28" s="10">
        <f>SUMIFS('PLAN BUDGET SAMI-JF'!BI13:BI100000,'PLAN BUDGET SAMI-JF'!D13:D100000,SUMMARY!D28,'PLAN BUDGET SAMI-JF'!J13:J100000,SUMMARY!A28&amp;"*")</f>
        <v>0</v>
      </c>
      <c r="X28" s="10">
        <f>SUMIFS('PLAN BUDGET SAMI-JF'!BJ13:BJ100000,'PLAN BUDGET SAMI-JF'!D13:D100000,SUMMARY!D28,'PLAN BUDGET SAMI-JF'!J13:J100000,SUMMARY!A28&amp;"*")</f>
        <v>0</v>
      </c>
      <c r="Y28" s="10">
        <f>SUMIFS('PLAN BUDGET SAMI-JF'!BK13:BK100000,'PLAN BUDGET SAMI-JF'!D13:D100000,SUMMARY!D28,'PLAN BUDGET SAMI-JF'!J13:J100000,SUMMARY!A28&amp;"*")</f>
        <v>0</v>
      </c>
      <c r="Z28" s="10">
        <f>SUMIFS('PLAN BUDGET SAMI-JF'!BL13:BL100000,'PLAN BUDGET SAMI-JF'!D13:D100000,SUMMARY!D28,'PLAN BUDGET SAMI-JF'!J13:J100000,SUMMARY!A28&amp;"*")</f>
        <v>0</v>
      </c>
      <c r="AA28" s="10">
        <f>SUMIFS('PLAN BUDGET SAMI-JF'!BM13:BM100000,'PLAN BUDGET SAMI-JF'!D13:D100000,SUMMARY!D28,'PLAN BUDGET SAMI-JF'!J13:J100000,SUMMARY!A28&amp;"*")</f>
        <v>0</v>
      </c>
      <c r="AB28" s="10">
        <f>SUMIFS('PLAN BUDGET SAMI-JF'!BN13:BN100000,'PLAN BUDGET SAMI-JF'!D13:D100000,SUMMARY!D28,'PLAN BUDGET SAMI-JF'!J13:J100000,SUMMARY!A28&amp;"*")</f>
        <v>0</v>
      </c>
      <c r="AC28" s="10">
        <f t="shared" si="0"/>
        <v>1</v>
      </c>
      <c r="AD28" s="10">
        <f t="shared" si="1"/>
        <v>2.8483536515894001</v>
      </c>
      <c r="AE28" s="16"/>
      <c r="AF28" s="10">
        <v>0</v>
      </c>
      <c r="AG28" s="10">
        <v>0</v>
      </c>
      <c r="AH28" s="20">
        <f t="shared" si="2"/>
        <v>1</v>
      </c>
      <c r="AI28" s="20">
        <f t="shared" si="3"/>
        <v>1</v>
      </c>
      <c r="AJ28" s="36" t="s">
        <v>571</v>
      </c>
    </row>
    <row r="29" spans="1:36" x14ac:dyDescent="0.35">
      <c r="A29" s="7" t="s">
        <v>47</v>
      </c>
      <c r="B29" s="7"/>
      <c r="C29" s="7"/>
      <c r="D29" s="7" t="s">
        <v>182</v>
      </c>
      <c r="E29" s="10">
        <f>SUMIFS('PLAN BUDGET SAMI-JF'!AN13:AN100000,'PLAN BUDGET SAMI-JF'!D13:D100000,SUMMARY!D29,'PLAN BUDGET SAMI-JF'!J13:J100000,SUMMARY!A29&amp;"*")</f>
        <v>0</v>
      </c>
      <c r="F29" s="10">
        <f>SUMIFS('PLAN BUDGET SAMI-JF'!AO13:AO100000,'PLAN BUDGET SAMI-JF'!D13:D100000,SUMMARY!D29,'PLAN BUDGET SAMI-JF'!J13:J100000,SUMMARY!A29&amp;"*")</f>
        <v>0</v>
      </c>
      <c r="G29" s="10">
        <f>SUMIFS('PLAN BUDGET SAMI-JF'!AP13:AP100000,'PLAN BUDGET SAMI-JF'!D13:D100000,SUMMARY!D29,'PLAN BUDGET SAMI-JF'!J13:J100000,SUMMARY!A29&amp;"*")</f>
        <v>1</v>
      </c>
      <c r="H29" s="10">
        <f>SUMIFS('PLAN BUDGET SAMI-JF'!AQ13:AQ100000,'PLAN BUDGET SAMI-JF'!D13:D100000,SUMMARY!D29,'PLAN BUDGET SAMI-JF'!J13:J100000,SUMMARY!A29&amp;"*")</f>
        <v>0</v>
      </c>
      <c r="I29" s="10">
        <f>SUMIFS('PLAN BUDGET SAMI-JF'!AR13:AR100000,'PLAN BUDGET SAMI-JF'!D13:D100000,SUMMARY!D29,'PLAN BUDGET SAMI-JF'!J13:J100000,SUMMARY!A29&amp;"*")</f>
        <v>0</v>
      </c>
      <c r="J29" s="10">
        <f>SUMIFS('PLAN BUDGET SAMI-JF'!AS13:AS100000,'PLAN BUDGET SAMI-JF'!D13:D100000,SUMMARY!D29,'PLAN BUDGET SAMI-JF'!J13:J100000,SUMMARY!A29&amp;"*")</f>
        <v>0</v>
      </c>
      <c r="K29" s="10">
        <f>SUMIFS('PLAN BUDGET SAMI-JF'!AT13:AT100000,'PLAN BUDGET SAMI-JF'!D13:D100000,SUMMARY!D29,'PLAN BUDGET SAMI-JF'!J13:J100000,SUMMARY!A29&amp;"*")</f>
        <v>0</v>
      </c>
      <c r="L29" s="10">
        <f>SUMIFS('PLAN BUDGET SAMI-JF'!AU13:AU100000,'PLAN BUDGET SAMI-JF'!D13:D100000,SUMMARY!D29,'PLAN BUDGET SAMI-JF'!J13:J100000,SUMMARY!A29&amp;"*")</f>
        <v>0</v>
      </c>
      <c r="M29" s="10">
        <f>SUMIFS('PLAN BUDGET SAMI-JF'!AV13:AV100000,'PLAN BUDGET SAMI-JF'!D13:D100000,SUMMARY!D29,'PLAN BUDGET SAMI-JF'!J13:J100000,SUMMARY!A29&amp;"*")</f>
        <v>10</v>
      </c>
      <c r="N29" s="10">
        <f>SUMIFS('PLAN BUDGET SAMI-JF'!AW13:AW100000,'PLAN BUDGET SAMI-JF'!D13:D100000,SUMMARY!D29,'PLAN BUDGET SAMI-JF'!J13:J100000,SUMMARY!A29&amp;"*")</f>
        <v>0</v>
      </c>
      <c r="O29" s="10">
        <f>SUMIFS('PLAN BUDGET SAMI-JF'!AX13:AX100000,'PLAN BUDGET SAMI-JF'!D13:D100000,SUMMARY!D29,'PLAN BUDGET SAMI-JF'!J13:J100000,SUMMARY!A29&amp;"*")</f>
        <v>0</v>
      </c>
      <c r="P29" s="10">
        <f>SUMIFS('PLAN BUDGET SAMI-JF'!AY13:AY100000,'PLAN BUDGET SAMI-JF'!D13:D100000,SUMMARY!D29,'PLAN BUDGET SAMI-JF'!J13:J100000,SUMMARY!A29&amp;"*")</f>
        <v>0</v>
      </c>
      <c r="Q29" s="10">
        <f>SUMIFS('PLAN BUDGET SAMI-JF'!BC13:BC100000,'PLAN BUDGET SAMI-JF'!D13:D100000,SUMMARY!D29,'PLAN BUDGET SAMI-JF'!J13:J100000,SUMMARY!A29&amp;"*")</f>
        <v>0</v>
      </c>
      <c r="R29" s="10">
        <f>SUMIFS('PLAN BUDGET SAMI-JF'!BD13:BD100000,'PLAN BUDGET SAMI-JF'!D13:D100000,SUMMARY!D29,'PLAN BUDGET SAMI-JF'!J13:J100000,SUMMARY!A29&amp;"*")</f>
        <v>0</v>
      </c>
      <c r="S29" s="10">
        <f>SUMIFS('PLAN BUDGET SAMI-JF'!BE13:BE100000,'PLAN BUDGET SAMI-JF'!D13:D100000,SUMMARY!D29,'PLAN BUDGET SAMI-JF'!J13:J100000,SUMMARY!A29&amp;"*")</f>
        <v>20.887926778322001</v>
      </c>
      <c r="T29" s="10">
        <f>SUMIFS('PLAN BUDGET SAMI-JF'!BF13:BF100000,'PLAN BUDGET SAMI-JF'!D13:D100000,SUMMARY!D29,'PLAN BUDGET SAMI-JF'!J13:J100000,SUMMARY!A29&amp;"*")</f>
        <v>0</v>
      </c>
      <c r="U29" s="10">
        <f>SUMIFS('PLAN BUDGET SAMI-JF'!BG13:BG100000,'PLAN BUDGET SAMI-JF'!D13:D100000,SUMMARY!D29,'PLAN BUDGET SAMI-JF'!J13:J100000,SUMMARY!A29&amp;"*")</f>
        <v>0</v>
      </c>
      <c r="V29" s="10">
        <f>SUMIFS('PLAN BUDGET SAMI-JF'!BH13:BH100000,'PLAN BUDGET SAMI-JF'!D13:D100000,SUMMARY!D29,'PLAN BUDGET SAMI-JF'!J13:J100000,SUMMARY!A29&amp;"*")</f>
        <v>0</v>
      </c>
      <c r="W29" s="10">
        <f>SUMIFS('PLAN BUDGET SAMI-JF'!BI13:BI100000,'PLAN BUDGET SAMI-JF'!D13:D100000,SUMMARY!D29,'PLAN BUDGET SAMI-JF'!J13:J100000,SUMMARY!A29&amp;"*")</f>
        <v>0</v>
      </c>
      <c r="X29" s="10">
        <f>SUMIFS('PLAN BUDGET SAMI-JF'!BJ13:BJ100000,'PLAN BUDGET SAMI-JF'!D13:D100000,SUMMARY!D29,'PLAN BUDGET SAMI-JF'!J13:J100000,SUMMARY!A29&amp;"*")</f>
        <v>0</v>
      </c>
      <c r="Y29" s="10">
        <f>SUMIFS('PLAN BUDGET SAMI-JF'!BK13:BK100000,'PLAN BUDGET SAMI-JF'!D13:D100000,SUMMARY!D29,'PLAN BUDGET SAMI-JF'!J13:J100000,SUMMARY!A29&amp;"*")</f>
        <v>88.615446938336007</v>
      </c>
      <c r="Z29" s="10">
        <f>SUMIFS('PLAN BUDGET SAMI-JF'!BL13:BL100000,'PLAN BUDGET SAMI-JF'!D13:D100000,SUMMARY!D29,'PLAN BUDGET SAMI-JF'!J13:J100000,SUMMARY!A29&amp;"*")</f>
        <v>0</v>
      </c>
      <c r="AA29" s="10">
        <f>SUMIFS('PLAN BUDGET SAMI-JF'!BM13:BM100000,'PLAN BUDGET SAMI-JF'!D13:D100000,SUMMARY!D29,'PLAN BUDGET SAMI-JF'!J13:J100000,SUMMARY!A29&amp;"*")</f>
        <v>0</v>
      </c>
      <c r="AB29" s="10">
        <f>SUMIFS('PLAN BUDGET SAMI-JF'!BN13:BN100000,'PLAN BUDGET SAMI-JF'!D13:D100000,SUMMARY!D29,'PLAN BUDGET SAMI-JF'!J13:J100000,SUMMARY!A29&amp;"*")</f>
        <v>0</v>
      </c>
      <c r="AC29" s="10">
        <f t="shared" si="0"/>
        <v>11</v>
      </c>
      <c r="AD29" s="10">
        <f t="shared" si="1"/>
        <v>109.503373716658</v>
      </c>
      <c r="AE29" s="16"/>
      <c r="AF29" s="10">
        <v>10</v>
      </c>
      <c r="AG29" s="10">
        <v>88.615446938336007</v>
      </c>
      <c r="AH29" s="20">
        <f t="shared" si="2"/>
        <v>0.1</v>
      </c>
      <c r="AI29" s="20">
        <f t="shared" si="3"/>
        <v>0.23571428571428502</v>
      </c>
      <c r="AJ29" s="7" t="s">
        <v>582</v>
      </c>
    </row>
    <row r="30" spans="1:36" x14ac:dyDescent="0.35">
      <c r="A30" s="7" t="s">
        <v>47</v>
      </c>
      <c r="B30" s="7"/>
      <c r="C30" s="7"/>
      <c r="D30" s="7" t="s">
        <v>231</v>
      </c>
      <c r="E30" s="10">
        <f>SUMIFS('PLAN BUDGET SAMI-JF'!AN13:AN100000,'PLAN BUDGET SAMI-JF'!D13:D100000,SUMMARY!D30,'PLAN BUDGET SAMI-JF'!J13:J100000,SUMMARY!A30&amp;"*")</f>
        <v>0</v>
      </c>
      <c r="F30" s="10">
        <f>SUMIFS('PLAN BUDGET SAMI-JF'!AO13:AO100000,'PLAN BUDGET SAMI-JF'!D13:D100000,SUMMARY!D30,'PLAN BUDGET SAMI-JF'!J13:J100000,SUMMARY!A30&amp;"*")</f>
        <v>0</v>
      </c>
      <c r="G30" s="10">
        <f>SUMIFS('PLAN BUDGET SAMI-JF'!AP13:AP100000,'PLAN BUDGET SAMI-JF'!D13:D100000,SUMMARY!D30,'PLAN BUDGET SAMI-JF'!J13:J100000,SUMMARY!A30&amp;"*")</f>
        <v>0</v>
      </c>
      <c r="H30" s="10">
        <f>SUMIFS('PLAN BUDGET SAMI-JF'!AQ13:AQ100000,'PLAN BUDGET SAMI-JF'!D13:D100000,SUMMARY!D30,'PLAN BUDGET SAMI-JF'!J13:J100000,SUMMARY!A30&amp;"*")</f>
        <v>0</v>
      </c>
      <c r="I30" s="10">
        <f>SUMIFS('PLAN BUDGET SAMI-JF'!AR13:AR100000,'PLAN BUDGET SAMI-JF'!D13:D100000,SUMMARY!D30,'PLAN BUDGET SAMI-JF'!J13:J100000,SUMMARY!A30&amp;"*")</f>
        <v>2</v>
      </c>
      <c r="J30" s="10">
        <f>SUMIFS('PLAN BUDGET SAMI-JF'!AS13:AS100000,'PLAN BUDGET SAMI-JF'!D13:D100000,SUMMARY!D30,'PLAN BUDGET SAMI-JF'!J13:J100000,SUMMARY!A30&amp;"*")</f>
        <v>0</v>
      </c>
      <c r="K30" s="10">
        <f>SUMIFS('PLAN BUDGET SAMI-JF'!AT13:AT100000,'PLAN BUDGET SAMI-JF'!D13:D100000,SUMMARY!D30,'PLAN BUDGET SAMI-JF'!J13:J100000,SUMMARY!A30&amp;"*")</f>
        <v>0</v>
      </c>
      <c r="L30" s="10">
        <f>SUMIFS('PLAN BUDGET SAMI-JF'!AU13:AU100000,'PLAN BUDGET SAMI-JF'!D13:D100000,SUMMARY!D30,'PLAN BUDGET SAMI-JF'!J13:J100000,SUMMARY!A30&amp;"*")</f>
        <v>0</v>
      </c>
      <c r="M30" s="10">
        <f>SUMIFS('PLAN BUDGET SAMI-JF'!AV13:AV100000,'PLAN BUDGET SAMI-JF'!D13:D100000,SUMMARY!D30,'PLAN BUDGET SAMI-JF'!J13:J100000,SUMMARY!A30&amp;"*")</f>
        <v>0</v>
      </c>
      <c r="N30" s="10">
        <f>SUMIFS('PLAN BUDGET SAMI-JF'!AW13:AW100000,'PLAN BUDGET SAMI-JF'!D13:D100000,SUMMARY!D30,'PLAN BUDGET SAMI-JF'!J13:J100000,SUMMARY!A30&amp;"*")</f>
        <v>0</v>
      </c>
      <c r="O30" s="10">
        <f>SUMIFS('PLAN BUDGET SAMI-JF'!AX13:AX100000,'PLAN BUDGET SAMI-JF'!D13:D100000,SUMMARY!D30,'PLAN BUDGET SAMI-JF'!J13:J100000,SUMMARY!A30&amp;"*")</f>
        <v>0</v>
      </c>
      <c r="P30" s="10">
        <f>SUMIFS('PLAN BUDGET SAMI-JF'!AY13:AY100000,'PLAN BUDGET SAMI-JF'!D13:D100000,SUMMARY!D30,'PLAN BUDGET SAMI-JF'!J13:J100000,SUMMARY!A30&amp;"*")</f>
        <v>0</v>
      </c>
      <c r="Q30" s="10">
        <f>SUMIFS('PLAN BUDGET SAMI-JF'!BC13:BC100000,'PLAN BUDGET SAMI-JF'!D13:D100000,SUMMARY!D30,'PLAN BUDGET SAMI-JF'!J13:J100000,SUMMARY!A30&amp;"*")</f>
        <v>0</v>
      </c>
      <c r="R30" s="10">
        <f>SUMIFS('PLAN BUDGET SAMI-JF'!BD13:BD100000,'PLAN BUDGET SAMI-JF'!D13:D100000,SUMMARY!D30,'PLAN BUDGET SAMI-JF'!J13:J100000,SUMMARY!A30&amp;"*")</f>
        <v>0</v>
      </c>
      <c r="S30" s="10">
        <f>SUMIFS('PLAN BUDGET SAMI-JF'!BE13:BE100000,'PLAN BUDGET SAMI-JF'!D13:D100000,SUMMARY!D30,'PLAN BUDGET SAMI-JF'!J13:J100000,SUMMARY!A30&amp;"*")</f>
        <v>0</v>
      </c>
      <c r="T30" s="10">
        <f>SUMIFS('PLAN BUDGET SAMI-JF'!BF13:BF100000,'PLAN BUDGET SAMI-JF'!D13:D100000,SUMMARY!D30,'PLAN BUDGET SAMI-JF'!J13:J100000,SUMMARY!A30&amp;"*")</f>
        <v>0</v>
      </c>
      <c r="U30" s="10">
        <f>SUMIFS('PLAN BUDGET SAMI-JF'!BG13:BG100000,'PLAN BUDGET SAMI-JF'!D13:D100000,SUMMARY!D30,'PLAN BUDGET SAMI-JF'!J13:J100000,SUMMARY!A30&amp;"*")</f>
        <v>63.296747813096999</v>
      </c>
      <c r="V30" s="10">
        <f>SUMIFS('PLAN BUDGET SAMI-JF'!BH13:BH100000,'PLAN BUDGET SAMI-JF'!D13:D100000,SUMMARY!D30,'PLAN BUDGET SAMI-JF'!J13:J100000,SUMMARY!A30&amp;"*")</f>
        <v>0</v>
      </c>
      <c r="W30" s="10">
        <f>SUMIFS('PLAN BUDGET SAMI-JF'!BI13:BI100000,'PLAN BUDGET SAMI-JF'!D13:D100000,SUMMARY!D30,'PLAN BUDGET SAMI-JF'!J13:J100000,SUMMARY!A30&amp;"*")</f>
        <v>0</v>
      </c>
      <c r="X30" s="10">
        <f>SUMIFS('PLAN BUDGET SAMI-JF'!BJ13:BJ100000,'PLAN BUDGET SAMI-JF'!D13:D100000,SUMMARY!D30,'PLAN BUDGET SAMI-JF'!J13:J100000,SUMMARY!A30&amp;"*")</f>
        <v>0</v>
      </c>
      <c r="Y30" s="10">
        <f>SUMIFS('PLAN BUDGET SAMI-JF'!BK13:BK100000,'PLAN BUDGET SAMI-JF'!D13:D100000,SUMMARY!D30,'PLAN BUDGET SAMI-JF'!J13:J100000,SUMMARY!A30&amp;"*")</f>
        <v>0</v>
      </c>
      <c r="Z30" s="10">
        <f>SUMIFS('PLAN BUDGET SAMI-JF'!BL13:BL100000,'PLAN BUDGET SAMI-JF'!D13:D100000,SUMMARY!D30,'PLAN BUDGET SAMI-JF'!J13:J100000,SUMMARY!A30&amp;"*")</f>
        <v>0</v>
      </c>
      <c r="AA30" s="10">
        <f>SUMIFS('PLAN BUDGET SAMI-JF'!BM13:BM100000,'PLAN BUDGET SAMI-JF'!D13:D100000,SUMMARY!D30,'PLAN BUDGET SAMI-JF'!J13:J100000,SUMMARY!A30&amp;"*")</f>
        <v>0</v>
      </c>
      <c r="AB30" s="10">
        <f>SUMIFS('PLAN BUDGET SAMI-JF'!BN13:BN100000,'PLAN BUDGET SAMI-JF'!D13:D100000,SUMMARY!D30,'PLAN BUDGET SAMI-JF'!J13:J100000,SUMMARY!A30&amp;"*")</f>
        <v>0</v>
      </c>
      <c r="AC30" s="10">
        <f t="shared" si="0"/>
        <v>2</v>
      </c>
      <c r="AD30" s="10">
        <f t="shared" si="1"/>
        <v>63.296747813096999</v>
      </c>
      <c r="AE30" s="16"/>
      <c r="AF30" s="10">
        <v>4</v>
      </c>
      <c r="AG30" s="10">
        <v>88.615446938336007</v>
      </c>
      <c r="AH30" s="20">
        <f t="shared" si="2"/>
        <v>-0.5</v>
      </c>
      <c r="AI30" s="20">
        <f t="shared" si="3"/>
        <v>-0.28571428571428736</v>
      </c>
      <c r="AJ30" s="7"/>
    </row>
    <row r="31" spans="1:36" x14ac:dyDescent="0.35">
      <c r="A31" s="7" t="s">
        <v>47</v>
      </c>
      <c r="B31" s="7"/>
      <c r="C31" s="7"/>
      <c r="D31" s="7" t="s">
        <v>123</v>
      </c>
      <c r="E31" s="10">
        <f>SUMIFS('PLAN BUDGET SAMI-JF'!AN13:AN100000,'PLAN BUDGET SAMI-JF'!D13:D100000,SUMMARY!D31,'PLAN BUDGET SAMI-JF'!J13:J100000,SUMMARY!A31&amp;"*")</f>
        <v>0</v>
      </c>
      <c r="F31" s="10">
        <f>SUMIFS('PLAN BUDGET SAMI-JF'!AO13:AO100000,'PLAN BUDGET SAMI-JF'!D13:D100000,SUMMARY!D31,'PLAN BUDGET SAMI-JF'!J13:J100000,SUMMARY!A31&amp;"*")</f>
        <v>1</v>
      </c>
      <c r="G31" s="10">
        <f>SUMIFS('PLAN BUDGET SAMI-JF'!AP13:AP100000,'PLAN BUDGET SAMI-JF'!D13:D100000,SUMMARY!D31,'PLAN BUDGET SAMI-JF'!J13:J100000,SUMMARY!A31&amp;"*")</f>
        <v>0</v>
      </c>
      <c r="H31" s="10">
        <f>SUMIFS('PLAN BUDGET SAMI-JF'!AQ13:AQ100000,'PLAN BUDGET SAMI-JF'!D13:D100000,SUMMARY!D31,'PLAN BUDGET SAMI-JF'!J13:J100000,SUMMARY!A31&amp;"*")</f>
        <v>2</v>
      </c>
      <c r="I31" s="10">
        <f>SUMIFS('PLAN BUDGET SAMI-JF'!AR13:AR100000,'PLAN BUDGET SAMI-JF'!D13:D100000,SUMMARY!D31,'PLAN BUDGET SAMI-JF'!J13:J100000,SUMMARY!A31&amp;"*")</f>
        <v>1</v>
      </c>
      <c r="J31" s="10">
        <f>SUMIFS('PLAN BUDGET SAMI-JF'!AS13:AS100000,'PLAN BUDGET SAMI-JF'!D13:D100000,SUMMARY!D31,'PLAN BUDGET SAMI-JF'!J13:J100000,SUMMARY!A31&amp;"*")</f>
        <v>1</v>
      </c>
      <c r="K31" s="10">
        <f>SUMIFS('PLAN BUDGET SAMI-JF'!AT13:AT100000,'PLAN BUDGET SAMI-JF'!D13:D100000,SUMMARY!D31,'PLAN BUDGET SAMI-JF'!J13:J100000,SUMMARY!A31&amp;"*")</f>
        <v>0</v>
      </c>
      <c r="L31" s="10">
        <f>SUMIFS('PLAN BUDGET SAMI-JF'!AU13:AU100000,'PLAN BUDGET SAMI-JF'!D13:D100000,SUMMARY!D31,'PLAN BUDGET SAMI-JF'!J13:J100000,SUMMARY!A31&amp;"*")</f>
        <v>1</v>
      </c>
      <c r="M31" s="10">
        <f>SUMIFS('PLAN BUDGET SAMI-JF'!AV13:AV100000,'PLAN BUDGET SAMI-JF'!D13:D100000,SUMMARY!D31,'PLAN BUDGET SAMI-JF'!J13:J100000,SUMMARY!A31&amp;"*")</f>
        <v>0</v>
      </c>
      <c r="N31" s="10">
        <f>SUMIFS('PLAN BUDGET SAMI-JF'!AW13:AW100000,'PLAN BUDGET SAMI-JF'!D13:D100000,SUMMARY!D31,'PLAN BUDGET SAMI-JF'!J13:J100000,SUMMARY!A31&amp;"*")</f>
        <v>0</v>
      </c>
      <c r="O31" s="10">
        <f>SUMIFS('PLAN BUDGET SAMI-JF'!AX13:AX100000,'PLAN BUDGET SAMI-JF'!D13:D100000,SUMMARY!D31,'PLAN BUDGET SAMI-JF'!J13:J100000,SUMMARY!A31&amp;"*")</f>
        <v>0</v>
      </c>
      <c r="P31" s="10">
        <f>SUMIFS('PLAN BUDGET SAMI-JF'!AY13:AY100000,'PLAN BUDGET SAMI-JF'!D13:D100000,SUMMARY!D31,'PLAN BUDGET SAMI-JF'!J13:J100000,SUMMARY!A31&amp;"*")</f>
        <v>0</v>
      </c>
      <c r="Q31" s="10">
        <f>SUMIFS('PLAN BUDGET SAMI-JF'!BC13:BC100000,'PLAN BUDGET SAMI-JF'!D13:D100000,SUMMARY!D31,'PLAN BUDGET SAMI-JF'!J13:J100000,SUMMARY!A31&amp;"*")</f>
        <v>0</v>
      </c>
      <c r="R31" s="10">
        <f>SUMIFS('PLAN BUDGET SAMI-JF'!BD13:BD100000,'PLAN BUDGET SAMI-JF'!D13:D100000,SUMMARY!D31,'PLAN BUDGET SAMI-JF'!J13:J100000,SUMMARY!A31&amp;"*")</f>
        <v>1251.3767042648999</v>
      </c>
      <c r="S31" s="10">
        <f>SUMIFS('PLAN BUDGET SAMI-JF'!BE13:BE100000,'PLAN BUDGET SAMI-JF'!D13:D100000,SUMMARY!D31,'PLAN BUDGET SAMI-JF'!J13:J100000,SUMMARY!A31&amp;"*")</f>
        <v>0</v>
      </c>
      <c r="T31" s="10">
        <f>SUMIFS('PLAN BUDGET SAMI-JF'!BF13:BF100000,'PLAN BUDGET SAMI-JF'!D13:D100000,SUMMARY!D31,'PLAN BUDGET SAMI-JF'!J13:J100000,SUMMARY!A31&amp;"*")</f>
        <v>2595.7996278152</v>
      </c>
      <c r="U31" s="10">
        <f>SUMIFS('PLAN BUDGET SAMI-JF'!BG13:BG100000,'PLAN BUDGET SAMI-JF'!D13:D100000,SUMMARY!D31,'PLAN BUDGET SAMI-JF'!J13:J100000,SUMMARY!A31&amp;"*")</f>
        <v>901.17162280202001</v>
      </c>
      <c r="V31" s="10">
        <f>SUMIFS('PLAN BUDGET SAMI-JF'!BH13:BH100000,'PLAN BUDGET SAMI-JF'!D13:D100000,SUMMARY!D31,'PLAN BUDGET SAMI-JF'!J13:J100000,SUMMARY!A31&amp;"*")</f>
        <v>1251.3767042648999</v>
      </c>
      <c r="W31" s="10">
        <f>SUMIFS('PLAN BUDGET SAMI-JF'!BI13:BI100000,'PLAN BUDGET SAMI-JF'!D13:D100000,SUMMARY!D31,'PLAN BUDGET SAMI-JF'!J13:J100000,SUMMARY!A31&amp;"*")</f>
        <v>0</v>
      </c>
      <c r="X31" s="10">
        <f>SUMIFS('PLAN BUDGET SAMI-JF'!BJ13:BJ100000,'PLAN BUDGET SAMI-JF'!D13:D100000,SUMMARY!D31,'PLAN BUDGET SAMI-JF'!J13:J100000,SUMMARY!A31&amp;"*")</f>
        <v>1466.5856468295001</v>
      </c>
      <c r="Y31" s="10">
        <f>SUMIFS('PLAN BUDGET SAMI-JF'!BK13:BK100000,'PLAN BUDGET SAMI-JF'!D13:D100000,SUMMARY!D31,'PLAN BUDGET SAMI-JF'!J13:J100000,SUMMARY!A31&amp;"*")</f>
        <v>0</v>
      </c>
      <c r="Z31" s="10">
        <f>SUMIFS('PLAN BUDGET SAMI-JF'!BL13:BL100000,'PLAN BUDGET SAMI-JF'!D13:D100000,SUMMARY!D31,'PLAN BUDGET SAMI-JF'!J13:J100000,SUMMARY!A31&amp;"*")</f>
        <v>0</v>
      </c>
      <c r="AA31" s="10">
        <f>SUMIFS('PLAN BUDGET SAMI-JF'!BM13:BM100000,'PLAN BUDGET SAMI-JF'!D13:D100000,SUMMARY!D31,'PLAN BUDGET SAMI-JF'!J13:J100000,SUMMARY!A31&amp;"*")</f>
        <v>0</v>
      </c>
      <c r="AB31" s="10">
        <f>SUMIFS('PLAN BUDGET SAMI-JF'!BN13:BN100000,'PLAN BUDGET SAMI-JF'!D13:D100000,SUMMARY!D31,'PLAN BUDGET SAMI-JF'!J13:J100000,SUMMARY!A31&amp;"*")</f>
        <v>0</v>
      </c>
      <c r="AC31" s="10">
        <f t="shared" si="0"/>
        <v>6</v>
      </c>
      <c r="AD31" s="10">
        <f t="shared" si="1"/>
        <v>7466.3103059765199</v>
      </c>
      <c r="AE31" s="16"/>
      <c r="AF31" s="10">
        <v>30</v>
      </c>
      <c r="AG31" s="10">
        <v>35152.442621497998</v>
      </c>
      <c r="AH31" s="20">
        <f t="shared" si="2"/>
        <v>-0.8</v>
      </c>
      <c r="AI31" s="20">
        <f t="shared" si="3"/>
        <v>-0.7876019488497682</v>
      </c>
      <c r="AJ31" s="7"/>
    </row>
    <row r="32" spans="1:36" x14ac:dyDescent="0.35">
      <c r="A32" s="7" t="s">
        <v>47</v>
      </c>
      <c r="B32" s="7"/>
      <c r="C32" s="7"/>
      <c r="D32" s="7" t="s">
        <v>163</v>
      </c>
      <c r="E32" s="10">
        <f>SUMIFS('PLAN BUDGET SAMI-JF'!AN13:AN100000,'PLAN BUDGET SAMI-JF'!D13:D100000,SUMMARY!D32,'PLAN BUDGET SAMI-JF'!J13:J100000,SUMMARY!A32&amp;"*")</f>
        <v>0</v>
      </c>
      <c r="F32" s="10">
        <f>SUMIFS('PLAN BUDGET SAMI-JF'!AO13:AO100000,'PLAN BUDGET SAMI-JF'!D13:D100000,SUMMARY!D32,'PLAN BUDGET SAMI-JF'!J13:J100000,SUMMARY!A32&amp;"*")</f>
        <v>0</v>
      </c>
      <c r="G32" s="10">
        <f>SUMIFS('PLAN BUDGET SAMI-JF'!AP13:AP100000,'PLAN BUDGET SAMI-JF'!D13:D100000,SUMMARY!D32,'PLAN BUDGET SAMI-JF'!J13:J100000,SUMMARY!A32&amp;"*")</f>
        <v>0</v>
      </c>
      <c r="H32" s="10">
        <f>SUMIFS('PLAN BUDGET SAMI-JF'!AQ13:AQ100000,'PLAN BUDGET SAMI-JF'!D13:D100000,SUMMARY!D32,'PLAN BUDGET SAMI-JF'!J13:J100000,SUMMARY!A32&amp;"*")</f>
        <v>0</v>
      </c>
      <c r="I32" s="10">
        <f>SUMIFS('PLAN BUDGET SAMI-JF'!AR13:AR100000,'PLAN BUDGET SAMI-JF'!D13:D100000,SUMMARY!D32,'PLAN BUDGET SAMI-JF'!J13:J100000,SUMMARY!A32&amp;"*")</f>
        <v>0</v>
      </c>
      <c r="J32" s="10">
        <f>SUMIFS('PLAN BUDGET SAMI-JF'!AS13:AS100000,'PLAN BUDGET SAMI-JF'!D13:D100000,SUMMARY!D32,'PLAN BUDGET SAMI-JF'!J13:J100000,SUMMARY!A32&amp;"*")</f>
        <v>0</v>
      </c>
      <c r="K32" s="10">
        <f>SUMIFS('PLAN BUDGET SAMI-JF'!AT13:AT100000,'PLAN BUDGET SAMI-JF'!D13:D100000,SUMMARY!D32,'PLAN BUDGET SAMI-JF'!J13:J100000,SUMMARY!A32&amp;"*")</f>
        <v>0</v>
      </c>
      <c r="L32" s="10">
        <f>SUMIFS('PLAN BUDGET SAMI-JF'!AU13:AU100000,'PLAN BUDGET SAMI-JF'!D13:D100000,SUMMARY!D32,'PLAN BUDGET SAMI-JF'!J13:J100000,SUMMARY!A32&amp;"*")</f>
        <v>0</v>
      </c>
      <c r="M32" s="10">
        <f>SUMIFS('PLAN BUDGET SAMI-JF'!AV13:AV100000,'PLAN BUDGET SAMI-JF'!D13:D100000,SUMMARY!D32,'PLAN BUDGET SAMI-JF'!J13:J100000,SUMMARY!A32&amp;"*")</f>
        <v>0</v>
      </c>
      <c r="N32" s="10">
        <f>SUMIFS('PLAN BUDGET SAMI-JF'!AW13:AW100000,'PLAN BUDGET SAMI-JF'!D13:D100000,SUMMARY!D32,'PLAN BUDGET SAMI-JF'!J13:J100000,SUMMARY!A32&amp;"*")</f>
        <v>0</v>
      </c>
      <c r="O32" s="10">
        <f>SUMIFS('PLAN BUDGET SAMI-JF'!AX13:AX100000,'PLAN BUDGET SAMI-JF'!D13:D100000,SUMMARY!D32,'PLAN BUDGET SAMI-JF'!J13:J100000,SUMMARY!A32&amp;"*")</f>
        <v>70</v>
      </c>
      <c r="P32" s="10">
        <f>SUMIFS('PLAN BUDGET SAMI-JF'!AY13:AY100000,'PLAN BUDGET SAMI-JF'!D13:D100000,SUMMARY!D32,'PLAN BUDGET SAMI-JF'!J13:J100000,SUMMARY!A32&amp;"*")</f>
        <v>0</v>
      </c>
      <c r="Q32" s="10">
        <f>SUMIFS('PLAN BUDGET SAMI-JF'!BC13:BC100000,'PLAN BUDGET SAMI-JF'!D13:D100000,SUMMARY!D32,'PLAN BUDGET SAMI-JF'!J13:J100000,SUMMARY!A32&amp;"*")</f>
        <v>0</v>
      </c>
      <c r="R32" s="10">
        <f>SUMIFS('PLAN BUDGET SAMI-JF'!BD13:BD100000,'PLAN BUDGET SAMI-JF'!D13:D100000,SUMMARY!D32,'PLAN BUDGET SAMI-JF'!J13:J100000,SUMMARY!A32&amp;"*")</f>
        <v>0</v>
      </c>
      <c r="S32" s="10">
        <f>SUMIFS('PLAN BUDGET SAMI-JF'!BE13:BE100000,'PLAN BUDGET SAMI-JF'!D13:D100000,SUMMARY!D32,'PLAN BUDGET SAMI-JF'!J13:J100000,SUMMARY!A32&amp;"*")</f>
        <v>0</v>
      </c>
      <c r="T32" s="10">
        <f>SUMIFS('PLAN BUDGET SAMI-JF'!BF13:BF100000,'PLAN BUDGET SAMI-JF'!D13:D100000,SUMMARY!D32,'PLAN BUDGET SAMI-JF'!J13:J100000,SUMMARY!A32&amp;"*")</f>
        <v>0</v>
      </c>
      <c r="U32" s="10">
        <f>SUMIFS('PLAN BUDGET SAMI-JF'!BG13:BG100000,'PLAN BUDGET SAMI-JF'!D13:D100000,SUMMARY!D32,'PLAN BUDGET SAMI-JF'!J13:J100000,SUMMARY!A32&amp;"*")</f>
        <v>0</v>
      </c>
      <c r="V32" s="10">
        <f>SUMIFS('PLAN BUDGET SAMI-JF'!BH13:BH100000,'PLAN BUDGET SAMI-JF'!D13:D100000,SUMMARY!D32,'PLAN BUDGET SAMI-JF'!J13:J100000,SUMMARY!A32&amp;"*")</f>
        <v>0</v>
      </c>
      <c r="W32" s="10">
        <f>SUMIFS('PLAN BUDGET SAMI-JF'!BI13:BI100000,'PLAN BUDGET SAMI-JF'!D13:D100000,SUMMARY!D32,'PLAN BUDGET SAMI-JF'!J13:J100000,SUMMARY!A32&amp;"*")</f>
        <v>0</v>
      </c>
      <c r="X32" s="10">
        <f>SUMIFS('PLAN BUDGET SAMI-JF'!BJ13:BJ100000,'PLAN BUDGET SAMI-JF'!D13:D100000,SUMMARY!D32,'PLAN BUDGET SAMI-JF'!J13:J100000,SUMMARY!A32&amp;"*")</f>
        <v>0</v>
      </c>
      <c r="Y32" s="10">
        <f>SUMIFS('PLAN BUDGET SAMI-JF'!BK13:BK100000,'PLAN BUDGET SAMI-JF'!D13:D100000,SUMMARY!D32,'PLAN BUDGET SAMI-JF'!J13:J100000,SUMMARY!A32&amp;"*")</f>
        <v>0</v>
      </c>
      <c r="Z32" s="10">
        <f>SUMIFS('PLAN BUDGET SAMI-JF'!BL13:BL100000,'PLAN BUDGET SAMI-JF'!D13:D100000,SUMMARY!D32,'PLAN BUDGET SAMI-JF'!J13:J100000,SUMMARY!A32&amp;"*")</f>
        <v>0</v>
      </c>
      <c r="AA32" s="10">
        <f>SUMIFS('PLAN BUDGET SAMI-JF'!BM13:BM100000,'PLAN BUDGET SAMI-JF'!D13:D100000,SUMMARY!D32,'PLAN BUDGET SAMI-JF'!J13:J100000,SUMMARY!A32&amp;"*")</f>
        <v>132.92317040750001</v>
      </c>
      <c r="AB32" s="10">
        <f>SUMIFS('PLAN BUDGET SAMI-JF'!BN13:BN100000,'PLAN BUDGET SAMI-JF'!D13:D100000,SUMMARY!D32,'PLAN BUDGET SAMI-JF'!J13:J100000,SUMMARY!A32&amp;"*")</f>
        <v>0</v>
      </c>
      <c r="AC32" s="10">
        <f t="shared" si="0"/>
        <v>70</v>
      </c>
      <c r="AD32" s="10">
        <f t="shared" si="1"/>
        <v>132.92317040750001</v>
      </c>
      <c r="AE32" s="16"/>
      <c r="AF32" s="10">
        <v>0</v>
      </c>
      <c r="AG32" s="10">
        <v>0</v>
      </c>
      <c r="AH32" s="20">
        <f t="shared" si="2"/>
        <v>1</v>
      </c>
      <c r="AI32" s="20">
        <f t="shared" si="3"/>
        <v>1</v>
      </c>
      <c r="AJ32" s="36" t="s">
        <v>568</v>
      </c>
    </row>
    <row r="33" spans="1:36" x14ac:dyDescent="0.35">
      <c r="A33" s="7" t="s">
        <v>47</v>
      </c>
      <c r="B33" s="7"/>
      <c r="C33" s="7"/>
      <c r="D33" s="7" t="s">
        <v>310</v>
      </c>
      <c r="E33" s="10">
        <f>SUMIFS('PLAN BUDGET SAMI-JF'!AN13:AN100000,'PLAN BUDGET SAMI-JF'!D13:D100000,SUMMARY!D33,'PLAN BUDGET SAMI-JF'!J13:J100000,SUMMARY!A33&amp;"*")</f>
        <v>0</v>
      </c>
      <c r="F33" s="10">
        <f>SUMIFS('PLAN BUDGET SAMI-JF'!AO13:AO100000,'PLAN BUDGET SAMI-JF'!D13:D100000,SUMMARY!D33,'PLAN BUDGET SAMI-JF'!J13:J100000,SUMMARY!A33&amp;"*")</f>
        <v>0</v>
      </c>
      <c r="G33" s="10">
        <f>SUMIFS('PLAN BUDGET SAMI-JF'!AP13:AP100000,'PLAN BUDGET SAMI-JF'!D13:D100000,SUMMARY!D33,'PLAN BUDGET SAMI-JF'!J13:J100000,SUMMARY!A33&amp;"*")</f>
        <v>0</v>
      </c>
      <c r="H33" s="10">
        <f>SUMIFS('PLAN BUDGET SAMI-JF'!AQ13:AQ100000,'PLAN BUDGET SAMI-JF'!D13:D100000,SUMMARY!D33,'PLAN BUDGET SAMI-JF'!J13:J100000,SUMMARY!A33&amp;"*")</f>
        <v>10</v>
      </c>
      <c r="I33" s="10">
        <f>SUMIFS('PLAN BUDGET SAMI-JF'!AR13:AR100000,'PLAN BUDGET SAMI-JF'!D13:D100000,SUMMARY!D33,'PLAN BUDGET SAMI-JF'!J13:J100000,SUMMARY!A33&amp;"*")</f>
        <v>0</v>
      </c>
      <c r="J33" s="10">
        <f>SUMIFS('PLAN BUDGET SAMI-JF'!AS13:AS100000,'PLAN BUDGET SAMI-JF'!D13:D100000,SUMMARY!D33,'PLAN BUDGET SAMI-JF'!J13:J100000,SUMMARY!A33&amp;"*")</f>
        <v>0</v>
      </c>
      <c r="K33" s="10">
        <f>SUMIFS('PLAN BUDGET SAMI-JF'!AT13:AT100000,'PLAN BUDGET SAMI-JF'!D13:D100000,SUMMARY!D33,'PLAN BUDGET SAMI-JF'!J13:J100000,SUMMARY!A33&amp;"*")</f>
        <v>0</v>
      </c>
      <c r="L33" s="10">
        <f>SUMIFS('PLAN BUDGET SAMI-JF'!AU13:AU100000,'PLAN BUDGET SAMI-JF'!D13:D100000,SUMMARY!D33,'PLAN BUDGET SAMI-JF'!J13:J100000,SUMMARY!A33&amp;"*")</f>
        <v>0</v>
      </c>
      <c r="M33" s="10">
        <f>SUMIFS('PLAN BUDGET SAMI-JF'!AV13:AV100000,'PLAN BUDGET SAMI-JF'!D13:D100000,SUMMARY!D33,'PLAN BUDGET SAMI-JF'!J13:J100000,SUMMARY!A33&amp;"*")</f>
        <v>0</v>
      </c>
      <c r="N33" s="10">
        <f>SUMIFS('PLAN BUDGET SAMI-JF'!AW13:AW100000,'PLAN BUDGET SAMI-JF'!D13:D100000,SUMMARY!D33,'PLAN BUDGET SAMI-JF'!J13:J100000,SUMMARY!A33&amp;"*")</f>
        <v>0</v>
      </c>
      <c r="O33" s="10">
        <f>SUMIFS('PLAN BUDGET SAMI-JF'!AX13:AX100000,'PLAN BUDGET SAMI-JF'!D13:D100000,SUMMARY!D33,'PLAN BUDGET SAMI-JF'!J13:J100000,SUMMARY!A33&amp;"*")</f>
        <v>0</v>
      </c>
      <c r="P33" s="10">
        <f>SUMIFS('PLAN BUDGET SAMI-JF'!AY13:AY100000,'PLAN BUDGET SAMI-JF'!D13:D100000,SUMMARY!D33,'PLAN BUDGET SAMI-JF'!J13:J100000,SUMMARY!A33&amp;"*")</f>
        <v>0</v>
      </c>
      <c r="Q33" s="10">
        <f>SUMIFS('PLAN BUDGET SAMI-JF'!BC13:BC100000,'PLAN BUDGET SAMI-JF'!D13:D100000,SUMMARY!D33,'PLAN BUDGET SAMI-JF'!J13:J100000,SUMMARY!A33&amp;"*")</f>
        <v>0</v>
      </c>
      <c r="R33" s="10">
        <f>SUMIFS('PLAN BUDGET SAMI-JF'!BD13:BD100000,'PLAN BUDGET SAMI-JF'!D13:D100000,SUMMARY!D33,'PLAN BUDGET SAMI-JF'!J13:J100000,SUMMARY!A33&amp;"*")</f>
        <v>0</v>
      </c>
      <c r="S33" s="10">
        <f>SUMIFS('PLAN BUDGET SAMI-JF'!BE13:BE100000,'PLAN BUDGET SAMI-JF'!D13:D100000,SUMMARY!D33,'PLAN BUDGET SAMI-JF'!J13:J100000,SUMMARY!A33&amp;"*")</f>
        <v>0</v>
      </c>
      <c r="T33" s="10">
        <f>SUMIFS('PLAN BUDGET SAMI-JF'!BF13:BF100000,'PLAN BUDGET SAMI-JF'!D13:D100000,SUMMARY!D33,'PLAN BUDGET SAMI-JF'!J13:J100000,SUMMARY!A33&amp;"*")</f>
        <v>91.780284328991002</v>
      </c>
      <c r="U33" s="10">
        <f>SUMIFS('PLAN BUDGET SAMI-JF'!BG13:BG100000,'PLAN BUDGET SAMI-JF'!D13:D100000,SUMMARY!D33,'PLAN BUDGET SAMI-JF'!J13:J100000,SUMMARY!A33&amp;"*")</f>
        <v>0</v>
      </c>
      <c r="V33" s="10">
        <f>SUMIFS('PLAN BUDGET SAMI-JF'!BH13:BH100000,'PLAN BUDGET SAMI-JF'!D13:D100000,SUMMARY!D33,'PLAN BUDGET SAMI-JF'!J13:J100000,SUMMARY!A33&amp;"*")</f>
        <v>0</v>
      </c>
      <c r="W33" s="10">
        <f>SUMIFS('PLAN BUDGET SAMI-JF'!BI13:BI100000,'PLAN BUDGET SAMI-JF'!D13:D100000,SUMMARY!D33,'PLAN BUDGET SAMI-JF'!J13:J100000,SUMMARY!A33&amp;"*")</f>
        <v>0</v>
      </c>
      <c r="X33" s="10">
        <f>SUMIFS('PLAN BUDGET SAMI-JF'!BJ13:BJ100000,'PLAN BUDGET SAMI-JF'!D13:D100000,SUMMARY!D33,'PLAN BUDGET SAMI-JF'!J13:J100000,SUMMARY!A33&amp;"*")</f>
        <v>0</v>
      </c>
      <c r="Y33" s="10">
        <f>SUMIFS('PLAN BUDGET SAMI-JF'!BK13:BK100000,'PLAN BUDGET SAMI-JF'!D13:D100000,SUMMARY!D33,'PLAN BUDGET SAMI-JF'!J13:J100000,SUMMARY!A33&amp;"*")</f>
        <v>0</v>
      </c>
      <c r="Z33" s="10">
        <f>SUMIFS('PLAN BUDGET SAMI-JF'!BL13:BL100000,'PLAN BUDGET SAMI-JF'!D13:D100000,SUMMARY!D33,'PLAN BUDGET SAMI-JF'!J13:J100000,SUMMARY!A33&amp;"*")</f>
        <v>0</v>
      </c>
      <c r="AA33" s="10">
        <f>SUMIFS('PLAN BUDGET SAMI-JF'!BM13:BM100000,'PLAN BUDGET SAMI-JF'!D13:D100000,SUMMARY!D33,'PLAN BUDGET SAMI-JF'!J13:J100000,SUMMARY!A33&amp;"*")</f>
        <v>0</v>
      </c>
      <c r="AB33" s="10">
        <f>SUMIFS('PLAN BUDGET SAMI-JF'!BN13:BN100000,'PLAN BUDGET SAMI-JF'!D13:D100000,SUMMARY!D33,'PLAN BUDGET SAMI-JF'!J13:J100000,SUMMARY!A33&amp;"*")</f>
        <v>0</v>
      </c>
      <c r="AC33" s="10">
        <f t="shared" si="0"/>
        <v>10</v>
      </c>
      <c r="AD33" s="10">
        <f t="shared" si="1"/>
        <v>91.780284328991002</v>
      </c>
      <c r="AE33" s="16"/>
      <c r="AF33" s="10">
        <v>0</v>
      </c>
      <c r="AG33" s="10">
        <v>0</v>
      </c>
      <c r="AH33" s="20">
        <f t="shared" si="2"/>
        <v>1</v>
      </c>
      <c r="AI33" s="20">
        <f t="shared" si="3"/>
        <v>1</v>
      </c>
      <c r="AJ33" s="36" t="s">
        <v>568</v>
      </c>
    </row>
    <row r="34" spans="1:36" x14ac:dyDescent="0.35">
      <c r="A34" s="7" t="s">
        <v>47</v>
      </c>
      <c r="B34" s="7"/>
      <c r="C34" s="7"/>
      <c r="D34" s="7" t="s">
        <v>233</v>
      </c>
      <c r="E34" s="10">
        <f>SUMIFS('PLAN BUDGET SAMI-JF'!AN13:AN100000,'PLAN BUDGET SAMI-JF'!D13:D100000,SUMMARY!D34,'PLAN BUDGET SAMI-JF'!J13:J100000,SUMMARY!A34&amp;"*")</f>
        <v>0</v>
      </c>
      <c r="F34" s="10">
        <f>SUMIFS('PLAN BUDGET SAMI-JF'!AO13:AO100000,'PLAN BUDGET SAMI-JF'!D13:D100000,SUMMARY!D34,'PLAN BUDGET SAMI-JF'!J13:J100000,SUMMARY!A34&amp;"*")</f>
        <v>0</v>
      </c>
      <c r="G34" s="10">
        <f>SUMIFS('PLAN BUDGET SAMI-JF'!AP13:AP100000,'PLAN BUDGET SAMI-JF'!D13:D100000,SUMMARY!D34,'PLAN BUDGET SAMI-JF'!J13:J100000,SUMMARY!A34&amp;"*")</f>
        <v>0</v>
      </c>
      <c r="H34" s="10">
        <f>SUMIFS('PLAN BUDGET SAMI-JF'!AQ13:AQ100000,'PLAN BUDGET SAMI-JF'!D13:D100000,SUMMARY!D34,'PLAN BUDGET SAMI-JF'!J13:J100000,SUMMARY!A34&amp;"*")</f>
        <v>0</v>
      </c>
      <c r="I34" s="10">
        <f>SUMIFS('PLAN BUDGET SAMI-JF'!AR13:AR100000,'PLAN BUDGET SAMI-JF'!D13:D100000,SUMMARY!D34,'PLAN BUDGET SAMI-JF'!J13:J100000,SUMMARY!A34&amp;"*")</f>
        <v>0</v>
      </c>
      <c r="J34" s="10">
        <f>SUMIFS('PLAN BUDGET SAMI-JF'!AS13:AS100000,'PLAN BUDGET SAMI-JF'!D13:D100000,SUMMARY!D34,'PLAN BUDGET SAMI-JF'!J13:J100000,SUMMARY!A34&amp;"*")</f>
        <v>0</v>
      </c>
      <c r="K34" s="10">
        <f>SUMIFS('PLAN BUDGET SAMI-JF'!AT13:AT100000,'PLAN BUDGET SAMI-JF'!D13:D100000,SUMMARY!D34,'PLAN BUDGET SAMI-JF'!J13:J100000,SUMMARY!A34&amp;"*")</f>
        <v>0</v>
      </c>
      <c r="L34" s="10">
        <f>SUMIFS('PLAN BUDGET SAMI-JF'!AU13:AU100000,'PLAN BUDGET SAMI-JF'!D13:D100000,SUMMARY!D34,'PLAN BUDGET SAMI-JF'!J13:J100000,SUMMARY!A34&amp;"*")</f>
        <v>0</v>
      </c>
      <c r="M34" s="10">
        <f>SUMIFS('PLAN BUDGET SAMI-JF'!AV13:AV100000,'PLAN BUDGET SAMI-JF'!D13:D100000,SUMMARY!D34,'PLAN BUDGET SAMI-JF'!J13:J100000,SUMMARY!A34&amp;"*")</f>
        <v>0</v>
      </c>
      <c r="N34" s="10">
        <f>SUMIFS('PLAN BUDGET SAMI-JF'!AW13:AW100000,'PLAN BUDGET SAMI-JF'!D13:D100000,SUMMARY!D34,'PLAN BUDGET SAMI-JF'!J13:J100000,SUMMARY!A34&amp;"*")</f>
        <v>0</v>
      </c>
      <c r="O34" s="10">
        <f>SUMIFS('PLAN BUDGET SAMI-JF'!AX13:AX100000,'PLAN BUDGET SAMI-JF'!D13:D100000,SUMMARY!D34,'PLAN BUDGET SAMI-JF'!J13:J100000,SUMMARY!A34&amp;"*")</f>
        <v>9</v>
      </c>
      <c r="P34" s="10">
        <f>SUMIFS('PLAN BUDGET SAMI-JF'!AY13:AY100000,'PLAN BUDGET SAMI-JF'!D13:D100000,SUMMARY!D34,'PLAN BUDGET SAMI-JF'!J13:J100000,SUMMARY!A34&amp;"*")</f>
        <v>0</v>
      </c>
      <c r="Q34" s="10">
        <f>SUMIFS('PLAN BUDGET SAMI-JF'!BC13:BC100000,'PLAN BUDGET SAMI-JF'!D13:D100000,SUMMARY!D34,'PLAN BUDGET SAMI-JF'!J13:J100000,SUMMARY!A34&amp;"*")</f>
        <v>0</v>
      </c>
      <c r="R34" s="10">
        <f>SUMIFS('PLAN BUDGET SAMI-JF'!BD13:BD100000,'PLAN BUDGET SAMI-JF'!D13:D100000,SUMMARY!D34,'PLAN BUDGET SAMI-JF'!J13:J100000,SUMMARY!A34&amp;"*")</f>
        <v>0</v>
      </c>
      <c r="S34" s="10">
        <f>SUMIFS('PLAN BUDGET SAMI-JF'!BE13:BE100000,'PLAN BUDGET SAMI-JF'!D13:D100000,SUMMARY!D34,'PLAN BUDGET SAMI-JF'!J13:J100000,SUMMARY!A34&amp;"*")</f>
        <v>0</v>
      </c>
      <c r="T34" s="10">
        <f>SUMIFS('PLAN BUDGET SAMI-JF'!BF13:BF100000,'PLAN BUDGET SAMI-JF'!D13:D100000,SUMMARY!D34,'PLAN BUDGET SAMI-JF'!J13:J100000,SUMMARY!A34&amp;"*")</f>
        <v>0</v>
      </c>
      <c r="U34" s="10">
        <f>SUMIFS('PLAN BUDGET SAMI-JF'!BG13:BG100000,'PLAN BUDGET SAMI-JF'!D13:D100000,SUMMARY!D34,'PLAN BUDGET SAMI-JF'!J13:J100000,SUMMARY!A34&amp;"*")</f>
        <v>0</v>
      </c>
      <c r="V34" s="10">
        <f>SUMIFS('PLAN BUDGET SAMI-JF'!BH13:BH100000,'PLAN BUDGET SAMI-JF'!D13:D100000,SUMMARY!D34,'PLAN BUDGET SAMI-JF'!J13:J100000,SUMMARY!A34&amp;"*")</f>
        <v>0</v>
      </c>
      <c r="W34" s="10">
        <f>SUMIFS('PLAN BUDGET SAMI-JF'!BI13:BI100000,'PLAN BUDGET SAMI-JF'!D13:D100000,SUMMARY!D34,'PLAN BUDGET SAMI-JF'!J13:J100000,SUMMARY!A34&amp;"*")</f>
        <v>0</v>
      </c>
      <c r="X34" s="10">
        <f>SUMIFS('PLAN BUDGET SAMI-JF'!BJ13:BJ100000,'PLAN BUDGET SAMI-JF'!D13:D100000,SUMMARY!D34,'PLAN BUDGET SAMI-JF'!J13:J100000,SUMMARY!A34&amp;"*")</f>
        <v>0</v>
      </c>
      <c r="Y34" s="10">
        <f>SUMIFS('PLAN BUDGET SAMI-JF'!BK13:BK100000,'PLAN BUDGET SAMI-JF'!D13:D100000,SUMMARY!D34,'PLAN BUDGET SAMI-JF'!J13:J100000,SUMMARY!A34&amp;"*")</f>
        <v>0</v>
      </c>
      <c r="Z34" s="10">
        <f>SUMIFS('PLAN BUDGET SAMI-JF'!BL13:BL100000,'PLAN BUDGET SAMI-JF'!D13:D100000,SUMMARY!D34,'PLAN BUDGET SAMI-JF'!J13:J100000,SUMMARY!A34&amp;"*")</f>
        <v>0</v>
      </c>
      <c r="AA34" s="10">
        <f>SUMIFS('PLAN BUDGET SAMI-JF'!BM13:BM100000,'PLAN BUDGET SAMI-JF'!D13:D100000,SUMMARY!D34,'PLAN BUDGET SAMI-JF'!J13:J100000,SUMMARY!A34&amp;"*")</f>
        <v>227.86829212715099</v>
      </c>
      <c r="AB34" s="10">
        <f>SUMIFS('PLAN BUDGET SAMI-JF'!BN13:BN100000,'PLAN BUDGET SAMI-JF'!D13:D100000,SUMMARY!D34,'PLAN BUDGET SAMI-JF'!J13:J100000,SUMMARY!A34&amp;"*")</f>
        <v>0</v>
      </c>
      <c r="AC34" s="10">
        <f t="shared" si="0"/>
        <v>9</v>
      </c>
      <c r="AD34" s="10">
        <f t="shared" si="1"/>
        <v>227.86829212715099</v>
      </c>
      <c r="AE34" s="16"/>
      <c r="AF34" s="10">
        <v>9</v>
      </c>
      <c r="AG34" s="10">
        <v>227.86829212715</v>
      </c>
      <c r="AH34" s="20">
        <f t="shared" si="2"/>
        <v>0</v>
      </c>
      <c r="AI34" s="20">
        <f t="shared" si="3"/>
        <v>4.3655035142364889E-15</v>
      </c>
      <c r="AJ34" s="7"/>
    </row>
    <row r="35" spans="1:36" x14ac:dyDescent="0.35">
      <c r="A35" s="7" t="s">
        <v>47</v>
      </c>
      <c r="B35" s="7"/>
      <c r="C35" s="7"/>
      <c r="D35" s="7" t="s">
        <v>189</v>
      </c>
      <c r="E35" s="10">
        <f>SUMIFS('PLAN BUDGET SAMI-JF'!AN13:AN100000,'PLAN BUDGET SAMI-JF'!D13:D100000,SUMMARY!D35,'PLAN BUDGET SAMI-JF'!J13:J100000,SUMMARY!A35&amp;"*")</f>
        <v>0</v>
      </c>
      <c r="F35" s="10">
        <f>SUMIFS('PLAN BUDGET SAMI-JF'!AO13:AO100000,'PLAN BUDGET SAMI-JF'!D13:D100000,SUMMARY!D35,'PLAN BUDGET SAMI-JF'!J13:J100000,SUMMARY!A35&amp;"*")</f>
        <v>0</v>
      </c>
      <c r="G35" s="10">
        <f>SUMIFS('PLAN BUDGET SAMI-JF'!AP13:AP100000,'PLAN BUDGET SAMI-JF'!D13:D100000,SUMMARY!D35,'PLAN BUDGET SAMI-JF'!J13:J100000,SUMMARY!A35&amp;"*")</f>
        <v>0</v>
      </c>
      <c r="H35" s="10">
        <f>SUMIFS('PLAN BUDGET SAMI-JF'!AQ13:AQ100000,'PLAN BUDGET SAMI-JF'!D13:D100000,SUMMARY!D35,'PLAN BUDGET SAMI-JF'!J13:J100000,SUMMARY!A35&amp;"*")</f>
        <v>0</v>
      </c>
      <c r="I35" s="10">
        <f>SUMIFS('PLAN BUDGET SAMI-JF'!AR13:AR100000,'PLAN BUDGET SAMI-JF'!D13:D100000,SUMMARY!D35,'PLAN BUDGET SAMI-JF'!J13:J100000,SUMMARY!A35&amp;"*")</f>
        <v>0</v>
      </c>
      <c r="J35" s="10">
        <f>SUMIFS('PLAN BUDGET SAMI-JF'!AS13:AS100000,'PLAN BUDGET SAMI-JF'!D13:D100000,SUMMARY!D35,'PLAN BUDGET SAMI-JF'!J13:J100000,SUMMARY!A35&amp;"*")</f>
        <v>0</v>
      </c>
      <c r="K35" s="10">
        <f>SUMIFS('PLAN BUDGET SAMI-JF'!AT13:AT100000,'PLAN BUDGET SAMI-JF'!D13:D100000,SUMMARY!D35,'PLAN BUDGET SAMI-JF'!J13:J100000,SUMMARY!A35&amp;"*")</f>
        <v>0</v>
      </c>
      <c r="L35" s="10">
        <f>SUMIFS('PLAN BUDGET SAMI-JF'!AU13:AU100000,'PLAN BUDGET SAMI-JF'!D13:D100000,SUMMARY!D35,'PLAN BUDGET SAMI-JF'!J13:J100000,SUMMARY!A35&amp;"*")</f>
        <v>0</v>
      </c>
      <c r="M35" s="10">
        <f>SUMIFS('PLAN BUDGET SAMI-JF'!AV13:AV100000,'PLAN BUDGET SAMI-JF'!D13:D100000,SUMMARY!D35,'PLAN BUDGET SAMI-JF'!J13:J100000,SUMMARY!A35&amp;"*")</f>
        <v>0</v>
      </c>
      <c r="N35" s="10">
        <f>SUMIFS('PLAN BUDGET SAMI-JF'!AW13:AW100000,'PLAN BUDGET SAMI-JF'!D13:D100000,SUMMARY!D35,'PLAN BUDGET SAMI-JF'!J13:J100000,SUMMARY!A35&amp;"*")</f>
        <v>0</v>
      </c>
      <c r="O35" s="10">
        <f>SUMIFS('PLAN BUDGET SAMI-JF'!AX13:AX100000,'PLAN BUDGET SAMI-JF'!D13:D100000,SUMMARY!D35,'PLAN BUDGET SAMI-JF'!J13:J100000,SUMMARY!A35&amp;"*")</f>
        <v>15</v>
      </c>
      <c r="P35" s="10">
        <f>SUMIFS('PLAN BUDGET SAMI-JF'!AY13:AY100000,'PLAN BUDGET SAMI-JF'!D13:D100000,SUMMARY!D35,'PLAN BUDGET SAMI-JF'!J13:J100000,SUMMARY!A35&amp;"*")</f>
        <v>0</v>
      </c>
      <c r="Q35" s="10">
        <f>SUMIFS('PLAN BUDGET SAMI-JF'!BC13:BC100000,'PLAN BUDGET SAMI-JF'!D13:D100000,SUMMARY!D35,'PLAN BUDGET SAMI-JF'!J13:J100000,SUMMARY!A35&amp;"*")</f>
        <v>0</v>
      </c>
      <c r="R35" s="10">
        <f>SUMIFS('PLAN BUDGET SAMI-JF'!BD13:BD100000,'PLAN BUDGET SAMI-JF'!D13:D100000,SUMMARY!D35,'PLAN BUDGET SAMI-JF'!J13:J100000,SUMMARY!A35&amp;"*")</f>
        <v>0</v>
      </c>
      <c r="S35" s="10">
        <f>SUMIFS('PLAN BUDGET SAMI-JF'!BE13:BE100000,'PLAN BUDGET SAMI-JF'!D13:D100000,SUMMARY!D35,'PLAN BUDGET SAMI-JF'!J13:J100000,SUMMARY!A35&amp;"*")</f>
        <v>0</v>
      </c>
      <c r="T35" s="10">
        <f>SUMIFS('PLAN BUDGET SAMI-JF'!BF13:BF100000,'PLAN BUDGET SAMI-JF'!D13:D100000,SUMMARY!D35,'PLAN BUDGET SAMI-JF'!J13:J100000,SUMMARY!A35&amp;"*")</f>
        <v>0</v>
      </c>
      <c r="U35" s="10">
        <f>SUMIFS('PLAN BUDGET SAMI-JF'!BG13:BG100000,'PLAN BUDGET SAMI-JF'!D13:D100000,SUMMARY!D35,'PLAN BUDGET SAMI-JF'!J13:J100000,SUMMARY!A35&amp;"*")</f>
        <v>0</v>
      </c>
      <c r="V35" s="10">
        <f>SUMIFS('PLAN BUDGET SAMI-JF'!BH13:BH100000,'PLAN BUDGET SAMI-JF'!D13:D100000,SUMMARY!D35,'PLAN BUDGET SAMI-JF'!J13:J100000,SUMMARY!A35&amp;"*")</f>
        <v>0</v>
      </c>
      <c r="W35" s="10">
        <f>SUMIFS('PLAN BUDGET SAMI-JF'!BI13:BI100000,'PLAN BUDGET SAMI-JF'!D13:D100000,SUMMARY!D35,'PLAN BUDGET SAMI-JF'!J13:J100000,SUMMARY!A35&amp;"*")</f>
        <v>0</v>
      </c>
      <c r="X35" s="10">
        <f>SUMIFS('PLAN BUDGET SAMI-JF'!BJ13:BJ100000,'PLAN BUDGET SAMI-JF'!D13:D100000,SUMMARY!D35,'PLAN BUDGET SAMI-JF'!J13:J100000,SUMMARY!A35&amp;"*")</f>
        <v>0</v>
      </c>
      <c r="Y35" s="10">
        <f>SUMIFS('PLAN BUDGET SAMI-JF'!BK13:BK100000,'PLAN BUDGET SAMI-JF'!D13:D100000,SUMMARY!D35,'PLAN BUDGET SAMI-JF'!J13:J100000,SUMMARY!A35&amp;"*")</f>
        <v>0</v>
      </c>
      <c r="Z35" s="10">
        <f>SUMIFS('PLAN BUDGET SAMI-JF'!BL13:BL100000,'PLAN BUDGET SAMI-JF'!D13:D100000,SUMMARY!D35,'PLAN BUDGET SAMI-JF'!J13:J100000,SUMMARY!A35&amp;"*")</f>
        <v>0</v>
      </c>
      <c r="AA35" s="10">
        <f>SUMIFS('PLAN BUDGET SAMI-JF'!BM13:BM100000,'PLAN BUDGET SAMI-JF'!D13:D100000,SUMMARY!D35,'PLAN BUDGET SAMI-JF'!J13:J100000,SUMMARY!A35&amp;"*")</f>
        <v>47.472560859822998</v>
      </c>
      <c r="AB35" s="10">
        <f>SUMIFS('PLAN BUDGET SAMI-JF'!BN13:BN100000,'PLAN BUDGET SAMI-JF'!D13:D100000,SUMMARY!D35,'PLAN BUDGET SAMI-JF'!J13:J100000,SUMMARY!A35&amp;"*")</f>
        <v>0</v>
      </c>
      <c r="AC35" s="10">
        <f t="shared" si="0"/>
        <v>15</v>
      </c>
      <c r="AD35" s="10">
        <f t="shared" si="1"/>
        <v>47.472560859822998</v>
      </c>
      <c r="AE35" s="16"/>
      <c r="AF35" s="10">
        <v>15</v>
      </c>
      <c r="AG35" s="10">
        <v>47.472560859822998</v>
      </c>
      <c r="AH35" s="20">
        <f t="shared" si="2"/>
        <v>0</v>
      </c>
      <c r="AI35" s="20">
        <f t="shared" si="3"/>
        <v>0</v>
      </c>
      <c r="AJ35" s="7"/>
    </row>
    <row r="36" spans="1:36" x14ac:dyDescent="0.35">
      <c r="A36" s="7" t="s">
        <v>47</v>
      </c>
      <c r="B36" s="7"/>
      <c r="C36" s="7"/>
      <c r="D36" s="7" t="s">
        <v>186</v>
      </c>
      <c r="E36" s="10">
        <f>SUMIFS('PLAN BUDGET SAMI-JF'!AN13:AN100000,'PLAN BUDGET SAMI-JF'!D13:D100000,SUMMARY!D36,'PLAN BUDGET SAMI-JF'!J13:J100000,SUMMARY!A36&amp;"*")</f>
        <v>0</v>
      </c>
      <c r="F36" s="10">
        <f>SUMIFS('PLAN BUDGET SAMI-JF'!AO13:AO100000,'PLAN BUDGET SAMI-JF'!D13:D100000,SUMMARY!D36,'PLAN BUDGET SAMI-JF'!J13:J100000,SUMMARY!A36&amp;"*")</f>
        <v>0</v>
      </c>
      <c r="G36" s="10">
        <f>SUMIFS('PLAN BUDGET SAMI-JF'!AP13:AP100000,'PLAN BUDGET SAMI-JF'!D13:D100000,SUMMARY!D36,'PLAN BUDGET SAMI-JF'!J13:J100000,SUMMARY!A36&amp;"*")</f>
        <v>0</v>
      </c>
      <c r="H36" s="10">
        <f>SUMIFS('PLAN BUDGET SAMI-JF'!AQ13:AQ100000,'PLAN BUDGET SAMI-JF'!D13:D100000,SUMMARY!D36,'PLAN BUDGET SAMI-JF'!J13:J100000,SUMMARY!A36&amp;"*")</f>
        <v>0</v>
      </c>
      <c r="I36" s="10">
        <f>SUMIFS('PLAN BUDGET SAMI-JF'!AR13:AR100000,'PLAN BUDGET SAMI-JF'!D13:D100000,SUMMARY!D36,'PLAN BUDGET SAMI-JF'!J13:J100000,SUMMARY!A36&amp;"*")</f>
        <v>0</v>
      </c>
      <c r="J36" s="10">
        <f>SUMIFS('PLAN BUDGET SAMI-JF'!AS13:AS100000,'PLAN BUDGET SAMI-JF'!D13:D100000,SUMMARY!D36,'PLAN BUDGET SAMI-JF'!J13:J100000,SUMMARY!A36&amp;"*")</f>
        <v>0</v>
      </c>
      <c r="K36" s="10">
        <f>SUMIFS('PLAN BUDGET SAMI-JF'!AT13:AT100000,'PLAN BUDGET SAMI-JF'!D13:D100000,SUMMARY!D36,'PLAN BUDGET SAMI-JF'!J13:J100000,SUMMARY!A36&amp;"*")</f>
        <v>0</v>
      </c>
      <c r="L36" s="10">
        <f>SUMIFS('PLAN BUDGET SAMI-JF'!AU13:AU100000,'PLAN BUDGET SAMI-JF'!D13:D100000,SUMMARY!D36,'PLAN BUDGET SAMI-JF'!J13:J100000,SUMMARY!A36&amp;"*")</f>
        <v>0</v>
      </c>
      <c r="M36" s="10">
        <f>SUMIFS('PLAN BUDGET SAMI-JF'!AV13:AV100000,'PLAN BUDGET SAMI-JF'!D13:D100000,SUMMARY!D36,'PLAN BUDGET SAMI-JF'!J13:J100000,SUMMARY!A36&amp;"*")</f>
        <v>0</v>
      </c>
      <c r="N36" s="10">
        <f>SUMIFS('PLAN BUDGET SAMI-JF'!AW13:AW100000,'PLAN BUDGET SAMI-JF'!D13:D100000,SUMMARY!D36,'PLAN BUDGET SAMI-JF'!J13:J100000,SUMMARY!A36&amp;"*")</f>
        <v>0</v>
      </c>
      <c r="O36" s="10">
        <f>SUMIFS('PLAN BUDGET SAMI-JF'!AX13:AX100000,'PLAN BUDGET SAMI-JF'!D13:D100000,SUMMARY!D36,'PLAN BUDGET SAMI-JF'!J13:J100000,SUMMARY!A36&amp;"*")</f>
        <v>3</v>
      </c>
      <c r="P36" s="10">
        <f>SUMIFS('PLAN BUDGET SAMI-JF'!AY13:AY100000,'PLAN BUDGET SAMI-JF'!D13:D100000,SUMMARY!D36,'PLAN BUDGET SAMI-JF'!J13:J100000,SUMMARY!A36&amp;"*")</f>
        <v>0</v>
      </c>
      <c r="Q36" s="10">
        <f>SUMIFS('PLAN BUDGET SAMI-JF'!BC13:BC100000,'PLAN BUDGET SAMI-JF'!D13:D100000,SUMMARY!D36,'PLAN BUDGET SAMI-JF'!J13:J100000,SUMMARY!A36&amp;"*")</f>
        <v>0</v>
      </c>
      <c r="R36" s="10">
        <f>SUMIFS('PLAN BUDGET SAMI-JF'!BD13:BD100000,'PLAN BUDGET SAMI-JF'!D13:D100000,SUMMARY!D36,'PLAN BUDGET SAMI-JF'!J13:J100000,SUMMARY!A36&amp;"*")</f>
        <v>0</v>
      </c>
      <c r="S36" s="10">
        <f>SUMIFS('PLAN BUDGET SAMI-JF'!BE13:BE100000,'PLAN BUDGET SAMI-JF'!D13:D100000,SUMMARY!D36,'PLAN BUDGET SAMI-JF'!J13:J100000,SUMMARY!A36&amp;"*")</f>
        <v>0</v>
      </c>
      <c r="T36" s="10">
        <f>SUMIFS('PLAN BUDGET SAMI-JF'!BF13:BF100000,'PLAN BUDGET SAMI-JF'!D13:D100000,SUMMARY!D36,'PLAN BUDGET SAMI-JF'!J13:J100000,SUMMARY!A36&amp;"*")</f>
        <v>0</v>
      </c>
      <c r="U36" s="10">
        <f>SUMIFS('PLAN BUDGET SAMI-JF'!BG13:BG100000,'PLAN BUDGET SAMI-JF'!D13:D100000,SUMMARY!D36,'PLAN BUDGET SAMI-JF'!J13:J100000,SUMMARY!A36&amp;"*")</f>
        <v>0</v>
      </c>
      <c r="V36" s="10">
        <f>SUMIFS('PLAN BUDGET SAMI-JF'!BH13:BH100000,'PLAN BUDGET SAMI-JF'!D13:D100000,SUMMARY!D36,'PLAN BUDGET SAMI-JF'!J13:J100000,SUMMARY!A36&amp;"*")</f>
        <v>0</v>
      </c>
      <c r="W36" s="10">
        <f>SUMIFS('PLAN BUDGET SAMI-JF'!BI13:BI100000,'PLAN BUDGET SAMI-JF'!D13:D100000,SUMMARY!D36,'PLAN BUDGET SAMI-JF'!J13:J100000,SUMMARY!A36&amp;"*")</f>
        <v>0</v>
      </c>
      <c r="X36" s="10">
        <f>SUMIFS('PLAN BUDGET SAMI-JF'!BJ13:BJ100000,'PLAN BUDGET SAMI-JF'!D13:D100000,SUMMARY!D36,'PLAN BUDGET SAMI-JF'!J13:J100000,SUMMARY!A36&amp;"*")</f>
        <v>0</v>
      </c>
      <c r="Y36" s="10">
        <f>SUMIFS('PLAN BUDGET SAMI-JF'!BK13:BK100000,'PLAN BUDGET SAMI-JF'!D13:D100000,SUMMARY!D36,'PLAN BUDGET SAMI-JF'!J13:J100000,SUMMARY!A36&amp;"*")</f>
        <v>0</v>
      </c>
      <c r="Z36" s="10">
        <f>SUMIFS('PLAN BUDGET SAMI-JF'!BL13:BL100000,'PLAN BUDGET SAMI-JF'!D13:D100000,SUMMARY!D36,'PLAN BUDGET SAMI-JF'!J13:J100000,SUMMARY!A36&amp;"*")</f>
        <v>0</v>
      </c>
      <c r="AA36" s="10">
        <f>SUMIFS('PLAN BUDGET SAMI-JF'!BM13:BM100000,'PLAN BUDGET SAMI-JF'!D13:D100000,SUMMARY!D36,'PLAN BUDGET SAMI-JF'!J13:J100000,SUMMARY!A36&amp;"*")</f>
        <v>59.815426683376998</v>
      </c>
      <c r="AB36" s="10">
        <f>SUMIFS('PLAN BUDGET SAMI-JF'!BN13:BN100000,'PLAN BUDGET SAMI-JF'!D13:D100000,SUMMARY!D36,'PLAN BUDGET SAMI-JF'!J13:J100000,SUMMARY!A36&amp;"*")</f>
        <v>0</v>
      </c>
      <c r="AC36" s="10">
        <f t="shared" si="0"/>
        <v>3</v>
      </c>
      <c r="AD36" s="10">
        <f t="shared" si="1"/>
        <v>59.815426683376998</v>
      </c>
      <c r="AE36" s="16"/>
      <c r="AF36" s="10">
        <v>1</v>
      </c>
      <c r="AG36" s="10">
        <v>19.938475561126001</v>
      </c>
      <c r="AH36" s="20">
        <f t="shared" si="2"/>
        <v>2</v>
      </c>
      <c r="AI36" s="20">
        <f t="shared" si="3"/>
        <v>1.9999999999999498</v>
      </c>
      <c r="AJ36" s="36" t="s">
        <v>573</v>
      </c>
    </row>
    <row r="37" spans="1:36" x14ac:dyDescent="0.35">
      <c r="A37" s="7" t="s">
        <v>47</v>
      </c>
      <c r="B37" s="7"/>
      <c r="C37" s="7"/>
      <c r="D37" s="7" t="s">
        <v>330</v>
      </c>
      <c r="E37" s="10">
        <f>SUMIFS('PLAN BUDGET SAMI-JF'!AN13:AN100000,'PLAN BUDGET SAMI-JF'!D13:D100000,SUMMARY!D37,'PLAN BUDGET SAMI-JF'!J13:J100000,SUMMARY!A37&amp;"*")</f>
        <v>4</v>
      </c>
      <c r="F37" s="10">
        <f>SUMIFS('PLAN BUDGET SAMI-JF'!AO13:AO100000,'PLAN BUDGET SAMI-JF'!D13:D100000,SUMMARY!D37,'PLAN BUDGET SAMI-JF'!J13:J100000,SUMMARY!A37&amp;"*")</f>
        <v>0</v>
      </c>
      <c r="G37" s="10">
        <f>SUMIFS('PLAN BUDGET SAMI-JF'!AP13:AP100000,'PLAN BUDGET SAMI-JF'!D13:D100000,SUMMARY!D37,'PLAN BUDGET SAMI-JF'!J13:J100000,SUMMARY!A37&amp;"*")</f>
        <v>0</v>
      </c>
      <c r="H37" s="10">
        <f>SUMIFS('PLAN BUDGET SAMI-JF'!AQ13:AQ100000,'PLAN BUDGET SAMI-JF'!D13:D100000,SUMMARY!D37,'PLAN BUDGET SAMI-JF'!J13:J100000,SUMMARY!A37&amp;"*")</f>
        <v>0</v>
      </c>
      <c r="I37" s="10">
        <f>SUMIFS('PLAN BUDGET SAMI-JF'!AR13:AR100000,'PLAN BUDGET SAMI-JF'!D13:D100000,SUMMARY!D37,'PLAN BUDGET SAMI-JF'!J13:J100000,SUMMARY!A37&amp;"*")</f>
        <v>4</v>
      </c>
      <c r="J37" s="10">
        <f>SUMIFS('PLAN BUDGET SAMI-JF'!AS13:AS100000,'PLAN BUDGET SAMI-JF'!D13:D100000,SUMMARY!D37,'PLAN BUDGET SAMI-JF'!J13:J100000,SUMMARY!A37&amp;"*")</f>
        <v>0</v>
      </c>
      <c r="K37" s="10">
        <f>SUMIFS('PLAN BUDGET SAMI-JF'!AT13:AT100000,'PLAN BUDGET SAMI-JF'!D13:D100000,SUMMARY!D37,'PLAN BUDGET SAMI-JF'!J13:J100000,SUMMARY!A37&amp;"*")</f>
        <v>0</v>
      </c>
      <c r="L37" s="10">
        <f>SUMIFS('PLAN BUDGET SAMI-JF'!AU13:AU100000,'PLAN BUDGET SAMI-JF'!D13:D100000,SUMMARY!D37,'PLAN BUDGET SAMI-JF'!J13:J100000,SUMMARY!A37&amp;"*")</f>
        <v>0</v>
      </c>
      <c r="M37" s="10">
        <f>SUMIFS('PLAN BUDGET SAMI-JF'!AV13:AV100000,'PLAN BUDGET SAMI-JF'!D13:D100000,SUMMARY!D37,'PLAN BUDGET SAMI-JF'!J13:J100000,SUMMARY!A37&amp;"*")</f>
        <v>4</v>
      </c>
      <c r="N37" s="10">
        <f>SUMIFS('PLAN BUDGET SAMI-JF'!AW13:AW100000,'PLAN BUDGET SAMI-JF'!D13:D100000,SUMMARY!D37,'PLAN BUDGET SAMI-JF'!J13:J100000,SUMMARY!A37&amp;"*")</f>
        <v>0</v>
      </c>
      <c r="O37" s="10">
        <f>SUMIFS('PLAN BUDGET SAMI-JF'!AX13:AX100000,'PLAN BUDGET SAMI-JF'!D13:D100000,SUMMARY!D37,'PLAN BUDGET SAMI-JF'!J13:J100000,SUMMARY!A37&amp;"*")</f>
        <v>0</v>
      </c>
      <c r="P37" s="10">
        <f>SUMIFS('PLAN BUDGET SAMI-JF'!AY13:AY100000,'PLAN BUDGET SAMI-JF'!D13:D100000,SUMMARY!D37,'PLAN BUDGET SAMI-JF'!J13:J100000,SUMMARY!A37&amp;"*")</f>
        <v>0</v>
      </c>
      <c r="Q37" s="10">
        <f>SUMIFS('PLAN BUDGET SAMI-JF'!BC13:BC100000,'PLAN BUDGET SAMI-JF'!D13:D100000,SUMMARY!D37,'PLAN BUDGET SAMI-JF'!J13:J100000,SUMMARY!A37&amp;"*")</f>
        <v>1.8989024343929</v>
      </c>
      <c r="R37" s="10">
        <f>SUMIFS('PLAN BUDGET SAMI-JF'!BD13:BD100000,'PLAN BUDGET SAMI-JF'!D13:D100000,SUMMARY!D37,'PLAN BUDGET SAMI-JF'!J13:J100000,SUMMARY!A37&amp;"*")</f>
        <v>0</v>
      </c>
      <c r="S37" s="10">
        <f>SUMIFS('PLAN BUDGET SAMI-JF'!BE13:BE100000,'PLAN BUDGET SAMI-JF'!D13:D100000,SUMMARY!D37,'PLAN BUDGET SAMI-JF'!J13:J100000,SUMMARY!A37&amp;"*")</f>
        <v>0</v>
      </c>
      <c r="T37" s="10">
        <f>SUMIFS('PLAN BUDGET SAMI-JF'!BF13:BF100000,'PLAN BUDGET SAMI-JF'!D13:D100000,SUMMARY!D37,'PLAN BUDGET SAMI-JF'!J13:J100000,SUMMARY!A37&amp;"*")</f>
        <v>0</v>
      </c>
      <c r="U37" s="10">
        <f>SUMIFS('PLAN BUDGET SAMI-JF'!BG13:BG100000,'PLAN BUDGET SAMI-JF'!D13:D100000,SUMMARY!D37,'PLAN BUDGET SAMI-JF'!J13:J100000,SUMMARY!A37&amp;"*")</f>
        <v>1.8989024343929</v>
      </c>
      <c r="V37" s="10">
        <f>SUMIFS('PLAN BUDGET SAMI-JF'!BH13:BH100000,'PLAN BUDGET SAMI-JF'!D13:D100000,SUMMARY!D37,'PLAN BUDGET SAMI-JF'!J13:J100000,SUMMARY!A37&amp;"*")</f>
        <v>0</v>
      </c>
      <c r="W37" s="10">
        <f>SUMIFS('PLAN BUDGET SAMI-JF'!BI13:BI100000,'PLAN BUDGET SAMI-JF'!D13:D100000,SUMMARY!D37,'PLAN BUDGET SAMI-JF'!J13:J100000,SUMMARY!A37&amp;"*")</f>
        <v>0</v>
      </c>
      <c r="X37" s="10">
        <f>SUMIFS('PLAN BUDGET SAMI-JF'!BJ13:BJ100000,'PLAN BUDGET SAMI-JF'!D13:D100000,SUMMARY!D37,'PLAN BUDGET SAMI-JF'!J13:J100000,SUMMARY!A37&amp;"*")</f>
        <v>0</v>
      </c>
      <c r="Y37" s="10">
        <f>SUMIFS('PLAN BUDGET SAMI-JF'!BK13:BK100000,'PLAN BUDGET SAMI-JF'!D13:D100000,SUMMARY!D37,'PLAN BUDGET SAMI-JF'!J13:J100000,SUMMARY!A37&amp;"*")</f>
        <v>1.8989024343929</v>
      </c>
      <c r="Z37" s="10">
        <f>SUMIFS('PLAN BUDGET SAMI-JF'!BL13:BL100000,'PLAN BUDGET SAMI-JF'!D13:D100000,SUMMARY!D37,'PLAN BUDGET SAMI-JF'!J13:J100000,SUMMARY!A37&amp;"*")</f>
        <v>0</v>
      </c>
      <c r="AA37" s="10">
        <f>SUMIFS('PLAN BUDGET SAMI-JF'!BM13:BM100000,'PLAN BUDGET SAMI-JF'!D13:D100000,SUMMARY!D37,'PLAN BUDGET SAMI-JF'!J13:J100000,SUMMARY!A37&amp;"*")</f>
        <v>0</v>
      </c>
      <c r="AB37" s="10">
        <f>SUMIFS('PLAN BUDGET SAMI-JF'!BN13:BN100000,'PLAN BUDGET SAMI-JF'!D13:D100000,SUMMARY!D37,'PLAN BUDGET SAMI-JF'!J13:J100000,SUMMARY!A37&amp;"*")</f>
        <v>0</v>
      </c>
      <c r="AC37" s="10">
        <f t="shared" si="0"/>
        <v>12</v>
      </c>
      <c r="AD37" s="10">
        <f t="shared" si="1"/>
        <v>5.6967073031786999</v>
      </c>
      <c r="AE37" s="16"/>
      <c r="AF37" s="10">
        <v>30</v>
      </c>
      <c r="AG37" s="10">
        <v>14.241768257946999</v>
      </c>
      <c r="AH37" s="20">
        <f t="shared" si="2"/>
        <v>-0.6</v>
      </c>
      <c r="AI37" s="20">
        <f t="shared" si="3"/>
        <v>-0.60000000000000697</v>
      </c>
      <c r="AJ37" s="7"/>
    </row>
    <row r="38" spans="1:36" x14ac:dyDescent="0.35">
      <c r="A38" s="7" t="s">
        <v>47</v>
      </c>
      <c r="B38" s="7"/>
      <c r="C38" s="7"/>
      <c r="D38" s="7" t="s">
        <v>170</v>
      </c>
      <c r="E38" s="10">
        <f>SUMIFS('PLAN BUDGET SAMI-JF'!AN13:AN100000,'PLAN BUDGET SAMI-JF'!D13:D100000,SUMMARY!D38,'PLAN BUDGET SAMI-JF'!J13:J100000,SUMMARY!A38&amp;"*")</f>
        <v>1</v>
      </c>
      <c r="F38" s="10">
        <f>SUMIFS('PLAN BUDGET SAMI-JF'!AO13:AO100000,'PLAN BUDGET SAMI-JF'!D13:D100000,SUMMARY!D38,'PLAN BUDGET SAMI-JF'!J13:J100000,SUMMARY!A38&amp;"*")</f>
        <v>0</v>
      </c>
      <c r="G38" s="10">
        <f>SUMIFS('PLAN BUDGET SAMI-JF'!AP13:AP100000,'PLAN BUDGET SAMI-JF'!D13:D100000,SUMMARY!D38,'PLAN BUDGET SAMI-JF'!J13:J100000,SUMMARY!A38&amp;"*")</f>
        <v>0</v>
      </c>
      <c r="H38" s="10">
        <f>SUMIFS('PLAN BUDGET SAMI-JF'!AQ13:AQ100000,'PLAN BUDGET SAMI-JF'!D13:D100000,SUMMARY!D38,'PLAN BUDGET SAMI-JF'!J13:J100000,SUMMARY!A38&amp;"*")</f>
        <v>1</v>
      </c>
      <c r="I38" s="10">
        <f>SUMIFS('PLAN BUDGET SAMI-JF'!AR13:AR100000,'PLAN BUDGET SAMI-JF'!D13:D100000,SUMMARY!D38,'PLAN BUDGET SAMI-JF'!J13:J100000,SUMMARY!A38&amp;"*")</f>
        <v>1</v>
      </c>
      <c r="J38" s="10">
        <f>SUMIFS('PLAN BUDGET SAMI-JF'!AS13:AS100000,'PLAN BUDGET SAMI-JF'!D13:D100000,SUMMARY!D38,'PLAN BUDGET SAMI-JF'!J13:J100000,SUMMARY!A38&amp;"*")</f>
        <v>0</v>
      </c>
      <c r="K38" s="10">
        <f>SUMIFS('PLAN BUDGET SAMI-JF'!AT13:AT100000,'PLAN BUDGET SAMI-JF'!D13:D100000,SUMMARY!D38,'PLAN BUDGET SAMI-JF'!J13:J100000,SUMMARY!A38&amp;"*")</f>
        <v>0</v>
      </c>
      <c r="L38" s="10">
        <f>SUMIFS('PLAN BUDGET SAMI-JF'!AU13:AU100000,'PLAN BUDGET SAMI-JF'!D13:D100000,SUMMARY!D38,'PLAN BUDGET SAMI-JF'!J13:J100000,SUMMARY!A38&amp;"*")</f>
        <v>0</v>
      </c>
      <c r="M38" s="10">
        <f>SUMIFS('PLAN BUDGET SAMI-JF'!AV13:AV100000,'PLAN BUDGET SAMI-JF'!D13:D100000,SUMMARY!D38,'PLAN BUDGET SAMI-JF'!J13:J100000,SUMMARY!A38&amp;"*")</f>
        <v>0</v>
      </c>
      <c r="N38" s="10">
        <f>SUMIFS('PLAN BUDGET SAMI-JF'!AW13:AW100000,'PLAN BUDGET SAMI-JF'!D13:D100000,SUMMARY!D38,'PLAN BUDGET SAMI-JF'!J13:J100000,SUMMARY!A38&amp;"*")</f>
        <v>1</v>
      </c>
      <c r="O38" s="10">
        <f>SUMIFS('PLAN BUDGET SAMI-JF'!AX13:AX100000,'PLAN BUDGET SAMI-JF'!D13:D100000,SUMMARY!D38,'PLAN BUDGET SAMI-JF'!J13:J100000,SUMMARY!A38&amp;"*")</f>
        <v>0</v>
      </c>
      <c r="P38" s="10">
        <f>SUMIFS('PLAN BUDGET SAMI-JF'!AY13:AY100000,'PLAN BUDGET SAMI-JF'!D13:D100000,SUMMARY!D38,'PLAN BUDGET SAMI-JF'!J13:J100000,SUMMARY!A38&amp;"*")</f>
        <v>0</v>
      </c>
      <c r="Q38" s="10">
        <f>SUMIFS('PLAN BUDGET SAMI-JF'!BC13:BC100000,'PLAN BUDGET SAMI-JF'!D13:D100000,SUMMARY!D38,'PLAN BUDGET SAMI-JF'!J13:J100000,SUMMARY!A38&amp;"*")</f>
        <v>11.393414606358</v>
      </c>
      <c r="R38" s="10">
        <f>SUMIFS('PLAN BUDGET SAMI-JF'!BD13:BD100000,'PLAN BUDGET SAMI-JF'!D13:D100000,SUMMARY!D38,'PLAN BUDGET SAMI-JF'!J13:J100000,SUMMARY!A38&amp;"*")</f>
        <v>0</v>
      </c>
      <c r="S38" s="10">
        <f>SUMIFS('PLAN BUDGET SAMI-JF'!BE13:BE100000,'PLAN BUDGET SAMI-JF'!D13:D100000,SUMMARY!D38,'PLAN BUDGET SAMI-JF'!J13:J100000,SUMMARY!A38&amp;"*")</f>
        <v>0</v>
      </c>
      <c r="T38" s="10">
        <f>SUMIFS('PLAN BUDGET SAMI-JF'!BF13:BF100000,'PLAN BUDGET SAMI-JF'!D13:D100000,SUMMARY!D38,'PLAN BUDGET SAMI-JF'!J13:J100000,SUMMARY!A38&amp;"*")</f>
        <v>12.659349562618999</v>
      </c>
      <c r="U38" s="10">
        <f>SUMIFS('PLAN BUDGET SAMI-JF'!BG13:BG100000,'PLAN BUDGET SAMI-JF'!D13:D100000,SUMMARY!D38,'PLAN BUDGET SAMI-JF'!J13:J100000,SUMMARY!A38&amp;"*")</f>
        <v>5.3802235641133</v>
      </c>
      <c r="V38" s="10">
        <f>SUMIFS('PLAN BUDGET SAMI-JF'!BH13:BH100000,'PLAN BUDGET SAMI-JF'!D13:D100000,SUMMARY!D38,'PLAN BUDGET SAMI-JF'!J13:J100000,SUMMARY!A38&amp;"*")</f>
        <v>0</v>
      </c>
      <c r="W38" s="10">
        <f>SUMIFS('PLAN BUDGET SAMI-JF'!BI13:BI100000,'PLAN BUDGET SAMI-JF'!D13:D100000,SUMMARY!D38,'PLAN BUDGET SAMI-JF'!J13:J100000,SUMMARY!A38&amp;"*")</f>
        <v>0</v>
      </c>
      <c r="X38" s="10">
        <f>SUMIFS('PLAN BUDGET SAMI-JF'!BJ13:BJ100000,'PLAN BUDGET SAMI-JF'!D13:D100000,SUMMARY!D38,'PLAN BUDGET SAMI-JF'!J13:J100000,SUMMARY!A38&amp;"*")</f>
        <v>0</v>
      </c>
      <c r="Y38" s="10">
        <f>SUMIFS('PLAN BUDGET SAMI-JF'!BK13:BK100000,'PLAN BUDGET SAMI-JF'!D13:D100000,SUMMARY!D38,'PLAN BUDGET SAMI-JF'!J13:J100000,SUMMARY!A38&amp;"*")</f>
        <v>0</v>
      </c>
      <c r="Z38" s="10">
        <f>SUMIFS('PLAN BUDGET SAMI-JF'!BL13:BL100000,'PLAN BUDGET SAMI-JF'!D13:D100000,SUMMARY!D38,'PLAN BUDGET SAMI-JF'!J13:J100000,SUMMARY!A38&amp;"*")</f>
        <v>12.659349562618999</v>
      </c>
      <c r="AA38" s="10">
        <f>SUMIFS('PLAN BUDGET SAMI-JF'!BM13:BM100000,'PLAN BUDGET SAMI-JF'!D13:D100000,SUMMARY!D38,'PLAN BUDGET SAMI-JF'!J13:J100000,SUMMARY!A38&amp;"*")</f>
        <v>0</v>
      </c>
      <c r="AB38" s="10">
        <f>SUMIFS('PLAN BUDGET SAMI-JF'!BN13:BN100000,'PLAN BUDGET SAMI-JF'!D13:D100000,SUMMARY!D38,'PLAN BUDGET SAMI-JF'!J13:J100000,SUMMARY!A38&amp;"*")</f>
        <v>0</v>
      </c>
      <c r="AC38" s="10">
        <f t="shared" si="0"/>
        <v>4</v>
      </c>
      <c r="AD38" s="10">
        <f t="shared" si="1"/>
        <v>42.092337295709299</v>
      </c>
      <c r="AE38" s="16"/>
      <c r="AF38" s="10">
        <v>13</v>
      </c>
      <c r="AG38" s="10">
        <v>94.628637980581004</v>
      </c>
      <c r="AH38" s="20">
        <f t="shared" si="2"/>
        <v>-0.69230769230769229</v>
      </c>
      <c r="AI38" s="20">
        <f t="shared" si="3"/>
        <v>-0.55518394648830116</v>
      </c>
      <c r="AJ38" s="7"/>
    </row>
    <row r="39" spans="1:36" x14ac:dyDescent="0.35">
      <c r="A39" s="7" t="s">
        <v>47</v>
      </c>
      <c r="B39" s="7"/>
      <c r="C39" s="7"/>
      <c r="D39" s="7" t="s">
        <v>292</v>
      </c>
      <c r="E39" s="10">
        <f>SUMIFS('PLAN BUDGET SAMI-JF'!AN13:AN100000,'PLAN BUDGET SAMI-JF'!D13:D100000,SUMMARY!D39,'PLAN BUDGET SAMI-JF'!J13:J100000,SUMMARY!A39&amp;"*")</f>
        <v>0</v>
      </c>
      <c r="F39" s="10">
        <f>SUMIFS('PLAN BUDGET SAMI-JF'!AO13:AO100000,'PLAN BUDGET SAMI-JF'!D13:D100000,SUMMARY!D39,'PLAN BUDGET SAMI-JF'!J13:J100000,SUMMARY!A39&amp;"*")</f>
        <v>0</v>
      </c>
      <c r="G39" s="10">
        <f>SUMIFS('PLAN BUDGET SAMI-JF'!AP13:AP100000,'PLAN BUDGET SAMI-JF'!D13:D100000,SUMMARY!D39,'PLAN BUDGET SAMI-JF'!J13:J100000,SUMMARY!A39&amp;"*")</f>
        <v>0</v>
      </c>
      <c r="H39" s="10">
        <f>SUMIFS('PLAN BUDGET SAMI-JF'!AQ13:AQ100000,'PLAN BUDGET SAMI-JF'!D13:D100000,SUMMARY!D39,'PLAN BUDGET SAMI-JF'!J13:J100000,SUMMARY!A39&amp;"*")</f>
        <v>0</v>
      </c>
      <c r="I39" s="10">
        <f>SUMIFS('PLAN BUDGET SAMI-JF'!AR13:AR100000,'PLAN BUDGET SAMI-JF'!D13:D100000,SUMMARY!D39,'PLAN BUDGET SAMI-JF'!J13:J100000,SUMMARY!A39&amp;"*")</f>
        <v>0</v>
      </c>
      <c r="J39" s="10">
        <f>SUMIFS('PLAN BUDGET SAMI-JF'!AS13:AS100000,'PLAN BUDGET SAMI-JF'!D13:D100000,SUMMARY!D39,'PLAN BUDGET SAMI-JF'!J13:J100000,SUMMARY!A39&amp;"*")</f>
        <v>0</v>
      </c>
      <c r="K39" s="10">
        <f>SUMIFS('PLAN BUDGET SAMI-JF'!AT13:AT100000,'PLAN BUDGET SAMI-JF'!D13:D100000,SUMMARY!D39,'PLAN BUDGET SAMI-JF'!J13:J100000,SUMMARY!A39&amp;"*")</f>
        <v>1</v>
      </c>
      <c r="L39" s="10">
        <f>SUMIFS('PLAN BUDGET SAMI-JF'!AU13:AU100000,'PLAN BUDGET SAMI-JF'!D13:D100000,SUMMARY!D39,'PLAN BUDGET SAMI-JF'!J13:J100000,SUMMARY!A39&amp;"*")</f>
        <v>0</v>
      </c>
      <c r="M39" s="10">
        <f>SUMIFS('PLAN BUDGET SAMI-JF'!AV13:AV100000,'PLAN BUDGET SAMI-JF'!D13:D100000,SUMMARY!D39,'PLAN BUDGET SAMI-JF'!J13:J100000,SUMMARY!A39&amp;"*")</f>
        <v>0</v>
      </c>
      <c r="N39" s="10">
        <f>SUMIFS('PLAN BUDGET SAMI-JF'!AW13:AW100000,'PLAN BUDGET SAMI-JF'!D13:D100000,SUMMARY!D39,'PLAN BUDGET SAMI-JF'!J13:J100000,SUMMARY!A39&amp;"*")</f>
        <v>0</v>
      </c>
      <c r="O39" s="10">
        <f>SUMIFS('PLAN BUDGET SAMI-JF'!AX13:AX100000,'PLAN BUDGET SAMI-JF'!D13:D100000,SUMMARY!D39,'PLAN BUDGET SAMI-JF'!J13:J100000,SUMMARY!A39&amp;"*")</f>
        <v>0</v>
      </c>
      <c r="P39" s="10">
        <f>SUMIFS('PLAN BUDGET SAMI-JF'!AY13:AY100000,'PLAN BUDGET SAMI-JF'!D13:D100000,SUMMARY!D39,'PLAN BUDGET SAMI-JF'!J13:J100000,SUMMARY!A39&amp;"*")</f>
        <v>0</v>
      </c>
      <c r="Q39" s="10">
        <f>SUMIFS('PLAN BUDGET SAMI-JF'!BC13:BC100000,'PLAN BUDGET SAMI-JF'!D13:D100000,SUMMARY!D39,'PLAN BUDGET SAMI-JF'!J13:J100000,SUMMARY!A39&amp;"*")</f>
        <v>0</v>
      </c>
      <c r="R39" s="10">
        <f>SUMIFS('PLAN BUDGET SAMI-JF'!BD13:BD100000,'PLAN BUDGET SAMI-JF'!D13:D100000,SUMMARY!D39,'PLAN BUDGET SAMI-JF'!J13:J100000,SUMMARY!A39&amp;"*")</f>
        <v>0</v>
      </c>
      <c r="S39" s="10">
        <f>SUMIFS('PLAN BUDGET SAMI-JF'!BE13:BE100000,'PLAN BUDGET SAMI-JF'!D13:D100000,SUMMARY!D39,'PLAN BUDGET SAMI-JF'!J13:J100000,SUMMARY!A39&amp;"*")</f>
        <v>0</v>
      </c>
      <c r="T39" s="10">
        <f>SUMIFS('PLAN BUDGET SAMI-JF'!BF13:BF100000,'PLAN BUDGET SAMI-JF'!D13:D100000,SUMMARY!D39,'PLAN BUDGET SAMI-JF'!J13:J100000,SUMMARY!A39&amp;"*")</f>
        <v>0</v>
      </c>
      <c r="U39" s="10">
        <f>SUMIFS('PLAN BUDGET SAMI-JF'!BG13:BG100000,'PLAN BUDGET SAMI-JF'!D13:D100000,SUMMARY!D39,'PLAN BUDGET SAMI-JF'!J13:J100000,SUMMARY!A39&amp;"*")</f>
        <v>0</v>
      </c>
      <c r="V39" s="10">
        <f>SUMIFS('PLAN BUDGET SAMI-JF'!BH13:BH100000,'PLAN BUDGET SAMI-JF'!D13:D100000,SUMMARY!D39,'PLAN BUDGET SAMI-JF'!J13:J100000,SUMMARY!A39&amp;"*")</f>
        <v>0</v>
      </c>
      <c r="W39" s="10">
        <f>SUMIFS('PLAN BUDGET SAMI-JF'!BI13:BI100000,'PLAN BUDGET SAMI-JF'!D13:D100000,SUMMARY!D39,'PLAN BUDGET SAMI-JF'!J13:J100000,SUMMARY!A39&amp;"*")</f>
        <v>60.131910422441997</v>
      </c>
      <c r="X39" s="10">
        <f>SUMIFS('PLAN BUDGET SAMI-JF'!BJ13:BJ100000,'PLAN BUDGET SAMI-JF'!D13:D100000,SUMMARY!D39,'PLAN BUDGET SAMI-JF'!J13:J100000,SUMMARY!A39&amp;"*")</f>
        <v>0</v>
      </c>
      <c r="Y39" s="10">
        <f>SUMIFS('PLAN BUDGET SAMI-JF'!BK13:BK100000,'PLAN BUDGET SAMI-JF'!D13:D100000,SUMMARY!D39,'PLAN BUDGET SAMI-JF'!J13:J100000,SUMMARY!A39&amp;"*")</f>
        <v>0</v>
      </c>
      <c r="Z39" s="10">
        <f>SUMIFS('PLAN BUDGET SAMI-JF'!BL13:BL100000,'PLAN BUDGET SAMI-JF'!D13:D100000,SUMMARY!D39,'PLAN BUDGET SAMI-JF'!J13:J100000,SUMMARY!A39&amp;"*")</f>
        <v>0</v>
      </c>
      <c r="AA39" s="10">
        <f>SUMIFS('PLAN BUDGET SAMI-JF'!BM13:BM100000,'PLAN BUDGET SAMI-JF'!D13:D100000,SUMMARY!D39,'PLAN BUDGET SAMI-JF'!J13:J100000,SUMMARY!A39&amp;"*")</f>
        <v>0</v>
      </c>
      <c r="AB39" s="10">
        <f>SUMIFS('PLAN BUDGET SAMI-JF'!BN13:BN100000,'PLAN BUDGET SAMI-JF'!D13:D100000,SUMMARY!D39,'PLAN BUDGET SAMI-JF'!J13:J100000,SUMMARY!A39&amp;"*")</f>
        <v>0</v>
      </c>
      <c r="AC39" s="10">
        <f t="shared" si="0"/>
        <v>1</v>
      </c>
      <c r="AD39" s="10">
        <f t="shared" si="1"/>
        <v>60.131910422441997</v>
      </c>
      <c r="AE39" s="16"/>
      <c r="AF39" s="10">
        <v>0</v>
      </c>
      <c r="AG39" s="10">
        <v>0</v>
      </c>
      <c r="AH39" s="20">
        <f t="shared" si="2"/>
        <v>1</v>
      </c>
      <c r="AI39" s="20">
        <f t="shared" si="3"/>
        <v>1</v>
      </c>
      <c r="AJ39" s="36" t="s">
        <v>574</v>
      </c>
    </row>
    <row r="40" spans="1:36" x14ac:dyDescent="0.35">
      <c r="A40" s="7" t="s">
        <v>47</v>
      </c>
      <c r="B40" s="7"/>
      <c r="C40" s="7"/>
      <c r="D40" s="7" t="s">
        <v>73</v>
      </c>
      <c r="E40" s="10">
        <f>SUMIFS('PLAN BUDGET SAMI-JF'!AN13:AN100000,'PLAN BUDGET SAMI-JF'!D13:D100000,SUMMARY!D40,'PLAN BUDGET SAMI-JF'!J13:J100000,SUMMARY!A40&amp;"*")</f>
        <v>0</v>
      </c>
      <c r="F40" s="10">
        <f>SUMIFS('PLAN BUDGET SAMI-JF'!AO13:AO100000,'PLAN BUDGET SAMI-JF'!D13:D100000,SUMMARY!D40,'PLAN BUDGET SAMI-JF'!J13:J100000,SUMMARY!A40&amp;"*")</f>
        <v>0</v>
      </c>
      <c r="G40" s="10">
        <f>SUMIFS('PLAN BUDGET SAMI-JF'!AP13:AP100000,'PLAN BUDGET SAMI-JF'!D13:D100000,SUMMARY!D40,'PLAN BUDGET SAMI-JF'!J13:J100000,SUMMARY!A40&amp;"*")</f>
        <v>0</v>
      </c>
      <c r="H40" s="10">
        <f>SUMIFS('PLAN BUDGET SAMI-JF'!AQ13:AQ100000,'PLAN BUDGET SAMI-JF'!D13:D100000,SUMMARY!D40,'PLAN BUDGET SAMI-JF'!J13:J100000,SUMMARY!A40&amp;"*")</f>
        <v>0</v>
      </c>
      <c r="I40" s="10">
        <f>SUMIFS('PLAN BUDGET SAMI-JF'!AR13:AR100000,'PLAN BUDGET SAMI-JF'!D13:D100000,SUMMARY!D40,'PLAN BUDGET SAMI-JF'!J13:J100000,SUMMARY!A40&amp;"*")</f>
        <v>0</v>
      </c>
      <c r="J40" s="10">
        <f>SUMIFS('PLAN BUDGET SAMI-JF'!AS13:AS100000,'PLAN BUDGET SAMI-JF'!D13:D100000,SUMMARY!D40,'PLAN BUDGET SAMI-JF'!J13:J100000,SUMMARY!A40&amp;"*")</f>
        <v>0</v>
      </c>
      <c r="K40" s="10">
        <f>SUMIFS('PLAN BUDGET SAMI-JF'!AT13:AT100000,'PLAN BUDGET SAMI-JF'!D13:D100000,SUMMARY!D40,'PLAN BUDGET SAMI-JF'!J13:J100000,SUMMARY!A40&amp;"*")</f>
        <v>0</v>
      </c>
      <c r="L40" s="10">
        <f>SUMIFS('PLAN BUDGET SAMI-JF'!AU13:AU100000,'PLAN BUDGET SAMI-JF'!D13:D100000,SUMMARY!D40,'PLAN BUDGET SAMI-JF'!J13:J100000,SUMMARY!A40&amp;"*")</f>
        <v>45</v>
      </c>
      <c r="M40" s="10">
        <f>SUMIFS('PLAN BUDGET SAMI-JF'!AV13:AV100000,'PLAN BUDGET SAMI-JF'!D13:D100000,SUMMARY!D40,'PLAN BUDGET SAMI-JF'!J13:J100000,SUMMARY!A40&amp;"*")</f>
        <v>0</v>
      </c>
      <c r="N40" s="10">
        <f>SUMIFS('PLAN BUDGET SAMI-JF'!AW13:AW100000,'PLAN BUDGET SAMI-JF'!D13:D100000,SUMMARY!D40,'PLAN BUDGET SAMI-JF'!J13:J100000,SUMMARY!A40&amp;"*")</f>
        <v>0</v>
      </c>
      <c r="O40" s="10">
        <f>SUMIFS('PLAN BUDGET SAMI-JF'!AX13:AX100000,'PLAN BUDGET SAMI-JF'!D13:D100000,SUMMARY!D40,'PLAN BUDGET SAMI-JF'!J13:J100000,SUMMARY!A40&amp;"*")</f>
        <v>0</v>
      </c>
      <c r="P40" s="10">
        <f>SUMIFS('PLAN BUDGET SAMI-JF'!AY13:AY100000,'PLAN BUDGET SAMI-JF'!D13:D100000,SUMMARY!D40,'PLAN BUDGET SAMI-JF'!J13:J100000,SUMMARY!A40&amp;"*")</f>
        <v>52</v>
      </c>
      <c r="Q40" s="10">
        <f>SUMIFS('PLAN BUDGET SAMI-JF'!BC13:BC100000,'PLAN BUDGET SAMI-JF'!D13:D100000,SUMMARY!D40,'PLAN BUDGET SAMI-JF'!J13:J100000,SUMMARY!A40&amp;"*")</f>
        <v>0</v>
      </c>
      <c r="R40" s="10">
        <f>SUMIFS('PLAN BUDGET SAMI-JF'!BD13:BD100000,'PLAN BUDGET SAMI-JF'!D13:D100000,SUMMARY!D40,'PLAN BUDGET SAMI-JF'!J13:J100000,SUMMARY!A40&amp;"*")</f>
        <v>0</v>
      </c>
      <c r="S40" s="10">
        <f>SUMIFS('PLAN BUDGET SAMI-JF'!BE13:BE100000,'PLAN BUDGET SAMI-JF'!D13:D100000,SUMMARY!D40,'PLAN BUDGET SAMI-JF'!J13:J100000,SUMMARY!A40&amp;"*")</f>
        <v>0</v>
      </c>
      <c r="T40" s="10">
        <f>SUMIFS('PLAN BUDGET SAMI-JF'!BF13:BF100000,'PLAN BUDGET SAMI-JF'!D13:D100000,SUMMARY!D40,'PLAN BUDGET SAMI-JF'!J13:J100000,SUMMARY!A40&amp;"*")</f>
        <v>0</v>
      </c>
      <c r="U40" s="10">
        <f>SUMIFS('PLAN BUDGET SAMI-JF'!BG13:BG100000,'PLAN BUDGET SAMI-JF'!D13:D100000,SUMMARY!D40,'PLAN BUDGET SAMI-JF'!J13:J100000,SUMMARY!A40&amp;"*")</f>
        <v>0</v>
      </c>
      <c r="V40" s="10">
        <f>SUMIFS('PLAN BUDGET SAMI-JF'!BH13:BH100000,'PLAN BUDGET SAMI-JF'!D13:D100000,SUMMARY!D40,'PLAN BUDGET SAMI-JF'!J13:J100000,SUMMARY!A40&amp;"*")</f>
        <v>0</v>
      </c>
      <c r="W40" s="10">
        <f>SUMIFS('PLAN BUDGET SAMI-JF'!BI13:BI100000,'PLAN BUDGET SAMI-JF'!D13:D100000,SUMMARY!D40,'PLAN BUDGET SAMI-JF'!J13:J100000,SUMMARY!A40&amp;"*")</f>
        <v>0</v>
      </c>
      <c r="X40" s="10">
        <f>SUMIFS('PLAN BUDGET SAMI-JF'!BJ13:BJ100000,'PLAN BUDGET SAMI-JF'!D13:D100000,SUMMARY!D40,'PLAN BUDGET SAMI-JF'!J13:J100000,SUMMARY!A40&amp;"*")</f>
        <v>26406.879842147806</v>
      </c>
      <c r="Y40" s="10">
        <f>SUMIFS('PLAN BUDGET SAMI-JF'!BK13:BK100000,'PLAN BUDGET SAMI-JF'!D13:D100000,SUMMARY!D40,'PLAN BUDGET SAMI-JF'!J13:J100000,SUMMARY!A40&amp;"*")</f>
        <v>0</v>
      </c>
      <c r="Z40" s="10">
        <f>SUMIFS('PLAN BUDGET SAMI-JF'!BL13:BL100000,'PLAN BUDGET SAMI-JF'!D13:D100000,SUMMARY!D40,'PLAN BUDGET SAMI-JF'!J13:J100000,SUMMARY!A40&amp;"*")</f>
        <v>0</v>
      </c>
      <c r="AA40" s="10">
        <f>SUMIFS('PLAN BUDGET SAMI-JF'!BM13:BM100000,'PLAN BUDGET SAMI-JF'!D13:D100000,SUMMARY!D40,'PLAN BUDGET SAMI-JF'!J13:J100000,SUMMARY!A40&amp;"*")</f>
        <v>0</v>
      </c>
      <c r="AB40" s="10">
        <f>SUMIFS('PLAN BUDGET SAMI-JF'!BN13:BN100000,'PLAN BUDGET SAMI-JF'!D13:D100000,SUMMARY!D40,'PLAN BUDGET SAMI-JF'!J13:J100000,SUMMARY!A40&amp;"*")</f>
        <v>27147.718636849822</v>
      </c>
      <c r="AC40" s="10">
        <f t="shared" si="0"/>
        <v>97</v>
      </c>
      <c r="AD40" s="10">
        <f t="shared" si="1"/>
        <v>53554.598478997628</v>
      </c>
      <c r="AE40" s="16"/>
      <c r="AF40" s="10">
        <v>0</v>
      </c>
      <c r="AG40" s="10">
        <v>0</v>
      </c>
      <c r="AH40" s="20">
        <f t="shared" si="2"/>
        <v>1</v>
      </c>
      <c r="AI40" s="20">
        <f t="shared" si="3"/>
        <v>1</v>
      </c>
      <c r="AJ40" s="36" t="s">
        <v>358</v>
      </c>
    </row>
    <row r="41" spans="1:36" x14ac:dyDescent="0.35">
      <c r="A41" s="7" t="s">
        <v>47</v>
      </c>
      <c r="B41" s="7"/>
      <c r="C41" s="7"/>
      <c r="D41" s="7" t="s">
        <v>326</v>
      </c>
      <c r="E41" s="10">
        <f>SUMIFS('PLAN BUDGET SAMI-JF'!AN13:AN100000,'PLAN BUDGET SAMI-JF'!D13:D100000,SUMMARY!D41,'PLAN BUDGET SAMI-JF'!J13:J100000,SUMMARY!A41&amp;"*")</f>
        <v>0</v>
      </c>
      <c r="F41" s="10">
        <f>SUMIFS('PLAN BUDGET SAMI-JF'!AO13:AO100000,'PLAN BUDGET SAMI-JF'!D13:D100000,SUMMARY!D41,'PLAN BUDGET SAMI-JF'!J13:J100000,SUMMARY!A41&amp;"*")</f>
        <v>20</v>
      </c>
      <c r="G41" s="10">
        <f>SUMIFS('PLAN BUDGET SAMI-JF'!AP13:AP100000,'PLAN BUDGET SAMI-JF'!D13:D100000,SUMMARY!D41,'PLAN BUDGET SAMI-JF'!J13:J100000,SUMMARY!A41&amp;"*")</f>
        <v>0</v>
      </c>
      <c r="H41" s="10">
        <f>SUMIFS('PLAN BUDGET SAMI-JF'!AQ13:AQ100000,'PLAN BUDGET SAMI-JF'!D13:D100000,SUMMARY!D41,'PLAN BUDGET SAMI-JF'!J13:J100000,SUMMARY!A41&amp;"*")</f>
        <v>0</v>
      </c>
      <c r="I41" s="10">
        <f>SUMIFS('PLAN BUDGET SAMI-JF'!AR13:AR100000,'PLAN BUDGET SAMI-JF'!D13:D100000,SUMMARY!D41,'PLAN BUDGET SAMI-JF'!J13:J100000,SUMMARY!A41&amp;"*")</f>
        <v>0</v>
      </c>
      <c r="J41" s="10">
        <f>SUMIFS('PLAN BUDGET SAMI-JF'!AS13:AS100000,'PLAN BUDGET SAMI-JF'!D13:D100000,SUMMARY!D41,'PLAN BUDGET SAMI-JF'!J13:J100000,SUMMARY!A41&amp;"*")</f>
        <v>0</v>
      </c>
      <c r="K41" s="10">
        <f>SUMIFS('PLAN BUDGET SAMI-JF'!AT13:AT100000,'PLAN BUDGET SAMI-JF'!D13:D100000,SUMMARY!D41,'PLAN BUDGET SAMI-JF'!J13:J100000,SUMMARY!A41&amp;"*")</f>
        <v>0</v>
      </c>
      <c r="L41" s="10">
        <f>SUMIFS('PLAN BUDGET SAMI-JF'!AU13:AU100000,'PLAN BUDGET SAMI-JF'!D13:D100000,SUMMARY!D41,'PLAN BUDGET SAMI-JF'!J13:J100000,SUMMARY!A41&amp;"*")</f>
        <v>0</v>
      </c>
      <c r="M41" s="10">
        <f>SUMIFS('PLAN BUDGET SAMI-JF'!AV13:AV100000,'PLAN BUDGET SAMI-JF'!D13:D100000,SUMMARY!D41,'PLAN BUDGET SAMI-JF'!J13:J100000,SUMMARY!A41&amp;"*")</f>
        <v>0</v>
      </c>
      <c r="N41" s="10">
        <f>SUMIFS('PLAN BUDGET SAMI-JF'!AW13:AW100000,'PLAN BUDGET SAMI-JF'!D13:D100000,SUMMARY!D41,'PLAN BUDGET SAMI-JF'!J13:J100000,SUMMARY!A41&amp;"*")</f>
        <v>0</v>
      </c>
      <c r="O41" s="10">
        <f>SUMIFS('PLAN BUDGET SAMI-JF'!AX13:AX100000,'PLAN BUDGET SAMI-JF'!D13:D100000,SUMMARY!D41,'PLAN BUDGET SAMI-JF'!J13:J100000,SUMMARY!A41&amp;"*")</f>
        <v>0</v>
      </c>
      <c r="P41" s="10">
        <f>SUMIFS('PLAN BUDGET SAMI-JF'!AY13:AY100000,'PLAN BUDGET SAMI-JF'!D13:D100000,SUMMARY!D41,'PLAN BUDGET SAMI-JF'!J13:J100000,SUMMARY!A41&amp;"*")</f>
        <v>0</v>
      </c>
      <c r="Q41" s="10">
        <f>SUMIFS('PLAN BUDGET SAMI-JF'!BC13:BC100000,'PLAN BUDGET SAMI-JF'!D13:D100000,SUMMARY!D41,'PLAN BUDGET SAMI-JF'!J13:J100000,SUMMARY!A41&amp;"*")</f>
        <v>0</v>
      </c>
      <c r="R41" s="10">
        <f>SUMIFS('PLAN BUDGET SAMI-JF'!BD13:BD100000,'PLAN BUDGET SAMI-JF'!D13:D100000,SUMMARY!D41,'PLAN BUDGET SAMI-JF'!J13:J100000,SUMMARY!A41&amp;"*")</f>
        <v>1164.6601597609999</v>
      </c>
      <c r="S41" s="10">
        <f>SUMIFS('PLAN BUDGET SAMI-JF'!BE13:BE100000,'PLAN BUDGET SAMI-JF'!D13:D100000,SUMMARY!D41,'PLAN BUDGET SAMI-JF'!J13:J100000,SUMMARY!A41&amp;"*")</f>
        <v>0</v>
      </c>
      <c r="T41" s="10">
        <f>SUMIFS('PLAN BUDGET SAMI-JF'!BF13:BF100000,'PLAN BUDGET SAMI-JF'!D13:D100000,SUMMARY!D41,'PLAN BUDGET SAMI-JF'!J13:J100000,SUMMARY!A41&amp;"*")</f>
        <v>0</v>
      </c>
      <c r="U41" s="10">
        <f>SUMIFS('PLAN BUDGET SAMI-JF'!BG13:BG100000,'PLAN BUDGET SAMI-JF'!D13:D100000,SUMMARY!D41,'PLAN BUDGET SAMI-JF'!J13:J100000,SUMMARY!A41&amp;"*")</f>
        <v>0</v>
      </c>
      <c r="V41" s="10">
        <f>SUMIFS('PLAN BUDGET SAMI-JF'!BH13:BH100000,'PLAN BUDGET SAMI-JF'!D13:D100000,SUMMARY!D41,'PLAN BUDGET SAMI-JF'!J13:J100000,SUMMARY!A41&amp;"*")</f>
        <v>0</v>
      </c>
      <c r="W41" s="10">
        <f>SUMIFS('PLAN BUDGET SAMI-JF'!BI13:BI100000,'PLAN BUDGET SAMI-JF'!D13:D100000,SUMMARY!D41,'PLAN BUDGET SAMI-JF'!J13:J100000,SUMMARY!A41&amp;"*")</f>
        <v>0</v>
      </c>
      <c r="X41" s="10">
        <f>SUMIFS('PLAN BUDGET SAMI-JF'!BJ13:BJ100000,'PLAN BUDGET SAMI-JF'!D13:D100000,SUMMARY!D41,'PLAN BUDGET SAMI-JF'!J13:J100000,SUMMARY!A41&amp;"*")</f>
        <v>0</v>
      </c>
      <c r="Y41" s="10">
        <f>SUMIFS('PLAN BUDGET SAMI-JF'!BK13:BK100000,'PLAN BUDGET SAMI-JF'!D13:D100000,SUMMARY!D41,'PLAN BUDGET SAMI-JF'!J13:J100000,SUMMARY!A41&amp;"*")</f>
        <v>0</v>
      </c>
      <c r="Z41" s="10">
        <f>SUMIFS('PLAN BUDGET SAMI-JF'!BL13:BL100000,'PLAN BUDGET SAMI-JF'!D13:D100000,SUMMARY!D41,'PLAN BUDGET SAMI-JF'!J13:J100000,SUMMARY!A41&amp;"*")</f>
        <v>0</v>
      </c>
      <c r="AA41" s="10">
        <f>SUMIFS('PLAN BUDGET SAMI-JF'!BM13:BM100000,'PLAN BUDGET SAMI-JF'!D13:D100000,SUMMARY!D41,'PLAN BUDGET SAMI-JF'!J13:J100000,SUMMARY!A41&amp;"*")</f>
        <v>0</v>
      </c>
      <c r="AB41" s="10">
        <f>SUMIFS('PLAN BUDGET SAMI-JF'!BN13:BN100000,'PLAN BUDGET SAMI-JF'!D13:D100000,SUMMARY!D41,'PLAN BUDGET SAMI-JF'!J13:J100000,SUMMARY!A41&amp;"*")</f>
        <v>0</v>
      </c>
      <c r="AC41" s="10">
        <f t="shared" ref="AC41:AC72" si="4">SUM(E41:P41)</f>
        <v>20</v>
      </c>
      <c r="AD41" s="10">
        <f t="shared" ref="AD41:AD72" si="5">SUM(Q41:AB41)</f>
        <v>1164.6601597609999</v>
      </c>
      <c r="AE41" s="16"/>
      <c r="AF41" s="10">
        <v>0</v>
      </c>
      <c r="AG41" s="10">
        <v>0</v>
      </c>
      <c r="AH41" s="20">
        <f t="shared" ref="AH41:AH72" si="6">IFERROR((AC41-AF41)/AF41,1)</f>
        <v>1</v>
      </c>
      <c r="AI41" s="20">
        <f t="shared" ref="AI41:AI72" si="7">IFERROR((AD41-AG41)/AG41,1)</f>
        <v>1</v>
      </c>
      <c r="AJ41" s="36" t="s">
        <v>581</v>
      </c>
    </row>
    <row r="42" spans="1:36" x14ac:dyDescent="0.35">
      <c r="A42" s="7" t="s">
        <v>47</v>
      </c>
      <c r="B42" s="7"/>
      <c r="C42" s="7"/>
      <c r="D42" s="7" t="s">
        <v>43</v>
      </c>
      <c r="E42" s="10">
        <f>SUMIFS('PLAN BUDGET SAMI-JF'!AN13:AN100000,'PLAN BUDGET SAMI-JF'!D13:D100000,SUMMARY!D42,'PLAN BUDGET SAMI-JF'!J13:J100000,SUMMARY!A42&amp;"*")</f>
        <v>0</v>
      </c>
      <c r="F42" s="10">
        <f>SUMIFS('PLAN BUDGET SAMI-JF'!AO13:AO100000,'PLAN BUDGET SAMI-JF'!D13:D100000,SUMMARY!D42,'PLAN BUDGET SAMI-JF'!J13:J100000,SUMMARY!A42&amp;"*")</f>
        <v>560</v>
      </c>
      <c r="G42" s="10">
        <f>SUMIFS('PLAN BUDGET SAMI-JF'!AP13:AP100000,'PLAN BUDGET SAMI-JF'!D13:D100000,SUMMARY!D42,'PLAN BUDGET SAMI-JF'!J13:J100000,SUMMARY!A42&amp;"*")</f>
        <v>0</v>
      </c>
      <c r="H42" s="10">
        <f>SUMIFS('PLAN BUDGET SAMI-JF'!AQ13:AQ100000,'PLAN BUDGET SAMI-JF'!D13:D100000,SUMMARY!D42,'PLAN BUDGET SAMI-JF'!J13:J100000,SUMMARY!A42&amp;"*")</f>
        <v>0</v>
      </c>
      <c r="I42" s="10">
        <f>SUMIFS('PLAN BUDGET SAMI-JF'!AR13:AR100000,'PLAN BUDGET SAMI-JF'!D13:D100000,SUMMARY!D42,'PLAN BUDGET SAMI-JF'!J13:J100000,SUMMARY!A42&amp;"*")</f>
        <v>552</v>
      </c>
      <c r="J42" s="10">
        <f>SUMIFS('PLAN BUDGET SAMI-JF'!AS13:AS100000,'PLAN BUDGET SAMI-JF'!D13:D100000,SUMMARY!D42,'PLAN BUDGET SAMI-JF'!J13:J100000,SUMMARY!A42&amp;"*")</f>
        <v>0</v>
      </c>
      <c r="K42" s="10">
        <f>SUMIFS('PLAN BUDGET SAMI-JF'!AT13:AT100000,'PLAN BUDGET SAMI-JF'!D13:D100000,SUMMARY!D42,'PLAN BUDGET SAMI-JF'!J13:J100000,SUMMARY!A42&amp;"*")</f>
        <v>0</v>
      </c>
      <c r="L42" s="10">
        <f>SUMIFS('PLAN BUDGET SAMI-JF'!AU13:AU100000,'PLAN BUDGET SAMI-JF'!D13:D100000,SUMMARY!D42,'PLAN BUDGET SAMI-JF'!J13:J100000,SUMMARY!A42&amp;"*")</f>
        <v>0</v>
      </c>
      <c r="M42" s="10">
        <f>SUMIFS('PLAN BUDGET SAMI-JF'!AV13:AV100000,'PLAN BUDGET SAMI-JF'!D13:D100000,SUMMARY!D42,'PLAN BUDGET SAMI-JF'!J13:J100000,SUMMARY!A42&amp;"*")</f>
        <v>300</v>
      </c>
      <c r="N42" s="10">
        <f>SUMIFS('PLAN BUDGET SAMI-JF'!AW13:AW100000,'PLAN BUDGET SAMI-JF'!D13:D100000,SUMMARY!D42,'PLAN BUDGET SAMI-JF'!J13:J100000,SUMMARY!A42&amp;"*")</f>
        <v>0</v>
      </c>
      <c r="O42" s="10">
        <f>SUMIFS('PLAN BUDGET SAMI-JF'!AX13:AX100000,'PLAN BUDGET SAMI-JF'!D13:D100000,SUMMARY!D42,'PLAN BUDGET SAMI-JF'!J13:J100000,SUMMARY!A42&amp;"*")</f>
        <v>0</v>
      </c>
      <c r="P42" s="10">
        <f>SUMIFS('PLAN BUDGET SAMI-JF'!AY13:AY100000,'PLAN BUDGET SAMI-JF'!D13:D100000,SUMMARY!D42,'PLAN BUDGET SAMI-JF'!J13:J100000,SUMMARY!A42&amp;"*")</f>
        <v>300</v>
      </c>
      <c r="Q42" s="10">
        <f>SUMIFS('PLAN BUDGET SAMI-JF'!BC13:BC100000,'PLAN BUDGET SAMI-JF'!D13:D100000,SUMMARY!D42,'PLAN BUDGET SAMI-JF'!J13:J100000,SUMMARY!A42&amp;"*")</f>
        <v>0</v>
      </c>
      <c r="R42" s="10">
        <f>SUMIFS('PLAN BUDGET SAMI-JF'!BD13:BD100000,'PLAN BUDGET SAMI-JF'!D13:D100000,SUMMARY!D42,'PLAN BUDGET SAMI-JF'!J13:J100000,SUMMARY!A42&amp;"*")</f>
        <v>59.195118554809</v>
      </c>
      <c r="S42" s="10">
        <f>SUMIFS('PLAN BUDGET SAMI-JF'!BE13:BE100000,'PLAN BUDGET SAMI-JF'!D13:D100000,SUMMARY!D42,'PLAN BUDGET SAMI-JF'!J13:J100000,SUMMARY!A42&amp;"*")</f>
        <v>0</v>
      </c>
      <c r="T42" s="10">
        <f>SUMIFS('PLAN BUDGET SAMI-JF'!BF13:BF100000,'PLAN BUDGET SAMI-JF'!D13:D100000,SUMMARY!D42,'PLAN BUDGET SAMI-JF'!J13:J100000,SUMMARY!A42&amp;"*")</f>
        <v>0</v>
      </c>
      <c r="U42" s="10">
        <f>SUMIFS('PLAN BUDGET SAMI-JF'!BG13:BG100000,'PLAN BUDGET SAMI-JF'!D13:D100000,SUMMARY!D42,'PLAN BUDGET SAMI-JF'!J13:J100000,SUMMARY!A42&amp;"*")</f>
        <v>58.349474004026</v>
      </c>
      <c r="V42" s="10">
        <f>SUMIFS('PLAN BUDGET SAMI-JF'!BH13:BH100000,'PLAN BUDGET SAMI-JF'!D13:D100000,SUMMARY!D42,'PLAN BUDGET SAMI-JF'!J13:J100000,SUMMARY!A42&amp;"*")</f>
        <v>0</v>
      </c>
      <c r="W42" s="10">
        <f>SUMIFS('PLAN BUDGET SAMI-JF'!BI13:BI100000,'PLAN BUDGET SAMI-JF'!D13:D100000,SUMMARY!D42,'PLAN BUDGET SAMI-JF'!J13:J100000,SUMMARY!A42&amp;"*")</f>
        <v>0</v>
      </c>
      <c r="X42" s="10">
        <f>SUMIFS('PLAN BUDGET SAMI-JF'!BJ13:BJ100000,'PLAN BUDGET SAMI-JF'!D13:D100000,SUMMARY!D42,'PLAN BUDGET SAMI-JF'!J13:J100000,SUMMARY!A42&amp;"*")</f>
        <v>0</v>
      </c>
      <c r="Y42" s="10">
        <f>SUMIFS('PLAN BUDGET SAMI-JF'!BK13:BK100000,'PLAN BUDGET SAMI-JF'!D13:D100000,SUMMARY!D42,'PLAN BUDGET SAMI-JF'!J13:J100000,SUMMARY!A42&amp;"*")</f>
        <v>31.711670654361999</v>
      </c>
      <c r="Z42" s="10">
        <f>SUMIFS('PLAN BUDGET SAMI-JF'!BL13:BL100000,'PLAN BUDGET SAMI-JF'!D13:D100000,SUMMARY!D42,'PLAN BUDGET SAMI-JF'!J13:J100000,SUMMARY!A42&amp;"*")</f>
        <v>0</v>
      </c>
      <c r="AA42" s="10">
        <f>SUMIFS('PLAN BUDGET SAMI-JF'!BM13:BM100000,'PLAN BUDGET SAMI-JF'!D13:D100000,SUMMARY!D42,'PLAN BUDGET SAMI-JF'!J13:J100000,SUMMARY!A42&amp;"*")</f>
        <v>0</v>
      </c>
      <c r="AB42" s="10">
        <f>SUMIFS('PLAN BUDGET SAMI-JF'!BN13:BN100000,'PLAN BUDGET SAMI-JF'!D13:D100000,SUMMARY!D42,'PLAN BUDGET SAMI-JF'!J13:J100000,SUMMARY!A42&amp;"*")</f>
        <v>31.711670654361999</v>
      </c>
      <c r="AC42" s="10">
        <f t="shared" si="4"/>
        <v>1712</v>
      </c>
      <c r="AD42" s="10">
        <f t="shared" si="5"/>
        <v>180.967933867559</v>
      </c>
      <c r="AE42" s="16"/>
      <c r="AF42" s="10">
        <v>1971</v>
      </c>
      <c r="AG42" s="10">
        <v>186.01401389997</v>
      </c>
      <c r="AH42" s="20">
        <f t="shared" si="6"/>
        <v>-0.13140537798072044</v>
      </c>
      <c r="AI42" s="20">
        <f t="shared" si="7"/>
        <v>-2.7127418663867735E-2</v>
      </c>
      <c r="AJ42" s="7"/>
    </row>
    <row r="43" spans="1:36" x14ac:dyDescent="0.35">
      <c r="A43" s="7" t="s">
        <v>47</v>
      </c>
      <c r="B43" s="7"/>
      <c r="C43" s="7"/>
      <c r="D43" s="7" t="s">
        <v>210</v>
      </c>
      <c r="E43" s="10">
        <f>SUMIFS('PLAN BUDGET SAMI-JF'!AN13:AN100000,'PLAN BUDGET SAMI-JF'!D13:D100000,SUMMARY!D43,'PLAN BUDGET SAMI-JF'!J13:J100000,SUMMARY!A43&amp;"*")</f>
        <v>0</v>
      </c>
      <c r="F43" s="10">
        <f>SUMIFS('PLAN BUDGET SAMI-JF'!AO13:AO100000,'PLAN BUDGET SAMI-JF'!D13:D100000,SUMMARY!D43,'PLAN BUDGET SAMI-JF'!J13:J100000,SUMMARY!A43&amp;"*")</f>
        <v>0</v>
      </c>
      <c r="G43" s="10">
        <f>SUMIFS('PLAN BUDGET SAMI-JF'!AP13:AP100000,'PLAN BUDGET SAMI-JF'!D13:D100000,SUMMARY!D43,'PLAN BUDGET SAMI-JF'!J13:J100000,SUMMARY!A43&amp;"*")</f>
        <v>17</v>
      </c>
      <c r="H43" s="10">
        <f>SUMIFS('PLAN BUDGET SAMI-JF'!AQ13:AQ100000,'PLAN BUDGET SAMI-JF'!D13:D100000,SUMMARY!D43,'PLAN BUDGET SAMI-JF'!J13:J100000,SUMMARY!A43&amp;"*")</f>
        <v>0</v>
      </c>
      <c r="I43" s="10">
        <f>SUMIFS('PLAN BUDGET SAMI-JF'!AR13:AR100000,'PLAN BUDGET SAMI-JF'!D13:D100000,SUMMARY!D43,'PLAN BUDGET SAMI-JF'!J13:J100000,SUMMARY!A43&amp;"*")</f>
        <v>0</v>
      </c>
      <c r="J43" s="10">
        <f>SUMIFS('PLAN BUDGET SAMI-JF'!AS13:AS100000,'PLAN BUDGET SAMI-JF'!D13:D100000,SUMMARY!D43,'PLAN BUDGET SAMI-JF'!J13:J100000,SUMMARY!A43&amp;"*")</f>
        <v>0</v>
      </c>
      <c r="K43" s="10">
        <f>SUMIFS('PLAN BUDGET SAMI-JF'!AT13:AT100000,'PLAN BUDGET SAMI-JF'!D13:D100000,SUMMARY!D43,'PLAN BUDGET SAMI-JF'!J13:J100000,SUMMARY!A43&amp;"*")</f>
        <v>0</v>
      </c>
      <c r="L43" s="10">
        <f>SUMIFS('PLAN BUDGET SAMI-JF'!AU13:AU100000,'PLAN BUDGET SAMI-JF'!D13:D100000,SUMMARY!D43,'PLAN BUDGET SAMI-JF'!J13:J100000,SUMMARY!A43&amp;"*")</f>
        <v>0</v>
      </c>
      <c r="M43" s="10">
        <f>SUMIFS('PLAN BUDGET SAMI-JF'!AV13:AV100000,'PLAN BUDGET SAMI-JF'!D13:D100000,SUMMARY!D43,'PLAN BUDGET SAMI-JF'!J13:J100000,SUMMARY!A43&amp;"*")</f>
        <v>0</v>
      </c>
      <c r="N43" s="10">
        <f>SUMIFS('PLAN BUDGET SAMI-JF'!AW13:AW100000,'PLAN BUDGET SAMI-JF'!D13:D100000,SUMMARY!D43,'PLAN BUDGET SAMI-JF'!J13:J100000,SUMMARY!A43&amp;"*")</f>
        <v>0</v>
      </c>
      <c r="O43" s="10">
        <f>SUMIFS('PLAN BUDGET SAMI-JF'!AX13:AX100000,'PLAN BUDGET SAMI-JF'!D13:D100000,SUMMARY!D43,'PLAN BUDGET SAMI-JF'!J13:J100000,SUMMARY!A43&amp;"*")</f>
        <v>0</v>
      </c>
      <c r="P43" s="10">
        <f>SUMIFS('PLAN BUDGET SAMI-JF'!AY13:AY100000,'PLAN BUDGET SAMI-JF'!D13:D100000,SUMMARY!D43,'PLAN BUDGET SAMI-JF'!J13:J100000,SUMMARY!A43&amp;"*")</f>
        <v>0</v>
      </c>
      <c r="Q43" s="10">
        <f>SUMIFS('PLAN BUDGET SAMI-JF'!BC13:BC100000,'PLAN BUDGET SAMI-JF'!D13:D100000,SUMMARY!D43,'PLAN BUDGET SAMI-JF'!J13:J100000,SUMMARY!A43&amp;"*")</f>
        <v>0</v>
      </c>
      <c r="R43" s="10">
        <f>SUMIFS('PLAN BUDGET SAMI-JF'!BD13:BD100000,'PLAN BUDGET SAMI-JF'!D13:D100000,SUMMARY!D43,'PLAN BUDGET SAMI-JF'!J13:J100000,SUMMARY!A43&amp;"*")</f>
        <v>0</v>
      </c>
      <c r="S43" s="10">
        <f>SUMIFS('PLAN BUDGET SAMI-JF'!BE13:BE100000,'PLAN BUDGET SAMI-JF'!D13:D100000,SUMMARY!D43,'PLAN BUDGET SAMI-JF'!J13:J100000,SUMMARY!A43&amp;"*")</f>
        <v>269.01117820565997</v>
      </c>
      <c r="T43" s="10">
        <f>SUMIFS('PLAN BUDGET SAMI-JF'!BF13:BF100000,'PLAN BUDGET SAMI-JF'!D13:D100000,SUMMARY!D43,'PLAN BUDGET SAMI-JF'!J13:J100000,SUMMARY!A43&amp;"*")</f>
        <v>0</v>
      </c>
      <c r="U43" s="10">
        <f>SUMIFS('PLAN BUDGET SAMI-JF'!BG13:BG100000,'PLAN BUDGET SAMI-JF'!D13:D100000,SUMMARY!D43,'PLAN BUDGET SAMI-JF'!J13:J100000,SUMMARY!A43&amp;"*")</f>
        <v>0</v>
      </c>
      <c r="V43" s="10">
        <f>SUMIFS('PLAN BUDGET SAMI-JF'!BH13:BH100000,'PLAN BUDGET SAMI-JF'!D13:D100000,SUMMARY!D43,'PLAN BUDGET SAMI-JF'!J13:J100000,SUMMARY!A43&amp;"*")</f>
        <v>0</v>
      </c>
      <c r="W43" s="10">
        <f>SUMIFS('PLAN BUDGET SAMI-JF'!BI13:BI100000,'PLAN BUDGET SAMI-JF'!D13:D100000,SUMMARY!D43,'PLAN BUDGET SAMI-JF'!J13:J100000,SUMMARY!A43&amp;"*")</f>
        <v>0</v>
      </c>
      <c r="X43" s="10">
        <f>SUMIFS('PLAN BUDGET SAMI-JF'!BJ13:BJ100000,'PLAN BUDGET SAMI-JF'!D13:D100000,SUMMARY!D43,'PLAN BUDGET SAMI-JF'!J13:J100000,SUMMARY!A43&amp;"*")</f>
        <v>0</v>
      </c>
      <c r="Y43" s="10">
        <f>SUMIFS('PLAN BUDGET SAMI-JF'!BK13:BK100000,'PLAN BUDGET SAMI-JF'!D13:D100000,SUMMARY!D43,'PLAN BUDGET SAMI-JF'!J13:J100000,SUMMARY!A43&amp;"*")</f>
        <v>0</v>
      </c>
      <c r="Z43" s="10">
        <f>SUMIFS('PLAN BUDGET SAMI-JF'!BL13:BL100000,'PLAN BUDGET SAMI-JF'!D13:D100000,SUMMARY!D43,'PLAN BUDGET SAMI-JF'!J13:J100000,SUMMARY!A43&amp;"*")</f>
        <v>0</v>
      </c>
      <c r="AA43" s="10">
        <f>SUMIFS('PLAN BUDGET SAMI-JF'!BM13:BM100000,'PLAN BUDGET SAMI-JF'!D13:D100000,SUMMARY!D43,'PLAN BUDGET SAMI-JF'!J13:J100000,SUMMARY!A43&amp;"*")</f>
        <v>0</v>
      </c>
      <c r="AB43" s="10">
        <f>SUMIFS('PLAN BUDGET SAMI-JF'!BN13:BN100000,'PLAN BUDGET SAMI-JF'!D13:D100000,SUMMARY!D43,'PLAN BUDGET SAMI-JF'!J13:J100000,SUMMARY!A43&amp;"*")</f>
        <v>0</v>
      </c>
      <c r="AC43" s="10">
        <f t="shared" si="4"/>
        <v>17</v>
      </c>
      <c r="AD43" s="10">
        <f t="shared" si="5"/>
        <v>269.01117820565997</v>
      </c>
      <c r="AE43" s="16"/>
      <c r="AF43" s="10">
        <v>0</v>
      </c>
      <c r="AG43" s="10">
        <v>0</v>
      </c>
      <c r="AH43" s="20">
        <f t="shared" si="6"/>
        <v>1</v>
      </c>
      <c r="AI43" s="20">
        <f t="shared" si="7"/>
        <v>1</v>
      </c>
      <c r="AJ43" s="36" t="s">
        <v>568</v>
      </c>
    </row>
    <row r="44" spans="1:36" x14ac:dyDescent="0.35">
      <c r="A44" s="7" t="s">
        <v>47</v>
      </c>
      <c r="B44" s="7"/>
      <c r="C44" s="7"/>
      <c r="D44" s="7" t="s">
        <v>87</v>
      </c>
      <c r="E44" s="10">
        <f>SUMIFS('PLAN BUDGET SAMI-JF'!AN13:AN100000,'PLAN BUDGET SAMI-JF'!D13:D100000,SUMMARY!D44,'PLAN BUDGET SAMI-JF'!J13:J100000,SUMMARY!A44&amp;"*")</f>
        <v>1</v>
      </c>
      <c r="F44" s="10">
        <f>SUMIFS('PLAN BUDGET SAMI-JF'!AO13:AO100000,'PLAN BUDGET SAMI-JF'!D13:D100000,SUMMARY!D44,'PLAN BUDGET SAMI-JF'!J13:J100000,SUMMARY!A44&amp;"*")</f>
        <v>0</v>
      </c>
      <c r="G44" s="10">
        <f>SUMIFS('PLAN BUDGET SAMI-JF'!AP13:AP100000,'PLAN BUDGET SAMI-JF'!D13:D100000,SUMMARY!D44,'PLAN BUDGET SAMI-JF'!J13:J100000,SUMMARY!A44&amp;"*")</f>
        <v>0</v>
      </c>
      <c r="H44" s="10">
        <f>SUMIFS('PLAN BUDGET SAMI-JF'!AQ13:AQ100000,'PLAN BUDGET SAMI-JF'!D13:D100000,SUMMARY!D44,'PLAN BUDGET SAMI-JF'!J13:J100000,SUMMARY!A44&amp;"*")</f>
        <v>0</v>
      </c>
      <c r="I44" s="10">
        <f>SUMIFS('PLAN BUDGET SAMI-JF'!AR13:AR100000,'PLAN BUDGET SAMI-JF'!D13:D100000,SUMMARY!D44,'PLAN BUDGET SAMI-JF'!J13:J100000,SUMMARY!A44&amp;"*")</f>
        <v>0</v>
      </c>
      <c r="J44" s="10">
        <f>SUMIFS('PLAN BUDGET SAMI-JF'!AS13:AS100000,'PLAN BUDGET SAMI-JF'!D13:D100000,SUMMARY!D44,'PLAN BUDGET SAMI-JF'!J13:J100000,SUMMARY!A44&amp;"*")</f>
        <v>0</v>
      </c>
      <c r="K44" s="10">
        <f>SUMIFS('PLAN BUDGET SAMI-JF'!AT13:AT100000,'PLAN BUDGET SAMI-JF'!D13:D100000,SUMMARY!D44,'PLAN BUDGET SAMI-JF'!J13:J100000,SUMMARY!A44&amp;"*")</f>
        <v>0</v>
      </c>
      <c r="L44" s="10">
        <f>SUMIFS('PLAN BUDGET SAMI-JF'!AU13:AU100000,'PLAN BUDGET SAMI-JF'!D13:D100000,SUMMARY!D44,'PLAN BUDGET SAMI-JF'!J13:J100000,SUMMARY!A44&amp;"*")</f>
        <v>0</v>
      </c>
      <c r="M44" s="10">
        <f>SUMIFS('PLAN BUDGET SAMI-JF'!AV13:AV100000,'PLAN BUDGET SAMI-JF'!D13:D100000,SUMMARY!D44,'PLAN BUDGET SAMI-JF'!J13:J100000,SUMMARY!A44&amp;"*")</f>
        <v>0</v>
      </c>
      <c r="N44" s="10">
        <f>SUMIFS('PLAN BUDGET SAMI-JF'!AW13:AW100000,'PLAN BUDGET SAMI-JF'!D13:D100000,SUMMARY!D44,'PLAN BUDGET SAMI-JF'!J13:J100000,SUMMARY!A44&amp;"*")</f>
        <v>0</v>
      </c>
      <c r="O44" s="10">
        <f>SUMIFS('PLAN BUDGET SAMI-JF'!AX13:AX100000,'PLAN BUDGET SAMI-JF'!D13:D100000,SUMMARY!D44,'PLAN BUDGET SAMI-JF'!J13:J100000,SUMMARY!A44&amp;"*")</f>
        <v>0</v>
      </c>
      <c r="P44" s="10">
        <f>SUMIFS('PLAN BUDGET SAMI-JF'!AY13:AY100000,'PLAN BUDGET SAMI-JF'!D13:D100000,SUMMARY!D44,'PLAN BUDGET SAMI-JF'!J13:J100000,SUMMARY!A44&amp;"*")</f>
        <v>0</v>
      </c>
      <c r="Q44" s="10">
        <f>SUMIFS('PLAN BUDGET SAMI-JF'!BC13:BC100000,'PLAN BUDGET SAMI-JF'!D13:D100000,SUMMARY!D44,'PLAN BUDGET SAMI-JF'!J13:J100000,SUMMARY!A44&amp;"*")</f>
        <v>76.589064853848001</v>
      </c>
      <c r="R44" s="10">
        <f>SUMIFS('PLAN BUDGET SAMI-JF'!BD13:BD100000,'PLAN BUDGET SAMI-JF'!D13:D100000,SUMMARY!D44,'PLAN BUDGET SAMI-JF'!J13:J100000,SUMMARY!A44&amp;"*")</f>
        <v>0</v>
      </c>
      <c r="S44" s="10">
        <f>SUMIFS('PLAN BUDGET SAMI-JF'!BE13:BE100000,'PLAN BUDGET SAMI-JF'!D13:D100000,SUMMARY!D44,'PLAN BUDGET SAMI-JF'!J13:J100000,SUMMARY!A44&amp;"*")</f>
        <v>0</v>
      </c>
      <c r="T44" s="10">
        <f>SUMIFS('PLAN BUDGET SAMI-JF'!BF13:BF100000,'PLAN BUDGET SAMI-JF'!D13:D100000,SUMMARY!D44,'PLAN BUDGET SAMI-JF'!J13:J100000,SUMMARY!A44&amp;"*")</f>
        <v>0</v>
      </c>
      <c r="U44" s="10">
        <f>SUMIFS('PLAN BUDGET SAMI-JF'!BG13:BG100000,'PLAN BUDGET SAMI-JF'!D13:D100000,SUMMARY!D44,'PLAN BUDGET SAMI-JF'!J13:J100000,SUMMARY!A44&amp;"*")</f>
        <v>0</v>
      </c>
      <c r="V44" s="10">
        <f>SUMIFS('PLAN BUDGET SAMI-JF'!BH13:BH100000,'PLAN BUDGET SAMI-JF'!D13:D100000,SUMMARY!D44,'PLAN BUDGET SAMI-JF'!J13:J100000,SUMMARY!A44&amp;"*")</f>
        <v>0</v>
      </c>
      <c r="W44" s="10">
        <f>SUMIFS('PLAN BUDGET SAMI-JF'!BI13:BI100000,'PLAN BUDGET SAMI-JF'!D13:D100000,SUMMARY!D44,'PLAN BUDGET SAMI-JF'!J13:J100000,SUMMARY!A44&amp;"*")</f>
        <v>0</v>
      </c>
      <c r="X44" s="10">
        <f>SUMIFS('PLAN BUDGET SAMI-JF'!BJ13:BJ100000,'PLAN BUDGET SAMI-JF'!D13:D100000,SUMMARY!D44,'PLAN BUDGET SAMI-JF'!J13:J100000,SUMMARY!A44&amp;"*")</f>
        <v>0</v>
      </c>
      <c r="Y44" s="10">
        <f>SUMIFS('PLAN BUDGET SAMI-JF'!BK13:BK100000,'PLAN BUDGET SAMI-JF'!D13:D100000,SUMMARY!D44,'PLAN BUDGET SAMI-JF'!J13:J100000,SUMMARY!A44&amp;"*")</f>
        <v>0</v>
      </c>
      <c r="Z44" s="10">
        <f>SUMIFS('PLAN BUDGET SAMI-JF'!BL13:BL100000,'PLAN BUDGET SAMI-JF'!D13:D100000,SUMMARY!D44,'PLAN BUDGET SAMI-JF'!J13:J100000,SUMMARY!A44&amp;"*")</f>
        <v>0</v>
      </c>
      <c r="AA44" s="10">
        <f>SUMIFS('PLAN BUDGET SAMI-JF'!BM13:BM100000,'PLAN BUDGET SAMI-JF'!D13:D100000,SUMMARY!D44,'PLAN BUDGET SAMI-JF'!J13:J100000,SUMMARY!A44&amp;"*")</f>
        <v>0</v>
      </c>
      <c r="AB44" s="10">
        <f>SUMIFS('PLAN BUDGET SAMI-JF'!BN13:BN100000,'PLAN BUDGET SAMI-JF'!D13:D100000,SUMMARY!D44,'PLAN BUDGET SAMI-JF'!J13:J100000,SUMMARY!A44&amp;"*")</f>
        <v>0</v>
      </c>
      <c r="AC44" s="10">
        <f t="shared" si="4"/>
        <v>1</v>
      </c>
      <c r="AD44" s="10">
        <f t="shared" si="5"/>
        <v>76.589064853848001</v>
      </c>
      <c r="AE44" s="16"/>
      <c r="AF44" s="10">
        <v>6</v>
      </c>
      <c r="AG44" s="10">
        <v>417.75853556644</v>
      </c>
      <c r="AH44" s="20">
        <f t="shared" si="6"/>
        <v>-0.83333333333333337</v>
      </c>
      <c r="AI44" s="20">
        <f t="shared" si="7"/>
        <v>-0.81666666666666499</v>
      </c>
      <c r="AJ44" s="7"/>
    </row>
    <row r="45" spans="1:36" x14ac:dyDescent="0.35">
      <c r="A45" s="7" t="s">
        <v>47</v>
      </c>
      <c r="B45" s="7"/>
      <c r="C45" s="7"/>
      <c r="D45" s="7" t="s">
        <v>242</v>
      </c>
      <c r="E45" s="10">
        <f>SUMIFS('PLAN BUDGET SAMI-JF'!AN13:AN100000,'PLAN BUDGET SAMI-JF'!D13:D100000,SUMMARY!D45,'PLAN BUDGET SAMI-JF'!J13:J100000,SUMMARY!A45&amp;"*")</f>
        <v>2</v>
      </c>
      <c r="F45" s="10">
        <f>SUMIFS('PLAN BUDGET SAMI-JF'!AO13:AO100000,'PLAN BUDGET SAMI-JF'!D13:D100000,SUMMARY!D45,'PLAN BUDGET SAMI-JF'!J13:J100000,SUMMARY!A45&amp;"*")</f>
        <v>0</v>
      </c>
      <c r="G45" s="10">
        <f>SUMIFS('PLAN BUDGET SAMI-JF'!AP13:AP100000,'PLAN BUDGET SAMI-JF'!D13:D100000,SUMMARY!D45,'PLAN BUDGET SAMI-JF'!J13:J100000,SUMMARY!A45&amp;"*")</f>
        <v>0</v>
      </c>
      <c r="H45" s="10">
        <f>SUMIFS('PLAN BUDGET SAMI-JF'!AQ13:AQ100000,'PLAN BUDGET SAMI-JF'!D13:D100000,SUMMARY!D45,'PLAN BUDGET SAMI-JF'!J13:J100000,SUMMARY!A45&amp;"*")</f>
        <v>0</v>
      </c>
      <c r="I45" s="10">
        <f>SUMIFS('PLAN BUDGET SAMI-JF'!AR13:AR100000,'PLAN BUDGET SAMI-JF'!D13:D100000,SUMMARY!D45,'PLAN BUDGET SAMI-JF'!J13:J100000,SUMMARY!A45&amp;"*")</f>
        <v>0</v>
      </c>
      <c r="J45" s="10">
        <f>SUMIFS('PLAN BUDGET SAMI-JF'!AS13:AS100000,'PLAN BUDGET SAMI-JF'!D13:D100000,SUMMARY!D45,'PLAN BUDGET SAMI-JF'!J13:J100000,SUMMARY!A45&amp;"*")</f>
        <v>0</v>
      </c>
      <c r="K45" s="10">
        <f>SUMIFS('PLAN BUDGET SAMI-JF'!AT13:AT100000,'PLAN BUDGET SAMI-JF'!D13:D100000,SUMMARY!D45,'PLAN BUDGET SAMI-JF'!J13:J100000,SUMMARY!A45&amp;"*")</f>
        <v>1</v>
      </c>
      <c r="L45" s="10">
        <f>SUMIFS('PLAN BUDGET SAMI-JF'!AU13:AU100000,'PLAN BUDGET SAMI-JF'!D13:D100000,SUMMARY!D45,'PLAN BUDGET SAMI-JF'!J13:J100000,SUMMARY!A45&amp;"*")</f>
        <v>0</v>
      </c>
      <c r="M45" s="10">
        <f>SUMIFS('PLAN BUDGET SAMI-JF'!AV13:AV100000,'PLAN BUDGET SAMI-JF'!D13:D100000,SUMMARY!D45,'PLAN BUDGET SAMI-JF'!J13:J100000,SUMMARY!A45&amp;"*")</f>
        <v>0</v>
      </c>
      <c r="N45" s="10">
        <f>SUMIFS('PLAN BUDGET SAMI-JF'!AW13:AW100000,'PLAN BUDGET SAMI-JF'!D13:D100000,SUMMARY!D45,'PLAN BUDGET SAMI-JF'!J13:J100000,SUMMARY!A45&amp;"*")</f>
        <v>0</v>
      </c>
      <c r="O45" s="10">
        <f>SUMIFS('PLAN BUDGET SAMI-JF'!AX13:AX100000,'PLAN BUDGET SAMI-JF'!D13:D100000,SUMMARY!D45,'PLAN BUDGET SAMI-JF'!J13:J100000,SUMMARY!A45&amp;"*")</f>
        <v>0</v>
      </c>
      <c r="P45" s="10">
        <f>SUMIFS('PLAN BUDGET SAMI-JF'!AY13:AY100000,'PLAN BUDGET SAMI-JF'!D13:D100000,SUMMARY!D45,'PLAN BUDGET SAMI-JF'!J13:J100000,SUMMARY!A45&amp;"*")</f>
        <v>0</v>
      </c>
      <c r="Q45" s="10">
        <f>SUMIFS('PLAN BUDGET SAMI-JF'!BC13:BC100000,'PLAN BUDGET SAMI-JF'!D13:D100000,SUMMARY!D45,'PLAN BUDGET SAMI-JF'!J13:J100000,SUMMARY!A45&amp;"*")</f>
        <v>70.892357550669004</v>
      </c>
      <c r="R45" s="10">
        <f>SUMIFS('PLAN BUDGET SAMI-JF'!BD13:BD100000,'PLAN BUDGET SAMI-JF'!D13:D100000,SUMMARY!D45,'PLAN BUDGET SAMI-JF'!J13:J100000,SUMMARY!A45&amp;"*")</f>
        <v>0</v>
      </c>
      <c r="S45" s="10">
        <f>SUMIFS('PLAN BUDGET SAMI-JF'!BE13:BE100000,'PLAN BUDGET SAMI-JF'!D13:D100000,SUMMARY!D45,'PLAN BUDGET SAMI-JF'!J13:J100000,SUMMARY!A45&amp;"*")</f>
        <v>0</v>
      </c>
      <c r="T45" s="10">
        <f>SUMIFS('PLAN BUDGET SAMI-JF'!BF13:BF100000,'PLAN BUDGET SAMI-JF'!D13:D100000,SUMMARY!D45,'PLAN BUDGET SAMI-JF'!J13:J100000,SUMMARY!A45&amp;"*")</f>
        <v>0</v>
      </c>
      <c r="U45" s="10">
        <f>SUMIFS('PLAN BUDGET SAMI-JF'!BG13:BG100000,'PLAN BUDGET SAMI-JF'!D13:D100000,SUMMARY!D45,'PLAN BUDGET SAMI-JF'!J13:J100000,SUMMARY!A45&amp;"*")</f>
        <v>0</v>
      </c>
      <c r="V45" s="10">
        <f>SUMIFS('PLAN BUDGET SAMI-JF'!BH13:BH100000,'PLAN BUDGET SAMI-JF'!D13:D100000,SUMMARY!D45,'PLAN BUDGET SAMI-JF'!J13:J100000,SUMMARY!A45&amp;"*")</f>
        <v>0</v>
      </c>
      <c r="W45" s="10">
        <f>SUMIFS('PLAN BUDGET SAMI-JF'!BI13:BI100000,'PLAN BUDGET SAMI-JF'!D13:D100000,SUMMARY!D45,'PLAN BUDGET SAMI-JF'!J13:J100000,SUMMARY!A45&amp;"*")</f>
        <v>35.446178775335</v>
      </c>
      <c r="X45" s="10">
        <f>SUMIFS('PLAN BUDGET SAMI-JF'!BJ13:BJ100000,'PLAN BUDGET SAMI-JF'!D13:D100000,SUMMARY!D45,'PLAN BUDGET SAMI-JF'!J13:J100000,SUMMARY!A45&amp;"*")</f>
        <v>0</v>
      </c>
      <c r="Y45" s="10">
        <f>SUMIFS('PLAN BUDGET SAMI-JF'!BK13:BK100000,'PLAN BUDGET SAMI-JF'!D13:D100000,SUMMARY!D45,'PLAN BUDGET SAMI-JF'!J13:J100000,SUMMARY!A45&amp;"*")</f>
        <v>0</v>
      </c>
      <c r="Z45" s="10">
        <f>SUMIFS('PLAN BUDGET SAMI-JF'!BL13:BL100000,'PLAN BUDGET SAMI-JF'!D13:D100000,SUMMARY!D45,'PLAN BUDGET SAMI-JF'!J13:J100000,SUMMARY!A45&amp;"*")</f>
        <v>0</v>
      </c>
      <c r="AA45" s="10">
        <f>SUMIFS('PLAN BUDGET SAMI-JF'!BM13:BM100000,'PLAN BUDGET SAMI-JF'!D13:D100000,SUMMARY!D45,'PLAN BUDGET SAMI-JF'!J13:J100000,SUMMARY!A45&amp;"*")</f>
        <v>0</v>
      </c>
      <c r="AB45" s="10">
        <f>SUMIFS('PLAN BUDGET SAMI-JF'!BN13:BN100000,'PLAN BUDGET SAMI-JF'!D13:D100000,SUMMARY!D45,'PLAN BUDGET SAMI-JF'!J13:J100000,SUMMARY!A45&amp;"*")</f>
        <v>0</v>
      </c>
      <c r="AC45" s="10">
        <f t="shared" si="4"/>
        <v>3</v>
      </c>
      <c r="AD45" s="10">
        <f t="shared" si="5"/>
        <v>106.338536326004</v>
      </c>
      <c r="AE45" s="16"/>
      <c r="AF45" s="10">
        <v>6</v>
      </c>
      <c r="AG45" s="10">
        <v>212.67707265201</v>
      </c>
      <c r="AH45" s="20">
        <f t="shared" si="6"/>
        <v>-0.5</v>
      </c>
      <c r="AI45" s="20">
        <f t="shared" si="7"/>
        <v>-0.50000000000000466</v>
      </c>
      <c r="AJ45" s="7"/>
    </row>
    <row r="46" spans="1:36" x14ac:dyDescent="0.35">
      <c r="A46" s="7" t="s">
        <v>47</v>
      </c>
      <c r="B46" s="7"/>
      <c r="C46" s="7"/>
      <c r="D46" s="7" t="s">
        <v>286</v>
      </c>
      <c r="E46" s="10">
        <f>SUMIFS('PLAN BUDGET SAMI-JF'!AN13:AN100000,'PLAN BUDGET SAMI-JF'!D13:D100000,SUMMARY!D46,'PLAN BUDGET SAMI-JF'!J13:J100000,SUMMARY!A46&amp;"*")</f>
        <v>0</v>
      </c>
      <c r="F46" s="10">
        <f>SUMIFS('PLAN BUDGET SAMI-JF'!AO13:AO100000,'PLAN BUDGET SAMI-JF'!D13:D100000,SUMMARY!D46,'PLAN BUDGET SAMI-JF'!J13:J100000,SUMMARY!A46&amp;"*")</f>
        <v>1</v>
      </c>
      <c r="G46" s="10">
        <f>SUMIFS('PLAN BUDGET SAMI-JF'!AP13:AP100000,'PLAN BUDGET SAMI-JF'!D13:D100000,SUMMARY!D46,'PLAN BUDGET SAMI-JF'!J13:J100000,SUMMARY!A46&amp;"*")</f>
        <v>0</v>
      </c>
      <c r="H46" s="10">
        <f>SUMIFS('PLAN BUDGET SAMI-JF'!AQ13:AQ100000,'PLAN BUDGET SAMI-JF'!D13:D100000,SUMMARY!D46,'PLAN BUDGET SAMI-JF'!J13:J100000,SUMMARY!A46&amp;"*")</f>
        <v>0</v>
      </c>
      <c r="I46" s="10">
        <f>SUMIFS('PLAN BUDGET SAMI-JF'!AR13:AR100000,'PLAN BUDGET SAMI-JF'!D13:D100000,SUMMARY!D46,'PLAN BUDGET SAMI-JF'!J13:J100000,SUMMARY!A46&amp;"*")</f>
        <v>1</v>
      </c>
      <c r="J46" s="10">
        <f>SUMIFS('PLAN BUDGET SAMI-JF'!AS13:AS100000,'PLAN BUDGET SAMI-JF'!D13:D100000,SUMMARY!D46,'PLAN BUDGET SAMI-JF'!J13:J100000,SUMMARY!A46&amp;"*")</f>
        <v>0</v>
      </c>
      <c r="K46" s="10">
        <f>SUMIFS('PLAN BUDGET SAMI-JF'!AT13:AT100000,'PLAN BUDGET SAMI-JF'!D13:D100000,SUMMARY!D46,'PLAN BUDGET SAMI-JF'!J13:J100000,SUMMARY!A46&amp;"*")</f>
        <v>0</v>
      </c>
      <c r="L46" s="10">
        <f>SUMIFS('PLAN BUDGET SAMI-JF'!AU13:AU100000,'PLAN BUDGET SAMI-JF'!D13:D100000,SUMMARY!D46,'PLAN BUDGET SAMI-JF'!J13:J100000,SUMMARY!A46&amp;"*")</f>
        <v>1</v>
      </c>
      <c r="M46" s="10">
        <f>SUMIFS('PLAN BUDGET SAMI-JF'!AV13:AV100000,'PLAN BUDGET SAMI-JF'!D13:D100000,SUMMARY!D46,'PLAN BUDGET SAMI-JF'!J13:J100000,SUMMARY!A46&amp;"*")</f>
        <v>0</v>
      </c>
      <c r="N46" s="10">
        <f>SUMIFS('PLAN BUDGET SAMI-JF'!AW13:AW100000,'PLAN BUDGET SAMI-JF'!D13:D100000,SUMMARY!D46,'PLAN BUDGET SAMI-JF'!J13:J100000,SUMMARY!A46&amp;"*")</f>
        <v>0</v>
      </c>
      <c r="O46" s="10">
        <f>SUMIFS('PLAN BUDGET SAMI-JF'!AX13:AX100000,'PLAN BUDGET SAMI-JF'!D13:D100000,SUMMARY!D46,'PLAN BUDGET SAMI-JF'!J13:J100000,SUMMARY!A46&amp;"*")</f>
        <v>1</v>
      </c>
      <c r="P46" s="10">
        <f>SUMIFS('PLAN BUDGET SAMI-JF'!AY13:AY100000,'PLAN BUDGET SAMI-JF'!D13:D100000,SUMMARY!D46,'PLAN BUDGET SAMI-JF'!J13:J100000,SUMMARY!A46&amp;"*")</f>
        <v>0</v>
      </c>
      <c r="Q46" s="10">
        <f>SUMIFS('PLAN BUDGET SAMI-JF'!BC13:BC100000,'PLAN BUDGET SAMI-JF'!D13:D100000,SUMMARY!D46,'PLAN BUDGET SAMI-JF'!J13:J100000,SUMMARY!A46&amp;"*")</f>
        <v>0</v>
      </c>
      <c r="R46" s="10">
        <f>SUMIFS('PLAN BUDGET SAMI-JF'!BD13:BD100000,'PLAN BUDGET SAMI-JF'!D13:D100000,SUMMARY!D46,'PLAN BUDGET SAMI-JF'!J13:J100000,SUMMARY!A46&amp;"*")</f>
        <v>2.2153861734584002</v>
      </c>
      <c r="S46" s="10">
        <f>SUMIFS('PLAN BUDGET SAMI-JF'!BE13:BE100000,'PLAN BUDGET SAMI-JF'!D13:D100000,SUMMARY!D46,'PLAN BUDGET SAMI-JF'!J13:J100000,SUMMARY!A46&amp;"*")</f>
        <v>0</v>
      </c>
      <c r="T46" s="10">
        <f>SUMIFS('PLAN BUDGET SAMI-JF'!BF13:BF100000,'PLAN BUDGET SAMI-JF'!D13:D100000,SUMMARY!D46,'PLAN BUDGET SAMI-JF'!J13:J100000,SUMMARY!A46&amp;"*")</f>
        <v>0</v>
      </c>
      <c r="U46" s="10">
        <f>SUMIFS('PLAN BUDGET SAMI-JF'!BG13:BG100000,'PLAN BUDGET SAMI-JF'!D13:D100000,SUMMARY!D46,'PLAN BUDGET SAMI-JF'!J13:J100000,SUMMARY!A46&amp;"*")</f>
        <v>2.2153861734584002</v>
      </c>
      <c r="V46" s="10">
        <f>SUMIFS('PLAN BUDGET SAMI-JF'!BH13:BH100000,'PLAN BUDGET SAMI-JF'!D13:D100000,SUMMARY!D46,'PLAN BUDGET SAMI-JF'!J13:J100000,SUMMARY!A46&amp;"*")</f>
        <v>0</v>
      </c>
      <c r="W46" s="10">
        <f>SUMIFS('PLAN BUDGET SAMI-JF'!BI13:BI100000,'PLAN BUDGET SAMI-JF'!D13:D100000,SUMMARY!D46,'PLAN BUDGET SAMI-JF'!J13:J100000,SUMMARY!A46&amp;"*")</f>
        <v>0</v>
      </c>
      <c r="X46" s="10">
        <f>SUMIFS('PLAN BUDGET SAMI-JF'!BJ13:BJ100000,'PLAN BUDGET SAMI-JF'!D13:D100000,SUMMARY!D46,'PLAN BUDGET SAMI-JF'!J13:J100000,SUMMARY!A46&amp;"*")</f>
        <v>2.2153861734584002</v>
      </c>
      <c r="Y46" s="10">
        <f>SUMIFS('PLAN BUDGET SAMI-JF'!BK13:BK100000,'PLAN BUDGET SAMI-JF'!D13:D100000,SUMMARY!D46,'PLAN BUDGET SAMI-JF'!J13:J100000,SUMMARY!A46&amp;"*")</f>
        <v>0</v>
      </c>
      <c r="Z46" s="10">
        <f>SUMIFS('PLAN BUDGET SAMI-JF'!BL13:BL100000,'PLAN BUDGET SAMI-JF'!D13:D100000,SUMMARY!D46,'PLAN BUDGET SAMI-JF'!J13:J100000,SUMMARY!A46&amp;"*")</f>
        <v>0</v>
      </c>
      <c r="AA46" s="10">
        <f>SUMIFS('PLAN BUDGET SAMI-JF'!BM13:BM100000,'PLAN BUDGET SAMI-JF'!D13:D100000,SUMMARY!D46,'PLAN BUDGET SAMI-JF'!J13:J100000,SUMMARY!A46&amp;"*")</f>
        <v>2.2153861734584002</v>
      </c>
      <c r="AB46" s="10">
        <f>SUMIFS('PLAN BUDGET SAMI-JF'!BN13:BN100000,'PLAN BUDGET SAMI-JF'!D13:D100000,SUMMARY!D46,'PLAN BUDGET SAMI-JF'!J13:J100000,SUMMARY!A46&amp;"*")</f>
        <v>0</v>
      </c>
      <c r="AC46" s="10">
        <f t="shared" si="4"/>
        <v>4</v>
      </c>
      <c r="AD46" s="10">
        <f t="shared" si="5"/>
        <v>8.8615446938336007</v>
      </c>
      <c r="AE46" s="16"/>
      <c r="AF46" s="10">
        <v>4</v>
      </c>
      <c r="AG46" s="10">
        <v>22.470345473649999</v>
      </c>
      <c r="AH46" s="20">
        <f t="shared" si="6"/>
        <v>0</v>
      </c>
      <c r="AI46" s="20">
        <f t="shared" si="7"/>
        <v>-0.60563380281691037</v>
      </c>
      <c r="AJ46" s="7"/>
    </row>
    <row r="47" spans="1:36" x14ac:dyDescent="0.35">
      <c r="A47" s="7" t="s">
        <v>47</v>
      </c>
      <c r="B47" s="7"/>
      <c r="C47" s="7"/>
      <c r="D47" s="7" t="s">
        <v>259</v>
      </c>
      <c r="E47" s="10">
        <f>SUMIFS('PLAN BUDGET SAMI-JF'!AN13:AN100000,'PLAN BUDGET SAMI-JF'!D13:D100000,SUMMARY!D47,'PLAN BUDGET SAMI-JF'!J13:J100000,SUMMARY!A47&amp;"*")</f>
        <v>1</v>
      </c>
      <c r="F47" s="10">
        <f>SUMIFS('PLAN BUDGET SAMI-JF'!AO13:AO100000,'PLAN BUDGET SAMI-JF'!D13:D100000,SUMMARY!D47,'PLAN BUDGET SAMI-JF'!J13:J100000,SUMMARY!A47&amp;"*")</f>
        <v>0</v>
      </c>
      <c r="G47" s="10">
        <f>SUMIFS('PLAN BUDGET SAMI-JF'!AP13:AP100000,'PLAN BUDGET SAMI-JF'!D13:D100000,SUMMARY!D47,'PLAN BUDGET SAMI-JF'!J13:J100000,SUMMARY!A47&amp;"*")</f>
        <v>0</v>
      </c>
      <c r="H47" s="10">
        <f>SUMIFS('PLAN BUDGET SAMI-JF'!AQ13:AQ100000,'PLAN BUDGET SAMI-JF'!D13:D100000,SUMMARY!D47,'PLAN BUDGET SAMI-JF'!J13:J100000,SUMMARY!A47&amp;"*")</f>
        <v>0</v>
      </c>
      <c r="I47" s="10">
        <f>SUMIFS('PLAN BUDGET SAMI-JF'!AR13:AR100000,'PLAN BUDGET SAMI-JF'!D13:D100000,SUMMARY!D47,'PLAN BUDGET SAMI-JF'!J13:J100000,SUMMARY!A47&amp;"*")</f>
        <v>0</v>
      </c>
      <c r="J47" s="10">
        <f>SUMIFS('PLAN BUDGET SAMI-JF'!AS13:AS100000,'PLAN BUDGET SAMI-JF'!D13:D100000,SUMMARY!D47,'PLAN BUDGET SAMI-JF'!J13:J100000,SUMMARY!A47&amp;"*")</f>
        <v>0</v>
      </c>
      <c r="K47" s="10">
        <f>SUMIFS('PLAN BUDGET SAMI-JF'!AT13:AT100000,'PLAN BUDGET SAMI-JF'!D13:D100000,SUMMARY!D47,'PLAN BUDGET SAMI-JF'!J13:J100000,SUMMARY!A47&amp;"*")</f>
        <v>0</v>
      </c>
      <c r="L47" s="10">
        <f>SUMIFS('PLAN BUDGET SAMI-JF'!AU13:AU100000,'PLAN BUDGET SAMI-JF'!D13:D100000,SUMMARY!D47,'PLAN BUDGET SAMI-JF'!J13:J100000,SUMMARY!A47&amp;"*")</f>
        <v>0</v>
      </c>
      <c r="M47" s="10">
        <f>SUMIFS('PLAN BUDGET SAMI-JF'!AV13:AV100000,'PLAN BUDGET SAMI-JF'!D13:D100000,SUMMARY!D47,'PLAN BUDGET SAMI-JF'!J13:J100000,SUMMARY!A47&amp;"*")</f>
        <v>0</v>
      </c>
      <c r="N47" s="10">
        <f>SUMIFS('PLAN BUDGET SAMI-JF'!AW13:AW100000,'PLAN BUDGET SAMI-JF'!D13:D100000,SUMMARY!D47,'PLAN BUDGET SAMI-JF'!J13:J100000,SUMMARY!A47&amp;"*")</f>
        <v>0</v>
      </c>
      <c r="O47" s="10">
        <f>SUMIFS('PLAN BUDGET SAMI-JF'!AX13:AX100000,'PLAN BUDGET SAMI-JF'!D13:D100000,SUMMARY!D47,'PLAN BUDGET SAMI-JF'!J13:J100000,SUMMARY!A47&amp;"*")</f>
        <v>0</v>
      </c>
      <c r="P47" s="10">
        <f>SUMIFS('PLAN BUDGET SAMI-JF'!AY13:AY100000,'PLAN BUDGET SAMI-JF'!D13:D100000,SUMMARY!D47,'PLAN BUDGET SAMI-JF'!J13:J100000,SUMMARY!A47&amp;"*")</f>
        <v>0</v>
      </c>
      <c r="Q47" s="10">
        <f>SUMIFS('PLAN BUDGET SAMI-JF'!BC13:BC100000,'PLAN BUDGET SAMI-JF'!D13:D100000,SUMMARY!D47,'PLAN BUDGET SAMI-JF'!J13:J100000,SUMMARY!A47&amp;"*")</f>
        <v>110.76930867292</v>
      </c>
      <c r="R47" s="10">
        <f>SUMIFS('PLAN BUDGET SAMI-JF'!BD13:BD100000,'PLAN BUDGET SAMI-JF'!D13:D100000,SUMMARY!D47,'PLAN BUDGET SAMI-JF'!J13:J100000,SUMMARY!A47&amp;"*")</f>
        <v>0</v>
      </c>
      <c r="S47" s="10">
        <f>SUMIFS('PLAN BUDGET SAMI-JF'!BE13:BE100000,'PLAN BUDGET SAMI-JF'!D13:D100000,SUMMARY!D47,'PLAN BUDGET SAMI-JF'!J13:J100000,SUMMARY!A47&amp;"*")</f>
        <v>0</v>
      </c>
      <c r="T47" s="10">
        <f>SUMIFS('PLAN BUDGET SAMI-JF'!BF13:BF100000,'PLAN BUDGET SAMI-JF'!D13:D100000,SUMMARY!D47,'PLAN BUDGET SAMI-JF'!J13:J100000,SUMMARY!A47&amp;"*")</f>
        <v>0</v>
      </c>
      <c r="U47" s="10">
        <f>SUMIFS('PLAN BUDGET SAMI-JF'!BG13:BG100000,'PLAN BUDGET SAMI-JF'!D13:D100000,SUMMARY!D47,'PLAN BUDGET SAMI-JF'!J13:J100000,SUMMARY!A47&amp;"*")</f>
        <v>0</v>
      </c>
      <c r="V47" s="10">
        <f>SUMIFS('PLAN BUDGET SAMI-JF'!BH13:BH100000,'PLAN BUDGET SAMI-JF'!D13:D100000,SUMMARY!D47,'PLAN BUDGET SAMI-JF'!J13:J100000,SUMMARY!A47&amp;"*")</f>
        <v>0</v>
      </c>
      <c r="W47" s="10">
        <f>SUMIFS('PLAN BUDGET SAMI-JF'!BI13:BI100000,'PLAN BUDGET SAMI-JF'!D13:D100000,SUMMARY!D47,'PLAN BUDGET SAMI-JF'!J13:J100000,SUMMARY!A47&amp;"*")</f>
        <v>0</v>
      </c>
      <c r="X47" s="10">
        <f>SUMIFS('PLAN BUDGET SAMI-JF'!BJ13:BJ100000,'PLAN BUDGET SAMI-JF'!D13:D100000,SUMMARY!D47,'PLAN BUDGET SAMI-JF'!J13:J100000,SUMMARY!A47&amp;"*")</f>
        <v>0</v>
      </c>
      <c r="Y47" s="10">
        <f>SUMIFS('PLAN BUDGET SAMI-JF'!BK13:BK100000,'PLAN BUDGET SAMI-JF'!D13:D100000,SUMMARY!D47,'PLAN BUDGET SAMI-JF'!J13:J100000,SUMMARY!A47&amp;"*")</f>
        <v>0</v>
      </c>
      <c r="Z47" s="10">
        <f>SUMIFS('PLAN BUDGET SAMI-JF'!BL13:BL100000,'PLAN BUDGET SAMI-JF'!D13:D100000,SUMMARY!D47,'PLAN BUDGET SAMI-JF'!J13:J100000,SUMMARY!A47&amp;"*")</f>
        <v>0</v>
      </c>
      <c r="AA47" s="10">
        <f>SUMIFS('PLAN BUDGET SAMI-JF'!BM13:BM100000,'PLAN BUDGET SAMI-JF'!D13:D100000,SUMMARY!D47,'PLAN BUDGET SAMI-JF'!J13:J100000,SUMMARY!A47&amp;"*")</f>
        <v>0</v>
      </c>
      <c r="AB47" s="10">
        <f>SUMIFS('PLAN BUDGET SAMI-JF'!BN13:BN100000,'PLAN BUDGET SAMI-JF'!D13:D100000,SUMMARY!D47,'PLAN BUDGET SAMI-JF'!J13:J100000,SUMMARY!A47&amp;"*")</f>
        <v>0</v>
      </c>
      <c r="AC47" s="10">
        <f t="shared" si="4"/>
        <v>1</v>
      </c>
      <c r="AD47" s="10">
        <f t="shared" si="5"/>
        <v>110.76930867292</v>
      </c>
      <c r="AE47" s="16"/>
      <c r="AF47" s="10">
        <v>0</v>
      </c>
      <c r="AG47" s="10">
        <v>0</v>
      </c>
      <c r="AH47" s="20">
        <f t="shared" si="6"/>
        <v>1</v>
      </c>
      <c r="AI47" s="20">
        <f t="shared" si="7"/>
        <v>1</v>
      </c>
      <c r="AJ47" s="36" t="s">
        <v>571</v>
      </c>
    </row>
    <row r="48" spans="1:36" x14ac:dyDescent="0.35">
      <c r="A48" s="7" t="s">
        <v>355</v>
      </c>
      <c r="B48" s="7"/>
      <c r="C48" s="7"/>
      <c r="D48" s="7" t="s">
        <v>123</v>
      </c>
      <c r="E48" s="10">
        <f>SUMIFS('PLAN BUDGET SAMI-JF'!AN13:AN100000,'PLAN BUDGET SAMI-JF'!D13:D100000,SUMMARY!D48,'PLAN BUDGET SAMI-JF'!J13:J100000,SUMMARY!A48&amp;"*")</f>
        <v>1</v>
      </c>
      <c r="F48" s="10">
        <f>SUMIFS('PLAN BUDGET SAMI-JF'!AO13:AO100000,'PLAN BUDGET SAMI-JF'!D13:D100000,SUMMARY!D48,'PLAN BUDGET SAMI-JF'!J13:J100000,SUMMARY!A48&amp;"*")</f>
        <v>0</v>
      </c>
      <c r="G48" s="10">
        <f>SUMIFS('PLAN BUDGET SAMI-JF'!AP13:AP100000,'PLAN BUDGET SAMI-JF'!D13:D100000,SUMMARY!D48,'PLAN BUDGET SAMI-JF'!J13:J100000,SUMMARY!A48&amp;"*")</f>
        <v>0</v>
      </c>
      <c r="H48" s="10">
        <f>SUMIFS('PLAN BUDGET SAMI-JF'!AQ13:AQ100000,'PLAN BUDGET SAMI-JF'!D13:D100000,SUMMARY!D48,'PLAN BUDGET SAMI-JF'!J13:J100000,SUMMARY!A48&amp;"*")</f>
        <v>0</v>
      </c>
      <c r="I48" s="10">
        <f>SUMIFS('PLAN BUDGET SAMI-JF'!AR13:AR100000,'PLAN BUDGET SAMI-JF'!D13:D100000,SUMMARY!D48,'PLAN BUDGET SAMI-JF'!J13:J100000,SUMMARY!A48&amp;"*")</f>
        <v>1</v>
      </c>
      <c r="J48" s="10">
        <f>SUMIFS('PLAN BUDGET SAMI-JF'!AS13:AS100000,'PLAN BUDGET SAMI-JF'!D13:D100000,SUMMARY!D48,'PLAN BUDGET SAMI-JF'!J13:J100000,SUMMARY!A48&amp;"*")</f>
        <v>0</v>
      </c>
      <c r="K48" s="10">
        <f>SUMIFS('PLAN BUDGET SAMI-JF'!AT13:AT100000,'PLAN BUDGET SAMI-JF'!D13:D100000,SUMMARY!D48,'PLAN BUDGET SAMI-JF'!J13:J100000,SUMMARY!A48&amp;"*")</f>
        <v>0</v>
      </c>
      <c r="L48" s="10">
        <f>SUMIFS('PLAN BUDGET SAMI-JF'!AU13:AU100000,'PLAN BUDGET SAMI-JF'!D13:D100000,SUMMARY!D48,'PLAN BUDGET SAMI-JF'!J13:J100000,SUMMARY!A48&amp;"*")</f>
        <v>0</v>
      </c>
      <c r="M48" s="10">
        <f>SUMIFS('PLAN BUDGET SAMI-JF'!AV13:AV100000,'PLAN BUDGET SAMI-JF'!D13:D100000,SUMMARY!D48,'PLAN BUDGET SAMI-JF'!J13:J100000,SUMMARY!A48&amp;"*")</f>
        <v>0</v>
      </c>
      <c r="N48" s="10">
        <f>SUMIFS('PLAN BUDGET SAMI-JF'!AW13:AW100000,'PLAN BUDGET SAMI-JF'!D13:D100000,SUMMARY!D48,'PLAN BUDGET SAMI-JF'!J13:J100000,SUMMARY!A48&amp;"*")</f>
        <v>0</v>
      </c>
      <c r="O48" s="10">
        <f>SUMIFS('PLAN BUDGET SAMI-JF'!AX13:AX100000,'PLAN BUDGET SAMI-JF'!D13:D100000,SUMMARY!D48,'PLAN BUDGET SAMI-JF'!J13:J100000,SUMMARY!A48&amp;"*")</f>
        <v>0</v>
      </c>
      <c r="P48" s="10">
        <f>SUMIFS('PLAN BUDGET SAMI-JF'!AY13:AY100000,'PLAN BUDGET SAMI-JF'!D13:D100000,SUMMARY!D48,'PLAN BUDGET SAMI-JF'!J13:J100000,SUMMARY!A48&amp;"*")</f>
        <v>0</v>
      </c>
      <c r="Q48" s="10">
        <f>SUMIFS('PLAN BUDGET SAMI-JF'!BC13:BC100000,'PLAN BUDGET SAMI-JF'!D13:D100000,SUMMARY!D48,'PLAN BUDGET SAMI-JF'!J13:J100000,SUMMARY!A48&amp;"*")</f>
        <v>1466.5856468295001</v>
      </c>
      <c r="R48" s="10">
        <f>SUMIFS('PLAN BUDGET SAMI-JF'!BD13:BD100000,'PLAN BUDGET SAMI-JF'!D13:D100000,SUMMARY!D48,'PLAN BUDGET SAMI-JF'!J13:J100000,SUMMARY!A48&amp;"*")</f>
        <v>0</v>
      </c>
      <c r="S48" s="10">
        <f>SUMIFS('PLAN BUDGET SAMI-JF'!BE13:BE100000,'PLAN BUDGET SAMI-JF'!D13:D100000,SUMMARY!D48,'PLAN BUDGET SAMI-JF'!J13:J100000,SUMMARY!A48&amp;"*")</f>
        <v>0</v>
      </c>
      <c r="T48" s="10">
        <f>SUMIFS('PLAN BUDGET SAMI-JF'!BF13:BF100000,'PLAN BUDGET SAMI-JF'!D13:D100000,SUMMARY!D48,'PLAN BUDGET SAMI-JF'!J13:J100000,SUMMARY!A48&amp;"*")</f>
        <v>0</v>
      </c>
      <c r="U48" s="10">
        <f>SUMIFS('PLAN BUDGET SAMI-JF'!BG13:BG100000,'PLAN BUDGET SAMI-JF'!D13:D100000,SUMMARY!D48,'PLAN BUDGET SAMI-JF'!J13:J100000,SUMMARY!A48&amp;"*")</f>
        <v>1466.5856468295001</v>
      </c>
      <c r="V48" s="10">
        <f>SUMIFS('PLAN BUDGET SAMI-JF'!BH13:BH100000,'PLAN BUDGET SAMI-JF'!D13:D100000,SUMMARY!D48,'PLAN BUDGET SAMI-JF'!J13:J100000,SUMMARY!A48&amp;"*")</f>
        <v>0</v>
      </c>
      <c r="W48" s="10">
        <f>SUMIFS('PLAN BUDGET SAMI-JF'!BI13:BI100000,'PLAN BUDGET SAMI-JF'!D13:D100000,SUMMARY!D48,'PLAN BUDGET SAMI-JF'!J13:J100000,SUMMARY!A48&amp;"*")</f>
        <v>0</v>
      </c>
      <c r="X48" s="10">
        <f>SUMIFS('PLAN BUDGET SAMI-JF'!BJ13:BJ100000,'PLAN BUDGET SAMI-JF'!D13:D100000,SUMMARY!D48,'PLAN BUDGET SAMI-JF'!J13:J100000,SUMMARY!A48&amp;"*")</f>
        <v>0</v>
      </c>
      <c r="Y48" s="10">
        <f>SUMIFS('PLAN BUDGET SAMI-JF'!BK13:BK100000,'PLAN BUDGET SAMI-JF'!D13:D100000,SUMMARY!D48,'PLAN BUDGET SAMI-JF'!J13:J100000,SUMMARY!A48&amp;"*")</f>
        <v>0</v>
      </c>
      <c r="Z48" s="10">
        <f>SUMIFS('PLAN BUDGET SAMI-JF'!BL13:BL100000,'PLAN BUDGET SAMI-JF'!D13:D100000,SUMMARY!D48,'PLAN BUDGET SAMI-JF'!J13:J100000,SUMMARY!A48&amp;"*")</f>
        <v>0</v>
      </c>
      <c r="AA48" s="10">
        <f>SUMIFS('PLAN BUDGET SAMI-JF'!BM13:BM100000,'PLAN BUDGET SAMI-JF'!D13:D100000,SUMMARY!D48,'PLAN BUDGET SAMI-JF'!J13:J100000,SUMMARY!A48&amp;"*")</f>
        <v>0</v>
      </c>
      <c r="AB48" s="10">
        <f>SUMIFS('PLAN BUDGET SAMI-JF'!BN13:BN100000,'PLAN BUDGET SAMI-JF'!D13:D100000,SUMMARY!D48,'PLAN BUDGET SAMI-JF'!J13:J100000,SUMMARY!A48&amp;"*")</f>
        <v>0</v>
      </c>
      <c r="AC48" s="10">
        <f t="shared" si="4"/>
        <v>2</v>
      </c>
      <c r="AD48" s="10">
        <f t="shared" si="5"/>
        <v>2933.1712936590002</v>
      </c>
      <c r="AE48" s="16"/>
      <c r="AF48" s="10">
        <v>0</v>
      </c>
      <c r="AG48" s="10">
        <v>0</v>
      </c>
      <c r="AH48" s="20">
        <f t="shared" si="6"/>
        <v>1</v>
      </c>
      <c r="AI48" s="20">
        <f t="shared" si="7"/>
        <v>1</v>
      </c>
      <c r="AJ48" s="36" t="s">
        <v>358</v>
      </c>
    </row>
    <row r="49" spans="1:36" x14ac:dyDescent="0.35">
      <c r="A49" s="7" t="s">
        <v>355</v>
      </c>
      <c r="B49" s="7"/>
      <c r="C49" s="7"/>
      <c r="D49" s="7" t="s">
        <v>59</v>
      </c>
      <c r="E49" s="10">
        <f>SUMIFS('PLAN BUDGET SAMI-JF'!AN13:AN100000,'PLAN BUDGET SAMI-JF'!D13:D100000,SUMMARY!D49,'PLAN BUDGET SAMI-JF'!J13:J100000,SUMMARY!A49&amp;"*")</f>
        <v>0</v>
      </c>
      <c r="F49" s="10">
        <f>SUMIFS('PLAN BUDGET SAMI-JF'!AO13:AO100000,'PLAN BUDGET SAMI-JF'!D13:D100000,SUMMARY!D49,'PLAN BUDGET SAMI-JF'!J13:J100000,SUMMARY!A49&amp;"*")</f>
        <v>0</v>
      </c>
      <c r="G49" s="10">
        <f>SUMIFS('PLAN BUDGET SAMI-JF'!AP13:AP100000,'PLAN BUDGET SAMI-JF'!D13:D100000,SUMMARY!D49,'PLAN BUDGET SAMI-JF'!J13:J100000,SUMMARY!A49&amp;"*")</f>
        <v>0</v>
      </c>
      <c r="H49" s="10">
        <f>SUMIFS('PLAN BUDGET SAMI-JF'!AQ13:AQ100000,'PLAN BUDGET SAMI-JF'!D13:D100000,SUMMARY!D49,'PLAN BUDGET SAMI-JF'!J13:J100000,SUMMARY!A49&amp;"*")</f>
        <v>0</v>
      </c>
      <c r="I49" s="10">
        <f>SUMIFS('PLAN BUDGET SAMI-JF'!AR13:AR100000,'PLAN BUDGET SAMI-JF'!D13:D100000,SUMMARY!D49,'PLAN BUDGET SAMI-JF'!J13:J100000,SUMMARY!A49&amp;"*")</f>
        <v>0</v>
      </c>
      <c r="J49" s="10">
        <f>SUMIFS('PLAN BUDGET SAMI-JF'!AS13:AS100000,'PLAN BUDGET SAMI-JF'!D13:D100000,SUMMARY!D49,'PLAN BUDGET SAMI-JF'!J13:J100000,SUMMARY!A49&amp;"*")</f>
        <v>2</v>
      </c>
      <c r="K49" s="10">
        <f>SUMIFS('PLAN BUDGET SAMI-JF'!AT13:AT100000,'PLAN BUDGET SAMI-JF'!D13:D100000,SUMMARY!D49,'PLAN BUDGET SAMI-JF'!J13:J100000,SUMMARY!A49&amp;"*")</f>
        <v>0</v>
      </c>
      <c r="L49" s="10">
        <f>SUMIFS('PLAN BUDGET SAMI-JF'!AU13:AU100000,'PLAN BUDGET SAMI-JF'!D13:D100000,SUMMARY!D49,'PLAN BUDGET SAMI-JF'!J13:J100000,SUMMARY!A49&amp;"*")</f>
        <v>0</v>
      </c>
      <c r="M49" s="10">
        <f>SUMIFS('PLAN BUDGET SAMI-JF'!AV13:AV100000,'PLAN BUDGET SAMI-JF'!D13:D100000,SUMMARY!D49,'PLAN BUDGET SAMI-JF'!J13:J100000,SUMMARY!A49&amp;"*")</f>
        <v>0</v>
      </c>
      <c r="N49" s="10">
        <f>SUMIFS('PLAN BUDGET SAMI-JF'!AW13:AW100000,'PLAN BUDGET SAMI-JF'!D13:D100000,SUMMARY!D49,'PLAN BUDGET SAMI-JF'!J13:J100000,SUMMARY!A49&amp;"*")</f>
        <v>0</v>
      </c>
      <c r="O49" s="10">
        <f>SUMIFS('PLAN BUDGET SAMI-JF'!AX13:AX100000,'PLAN BUDGET SAMI-JF'!D13:D100000,SUMMARY!D49,'PLAN BUDGET SAMI-JF'!J13:J100000,SUMMARY!A49&amp;"*")</f>
        <v>0</v>
      </c>
      <c r="P49" s="10">
        <f>SUMIFS('PLAN BUDGET SAMI-JF'!AY13:AY100000,'PLAN BUDGET SAMI-JF'!D13:D100000,SUMMARY!D49,'PLAN BUDGET SAMI-JF'!J13:J100000,SUMMARY!A49&amp;"*")</f>
        <v>0</v>
      </c>
      <c r="Q49" s="10">
        <f>SUMIFS('PLAN BUDGET SAMI-JF'!BC13:BC100000,'PLAN BUDGET SAMI-JF'!D13:D100000,SUMMARY!D49,'PLAN BUDGET SAMI-JF'!J13:J100000,SUMMARY!A49&amp;"*")</f>
        <v>0</v>
      </c>
      <c r="R49" s="10">
        <f>SUMIFS('PLAN BUDGET SAMI-JF'!BD13:BD100000,'PLAN BUDGET SAMI-JF'!D13:D100000,SUMMARY!D49,'PLAN BUDGET SAMI-JF'!J13:J100000,SUMMARY!A49&amp;"*")</f>
        <v>0</v>
      </c>
      <c r="S49" s="10">
        <f>SUMIFS('PLAN BUDGET SAMI-JF'!BE13:BE100000,'PLAN BUDGET SAMI-JF'!D13:D100000,SUMMARY!D49,'PLAN BUDGET SAMI-JF'!J13:J100000,SUMMARY!A49&amp;"*")</f>
        <v>0</v>
      </c>
      <c r="T49" s="10">
        <f>SUMIFS('PLAN BUDGET SAMI-JF'!BF13:BF100000,'PLAN BUDGET SAMI-JF'!D13:D100000,SUMMARY!D49,'PLAN BUDGET SAMI-JF'!J13:J100000,SUMMARY!A49&amp;"*")</f>
        <v>0</v>
      </c>
      <c r="U49" s="10">
        <f>SUMIFS('PLAN BUDGET SAMI-JF'!BG13:BG100000,'PLAN BUDGET SAMI-JF'!D13:D100000,SUMMARY!D49,'PLAN BUDGET SAMI-JF'!J13:J100000,SUMMARY!A49&amp;"*")</f>
        <v>0</v>
      </c>
      <c r="V49" s="10">
        <f>SUMIFS('PLAN BUDGET SAMI-JF'!BH13:BH100000,'PLAN BUDGET SAMI-JF'!D13:D100000,SUMMARY!D49,'PLAN BUDGET SAMI-JF'!J13:J100000,SUMMARY!A49&amp;"*")</f>
        <v>2278.6829212714974</v>
      </c>
      <c r="W49" s="10">
        <f>SUMIFS('PLAN BUDGET SAMI-JF'!BI13:BI100000,'PLAN BUDGET SAMI-JF'!D13:D100000,SUMMARY!D49,'PLAN BUDGET SAMI-JF'!J13:J100000,SUMMARY!A49&amp;"*")</f>
        <v>0</v>
      </c>
      <c r="X49" s="10">
        <f>SUMIFS('PLAN BUDGET SAMI-JF'!BJ13:BJ100000,'PLAN BUDGET SAMI-JF'!D13:D100000,SUMMARY!D49,'PLAN BUDGET SAMI-JF'!J13:J100000,SUMMARY!A49&amp;"*")</f>
        <v>0</v>
      </c>
      <c r="Y49" s="10">
        <f>SUMIFS('PLAN BUDGET SAMI-JF'!BK13:BK100000,'PLAN BUDGET SAMI-JF'!D13:D100000,SUMMARY!D49,'PLAN BUDGET SAMI-JF'!J13:J100000,SUMMARY!A49&amp;"*")</f>
        <v>0</v>
      </c>
      <c r="Z49" s="10">
        <f>SUMIFS('PLAN BUDGET SAMI-JF'!BL13:BL100000,'PLAN BUDGET SAMI-JF'!D13:D100000,SUMMARY!D49,'PLAN BUDGET SAMI-JF'!J13:J100000,SUMMARY!A49&amp;"*")</f>
        <v>0</v>
      </c>
      <c r="AA49" s="10">
        <f>SUMIFS('PLAN BUDGET SAMI-JF'!BM13:BM100000,'PLAN BUDGET SAMI-JF'!D13:D100000,SUMMARY!D49,'PLAN BUDGET SAMI-JF'!J13:J100000,SUMMARY!A49&amp;"*")</f>
        <v>0</v>
      </c>
      <c r="AB49" s="10">
        <f>SUMIFS('PLAN BUDGET SAMI-JF'!BN13:BN100000,'PLAN BUDGET SAMI-JF'!D13:D100000,SUMMARY!D49,'PLAN BUDGET SAMI-JF'!J13:J100000,SUMMARY!A49&amp;"*")</f>
        <v>0</v>
      </c>
      <c r="AC49" s="10">
        <f t="shared" si="4"/>
        <v>2</v>
      </c>
      <c r="AD49" s="10">
        <f t="shared" si="5"/>
        <v>2278.6829212714974</v>
      </c>
      <c r="AE49" s="16"/>
      <c r="AF49" s="10">
        <v>0</v>
      </c>
      <c r="AG49" s="10">
        <v>0</v>
      </c>
      <c r="AH49" s="20">
        <f t="shared" si="6"/>
        <v>1</v>
      </c>
      <c r="AI49" s="20">
        <f t="shared" si="7"/>
        <v>1</v>
      </c>
      <c r="AJ49" s="36" t="s">
        <v>358</v>
      </c>
    </row>
    <row r="50" spans="1:36" x14ac:dyDescent="0.35">
      <c r="A50" s="7" t="s">
        <v>355</v>
      </c>
      <c r="B50" s="7"/>
      <c r="C50" s="7"/>
      <c r="D50" s="7" t="s">
        <v>242</v>
      </c>
      <c r="E50" s="10">
        <f>SUMIFS('PLAN BUDGET SAMI-JF'!AN13:AN100000,'PLAN BUDGET SAMI-JF'!D13:D100000,SUMMARY!D50,'PLAN BUDGET SAMI-JF'!J13:J100000,SUMMARY!A50&amp;"*")</f>
        <v>0</v>
      </c>
      <c r="F50" s="10">
        <f>SUMIFS('PLAN BUDGET SAMI-JF'!AO13:AO100000,'PLAN BUDGET SAMI-JF'!D13:D100000,SUMMARY!D50,'PLAN BUDGET SAMI-JF'!J13:J100000,SUMMARY!A50&amp;"*")</f>
        <v>0</v>
      </c>
      <c r="G50" s="10">
        <f>SUMIFS('PLAN BUDGET SAMI-JF'!AP13:AP100000,'PLAN BUDGET SAMI-JF'!D13:D100000,SUMMARY!D50,'PLAN BUDGET SAMI-JF'!J13:J100000,SUMMARY!A50&amp;"*")</f>
        <v>0</v>
      </c>
      <c r="H50" s="10">
        <f>SUMIFS('PLAN BUDGET SAMI-JF'!AQ13:AQ100000,'PLAN BUDGET SAMI-JF'!D13:D100000,SUMMARY!D50,'PLAN BUDGET SAMI-JF'!J13:J100000,SUMMARY!A50&amp;"*")</f>
        <v>0</v>
      </c>
      <c r="I50" s="10">
        <f>SUMIFS('PLAN BUDGET SAMI-JF'!AR13:AR100000,'PLAN BUDGET SAMI-JF'!D13:D100000,SUMMARY!D50,'PLAN BUDGET SAMI-JF'!J13:J100000,SUMMARY!A50&amp;"*")</f>
        <v>0</v>
      </c>
      <c r="J50" s="10">
        <f>SUMIFS('PLAN BUDGET SAMI-JF'!AS13:AS100000,'PLAN BUDGET SAMI-JF'!D13:D100000,SUMMARY!D50,'PLAN BUDGET SAMI-JF'!J13:J100000,SUMMARY!A50&amp;"*")</f>
        <v>1</v>
      </c>
      <c r="K50" s="10">
        <f>SUMIFS('PLAN BUDGET SAMI-JF'!AT13:AT100000,'PLAN BUDGET SAMI-JF'!D13:D100000,SUMMARY!D50,'PLAN BUDGET SAMI-JF'!J13:J100000,SUMMARY!A50&amp;"*")</f>
        <v>0</v>
      </c>
      <c r="L50" s="10">
        <f>SUMIFS('PLAN BUDGET SAMI-JF'!AU13:AU100000,'PLAN BUDGET SAMI-JF'!D13:D100000,SUMMARY!D50,'PLAN BUDGET SAMI-JF'!J13:J100000,SUMMARY!A50&amp;"*")</f>
        <v>0</v>
      </c>
      <c r="M50" s="10">
        <f>SUMIFS('PLAN BUDGET SAMI-JF'!AV13:AV100000,'PLAN BUDGET SAMI-JF'!D13:D100000,SUMMARY!D50,'PLAN BUDGET SAMI-JF'!J13:J100000,SUMMARY!A50&amp;"*")</f>
        <v>0</v>
      </c>
      <c r="N50" s="10">
        <f>SUMIFS('PLAN BUDGET SAMI-JF'!AW13:AW100000,'PLAN BUDGET SAMI-JF'!D13:D100000,SUMMARY!D50,'PLAN BUDGET SAMI-JF'!J13:J100000,SUMMARY!A50&amp;"*")</f>
        <v>0</v>
      </c>
      <c r="O50" s="10">
        <f>SUMIFS('PLAN BUDGET SAMI-JF'!AX13:AX100000,'PLAN BUDGET SAMI-JF'!D13:D100000,SUMMARY!D50,'PLAN BUDGET SAMI-JF'!J13:J100000,SUMMARY!A50&amp;"*")</f>
        <v>0</v>
      </c>
      <c r="P50" s="10">
        <f>SUMIFS('PLAN BUDGET SAMI-JF'!AY13:AY100000,'PLAN BUDGET SAMI-JF'!D13:D100000,SUMMARY!D50,'PLAN BUDGET SAMI-JF'!J13:J100000,SUMMARY!A50&amp;"*")</f>
        <v>0</v>
      </c>
      <c r="Q50" s="10">
        <f>SUMIFS('PLAN BUDGET SAMI-JF'!BC13:BC100000,'PLAN BUDGET SAMI-JF'!D13:D100000,SUMMARY!D50,'PLAN BUDGET SAMI-JF'!J13:J100000,SUMMARY!A50&amp;"*")</f>
        <v>0</v>
      </c>
      <c r="R50" s="10">
        <f>SUMIFS('PLAN BUDGET SAMI-JF'!BD13:BD100000,'PLAN BUDGET SAMI-JF'!D13:D100000,SUMMARY!D50,'PLAN BUDGET SAMI-JF'!J13:J100000,SUMMARY!A50&amp;"*")</f>
        <v>0</v>
      </c>
      <c r="S50" s="10">
        <f>SUMIFS('PLAN BUDGET SAMI-JF'!BE13:BE100000,'PLAN BUDGET SAMI-JF'!D13:D100000,SUMMARY!D50,'PLAN BUDGET SAMI-JF'!J13:J100000,SUMMARY!A50&amp;"*")</f>
        <v>0</v>
      </c>
      <c r="T50" s="10">
        <f>SUMIFS('PLAN BUDGET SAMI-JF'!BF13:BF100000,'PLAN BUDGET SAMI-JF'!D13:D100000,SUMMARY!D50,'PLAN BUDGET SAMI-JF'!J13:J100000,SUMMARY!A50&amp;"*")</f>
        <v>0</v>
      </c>
      <c r="U50" s="10">
        <f>SUMIFS('PLAN BUDGET SAMI-JF'!BG13:BG100000,'PLAN BUDGET SAMI-JF'!D13:D100000,SUMMARY!D50,'PLAN BUDGET SAMI-JF'!J13:J100000,SUMMARY!A50&amp;"*")</f>
        <v>0</v>
      </c>
      <c r="V50" s="10">
        <f>SUMIFS('PLAN BUDGET SAMI-JF'!BH13:BH100000,'PLAN BUDGET SAMI-JF'!D13:D100000,SUMMARY!D50,'PLAN BUDGET SAMI-JF'!J13:J100000,SUMMARY!A50&amp;"*")</f>
        <v>35.446178775335</v>
      </c>
      <c r="W50" s="10">
        <f>SUMIFS('PLAN BUDGET SAMI-JF'!BI13:BI100000,'PLAN BUDGET SAMI-JF'!D13:D100000,SUMMARY!D50,'PLAN BUDGET SAMI-JF'!J13:J100000,SUMMARY!A50&amp;"*")</f>
        <v>0</v>
      </c>
      <c r="X50" s="10">
        <f>SUMIFS('PLAN BUDGET SAMI-JF'!BJ13:BJ100000,'PLAN BUDGET SAMI-JF'!D13:D100000,SUMMARY!D50,'PLAN BUDGET SAMI-JF'!J13:J100000,SUMMARY!A50&amp;"*")</f>
        <v>0</v>
      </c>
      <c r="Y50" s="10">
        <f>SUMIFS('PLAN BUDGET SAMI-JF'!BK13:BK100000,'PLAN BUDGET SAMI-JF'!D13:D100000,SUMMARY!D50,'PLAN BUDGET SAMI-JF'!J13:J100000,SUMMARY!A50&amp;"*")</f>
        <v>0</v>
      </c>
      <c r="Z50" s="10">
        <f>SUMIFS('PLAN BUDGET SAMI-JF'!BL13:BL100000,'PLAN BUDGET SAMI-JF'!D13:D100000,SUMMARY!D50,'PLAN BUDGET SAMI-JF'!J13:J100000,SUMMARY!A50&amp;"*")</f>
        <v>0</v>
      </c>
      <c r="AA50" s="10">
        <f>SUMIFS('PLAN BUDGET SAMI-JF'!BM13:BM100000,'PLAN BUDGET SAMI-JF'!D13:D100000,SUMMARY!D50,'PLAN BUDGET SAMI-JF'!J13:J100000,SUMMARY!A50&amp;"*")</f>
        <v>0</v>
      </c>
      <c r="AB50" s="10">
        <f>SUMIFS('PLAN BUDGET SAMI-JF'!BN13:BN100000,'PLAN BUDGET SAMI-JF'!D13:D100000,SUMMARY!D50,'PLAN BUDGET SAMI-JF'!J13:J100000,SUMMARY!A50&amp;"*")</f>
        <v>0</v>
      </c>
      <c r="AC50" s="10">
        <f t="shared" si="4"/>
        <v>1</v>
      </c>
      <c r="AD50" s="10">
        <f t="shared" si="5"/>
        <v>35.446178775335</v>
      </c>
      <c r="AE50" s="16"/>
      <c r="AF50" s="10">
        <v>0</v>
      </c>
      <c r="AG50" s="10">
        <v>0</v>
      </c>
      <c r="AH50" s="20">
        <f t="shared" si="6"/>
        <v>1</v>
      </c>
      <c r="AI50" s="20">
        <f t="shared" si="7"/>
        <v>1</v>
      </c>
      <c r="AJ50" s="36" t="s">
        <v>585</v>
      </c>
    </row>
    <row r="51" spans="1:36" x14ac:dyDescent="0.35">
      <c r="A51" s="7" t="s">
        <v>355</v>
      </c>
      <c r="B51" s="7"/>
      <c r="C51" s="7"/>
      <c r="D51" s="7" t="s">
        <v>441</v>
      </c>
      <c r="E51" s="10">
        <f>SUMIFS('PLAN BUDGET SAMI-JF'!AN13:AN100000,'PLAN BUDGET SAMI-JF'!D13:D100000,SUMMARY!D51,'PLAN BUDGET SAMI-JF'!J13:J100000,SUMMARY!A51&amp;"*")</f>
        <v>1</v>
      </c>
      <c r="F51" s="10">
        <f>SUMIFS('PLAN BUDGET SAMI-JF'!AO13:AO100000,'PLAN BUDGET SAMI-JF'!D13:D100000,SUMMARY!D51,'PLAN BUDGET SAMI-JF'!J13:J100000,SUMMARY!A51&amp;"*")</f>
        <v>0</v>
      </c>
      <c r="G51" s="10">
        <f>SUMIFS('PLAN BUDGET SAMI-JF'!AP13:AP100000,'PLAN BUDGET SAMI-JF'!D13:D100000,SUMMARY!D51,'PLAN BUDGET SAMI-JF'!J13:J100000,SUMMARY!A51&amp;"*")</f>
        <v>0</v>
      </c>
      <c r="H51" s="10">
        <f>SUMIFS('PLAN BUDGET SAMI-JF'!AQ13:AQ100000,'PLAN BUDGET SAMI-JF'!D13:D100000,SUMMARY!D51,'PLAN BUDGET SAMI-JF'!J13:J100000,SUMMARY!A51&amp;"*")</f>
        <v>0</v>
      </c>
      <c r="I51" s="10">
        <f>SUMIFS('PLAN BUDGET SAMI-JF'!AR13:AR100000,'PLAN BUDGET SAMI-JF'!D13:D100000,SUMMARY!D51,'PLAN BUDGET SAMI-JF'!J13:J100000,SUMMARY!A51&amp;"*")</f>
        <v>0</v>
      </c>
      <c r="J51" s="10">
        <f>SUMIFS('PLAN BUDGET SAMI-JF'!AS13:AS100000,'PLAN BUDGET SAMI-JF'!D13:D100000,SUMMARY!D51,'PLAN BUDGET SAMI-JF'!J13:J100000,SUMMARY!A51&amp;"*")</f>
        <v>0</v>
      </c>
      <c r="K51" s="10">
        <f>SUMIFS('PLAN BUDGET SAMI-JF'!AT13:AT100000,'PLAN BUDGET SAMI-JF'!D13:D100000,SUMMARY!D51,'PLAN BUDGET SAMI-JF'!J13:J100000,SUMMARY!A51&amp;"*")</f>
        <v>0</v>
      </c>
      <c r="L51" s="10">
        <f>SUMIFS('PLAN BUDGET SAMI-JF'!AU13:AU100000,'PLAN BUDGET SAMI-JF'!D13:D100000,SUMMARY!D51,'PLAN BUDGET SAMI-JF'!J13:J100000,SUMMARY!A51&amp;"*")</f>
        <v>0</v>
      </c>
      <c r="M51" s="10">
        <f>SUMIFS('PLAN BUDGET SAMI-JF'!AV13:AV100000,'PLAN BUDGET SAMI-JF'!D13:D100000,SUMMARY!D51,'PLAN BUDGET SAMI-JF'!J13:J100000,SUMMARY!A51&amp;"*")</f>
        <v>0</v>
      </c>
      <c r="N51" s="10">
        <f>SUMIFS('PLAN BUDGET SAMI-JF'!AW13:AW100000,'PLAN BUDGET SAMI-JF'!D13:D100000,SUMMARY!D51,'PLAN BUDGET SAMI-JF'!J13:J100000,SUMMARY!A51&amp;"*")</f>
        <v>0</v>
      </c>
      <c r="O51" s="10">
        <f>SUMIFS('PLAN BUDGET SAMI-JF'!AX13:AX100000,'PLAN BUDGET SAMI-JF'!D13:D100000,SUMMARY!D51,'PLAN BUDGET SAMI-JF'!J13:J100000,SUMMARY!A51&amp;"*")</f>
        <v>0</v>
      </c>
      <c r="P51" s="10">
        <f>SUMIFS('PLAN BUDGET SAMI-JF'!AY13:AY100000,'PLAN BUDGET SAMI-JF'!D13:D100000,SUMMARY!D51,'PLAN BUDGET SAMI-JF'!J13:J100000,SUMMARY!A51&amp;"*")</f>
        <v>0</v>
      </c>
      <c r="Q51" s="10">
        <f>SUMIFS('PLAN BUDGET SAMI-JF'!BC13:BC100000,'PLAN BUDGET SAMI-JF'!D13:D100000,SUMMARY!D51,'PLAN BUDGET SAMI-JF'!J13:J100000,SUMMARY!A51&amp;"*")</f>
        <v>13.608800779816001</v>
      </c>
      <c r="R51" s="10">
        <f>SUMIFS('PLAN BUDGET SAMI-JF'!BD13:BD100000,'PLAN BUDGET SAMI-JF'!D13:D100000,SUMMARY!D51,'PLAN BUDGET SAMI-JF'!J13:J100000,SUMMARY!A51&amp;"*")</f>
        <v>0</v>
      </c>
      <c r="S51" s="10">
        <f>SUMIFS('PLAN BUDGET SAMI-JF'!BE13:BE100000,'PLAN BUDGET SAMI-JF'!D13:D100000,SUMMARY!D51,'PLAN BUDGET SAMI-JF'!J13:J100000,SUMMARY!A51&amp;"*")</f>
        <v>0</v>
      </c>
      <c r="T51" s="10">
        <f>SUMIFS('PLAN BUDGET SAMI-JF'!BF13:BF100000,'PLAN BUDGET SAMI-JF'!D13:D100000,SUMMARY!D51,'PLAN BUDGET SAMI-JF'!J13:J100000,SUMMARY!A51&amp;"*")</f>
        <v>0</v>
      </c>
      <c r="U51" s="10">
        <f>SUMIFS('PLAN BUDGET SAMI-JF'!BG13:BG100000,'PLAN BUDGET SAMI-JF'!D13:D100000,SUMMARY!D51,'PLAN BUDGET SAMI-JF'!J13:J100000,SUMMARY!A51&amp;"*")</f>
        <v>0</v>
      </c>
      <c r="V51" s="10">
        <f>SUMIFS('PLAN BUDGET SAMI-JF'!BH13:BH100000,'PLAN BUDGET SAMI-JF'!D13:D100000,SUMMARY!D51,'PLAN BUDGET SAMI-JF'!J13:J100000,SUMMARY!A51&amp;"*")</f>
        <v>0</v>
      </c>
      <c r="W51" s="10">
        <f>SUMIFS('PLAN BUDGET SAMI-JF'!BI13:BI100000,'PLAN BUDGET SAMI-JF'!D13:D100000,SUMMARY!D51,'PLAN BUDGET SAMI-JF'!J13:J100000,SUMMARY!A51&amp;"*")</f>
        <v>0</v>
      </c>
      <c r="X51" s="10">
        <f>SUMIFS('PLAN BUDGET SAMI-JF'!BJ13:BJ100000,'PLAN BUDGET SAMI-JF'!D13:D100000,SUMMARY!D51,'PLAN BUDGET SAMI-JF'!J13:J100000,SUMMARY!A51&amp;"*")</f>
        <v>0</v>
      </c>
      <c r="Y51" s="10">
        <f>SUMIFS('PLAN BUDGET SAMI-JF'!BK13:BK100000,'PLAN BUDGET SAMI-JF'!D13:D100000,SUMMARY!D51,'PLAN BUDGET SAMI-JF'!J13:J100000,SUMMARY!A51&amp;"*")</f>
        <v>0</v>
      </c>
      <c r="Z51" s="10">
        <f>SUMIFS('PLAN BUDGET SAMI-JF'!BL13:BL100000,'PLAN BUDGET SAMI-JF'!D13:D100000,SUMMARY!D51,'PLAN BUDGET SAMI-JF'!J13:J100000,SUMMARY!A51&amp;"*")</f>
        <v>0</v>
      </c>
      <c r="AA51" s="10">
        <f>SUMIFS('PLAN BUDGET SAMI-JF'!BM13:BM100000,'PLAN BUDGET SAMI-JF'!D13:D100000,SUMMARY!D51,'PLAN BUDGET SAMI-JF'!J13:J100000,SUMMARY!A51&amp;"*")</f>
        <v>0</v>
      </c>
      <c r="AB51" s="10">
        <f>SUMIFS('PLAN BUDGET SAMI-JF'!BN13:BN100000,'PLAN BUDGET SAMI-JF'!D13:D100000,SUMMARY!D51,'PLAN BUDGET SAMI-JF'!J13:J100000,SUMMARY!A51&amp;"*")</f>
        <v>0</v>
      </c>
      <c r="AC51" s="10">
        <f t="shared" si="4"/>
        <v>1</v>
      </c>
      <c r="AD51" s="10">
        <f t="shared" si="5"/>
        <v>13.608800779816001</v>
      </c>
      <c r="AE51" s="16"/>
      <c r="AF51" s="10">
        <v>1</v>
      </c>
      <c r="AG51" s="10">
        <v>11.393414606358</v>
      </c>
      <c r="AH51" s="20">
        <f t="shared" si="6"/>
        <v>0</v>
      </c>
      <c r="AI51" s="20">
        <f t="shared" si="7"/>
        <v>0.19444444444440059</v>
      </c>
      <c r="AJ51" s="36" t="s">
        <v>587</v>
      </c>
    </row>
    <row r="52" spans="1:36" x14ac:dyDescent="0.35">
      <c r="A52" s="7" t="s">
        <v>355</v>
      </c>
      <c r="B52" s="7"/>
      <c r="C52" s="7"/>
      <c r="D52" s="7" t="s">
        <v>73</v>
      </c>
      <c r="E52" s="10">
        <f>SUMIFS('PLAN BUDGET SAMI-JF'!AN13:AN100000,'PLAN BUDGET SAMI-JF'!D13:D100000,SUMMARY!D52,'PLAN BUDGET SAMI-JF'!J13:J100000,SUMMARY!A52&amp;"*")</f>
        <v>0</v>
      </c>
      <c r="F52" s="10">
        <f>SUMIFS('PLAN BUDGET SAMI-JF'!AO13:AO100000,'PLAN BUDGET SAMI-JF'!D13:D100000,SUMMARY!D52,'PLAN BUDGET SAMI-JF'!J13:J100000,SUMMARY!A52&amp;"*")</f>
        <v>0</v>
      </c>
      <c r="G52" s="10">
        <f>SUMIFS('PLAN BUDGET SAMI-JF'!AP13:AP100000,'PLAN BUDGET SAMI-JF'!D13:D100000,SUMMARY!D52,'PLAN BUDGET SAMI-JF'!J13:J100000,SUMMARY!A52&amp;"*")</f>
        <v>0</v>
      </c>
      <c r="H52" s="10">
        <f>SUMIFS('PLAN BUDGET SAMI-JF'!AQ13:AQ100000,'PLAN BUDGET SAMI-JF'!D13:D100000,SUMMARY!D52,'PLAN BUDGET SAMI-JF'!J13:J100000,SUMMARY!A52&amp;"*")</f>
        <v>0</v>
      </c>
      <c r="I52" s="10">
        <f>SUMIFS('PLAN BUDGET SAMI-JF'!AR13:AR100000,'PLAN BUDGET SAMI-JF'!D13:D100000,SUMMARY!D52,'PLAN BUDGET SAMI-JF'!J13:J100000,SUMMARY!A52&amp;"*")</f>
        <v>0</v>
      </c>
      <c r="J52" s="10">
        <f>SUMIFS('PLAN BUDGET SAMI-JF'!AS13:AS100000,'PLAN BUDGET SAMI-JF'!D13:D100000,SUMMARY!D52,'PLAN BUDGET SAMI-JF'!J13:J100000,SUMMARY!A52&amp;"*")</f>
        <v>0</v>
      </c>
      <c r="K52" s="10">
        <f>SUMIFS('PLAN BUDGET SAMI-JF'!AT13:AT100000,'PLAN BUDGET SAMI-JF'!D13:D100000,SUMMARY!D52,'PLAN BUDGET SAMI-JF'!J13:J100000,SUMMARY!A52&amp;"*")</f>
        <v>1</v>
      </c>
      <c r="L52" s="10">
        <f>SUMIFS('PLAN BUDGET SAMI-JF'!AU13:AU100000,'PLAN BUDGET SAMI-JF'!D13:D100000,SUMMARY!D52,'PLAN BUDGET SAMI-JF'!J13:J100000,SUMMARY!A52&amp;"*")</f>
        <v>0</v>
      </c>
      <c r="M52" s="10">
        <f>SUMIFS('PLAN BUDGET SAMI-JF'!AV13:AV100000,'PLAN BUDGET SAMI-JF'!D13:D100000,SUMMARY!D52,'PLAN BUDGET SAMI-JF'!J13:J100000,SUMMARY!A52&amp;"*")</f>
        <v>16</v>
      </c>
      <c r="N52" s="10">
        <f>SUMIFS('PLAN BUDGET SAMI-JF'!AW13:AW100000,'PLAN BUDGET SAMI-JF'!D13:D100000,SUMMARY!D52,'PLAN BUDGET SAMI-JF'!J13:J100000,SUMMARY!A52&amp;"*")</f>
        <v>4</v>
      </c>
      <c r="O52" s="10">
        <f>SUMIFS('PLAN BUDGET SAMI-JF'!AX13:AX100000,'PLAN BUDGET SAMI-JF'!D13:D100000,SUMMARY!D52,'PLAN BUDGET SAMI-JF'!J13:J100000,SUMMARY!A52&amp;"*")</f>
        <v>4</v>
      </c>
      <c r="P52" s="10">
        <f>SUMIFS('PLAN BUDGET SAMI-JF'!AY13:AY100000,'PLAN BUDGET SAMI-JF'!D13:D100000,SUMMARY!D52,'PLAN BUDGET SAMI-JF'!J13:J100000,SUMMARY!A52&amp;"*")</f>
        <v>4</v>
      </c>
      <c r="Q52" s="10">
        <f>SUMIFS('PLAN BUDGET SAMI-JF'!BC13:BC100000,'PLAN BUDGET SAMI-JF'!D13:D100000,SUMMARY!D52,'PLAN BUDGET SAMI-JF'!J13:J100000,SUMMARY!A52&amp;"*")</f>
        <v>0</v>
      </c>
      <c r="R52" s="10">
        <f>SUMIFS('PLAN BUDGET SAMI-JF'!BD13:BD100000,'PLAN BUDGET SAMI-JF'!D13:D100000,SUMMARY!D52,'PLAN BUDGET SAMI-JF'!J13:J100000,SUMMARY!A52&amp;"*")</f>
        <v>0</v>
      </c>
      <c r="S52" s="10">
        <f>SUMIFS('PLAN BUDGET SAMI-JF'!BE13:BE100000,'PLAN BUDGET SAMI-JF'!D13:D100000,SUMMARY!D52,'PLAN BUDGET SAMI-JF'!J13:J100000,SUMMARY!A52&amp;"*")</f>
        <v>0</v>
      </c>
      <c r="T52" s="10">
        <f>SUMIFS('PLAN BUDGET SAMI-JF'!BF13:BF100000,'PLAN BUDGET SAMI-JF'!D13:D100000,SUMMARY!D52,'PLAN BUDGET SAMI-JF'!J13:J100000,SUMMARY!A52&amp;"*")</f>
        <v>0</v>
      </c>
      <c r="U52" s="10">
        <f>SUMIFS('PLAN BUDGET SAMI-JF'!BG13:BG100000,'PLAN BUDGET SAMI-JF'!D13:D100000,SUMMARY!D52,'PLAN BUDGET SAMI-JF'!J13:J100000,SUMMARY!A52&amp;"*")</f>
        <v>0</v>
      </c>
      <c r="V52" s="10">
        <f>SUMIFS('PLAN BUDGET SAMI-JF'!BH13:BH100000,'PLAN BUDGET SAMI-JF'!D13:D100000,SUMMARY!D52,'PLAN BUDGET SAMI-JF'!J13:J100000,SUMMARY!A52&amp;"*")</f>
        <v>0</v>
      </c>
      <c r="W52" s="10">
        <f>SUMIFS('PLAN BUDGET SAMI-JF'!BI13:BI100000,'PLAN BUDGET SAMI-JF'!D13:D100000,SUMMARY!D52,'PLAN BUDGET SAMI-JF'!J13:J100000,SUMMARY!A52&amp;"*")</f>
        <v>26.490066225166</v>
      </c>
      <c r="X52" s="10">
        <f>SUMIFS('PLAN BUDGET SAMI-JF'!BJ13:BJ100000,'PLAN BUDGET SAMI-JF'!D13:D100000,SUMMARY!D52,'PLAN BUDGET SAMI-JF'!J13:J100000,SUMMARY!A52&amp;"*")</f>
        <v>0</v>
      </c>
      <c r="Y52" s="10">
        <f>SUMIFS('PLAN BUDGET SAMI-JF'!BK13:BK100000,'PLAN BUDGET SAMI-JF'!D13:D100000,SUMMARY!D52,'PLAN BUDGET SAMI-JF'!J13:J100000,SUMMARY!A52&amp;"*")</f>
        <v>2895.7847682119764</v>
      </c>
      <c r="Z52" s="10">
        <f>SUMIFS('PLAN BUDGET SAMI-JF'!BL13:BL100000,'PLAN BUDGET SAMI-JF'!D13:D100000,SUMMARY!D52,'PLAN BUDGET SAMI-JF'!J13:J100000,SUMMARY!A52&amp;"*")</f>
        <v>3399.337748344416</v>
      </c>
      <c r="AA52" s="10">
        <f>SUMIFS('PLAN BUDGET SAMI-JF'!BM13:BM100000,'PLAN BUDGET SAMI-JF'!D13:D100000,SUMMARY!D52,'PLAN BUDGET SAMI-JF'!J13:J100000,SUMMARY!A52&amp;"*")</f>
        <v>3068.2119205298463</v>
      </c>
      <c r="AB52" s="10">
        <f>SUMIFS('PLAN BUDGET SAMI-JF'!BN13:BN100000,'PLAN BUDGET SAMI-JF'!D13:D100000,SUMMARY!D52,'PLAN BUDGET SAMI-JF'!J13:J100000,SUMMARY!A52&amp;"*")</f>
        <v>3068.2119205298463</v>
      </c>
      <c r="AC52" s="10">
        <f t="shared" si="4"/>
        <v>29</v>
      </c>
      <c r="AD52" s="10">
        <f t="shared" si="5"/>
        <v>12458.036423841251</v>
      </c>
      <c r="AE52" s="16"/>
      <c r="AF52" s="10">
        <v>0</v>
      </c>
      <c r="AG52" s="10">
        <v>0</v>
      </c>
      <c r="AH52" s="20">
        <f t="shared" si="6"/>
        <v>1</v>
      </c>
      <c r="AI52" s="20">
        <f t="shared" si="7"/>
        <v>1</v>
      </c>
      <c r="AJ52" s="36" t="s">
        <v>358</v>
      </c>
    </row>
    <row r="53" spans="1:36" x14ac:dyDescent="0.35">
      <c r="A53" s="7" t="s">
        <v>355</v>
      </c>
      <c r="B53" s="7"/>
      <c r="C53" s="7"/>
      <c r="D53" s="7" t="s">
        <v>372</v>
      </c>
      <c r="E53" s="10">
        <f>SUMIFS('PLAN BUDGET SAMI-JF'!AN13:AN100000,'PLAN BUDGET SAMI-JF'!D13:D100000,SUMMARY!D53,'PLAN BUDGET SAMI-JF'!J13:J100000,SUMMARY!A53&amp;"*")</f>
        <v>2</v>
      </c>
      <c r="F53" s="10">
        <f>SUMIFS('PLAN BUDGET SAMI-JF'!AO13:AO100000,'PLAN BUDGET SAMI-JF'!D13:D100000,SUMMARY!D53,'PLAN BUDGET SAMI-JF'!J13:J100000,SUMMARY!A53&amp;"*")</f>
        <v>0</v>
      </c>
      <c r="G53" s="10">
        <f>SUMIFS('PLAN BUDGET SAMI-JF'!AP13:AP100000,'PLAN BUDGET SAMI-JF'!D13:D100000,SUMMARY!D53,'PLAN BUDGET SAMI-JF'!J13:J100000,SUMMARY!A53&amp;"*")</f>
        <v>0</v>
      </c>
      <c r="H53" s="10">
        <f>SUMIFS('PLAN BUDGET SAMI-JF'!AQ13:AQ100000,'PLAN BUDGET SAMI-JF'!D13:D100000,SUMMARY!D53,'PLAN BUDGET SAMI-JF'!J13:J100000,SUMMARY!A53&amp;"*")</f>
        <v>0</v>
      </c>
      <c r="I53" s="10">
        <f>SUMIFS('PLAN BUDGET SAMI-JF'!AR13:AR100000,'PLAN BUDGET SAMI-JF'!D13:D100000,SUMMARY!D53,'PLAN BUDGET SAMI-JF'!J13:J100000,SUMMARY!A53&amp;"*")</f>
        <v>0</v>
      </c>
      <c r="J53" s="10">
        <f>SUMIFS('PLAN BUDGET SAMI-JF'!AS13:AS100000,'PLAN BUDGET SAMI-JF'!D13:D100000,SUMMARY!D53,'PLAN BUDGET SAMI-JF'!J13:J100000,SUMMARY!A53&amp;"*")</f>
        <v>0</v>
      </c>
      <c r="K53" s="10">
        <f>SUMIFS('PLAN BUDGET SAMI-JF'!AT13:AT100000,'PLAN BUDGET SAMI-JF'!D13:D100000,SUMMARY!D53,'PLAN BUDGET SAMI-JF'!J13:J100000,SUMMARY!A53&amp;"*")</f>
        <v>0</v>
      </c>
      <c r="L53" s="10">
        <f>SUMIFS('PLAN BUDGET SAMI-JF'!AU13:AU100000,'PLAN BUDGET SAMI-JF'!D13:D100000,SUMMARY!D53,'PLAN BUDGET SAMI-JF'!J13:J100000,SUMMARY!A53&amp;"*")</f>
        <v>0</v>
      </c>
      <c r="M53" s="10">
        <f>SUMIFS('PLAN BUDGET SAMI-JF'!AV13:AV100000,'PLAN BUDGET SAMI-JF'!D13:D100000,SUMMARY!D53,'PLAN BUDGET SAMI-JF'!J13:J100000,SUMMARY!A53&amp;"*")</f>
        <v>0</v>
      </c>
      <c r="N53" s="10">
        <f>SUMIFS('PLAN BUDGET SAMI-JF'!AW13:AW100000,'PLAN BUDGET SAMI-JF'!D13:D100000,SUMMARY!D53,'PLAN BUDGET SAMI-JF'!J13:J100000,SUMMARY!A53&amp;"*")</f>
        <v>0</v>
      </c>
      <c r="O53" s="10">
        <f>SUMIFS('PLAN BUDGET SAMI-JF'!AX13:AX100000,'PLAN BUDGET SAMI-JF'!D13:D100000,SUMMARY!D53,'PLAN BUDGET SAMI-JF'!J13:J100000,SUMMARY!A53&amp;"*")</f>
        <v>0</v>
      </c>
      <c r="P53" s="10">
        <f>SUMIFS('PLAN BUDGET SAMI-JF'!AY13:AY100000,'PLAN BUDGET SAMI-JF'!D13:D100000,SUMMARY!D53,'PLAN BUDGET SAMI-JF'!J13:J100000,SUMMARY!A53&amp;"*")</f>
        <v>0</v>
      </c>
      <c r="Q53" s="10">
        <f>SUMIFS('PLAN BUDGET SAMI-JF'!BC13:BC100000,'PLAN BUDGET SAMI-JF'!D13:D100000,SUMMARY!D53,'PLAN BUDGET SAMI-JF'!J13:J100000,SUMMARY!A53&amp;"*")</f>
        <v>75.956097375716993</v>
      </c>
      <c r="R53" s="10">
        <f>SUMIFS('PLAN BUDGET SAMI-JF'!BD13:BD100000,'PLAN BUDGET SAMI-JF'!D13:D100000,SUMMARY!D53,'PLAN BUDGET SAMI-JF'!J13:J100000,SUMMARY!A53&amp;"*")</f>
        <v>0</v>
      </c>
      <c r="S53" s="10">
        <f>SUMIFS('PLAN BUDGET SAMI-JF'!BE13:BE100000,'PLAN BUDGET SAMI-JF'!D13:D100000,SUMMARY!D53,'PLAN BUDGET SAMI-JF'!J13:J100000,SUMMARY!A53&amp;"*")</f>
        <v>0</v>
      </c>
      <c r="T53" s="10">
        <f>SUMIFS('PLAN BUDGET SAMI-JF'!BF13:BF100000,'PLAN BUDGET SAMI-JF'!D13:D100000,SUMMARY!D53,'PLAN BUDGET SAMI-JF'!J13:J100000,SUMMARY!A53&amp;"*")</f>
        <v>0</v>
      </c>
      <c r="U53" s="10">
        <f>SUMIFS('PLAN BUDGET SAMI-JF'!BG13:BG100000,'PLAN BUDGET SAMI-JF'!D13:D100000,SUMMARY!D53,'PLAN BUDGET SAMI-JF'!J13:J100000,SUMMARY!A53&amp;"*")</f>
        <v>0</v>
      </c>
      <c r="V53" s="10">
        <f>SUMIFS('PLAN BUDGET SAMI-JF'!BH13:BH100000,'PLAN BUDGET SAMI-JF'!D13:D100000,SUMMARY!D53,'PLAN BUDGET SAMI-JF'!J13:J100000,SUMMARY!A53&amp;"*")</f>
        <v>0</v>
      </c>
      <c r="W53" s="10">
        <f>SUMIFS('PLAN BUDGET SAMI-JF'!BI13:BI100000,'PLAN BUDGET SAMI-JF'!D13:D100000,SUMMARY!D53,'PLAN BUDGET SAMI-JF'!J13:J100000,SUMMARY!A53&amp;"*")</f>
        <v>0</v>
      </c>
      <c r="X53" s="10">
        <f>SUMIFS('PLAN BUDGET SAMI-JF'!BJ13:BJ100000,'PLAN BUDGET SAMI-JF'!D13:D100000,SUMMARY!D53,'PLAN BUDGET SAMI-JF'!J13:J100000,SUMMARY!A53&amp;"*")</f>
        <v>0</v>
      </c>
      <c r="Y53" s="10">
        <f>SUMIFS('PLAN BUDGET SAMI-JF'!BK13:BK100000,'PLAN BUDGET SAMI-JF'!D13:D100000,SUMMARY!D53,'PLAN BUDGET SAMI-JF'!J13:J100000,SUMMARY!A53&amp;"*")</f>
        <v>0</v>
      </c>
      <c r="Z53" s="10">
        <f>SUMIFS('PLAN BUDGET SAMI-JF'!BL13:BL100000,'PLAN BUDGET SAMI-JF'!D13:D100000,SUMMARY!D53,'PLAN BUDGET SAMI-JF'!J13:J100000,SUMMARY!A53&amp;"*")</f>
        <v>0</v>
      </c>
      <c r="AA53" s="10">
        <f>SUMIFS('PLAN BUDGET SAMI-JF'!BM13:BM100000,'PLAN BUDGET SAMI-JF'!D13:D100000,SUMMARY!D53,'PLAN BUDGET SAMI-JF'!J13:J100000,SUMMARY!A53&amp;"*")</f>
        <v>0</v>
      </c>
      <c r="AB53" s="10">
        <f>SUMIFS('PLAN BUDGET SAMI-JF'!BN13:BN100000,'PLAN BUDGET SAMI-JF'!D13:D100000,SUMMARY!D53,'PLAN BUDGET SAMI-JF'!J13:J100000,SUMMARY!A53&amp;"*")</f>
        <v>0</v>
      </c>
      <c r="AC53" s="10">
        <f t="shared" si="4"/>
        <v>2</v>
      </c>
      <c r="AD53" s="10">
        <f t="shared" si="5"/>
        <v>75.956097375716993</v>
      </c>
      <c r="AE53" s="16"/>
      <c r="AF53" s="10">
        <v>0</v>
      </c>
      <c r="AG53" s="10">
        <v>0</v>
      </c>
      <c r="AH53" s="20">
        <f t="shared" si="6"/>
        <v>1</v>
      </c>
      <c r="AI53" s="20">
        <f t="shared" si="7"/>
        <v>1</v>
      </c>
      <c r="AJ53" s="36" t="s">
        <v>587</v>
      </c>
    </row>
    <row r="54" spans="1:36" x14ac:dyDescent="0.35">
      <c r="A54" s="7" t="s">
        <v>355</v>
      </c>
      <c r="B54" s="7"/>
      <c r="C54" s="7"/>
      <c r="D54" s="7" t="s">
        <v>182</v>
      </c>
      <c r="E54" s="10">
        <f>SUMIFS('PLAN BUDGET SAMI-JF'!AN13:AN100000,'PLAN BUDGET SAMI-JF'!D13:D100000,SUMMARY!D54,'PLAN BUDGET SAMI-JF'!J13:J100000,SUMMARY!A54&amp;"*")</f>
        <v>0</v>
      </c>
      <c r="F54" s="10">
        <f>SUMIFS('PLAN BUDGET SAMI-JF'!AO13:AO100000,'PLAN BUDGET SAMI-JF'!D13:D100000,SUMMARY!D54,'PLAN BUDGET SAMI-JF'!J13:J100000,SUMMARY!A54&amp;"*")</f>
        <v>1</v>
      </c>
      <c r="G54" s="10">
        <f>SUMIFS('PLAN BUDGET SAMI-JF'!AP13:AP100000,'PLAN BUDGET SAMI-JF'!D13:D100000,SUMMARY!D54,'PLAN BUDGET SAMI-JF'!J13:J100000,SUMMARY!A54&amp;"*")</f>
        <v>0</v>
      </c>
      <c r="H54" s="10">
        <f>SUMIFS('PLAN BUDGET SAMI-JF'!AQ13:AQ100000,'PLAN BUDGET SAMI-JF'!D13:D100000,SUMMARY!D54,'PLAN BUDGET SAMI-JF'!J13:J100000,SUMMARY!A54&amp;"*")</f>
        <v>0</v>
      </c>
      <c r="I54" s="10">
        <f>SUMIFS('PLAN BUDGET SAMI-JF'!AR13:AR100000,'PLAN BUDGET SAMI-JF'!D13:D100000,SUMMARY!D54,'PLAN BUDGET SAMI-JF'!J13:J100000,SUMMARY!A54&amp;"*")</f>
        <v>0</v>
      </c>
      <c r="J54" s="10">
        <f>SUMIFS('PLAN BUDGET SAMI-JF'!AS13:AS100000,'PLAN BUDGET SAMI-JF'!D13:D100000,SUMMARY!D54,'PLAN BUDGET SAMI-JF'!J13:J100000,SUMMARY!A54&amp;"*")</f>
        <v>0</v>
      </c>
      <c r="K54" s="10">
        <f>SUMIFS('PLAN BUDGET SAMI-JF'!AT13:AT100000,'PLAN BUDGET SAMI-JF'!D13:D100000,SUMMARY!D54,'PLAN BUDGET SAMI-JF'!J13:J100000,SUMMARY!A54&amp;"*")</f>
        <v>0</v>
      </c>
      <c r="L54" s="10">
        <f>SUMIFS('PLAN BUDGET SAMI-JF'!AU13:AU100000,'PLAN BUDGET SAMI-JF'!D13:D100000,SUMMARY!D54,'PLAN BUDGET SAMI-JF'!J13:J100000,SUMMARY!A54&amp;"*")</f>
        <v>0</v>
      </c>
      <c r="M54" s="10">
        <f>SUMIFS('PLAN BUDGET SAMI-JF'!AV13:AV100000,'PLAN BUDGET SAMI-JF'!D13:D100000,SUMMARY!D54,'PLAN BUDGET SAMI-JF'!J13:J100000,SUMMARY!A54&amp;"*")</f>
        <v>0</v>
      </c>
      <c r="N54" s="10">
        <f>SUMIFS('PLAN BUDGET SAMI-JF'!AW13:AW100000,'PLAN BUDGET SAMI-JF'!D13:D100000,SUMMARY!D54,'PLAN BUDGET SAMI-JF'!J13:J100000,SUMMARY!A54&amp;"*")</f>
        <v>0</v>
      </c>
      <c r="O54" s="10">
        <f>SUMIFS('PLAN BUDGET SAMI-JF'!AX13:AX100000,'PLAN BUDGET SAMI-JF'!D13:D100000,SUMMARY!D54,'PLAN BUDGET SAMI-JF'!J13:J100000,SUMMARY!A54&amp;"*")</f>
        <v>0</v>
      </c>
      <c r="P54" s="10">
        <f>SUMIFS('PLAN BUDGET SAMI-JF'!AY13:AY100000,'PLAN BUDGET SAMI-JF'!D13:D100000,SUMMARY!D54,'PLAN BUDGET SAMI-JF'!J13:J100000,SUMMARY!A54&amp;"*")</f>
        <v>0</v>
      </c>
      <c r="Q54" s="10">
        <f>SUMIFS('PLAN BUDGET SAMI-JF'!BC13:BC100000,'PLAN BUDGET SAMI-JF'!D13:D100000,SUMMARY!D54,'PLAN BUDGET SAMI-JF'!J13:J100000,SUMMARY!A54&amp;"*")</f>
        <v>0</v>
      </c>
      <c r="R54" s="10">
        <f>SUMIFS('PLAN BUDGET SAMI-JF'!BD13:BD100000,'PLAN BUDGET SAMI-JF'!D13:D100000,SUMMARY!D54,'PLAN BUDGET SAMI-JF'!J13:J100000,SUMMARY!A54&amp;"*")</f>
        <v>8.8615446938336007</v>
      </c>
      <c r="S54" s="10">
        <f>SUMIFS('PLAN BUDGET SAMI-JF'!BE13:BE100000,'PLAN BUDGET SAMI-JF'!D13:D100000,SUMMARY!D54,'PLAN BUDGET SAMI-JF'!J13:J100000,SUMMARY!A54&amp;"*")</f>
        <v>0</v>
      </c>
      <c r="T54" s="10">
        <f>SUMIFS('PLAN BUDGET SAMI-JF'!BF13:BF100000,'PLAN BUDGET SAMI-JF'!D13:D100000,SUMMARY!D54,'PLAN BUDGET SAMI-JF'!J13:J100000,SUMMARY!A54&amp;"*")</f>
        <v>0</v>
      </c>
      <c r="U54" s="10">
        <f>SUMIFS('PLAN BUDGET SAMI-JF'!BG13:BG100000,'PLAN BUDGET SAMI-JF'!D13:D100000,SUMMARY!D54,'PLAN BUDGET SAMI-JF'!J13:J100000,SUMMARY!A54&amp;"*")</f>
        <v>0</v>
      </c>
      <c r="V54" s="10">
        <f>SUMIFS('PLAN BUDGET SAMI-JF'!BH13:BH100000,'PLAN BUDGET SAMI-JF'!D13:D100000,SUMMARY!D54,'PLAN BUDGET SAMI-JF'!J13:J100000,SUMMARY!A54&amp;"*")</f>
        <v>0</v>
      </c>
      <c r="W54" s="10">
        <f>SUMIFS('PLAN BUDGET SAMI-JF'!BI13:BI100000,'PLAN BUDGET SAMI-JF'!D13:D100000,SUMMARY!D54,'PLAN BUDGET SAMI-JF'!J13:J100000,SUMMARY!A54&amp;"*")</f>
        <v>0</v>
      </c>
      <c r="X54" s="10">
        <f>SUMIFS('PLAN BUDGET SAMI-JF'!BJ13:BJ100000,'PLAN BUDGET SAMI-JF'!D13:D100000,SUMMARY!D54,'PLAN BUDGET SAMI-JF'!J13:J100000,SUMMARY!A54&amp;"*")</f>
        <v>0</v>
      </c>
      <c r="Y54" s="10">
        <f>SUMIFS('PLAN BUDGET SAMI-JF'!BK13:BK100000,'PLAN BUDGET SAMI-JF'!D13:D100000,SUMMARY!D54,'PLAN BUDGET SAMI-JF'!J13:J100000,SUMMARY!A54&amp;"*")</f>
        <v>0</v>
      </c>
      <c r="Z54" s="10">
        <f>SUMIFS('PLAN BUDGET SAMI-JF'!BL13:BL100000,'PLAN BUDGET SAMI-JF'!D13:D100000,SUMMARY!D54,'PLAN BUDGET SAMI-JF'!J13:J100000,SUMMARY!A54&amp;"*")</f>
        <v>0</v>
      </c>
      <c r="AA54" s="10">
        <f>SUMIFS('PLAN BUDGET SAMI-JF'!BM13:BM100000,'PLAN BUDGET SAMI-JF'!D13:D100000,SUMMARY!D54,'PLAN BUDGET SAMI-JF'!J13:J100000,SUMMARY!A54&amp;"*")</f>
        <v>0</v>
      </c>
      <c r="AB54" s="10">
        <f>SUMIFS('PLAN BUDGET SAMI-JF'!BN13:BN100000,'PLAN BUDGET SAMI-JF'!D13:D100000,SUMMARY!D54,'PLAN BUDGET SAMI-JF'!J13:J100000,SUMMARY!A54&amp;"*")</f>
        <v>0</v>
      </c>
      <c r="AC54" s="10">
        <f t="shared" si="4"/>
        <v>1</v>
      </c>
      <c r="AD54" s="10">
        <f t="shared" si="5"/>
        <v>8.8615446938336007</v>
      </c>
      <c r="AE54" s="16"/>
      <c r="AF54" s="10">
        <v>0</v>
      </c>
      <c r="AG54" s="10">
        <v>0</v>
      </c>
      <c r="AH54" s="20">
        <f t="shared" si="6"/>
        <v>1</v>
      </c>
      <c r="AI54" s="20">
        <f t="shared" si="7"/>
        <v>1</v>
      </c>
      <c r="AJ54" s="36" t="s">
        <v>358</v>
      </c>
    </row>
    <row r="55" spans="1:36" x14ac:dyDescent="0.35">
      <c r="A55" s="7" t="s">
        <v>355</v>
      </c>
      <c r="B55" s="7"/>
      <c r="C55" s="7"/>
      <c r="D55" s="7" t="s">
        <v>409</v>
      </c>
      <c r="E55" s="10">
        <f>SUMIFS('PLAN BUDGET SAMI-JF'!AN13:AN100000,'PLAN BUDGET SAMI-JF'!D13:D100000,SUMMARY!D55,'PLAN BUDGET SAMI-JF'!J13:J100000,SUMMARY!A55&amp;"*")</f>
        <v>1</v>
      </c>
      <c r="F55" s="10">
        <f>SUMIFS('PLAN BUDGET SAMI-JF'!AO13:AO100000,'PLAN BUDGET SAMI-JF'!D13:D100000,SUMMARY!D55,'PLAN BUDGET SAMI-JF'!J13:J100000,SUMMARY!A55&amp;"*")</f>
        <v>0</v>
      </c>
      <c r="G55" s="10">
        <f>SUMIFS('PLAN BUDGET SAMI-JF'!AP13:AP100000,'PLAN BUDGET SAMI-JF'!D13:D100000,SUMMARY!D55,'PLAN BUDGET SAMI-JF'!J13:J100000,SUMMARY!A55&amp;"*")</f>
        <v>0</v>
      </c>
      <c r="H55" s="10">
        <f>SUMIFS('PLAN BUDGET SAMI-JF'!AQ13:AQ100000,'PLAN BUDGET SAMI-JF'!D13:D100000,SUMMARY!D55,'PLAN BUDGET SAMI-JF'!J13:J100000,SUMMARY!A55&amp;"*")</f>
        <v>0</v>
      </c>
      <c r="I55" s="10">
        <f>SUMIFS('PLAN BUDGET SAMI-JF'!AR13:AR100000,'PLAN BUDGET SAMI-JF'!D13:D100000,SUMMARY!D55,'PLAN BUDGET SAMI-JF'!J13:J100000,SUMMARY!A55&amp;"*")</f>
        <v>0</v>
      </c>
      <c r="J55" s="10">
        <f>SUMIFS('PLAN BUDGET SAMI-JF'!AS13:AS100000,'PLAN BUDGET SAMI-JF'!D13:D100000,SUMMARY!D55,'PLAN BUDGET SAMI-JF'!J13:J100000,SUMMARY!A55&amp;"*")</f>
        <v>0</v>
      </c>
      <c r="K55" s="10">
        <f>SUMIFS('PLAN BUDGET SAMI-JF'!AT13:AT100000,'PLAN BUDGET SAMI-JF'!D13:D100000,SUMMARY!D55,'PLAN BUDGET SAMI-JF'!J13:J100000,SUMMARY!A55&amp;"*")</f>
        <v>0</v>
      </c>
      <c r="L55" s="10">
        <f>SUMIFS('PLAN BUDGET SAMI-JF'!AU13:AU100000,'PLAN BUDGET SAMI-JF'!D13:D100000,SUMMARY!D55,'PLAN BUDGET SAMI-JF'!J13:J100000,SUMMARY!A55&amp;"*")</f>
        <v>0</v>
      </c>
      <c r="M55" s="10">
        <f>SUMIFS('PLAN BUDGET SAMI-JF'!AV13:AV100000,'PLAN BUDGET SAMI-JF'!D13:D100000,SUMMARY!D55,'PLAN BUDGET SAMI-JF'!J13:J100000,SUMMARY!A55&amp;"*")</f>
        <v>0</v>
      </c>
      <c r="N55" s="10">
        <f>SUMIFS('PLAN BUDGET SAMI-JF'!AW13:AW100000,'PLAN BUDGET SAMI-JF'!D13:D100000,SUMMARY!D55,'PLAN BUDGET SAMI-JF'!J13:J100000,SUMMARY!A55&amp;"*")</f>
        <v>0</v>
      </c>
      <c r="O55" s="10">
        <f>SUMIFS('PLAN BUDGET SAMI-JF'!AX13:AX100000,'PLAN BUDGET SAMI-JF'!D13:D100000,SUMMARY!D55,'PLAN BUDGET SAMI-JF'!J13:J100000,SUMMARY!A55&amp;"*")</f>
        <v>0</v>
      </c>
      <c r="P55" s="10">
        <f>SUMIFS('PLAN BUDGET SAMI-JF'!AY13:AY100000,'PLAN BUDGET SAMI-JF'!D13:D100000,SUMMARY!D55,'PLAN BUDGET SAMI-JF'!J13:J100000,SUMMARY!A55&amp;"*")</f>
        <v>0</v>
      </c>
      <c r="Q55" s="10">
        <f>SUMIFS('PLAN BUDGET SAMI-JF'!BC13:BC100000,'PLAN BUDGET SAMI-JF'!D13:D100000,SUMMARY!D55,'PLAN BUDGET SAMI-JF'!J13:J100000,SUMMARY!A55&amp;"*")</f>
        <v>56.017621814591003</v>
      </c>
      <c r="R55" s="10">
        <f>SUMIFS('PLAN BUDGET SAMI-JF'!BD13:BD100000,'PLAN BUDGET SAMI-JF'!D13:D100000,SUMMARY!D55,'PLAN BUDGET SAMI-JF'!J13:J100000,SUMMARY!A55&amp;"*")</f>
        <v>0</v>
      </c>
      <c r="S55" s="10">
        <f>SUMIFS('PLAN BUDGET SAMI-JF'!BE13:BE100000,'PLAN BUDGET SAMI-JF'!D13:D100000,SUMMARY!D55,'PLAN BUDGET SAMI-JF'!J13:J100000,SUMMARY!A55&amp;"*")</f>
        <v>0</v>
      </c>
      <c r="T55" s="10">
        <f>SUMIFS('PLAN BUDGET SAMI-JF'!BF13:BF100000,'PLAN BUDGET SAMI-JF'!D13:D100000,SUMMARY!D55,'PLAN BUDGET SAMI-JF'!J13:J100000,SUMMARY!A55&amp;"*")</f>
        <v>0</v>
      </c>
      <c r="U55" s="10">
        <f>SUMIFS('PLAN BUDGET SAMI-JF'!BG13:BG100000,'PLAN BUDGET SAMI-JF'!D13:D100000,SUMMARY!D55,'PLAN BUDGET SAMI-JF'!J13:J100000,SUMMARY!A55&amp;"*")</f>
        <v>0</v>
      </c>
      <c r="V55" s="10">
        <f>SUMIFS('PLAN BUDGET SAMI-JF'!BH13:BH100000,'PLAN BUDGET SAMI-JF'!D13:D100000,SUMMARY!D55,'PLAN BUDGET SAMI-JF'!J13:J100000,SUMMARY!A55&amp;"*")</f>
        <v>0</v>
      </c>
      <c r="W55" s="10">
        <f>SUMIFS('PLAN BUDGET SAMI-JF'!BI13:BI100000,'PLAN BUDGET SAMI-JF'!D13:D100000,SUMMARY!D55,'PLAN BUDGET SAMI-JF'!J13:J100000,SUMMARY!A55&amp;"*")</f>
        <v>0</v>
      </c>
      <c r="X55" s="10">
        <f>SUMIFS('PLAN BUDGET SAMI-JF'!BJ13:BJ100000,'PLAN BUDGET SAMI-JF'!D13:D100000,SUMMARY!D55,'PLAN BUDGET SAMI-JF'!J13:J100000,SUMMARY!A55&amp;"*")</f>
        <v>0</v>
      </c>
      <c r="Y55" s="10">
        <f>SUMIFS('PLAN BUDGET SAMI-JF'!BK13:BK100000,'PLAN BUDGET SAMI-JF'!D13:D100000,SUMMARY!D55,'PLAN BUDGET SAMI-JF'!J13:J100000,SUMMARY!A55&amp;"*")</f>
        <v>0</v>
      </c>
      <c r="Z55" s="10">
        <f>SUMIFS('PLAN BUDGET SAMI-JF'!BL13:BL100000,'PLAN BUDGET SAMI-JF'!D13:D100000,SUMMARY!D55,'PLAN BUDGET SAMI-JF'!J13:J100000,SUMMARY!A55&amp;"*")</f>
        <v>0</v>
      </c>
      <c r="AA55" s="10">
        <f>SUMIFS('PLAN BUDGET SAMI-JF'!BM13:BM100000,'PLAN BUDGET SAMI-JF'!D13:D100000,SUMMARY!D55,'PLAN BUDGET SAMI-JF'!J13:J100000,SUMMARY!A55&amp;"*")</f>
        <v>0</v>
      </c>
      <c r="AB55" s="10">
        <f>SUMIFS('PLAN BUDGET SAMI-JF'!BN13:BN100000,'PLAN BUDGET SAMI-JF'!D13:D100000,SUMMARY!D55,'PLAN BUDGET SAMI-JF'!J13:J100000,SUMMARY!A55&amp;"*")</f>
        <v>0</v>
      </c>
      <c r="AC55" s="10">
        <f t="shared" si="4"/>
        <v>1</v>
      </c>
      <c r="AD55" s="10">
        <f t="shared" si="5"/>
        <v>56.017621814591003</v>
      </c>
      <c r="AE55" s="16"/>
      <c r="AF55" s="10">
        <v>1</v>
      </c>
      <c r="AG55" s="10">
        <v>50.637398250478</v>
      </c>
      <c r="AH55" s="20">
        <f t="shared" si="6"/>
        <v>0</v>
      </c>
      <c r="AI55" s="20">
        <f t="shared" si="7"/>
        <v>0.10624999999999438</v>
      </c>
      <c r="AJ55" s="36" t="s">
        <v>587</v>
      </c>
    </row>
    <row r="56" spans="1:36" x14ac:dyDescent="0.35">
      <c r="A56" s="7" t="s">
        <v>355</v>
      </c>
      <c r="B56" s="7"/>
      <c r="C56" s="7"/>
      <c r="D56" s="7" t="s">
        <v>353</v>
      </c>
      <c r="E56" s="10">
        <f>SUMIFS('PLAN BUDGET SAMI-JF'!AN13:AN100000,'PLAN BUDGET SAMI-JF'!D13:D100000,SUMMARY!D56,'PLAN BUDGET SAMI-JF'!J13:J100000,SUMMARY!A56&amp;"*")</f>
        <v>2</v>
      </c>
      <c r="F56" s="10">
        <f>SUMIFS('PLAN BUDGET SAMI-JF'!AO13:AO100000,'PLAN BUDGET SAMI-JF'!D13:D100000,SUMMARY!D56,'PLAN BUDGET SAMI-JF'!J13:J100000,SUMMARY!A56&amp;"*")</f>
        <v>0</v>
      </c>
      <c r="G56" s="10">
        <f>SUMIFS('PLAN BUDGET SAMI-JF'!AP13:AP100000,'PLAN BUDGET SAMI-JF'!D13:D100000,SUMMARY!D56,'PLAN BUDGET SAMI-JF'!J13:J100000,SUMMARY!A56&amp;"*")</f>
        <v>0</v>
      </c>
      <c r="H56" s="10">
        <f>SUMIFS('PLAN BUDGET SAMI-JF'!AQ13:AQ100000,'PLAN BUDGET SAMI-JF'!D13:D100000,SUMMARY!D56,'PLAN BUDGET SAMI-JF'!J13:J100000,SUMMARY!A56&amp;"*")</f>
        <v>0</v>
      </c>
      <c r="I56" s="10">
        <f>SUMIFS('PLAN BUDGET SAMI-JF'!AR13:AR100000,'PLAN BUDGET SAMI-JF'!D13:D100000,SUMMARY!D56,'PLAN BUDGET SAMI-JF'!J13:J100000,SUMMARY!A56&amp;"*")</f>
        <v>0</v>
      </c>
      <c r="J56" s="10">
        <f>SUMIFS('PLAN BUDGET SAMI-JF'!AS13:AS100000,'PLAN BUDGET SAMI-JF'!D13:D100000,SUMMARY!D56,'PLAN BUDGET SAMI-JF'!J13:J100000,SUMMARY!A56&amp;"*")</f>
        <v>0</v>
      </c>
      <c r="K56" s="10">
        <f>SUMIFS('PLAN BUDGET SAMI-JF'!AT13:AT100000,'PLAN BUDGET SAMI-JF'!D13:D100000,SUMMARY!D56,'PLAN BUDGET SAMI-JF'!J13:J100000,SUMMARY!A56&amp;"*")</f>
        <v>0</v>
      </c>
      <c r="L56" s="10">
        <f>SUMIFS('PLAN BUDGET SAMI-JF'!AU13:AU100000,'PLAN BUDGET SAMI-JF'!D13:D100000,SUMMARY!D56,'PLAN BUDGET SAMI-JF'!J13:J100000,SUMMARY!A56&amp;"*")</f>
        <v>0</v>
      </c>
      <c r="M56" s="10">
        <f>SUMIFS('PLAN BUDGET SAMI-JF'!AV13:AV100000,'PLAN BUDGET SAMI-JF'!D13:D100000,SUMMARY!D56,'PLAN BUDGET SAMI-JF'!J13:J100000,SUMMARY!A56&amp;"*")</f>
        <v>0</v>
      </c>
      <c r="N56" s="10">
        <f>SUMIFS('PLAN BUDGET SAMI-JF'!AW13:AW100000,'PLAN BUDGET SAMI-JF'!D13:D100000,SUMMARY!D56,'PLAN BUDGET SAMI-JF'!J13:J100000,SUMMARY!A56&amp;"*")</f>
        <v>0</v>
      </c>
      <c r="O56" s="10">
        <f>SUMIFS('PLAN BUDGET SAMI-JF'!AX13:AX100000,'PLAN BUDGET SAMI-JF'!D13:D100000,SUMMARY!D56,'PLAN BUDGET SAMI-JF'!J13:J100000,SUMMARY!A56&amp;"*")</f>
        <v>0</v>
      </c>
      <c r="P56" s="10">
        <f>SUMIFS('PLAN BUDGET SAMI-JF'!AY13:AY100000,'PLAN BUDGET SAMI-JF'!D13:D100000,SUMMARY!D56,'PLAN BUDGET SAMI-JF'!J13:J100000,SUMMARY!A56&amp;"*")</f>
        <v>0</v>
      </c>
      <c r="Q56" s="10">
        <f>SUMIFS('PLAN BUDGET SAMI-JF'!BC13:BC100000,'PLAN BUDGET SAMI-JF'!D13:D100000,SUMMARY!D56,'PLAN BUDGET SAMI-JF'!J13:J100000,SUMMARY!A56&amp;"*")</f>
        <v>37.978048687857999</v>
      </c>
      <c r="R56" s="10">
        <f>SUMIFS('PLAN BUDGET SAMI-JF'!BD13:BD100000,'PLAN BUDGET SAMI-JF'!D13:D100000,SUMMARY!D56,'PLAN BUDGET SAMI-JF'!J13:J100000,SUMMARY!A56&amp;"*")</f>
        <v>0</v>
      </c>
      <c r="S56" s="10">
        <f>SUMIFS('PLAN BUDGET SAMI-JF'!BE13:BE100000,'PLAN BUDGET SAMI-JF'!D13:D100000,SUMMARY!D56,'PLAN BUDGET SAMI-JF'!J13:J100000,SUMMARY!A56&amp;"*")</f>
        <v>0</v>
      </c>
      <c r="T56" s="10">
        <f>SUMIFS('PLAN BUDGET SAMI-JF'!BF13:BF100000,'PLAN BUDGET SAMI-JF'!D13:D100000,SUMMARY!D56,'PLAN BUDGET SAMI-JF'!J13:J100000,SUMMARY!A56&amp;"*")</f>
        <v>0</v>
      </c>
      <c r="U56" s="10">
        <f>SUMIFS('PLAN BUDGET SAMI-JF'!BG13:BG100000,'PLAN BUDGET SAMI-JF'!D13:D100000,SUMMARY!D56,'PLAN BUDGET SAMI-JF'!J13:J100000,SUMMARY!A56&amp;"*")</f>
        <v>0</v>
      </c>
      <c r="V56" s="10">
        <f>SUMIFS('PLAN BUDGET SAMI-JF'!BH13:BH100000,'PLAN BUDGET SAMI-JF'!D13:D100000,SUMMARY!D56,'PLAN BUDGET SAMI-JF'!J13:J100000,SUMMARY!A56&amp;"*")</f>
        <v>0</v>
      </c>
      <c r="W56" s="10">
        <f>SUMIFS('PLAN BUDGET SAMI-JF'!BI13:BI100000,'PLAN BUDGET SAMI-JF'!D13:D100000,SUMMARY!D56,'PLAN BUDGET SAMI-JF'!J13:J100000,SUMMARY!A56&amp;"*")</f>
        <v>0</v>
      </c>
      <c r="X56" s="10">
        <f>SUMIFS('PLAN BUDGET SAMI-JF'!BJ13:BJ100000,'PLAN BUDGET SAMI-JF'!D13:D100000,SUMMARY!D56,'PLAN BUDGET SAMI-JF'!J13:J100000,SUMMARY!A56&amp;"*")</f>
        <v>0</v>
      </c>
      <c r="Y56" s="10">
        <f>SUMIFS('PLAN BUDGET SAMI-JF'!BK13:BK100000,'PLAN BUDGET SAMI-JF'!D13:D100000,SUMMARY!D56,'PLAN BUDGET SAMI-JF'!J13:J100000,SUMMARY!A56&amp;"*")</f>
        <v>0</v>
      </c>
      <c r="Z56" s="10">
        <f>SUMIFS('PLAN BUDGET SAMI-JF'!BL13:BL100000,'PLAN BUDGET SAMI-JF'!D13:D100000,SUMMARY!D56,'PLAN BUDGET SAMI-JF'!J13:J100000,SUMMARY!A56&amp;"*")</f>
        <v>0</v>
      </c>
      <c r="AA56" s="10">
        <f>SUMIFS('PLAN BUDGET SAMI-JF'!BM13:BM100000,'PLAN BUDGET SAMI-JF'!D13:D100000,SUMMARY!D56,'PLAN BUDGET SAMI-JF'!J13:J100000,SUMMARY!A56&amp;"*")</f>
        <v>0</v>
      </c>
      <c r="AB56" s="10">
        <f>SUMIFS('PLAN BUDGET SAMI-JF'!BN13:BN100000,'PLAN BUDGET SAMI-JF'!D13:D100000,SUMMARY!D56,'PLAN BUDGET SAMI-JF'!J13:J100000,SUMMARY!A56&amp;"*")</f>
        <v>0</v>
      </c>
      <c r="AC56" s="10">
        <f t="shared" si="4"/>
        <v>2</v>
      </c>
      <c r="AD56" s="10">
        <f t="shared" si="5"/>
        <v>37.978048687857999</v>
      </c>
      <c r="AE56" s="16"/>
      <c r="AF56" s="10">
        <v>0</v>
      </c>
      <c r="AG56" s="10">
        <v>0</v>
      </c>
      <c r="AH56" s="20">
        <f t="shared" si="6"/>
        <v>1</v>
      </c>
      <c r="AI56" s="20">
        <f t="shared" si="7"/>
        <v>1</v>
      </c>
      <c r="AJ56" s="36" t="s">
        <v>587</v>
      </c>
    </row>
    <row r="57" spans="1:36" x14ac:dyDescent="0.35">
      <c r="A57" s="7" t="s">
        <v>355</v>
      </c>
      <c r="B57" s="7"/>
      <c r="C57" s="7"/>
      <c r="D57" s="7" t="s">
        <v>420</v>
      </c>
      <c r="E57" s="10">
        <f>SUMIFS('PLAN BUDGET SAMI-JF'!AN13:AN100000,'PLAN BUDGET SAMI-JF'!D13:D100000,SUMMARY!D57,'PLAN BUDGET SAMI-JF'!J13:J100000,SUMMARY!A57&amp;"*")</f>
        <v>0</v>
      </c>
      <c r="F57" s="10">
        <f>SUMIFS('PLAN BUDGET SAMI-JF'!AO13:AO100000,'PLAN BUDGET SAMI-JF'!D13:D100000,SUMMARY!D57,'PLAN BUDGET SAMI-JF'!J13:J100000,SUMMARY!A57&amp;"*")</f>
        <v>4</v>
      </c>
      <c r="G57" s="10">
        <f>SUMIFS('PLAN BUDGET SAMI-JF'!AP13:AP100000,'PLAN BUDGET SAMI-JF'!D13:D100000,SUMMARY!D57,'PLAN BUDGET SAMI-JF'!J13:J100000,SUMMARY!A57&amp;"*")</f>
        <v>0</v>
      </c>
      <c r="H57" s="10">
        <f>SUMIFS('PLAN BUDGET SAMI-JF'!AQ13:AQ100000,'PLAN BUDGET SAMI-JF'!D13:D100000,SUMMARY!D57,'PLAN BUDGET SAMI-JF'!J13:J100000,SUMMARY!A57&amp;"*")</f>
        <v>0</v>
      </c>
      <c r="I57" s="10">
        <f>SUMIFS('PLAN BUDGET SAMI-JF'!AR13:AR100000,'PLAN BUDGET SAMI-JF'!D13:D100000,SUMMARY!D57,'PLAN BUDGET SAMI-JF'!J13:J100000,SUMMARY!A57&amp;"*")</f>
        <v>0</v>
      </c>
      <c r="J57" s="10">
        <f>SUMIFS('PLAN BUDGET SAMI-JF'!AS13:AS100000,'PLAN BUDGET SAMI-JF'!D13:D100000,SUMMARY!D57,'PLAN BUDGET SAMI-JF'!J13:J100000,SUMMARY!A57&amp;"*")</f>
        <v>4</v>
      </c>
      <c r="K57" s="10">
        <f>SUMIFS('PLAN BUDGET SAMI-JF'!AT13:AT100000,'PLAN BUDGET SAMI-JF'!D13:D100000,SUMMARY!D57,'PLAN BUDGET SAMI-JF'!J13:J100000,SUMMARY!A57&amp;"*")</f>
        <v>0</v>
      </c>
      <c r="L57" s="10">
        <f>SUMIFS('PLAN BUDGET SAMI-JF'!AU13:AU100000,'PLAN BUDGET SAMI-JF'!D13:D100000,SUMMARY!D57,'PLAN BUDGET SAMI-JF'!J13:J100000,SUMMARY!A57&amp;"*")</f>
        <v>0</v>
      </c>
      <c r="M57" s="10">
        <f>SUMIFS('PLAN BUDGET SAMI-JF'!AV13:AV100000,'PLAN BUDGET SAMI-JF'!D13:D100000,SUMMARY!D57,'PLAN BUDGET SAMI-JF'!J13:J100000,SUMMARY!A57&amp;"*")</f>
        <v>0</v>
      </c>
      <c r="N57" s="10">
        <f>SUMIFS('PLAN BUDGET SAMI-JF'!AW13:AW100000,'PLAN BUDGET SAMI-JF'!D13:D100000,SUMMARY!D57,'PLAN BUDGET SAMI-JF'!J13:J100000,SUMMARY!A57&amp;"*")</f>
        <v>4</v>
      </c>
      <c r="O57" s="10">
        <f>SUMIFS('PLAN BUDGET SAMI-JF'!AX13:AX100000,'PLAN BUDGET SAMI-JF'!D13:D100000,SUMMARY!D57,'PLAN BUDGET SAMI-JF'!J13:J100000,SUMMARY!A57&amp;"*")</f>
        <v>0</v>
      </c>
      <c r="P57" s="10">
        <f>SUMIFS('PLAN BUDGET SAMI-JF'!AY13:AY100000,'PLAN BUDGET SAMI-JF'!D13:D100000,SUMMARY!D57,'PLAN BUDGET SAMI-JF'!J13:J100000,SUMMARY!A57&amp;"*")</f>
        <v>0</v>
      </c>
      <c r="Q57" s="10">
        <f>SUMIFS('PLAN BUDGET SAMI-JF'!BC13:BC100000,'PLAN BUDGET SAMI-JF'!D13:D100000,SUMMARY!D57,'PLAN BUDGET SAMI-JF'!J13:J100000,SUMMARY!A57&amp;"*")</f>
        <v>0</v>
      </c>
      <c r="R57" s="10">
        <f>SUMIFS('PLAN BUDGET SAMI-JF'!BD13:BD100000,'PLAN BUDGET SAMI-JF'!D13:D100000,SUMMARY!D57,'PLAN BUDGET SAMI-JF'!J13:J100000,SUMMARY!A57&amp;"*")</f>
        <v>124.06162571367</v>
      </c>
      <c r="S57" s="10">
        <f>SUMIFS('PLAN BUDGET SAMI-JF'!BE13:BE100000,'PLAN BUDGET SAMI-JF'!D13:D100000,SUMMARY!D57,'PLAN BUDGET SAMI-JF'!J13:J100000,SUMMARY!A57&amp;"*")</f>
        <v>0</v>
      </c>
      <c r="T57" s="10">
        <f>SUMIFS('PLAN BUDGET SAMI-JF'!BF13:BF100000,'PLAN BUDGET SAMI-JF'!D13:D100000,SUMMARY!D57,'PLAN BUDGET SAMI-JF'!J13:J100000,SUMMARY!A57&amp;"*")</f>
        <v>0</v>
      </c>
      <c r="U57" s="10">
        <f>SUMIFS('PLAN BUDGET SAMI-JF'!BG13:BG100000,'PLAN BUDGET SAMI-JF'!D13:D100000,SUMMARY!D57,'PLAN BUDGET SAMI-JF'!J13:J100000,SUMMARY!A57&amp;"*")</f>
        <v>0</v>
      </c>
      <c r="V57" s="10">
        <f>SUMIFS('PLAN BUDGET SAMI-JF'!BH13:BH100000,'PLAN BUDGET SAMI-JF'!D13:D100000,SUMMARY!D57,'PLAN BUDGET SAMI-JF'!J13:J100000,SUMMARY!A57&amp;"*")</f>
        <v>124.06162571367</v>
      </c>
      <c r="W57" s="10">
        <f>SUMIFS('PLAN BUDGET SAMI-JF'!BI13:BI100000,'PLAN BUDGET SAMI-JF'!D13:D100000,SUMMARY!D57,'PLAN BUDGET SAMI-JF'!J13:J100000,SUMMARY!A57&amp;"*")</f>
        <v>0</v>
      </c>
      <c r="X57" s="10">
        <f>SUMIFS('PLAN BUDGET SAMI-JF'!BJ13:BJ100000,'PLAN BUDGET SAMI-JF'!D13:D100000,SUMMARY!D57,'PLAN BUDGET SAMI-JF'!J13:J100000,SUMMARY!A57&amp;"*")</f>
        <v>0</v>
      </c>
      <c r="Y57" s="10">
        <f>SUMIFS('PLAN BUDGET SAMI-JF'!BK13:BK100000,'PLAN BUDGET SAMI-JF'!D13:D100000,SUMMARY!D57,'PLAN BUDGET SAMI-JF'!J13:J100000,SUMMARY!A57&amp;"*")</f>
        <v>0</v>
      </c>
      <c r="Z57" s="10">
        <f>SUMIFS('PLAN BUDGET SAMI-JF'!BL13:BL100000,'PLAN BUDGET SAMI-JF'!D13:D100000,SUMMARY!D57,'PLAN BUDGET SAMI-JF'!J13:J100000,SUMMARY!A57&amp;"*")</f>
        <v>124.06162571367</v>
      </c>
      <c r="AA57" s="10">
        <f>SUMIFS('PLAN BUDGET SAMI-JF'!BM13:BM100000,'PLAN BUDGET SAMI-JF'!D13:D100000,SUMMARY!D57,'PLAN BUDGET SAMI-JF'!J13:J100000,SUMMARY!A57&amp;"*")</f>
        <v>0</v>
      </c>
      <c r="AB57" s="10">
        <f>SUMIFS('PLAN BUDGET SAMI-JF'!BN13:BN100000,'PLAN BUDGET SAMI-JF'!D13:D100000,SUMMARY!D57,'PLAN BUDGET SAMI-JF'!J13:J100000,SUMMARY!A57&amp;"*")</f>
        <v>0</v>
      </c>
      <c r="AC57" s="10">
        <f t="shared" si="4"/>
        <v>12</v>
      </c>
      <c r="AD57" s="10">
        <f t="shared" si="5"/>
        <v>372.18487714101002</v>
      </c>
      <c r="AE57" s="16"/>
      <c r="AF57" s="10">
        <v>4</v>
      </c>
      <c r="AG57" s="10">
        <v>124.06162571367</v>
      </c>
      <c r="AH57" s="20">
        <f t="shared" si="6"/>
        <v>2</v>
      </c>
      <c r="AI57" s="20">
        <f t="shared" si="7"/>
        <v>2.0000000000000004</v>
      </c>
      <c r="AJ57" s="36" t="s">
        <v>587</v>
      </c>
    </row>
    <row r="58" spans="1:36" x14ac:dyDescent="0.35">
      <c r="A58" s="7" t="s">
        <v>355</v>
      </c>
      <c r="B58" s="7"/>
      <c r="C58" s="7"/>
      <c r="D58" s="7" t="s">
        <v>380</v>
      </c>
      <c r="E58" s="10">
        <f>SUMIFS('PLAN BUDGET SAMI-JF'!AN13:AN100000,'PLAN BUDGET SAMI-JF'!D13:D100000,SUMMARY!D58,'PLAN BUDGET SAMI-JF'!J13:J100000,SUMMARY!A58&amp;"*")</f>
        <v>5</v>
      </c>
      <c r="F58" s="10">
        <f>SUMIFS('PLAN BUDGET SAMI-JF'!AO13:AO100000,'PLAN BUDGET SAMI-JF'!D13:D100000,SUMMARY!D58,'PLAN BUDGET SAMI-JF'!J13:J100000,SUMMARY!A58&amp;"*")</f>
        <v>0</v>
      </c>
      <c r="G58" s="10">
        <f>SUMIFS('PLAN BUDGET SAMI-JF'!AP13:AP100000,'PLAN BUDGET SAMI-JF'!D13:D100000,SUMMARY!D58,'PLAN BUDGET SAMI-JF'!J13:J100000,SUMMARY!A58&amp;"*")</f>
        <v>0</v>
      </c>
      <c r="H58" s="10">
        <f>SUMIFS('PLAN BUDGET SAMI-JF'!AQ13:AQ100000,'PLAN BUDGET SAMI-JF'!D13:D100000,SUMMARY!D58,'PLAN BUDGET SAMI-JF'!J13:J100000,SUMMARY!A58&amp;"*")</f>
        <v>0</v>
      </c>
      <c r="I58" s="10">
        <f>SUMIFS('PLAN BUDGET SAMI-JF'!AR13:AR100000,'PLAN BUDGET SAMI-JF'!D13:D100000,SUMMARY!D58,'PLAN BUDGET SAMI-JF'!J13:J100000,SUMMARY!A58&amp;"*")</f>
        <v>0</v>
      </c>
      <c r="J58" s="10">
        <f>SUMIFS('PLAN BUDGET SAMI-JF'!AS13:AS100000,'PLAN BUDGET SAMI-JF'!D13:D100000,SUMMARY!D58,'PLAN BUDGET SAMI-JF'!J13:J100000,SUMMARY!A58&amp;"*")</f>
        <v>0</v>
      </c>
      <c r="K58" s="10">
        <f>SUMIFS('PLAN BUDGET SAMI-JF'!AT13:AT100000,'PLAN BUDGET SAMI-JF'!D13:D100000,SUMMARY!D58,'PLAN BUDGET SAMI-JF'!J13:J100000,SUMMARY!A58&amp;"*")</f>
        <v>0</v>
      </c>
      <c r="L58" s="10">
        <f>SUMIFS('PLAN BUDGET SAMI-JF'!AU13:AU100000,'PLAN BUDGET SAMI-JF'!D13:D100000,SUMMARY!D58,'PLAN BUDGET SAMI-JF'!J13:J100000,SUMMARY!A58&amp;"*")</f>
        <v>0</v>
      </c>
      <c r="M58" s="10">
        <f>SUMIFS('PLAN BUDGET SAMI-JF'!AV13:AV100000,'PLAN BUDGET SAMI-JF'!D13:D100000,SUMMARY!D58,'PLAN BUDGET SAMI-JF'!J13:J100000,SUMMARY!A58&amp;"*")</f>
        <v>0</v>
      </c>
      <c r="N58" s="10">
        <f>SUMIFS('PLAN BUDGET SAMI-JF'!AW13:AW100000,'PLAN BUDGET SAMI-JF'!D13:D100000,SUMMARY!D58,'PLAN BUDGET SAMI-JF'!J13:J100000,SUMMARY!A58&amp;"*")</f>
        <v>0</v>
      </c>
      <c r="O58" s="10">
        <f>SUMIFS('PLAN BUDGET SAMI-JF'!AX13:AX100000,'PLAN BUDGET SAMI-JF'!D13:D100000,SUMMARY!D58,'PLAN BUDGET SAMI-JF'!J13:J100000,SUMMARY!A58&amp;"*")</f>
        <v>0</v>
      </c>
      <c r="P58" s="10">
        <f>SUMIFS('PLAN BUDGET SAMI-JF'!AY13:AY100000,'PLAN BUDGET SAMI-JF'!D13:D100000,SUMMARY!D58,'PLAN BUDGET SAMI-JF'!J13:J100000,SUMMARY!A58&amp;"*")</f>
        <v>0</v>
      </c>
      <c r="Q58" s="10">
        <f>SUMIFS('PLAN BUDGET SAMI-JF'!BC13:BC100000,'PLAN BUDGET SAMI-JF'!D13:D100000,SUMMARY!D58,'PLAN BUDGET SAMI-JF'!J13:J100000,SUMMARY!A58&amp;"*")</f>
        <v>520.61575076272356</v>
      </c>
      <c r="R58" s="10">
        <f>SUMIFS('PLAN BUDGET SAMI-JF'!BD13:BD100000,'PLAN BUDGET SAMI-JF'!D13:D100000,SUMMARY!D58,'PLAN BUDGET SAMI-JF'!J13:J100000,SUMMARY!A58&amp;"*")</f>
        <v>0</v>
      </c>
      <c r="S58" s="10">
        <f>SUMIFS('PLAN BUDGET SAMI-JF'!BE13:BE100000,'PLAN BUDGET SAMI-JF'!D13:D100000,SUMMARY!D58,'PLAN BUDGET SAMI-JF'!J13:J100000,SUMMARY!A58&amp;"*")</f>
        <v>0</v>
      </c>
      <c r="T58" s="10">
        <f>SUMIFS('PLAN BUDGET SAMI-JF'!BF13:BF100000,'PLAN BUDGET SAMI-JF'!D13:D100000,SUMMARY!D58,'PLAN BUDGET SAMI-JF'!J13:J100000,SUMMARY!A58&amp;"*")</f>
        <v>0</v>
      </c>
      <c r="U58" s="10">
        <f>SUMIFS('PLAN BUDGET SAMI-JF'!BG13:BG100000,'PLAN BUDGET SAMI-JF'!D13:D100000,SUMMARY!D58,'PLAN BUDGET SAMI-JF'!J13:J100000,SUMMARY!A58&amp;"*")</f>
        <v>0</v>
      </c>
      <c r="V58" s="10">
        <f>SUMIFS('PLAN BUDGET SAMI-JF'!BH13:BH100000,'PLAN BUDGET SAMI-JF'!D13:D100000,SUMMARY!D58,'PLAN BUDGET SAMI-JF'!J13:J100000,SUMMARY!A58&amp;"*")</f>
        <v>0</v>
      </c>
      <c r="W58" s="10">
        <f>SUMIFS('PLAN BUDGET SAMI-JF'!BI13:BI100000,'PLAN BUDGET SAMI-JF'!D13:D100000,SUMMARY!D58,'PLAN BUDGET SAMI-JF'!J13:J100000,SUMMARY!A58&amp;"*")</f>
        <v>0</v>
      </c>
      <c r="X58" s="10">
        <f>SUMIFS('PLAN BUDGET SAMI-JF'!BJ13:BJ100000,'PLAN BUDGET SAMI-JF'!D13:D100000,SUMMARY!D58,'PLAN BUDGET SAMI-JF'!J13:J100000,SUMMARY!A58&amp;"*")</f>
        <v>0</v>
      </c>
      <c r="Y58" s="10">
        <f>SUMIFS('PLAN BUDGET SAMI-JF'!BK13:BK100000,'PLAN BUDGET SAMI-JF'!D13:D100000,SUMMARY!D58,'PLAN BUDGET SAMI-JF'!J13:J100000,SUMMARY!A58&amp;"*")</f>
        <v>0</v>
      </c>
      <c r="Z58" s="10">
        <f>SUMIFS('PLAN BUDGET SAMI-JF'!BL13:BL100000,'PLAN BUDGET SAMI-JF'!D13:D100000,SUMMARY!D58,'PLAN BUDGET SAMI-JF'!J13:J100000,SUMMARY!A58&amp;"*")</f>
        <v>0</v>
      </c>
      <c r="AA58" s="10">
        <f>SUMIFS('PLAN BUDGET SAMI-JF'!BM13:BM100000,'PLAN BUDGET SAMI-JF'!D13:D100000,SUMMARY!D58,'PLAN BUDGET SAMI-JF'!J13:J100000,SUMMARY!A58&amp;"*")</f>
        <v>0</v>
      </c>
      <c r="AB58" s="10">
        <f>SUMIFS('PLAN BUDGET SAMI-JF'!BN13:BN100000,'PLAN BUDGET SAMI-JF'!D13:D100000,SUMMARY!D58,'PLAN BUDGET SAMI-JF'!J13:J100000,SUMMARY!A58&amp;"*")</f>
        <v>0</v>
      </c>
      <c r="AC58" s="10">
        <f t="shared" si="4"/>
        <v>5</v>
      </c>
      <c r="AD58" s="10">
        <f t="shared" si="5"/>
        <v>520.61575076272356</v>
      </c>
      <c r="AE58" s="16"/>
      <c r="AF58" s="10">
        <v>2</v>
      </c>
      <c r="AG58" s="10">
        <v>1170.9898345423001</v>
      </c>
      <c r="AH58" s="20">
        <f t="shared" si="6"/>
        <v>1.5</v>
      </c>
      <c r="AI58" s="20">
        <f t="shared" si="7"/>
        <v>-0.55540540540540684</v>
      </c>
      <c r="AJ58" s="36"/>
    </row>
    <row r="59" spans="1:36" x14ac:dyDescent="0.35">
      <c r="A59" s="7" t="s">
        <v>491</v>
      </c>
      <c r="B59" s="7"/>
      <c r="C59" s="7"/>
      <c r="D59" s="7" t="s">
        <v>158</v>
      </c>
      <c r="E59" s="10">
        <f>SUMIFS('PLAN BUDGET SAMI-JF'!AN13:AN100000,'PLAN BUDGET SAMI-JF'!D13:D100000,SUMMARY!D59,'PLAN BUDGET SAMI-JF'!J13:J100000,SUMMARY!A59&amp;"*")</f>
        <v>0</v>
      </c>
      <c r="F59" s="10">
        <f>SUMIFS('PLAN BUDGET SAMI-JF'!AO13:AO100000,'PLAN BUDGET SAMI-JF'!D13:D100000,SUMMARY!D59,'PLAN BUDGET SAMI-JF'!J13:J100000,SUMMARY!A59&amp;"*")</f>
        <v>6</v>
      </c>
      <c r="G59" s="10">
        <f>SUMIFS('PLAN BUDGET SAMI-JF'!AP13:AP100000,'PLAN BUDGET SAMI-JF'!D13:D100000,SUMMARY!D59,'PLAN BUDGET SAMI-JF'!J13:J100000,SUMMARY!A59&amp;"*")</f>
        <v>0</v>
      </c>
      <c r="H59" s="10">
        <f>SUMIFS('PLAN BUDGET SAMI-JF'!AQ13:AQ100000,'PLAN BUDGET SAMI-JF'!D13:D100000,SUMMARY!D59,'PLAN BUDGET SAMI-JF'!J13:J100000,SUMMARY!A59&amp;"*")</f>
        <v>0</v>
      </c>
      <c r="I59" s="10">
        <f>SUMIFS('PLAN BUDGET SAMI-JF'!AR13:AR100000,'PLAN BUDGET SAMI-JF'!D13:D100000,SUMMARY!D59,'PLAN BUDGET SAMI-JF'!J13:J100000,SUMMARY!A59&amp;"*")</f>
        <v>0</v>
      </c>
      <c r="J59" s="10">
        <f>SUMIFS('PLAN BUDGET SAMI-JF'!AS13:AS100000,'PLAN BUDGET SAMI-JF'!D13:D100000,SUMMARY!D59,'PLAN BUDGET SAMI-JF'!J13:J100000,SUMMARY!A59&amp;"*")</f>
        <v>0</v>
      </c>
      <c r="K59" s="10">
        <f>SUMIFS('PLAN BUDGET SAMI-JF'!AT13:AT100000,'PLAN BUDGET SAMI-JF'!D13:D100000,SUMMARY!D59,'PLAN BUDGET SAMI-JF'!J13:J100000,SUMMARY!A59&amp;"*")</f>
        <v>0</v>
      </c>
      <c r="L59" s="10">
        <f>SUMIFS('PLAN BUDGET SAMI-JF'!AU13:AU100000,'PLAN BUDGET SAMI-JF'!D13:D100000,SUMMARY!D59,'PLAN BUDGET SAMI-JF'!J13:J100000,SUMMARY!A59&amp;"*")</f>
        <v>0</v>
      </c>
      <c r="M59" s="10">
        <f>SUMIFS('PLAN BUDGET SAMI-JF'!AV13:AV100000,'PLAN BUDGET SAMI-JF'!D13:D100000,SUMMARY!D59,'PLAN BUDGET SAMI-JF'!J13:J100000,SUMMARY!A59&amp;"*")</f>
        <v>0</v>
      </c>
      <c r="N59" s="10">
        <f>SUMIFS('PLAN BUDGET SAMI-JF'!AW13:AW100000,'PLAN BUDGET SAMI-JF'!D13:D100000,SUMMARY!D59,'PLAN BUDGET SAMI-JF'!J13:J100000,SUMMARY!A59&amp;"*")</f>
        <v>0</v>
      </c>
      <c r="O59" s="10">
        <f>SUMIFS('PLAN BUDGET SAMI-JF'!AX13:AX100000,'PLAN BUDGET SAMI-JF'!D13:D100000,SUMMARY!D59,'PLAN BUDGET SAMI-JF'!J13:J100000,SUMMARY!A59&amp;"*")</f>
        <v>0</v>
      </c>
      <c r="P59" s="10">
        <f>SUMIFS('PLAN BUDGET SAMI-JF'!AY13:AY100000,'PLAN BUDGET SAMI-JF'!D13:D100000,SUMMARY!D59,'PLAN BUDGET SAMI-JF'!J13:J100000,SUMMARY!A59&amp;"*")</f>
        <v>0</v>
      </c>
      <c r="Q59" s="10">
        <f>SUMIFS('PLAN BUDGET SAMI-JF'!BC13:BC100000,'PLAN BUDGET SAMI-JF'!D13:D100000,SUMMARY!D59,'PLAN BUDGET SAMI-JF'!J13:J100000,SUMMARY!A59&amp;"*")</f>
        <v>0</v>
      </c>
      <c r="R59" s="10">
        <f>SUMIFS('PLAN BUDGET SAMI-JF'!BD13:BD100000,'PLAN BUDGET SAMI-JF'!D13:D100000,SUMMARY!D59,'PLAN BUDGET SAMI-JF'!J13:J100000,SUMMARY!A59&amp;"*")</f>
        <v>8.7588773688807002</v>
      </c>
      <c r="S59" s="10">
        <f>SUMIFS('PLAN BUDGET SAMI-JF'!BE13:BE100000,'PLAN BUDGET SAMI-JF'!D13:D100000,SUMMARY!D59,'PLAN BUDGET SAMI-JF'!J13:J100000,SUMMARY!A59&amp;"*")</f>
        <v>0</v>
      </c>
      <c r="T59" s="10">
        <f>SUMIFS('PLAN BUDGET SAMI-JF'!BF13:BF100000,'PLAN BUDGET SAMI-JF'!D13:D100000,SUMMARY!D59,'PLAN BUDGET SAMI-JF'!J13:J100000,SUMMARY!A59&amp;"*")</f>
        <v>0</v>
      </c>
      <c r="U59" s="10">
        <f>SUMIFS('PLAN BUDGET SAMI-JF'!BG13:BG100000,'PLAN BUDGET SAMI-JF'!D13:D100000,SUMMARY!D59,'PLAN BUDGET SAMI-JF'!J13:J100000,SUMMARY!A59&amp;"*")</f>
        <v>0</v>
      </c>
      <c r="V59" s="10">
        <f>SUMIFS('PLAN BUDGET SAMI-JF'!BH13:BH100000,'PLAN BUDGET SAMI-JF'!D13:D100000,SUMMARY!D59,'PLAN BUDGET SAMI-JF'!J13:J100000,SUMMARY!A59&amp;"*")</f>
        <v>0</v>
      </c>
      <c r="W59" s="10">
        <f>SUMIFS('PLAN BUDGET SAMI-JF'!BI13:BI100000,'PLAN BUDGET SAMI-JF'!D13:D100000,SUMMARY!D59,'PLAN BUDGET SAMI-JF'!J13:J100000,SUMMARY!A59&amp;"*")</f>
        <v>0</v>
      </c>
      <c r="X59" s="10">
        <f>SUMIFS('PLAN BUDGET SAMI-JF'!BJ13:BJ100000,'PLAN BUDGET SAMI-JF'!D13:D100000,SUMMARY!D59,'PLAN BUDGET SAMI-JF'!J13:J100000,SUMMARY!A59&amp;"*")</f>
        <v>0</v>
      </c>
      <c r="Y59" s="10">
        <f>SUMIFS('PLAN BUDGET SAMI-JF'!BK13:BK100000,'PLAN BUDGET SAMI-JF'!D13:D100000,SUMMARY!D59,'PLAN BUDGET SAMI-JF'!J13:J100000,SUMMARY!A59&amp;"*")</f>
        <v>0</v>
      </c>
      <c r="Z59" s="10">
        <f>SUMIFS('PLAN BUDGET SAMI-JF'!BL13:BL100000,'PLAN BUDGET SAMI-JF'!D13:D100000,SUMMARY!D59,'PLAN BUDGET SAMI-JF'!J13:J100000,SUMMARY!A59&amp;"*")</f>
        <v>0</v>
      </c>
      <c r="AA59" s="10">
        <f>SUMIFS('PLAN BUDGET SAMI-JF'!BM13:BM100000,'PLAN BUDGET SAMI-JF'!D13:D100000,SUMMARY!D59,'PLAN BUDGET SAMI-JF'!J13:J100000,SUMMARY!A59&amp;"*")</f>
        <v>0</v>
      </c>
      <c r="AB59" s="10">
        <f>SUMIFS('PLAN BUDGET SAMI-JF'!BN13:BN100000,'PLAN BUDGET SAMI-JF'!D13:D100000,SUMMARY!D59,'PLAN BUDGET SAMI-JF'!J13:J100000,SUMMARY!A59&amp;"*")</f>
        <v>0</v>
      </c>
      <c r="AC59" s="10">
        <f t="shared" si="4"/>
        <v>6</v>
      </c>
      <c r="AD59" s="10">
        <f t="shared" si="5"/>
        <v>8.7588773688807002</v>
      </c>
      <c r="AE59" s="16"/>
      <c r="AF59" s="10">
        <v>14</v>
      </c>
      <c r="AG59" s="10">
        <v>24.685731647108</v>
      </c>
      <c r="AH59" s="20">
        <f t="shared" si="6"/>
        <v>-0.5714285714285714</v>
      </c>
      <c r="AI59" s="20">
        <f t="shared" si="7"/>
        <v>-0.64518461538461935</v>
      </c>
      <c r="AJ59" s="7"/>
    </row>
    <row r="60" spans="1:36" x14ac:dyDescent="0.35">
      <c r="A60" s="7" t="s">
        <v>491</v>
      </c>
      <c r="B60" s="7"/>
      <c r="C60" s="7"/>
      <c r="D60" s="7" t="s">
        <v>465</v>
      </c>
      <c r="E60" s="10">
        <f>SUMIFS('PLAN BUDGET SAMI-JF'!AN13:AN100000,'PLAN BUDGET SAMI-JF'!D13:D100000,SUMMARY!D60,'PLAN BUDGET SAMI-JF'!J13:J100000,SUMMARY!A60&amp;"*")</f>
        <v>0</v>
      </c>
      <c r="F60" s="10">
        <f>SUMIFS('PLAN BUDGET SAMI-JF'!AO13:AO100000,'PLAN BUDGET SAMI-JF'!D13:D100000,SUMMARY!D60,'PLAN BUDGET SAMI-JF'!J13:J100000,SUMMARY!A60&amp;"*")</f>
        <v>3</v>
      </c>
      <c r="G60" s="10">
        <f>SUMIFS('PLAN BUDGET SAMI-JF'!AP13:AP100000,'PLAN BUDGET SAMI-JF'!D13:D100000,SUMMARY!D60,'PLAN BUDGET SAMI-JF'!J13:J100000,SUMMARY!A60&amp;"*")</f>
        <v>0</v>
      </c>
      <c r="H60" s="10">
        <f>SUMIFS('PLAN BUDGET SAMI-JF'!AQ13:AQ100000,'PLAN BUDGET SAMI-JF'!D13:D100000,SUMMARY!D60,'PLAN BUDGET SAMI-JF'!J13:J100000,SUMMARY!A60&amp;"*")</f>
        <v>0</v>
      </c>
      <c r="I60" s="10">
        <f>SUMIFS('PLAN BUDGET SAMI-JF'!AR13:AR100000,'PLAN BUDGET SAMI-JF'!D13:D100000,SUMMARY!D60,'PLAN BUDGET SAMI-JF'!J13:J100000,SUMMARY!A60&amp;"*")</f>
        <v>0</v>
      </c>
      <c r="J60" s="10">
        <f>SUMIFS('PLAN BUDGET SAMI-JF'!AS13:AS100000,'PLAN BUDGET SAMI-JF'!D13:D100000,SUMMARY!D60,'PLAN BUDGET SAMI-JF'!J13:J100000,SUMMARY!A60&amp;"*")</f>
        <v>0</v>
      </c>
      <c r="K60" s="10">
        <f>SUMIFS('PLAN BUDGET SAMI-JF'!AT13:AT100000,'PLAN BUDGET SAMI-JF'!D13:D100000,SUMMARY!D60,'PLAN BUDGET SAMI-JF'!J13:J100000,SUMMARY!A60&amp;"*")</f>
        <v>0</v>
      </c>
      <c r="L60" s="10">
        <f>SUMIFS('PLAN BUDGET SAMI-JF'!AU13:AU100000,'PLAN BUDGET SAMI-JF'!D13:D100000,SUMMARY!D60,'PLAN BUDGET SAMI-JF'!J13:J100000,SUMMARY!A60&amp;"*")</f>
        <v>0</v>
      </c>
      <c r="M60" s="10">
        <f>SUMIFS('PLAN BUDGET SAMI-JF'!AV13:AV100000,'PLAN BUDGET SAMI-JF'!D13:D100000,SUMMARY!D60,'PLAN BUDGET SAMI-JF'!J13:J100000,SUMMARY!A60&amp;"*")</f>
        <v>0</v>
      </c>
      <c r="N60" s="10">
        <f>SUMIFS('PLAN BUDGET SAMI-JF'!AW13:AW100000,'PLAN BUDGET SAMI-JF'!D13:D100000,SUMMARY!D60,'PLAN BUDGET SAMI-JF'!J13:J100000,SUMMARY!A60&amp;"*")</f>
        <v>0</v>
      </c>
      <c r="O60" s="10">
        <f>SUMIFS('PLAN BUDGET SAMI-JF'!AX13:AX100000,'PLAN BUDGET SAMI-JF'!D13:D100000,SUMMARY!D60,'PLAN BUDGET SAMI-JF'!J13:J100000,SUMMARY!A60&amp;"*")</f>
        <v>0</v>
      </c>
      <c r="P60" s="10">
        <f>SUMIFS('PLAN BUDGET SAMI-JF'!AY13:AY100000,'PLAN BUDGET SAMI-JF'!D13:D100000,SUMMARY!D60,'PLAN BUDGET SAMI-JF'!J13:J100000,SUMMARY!A60&amp;"*")</f>
        <v>0</v>
      </c>
      <c r="Q60" s="10">
        <f>SUMIFS('PLAN BUDGET SAMI-JF'!BC13:BC100000,'PLAN BUDGET SAMI-JF'!D13:D100000,SUMMARY!D60,'PLAN BUDGET SAMI-JF'!J13:J100000,SUMMARY!A60&amp;"*")</f>
        <v>0</v>
      </c>
      <c r="R60" s="10">
        <f>SUMIFS('PLAN BUDGET SAMI-JF'!BD13:BD100000,'PLAN BUDGET SAMI-JF'!D13:D100000,SUMMARY!D60,'PLAN BUDGET SAMI-JF'!J13:J100000,SUMMARY!A60&amp;"*")</f>
        <v>22.1317078728495</v>
      </c>
      <c r="S60" s="10">
        <f>SUMIFS('PLAN BUDGET SAMI-JF'!BE13:BE100000,'PLAN BUDGET SAMI-JF'!D13:D100000,SUMMARY!D60,'PLAN BUDGET SAMI-JF'!J13:J100000,SUMMARY!A60&amp;"*")</f>
        <v>0</v>
      </c>
      <c r="T60" s="10">
        <f>SUMIFS('PLAN BUDGET SAMI-JF'!BF13:BF100000,'PLAN BUDGET SAMI-JF'!D13:D100000,SUMMARY!D60,'PLAN BUDGET SAMI-JF'!J13:J100000,SUMMARY!A60&amp;"*")</f>
        <v>0</v>
      </c>
      <c r="U60" s="10">
        <f>SUMIFS('PLAN BUDGET SAMI-JF'!BG13:BG100000,'PLAN BUDGET SAMI-JF'!D13:D100000,SUMMARY!D60,'PLAN BUDGET SAMI-JF'!J13:J100000,SUMMARY!A60&amp;"*")</f>
        <v>0</v>
      </c>
      <c r="V60" s="10">
        <f>SUMIFS('PLAN BUDGET SAMI-JF'!BH13:BH100000,'PLAN BUDGET SAMI-JF'!D13:D100000,SUMMARY!D60,'PLAN BUDGET SAMI-JF'!J13:J100000,SUMMARY!A60&amp;"*")</f>
        <v>0</v>
      </c>
      <c r="W60" s="10">
        <f>SUMIFS('PLAN BUDGET SAMI-JF'!BI13:BI100000,'PLAN BUDGET SAMI-JF'!D13:D100000,SUMMARY!D60,'PLAN BUDGET SAMI-JF'!J13:J100000,SUMMARY!A60&amp;"*")</f>
        <v>0</v>
      </c>
      <c r="X60" s="10">
        <f>SUMIFS('PLAN BUDGET SAMI-JF'!BJ13:BJ100000,'PLAN BUDGET SAMI-JF'!D13:D100000,SUMMARY!D60,'PLAN BUDGET SAMI-JF'!J13:J100000,SUMMARY!A60&amp;"*")</f>
        <v>0</v>
      </c>
      <c r="Y60" s="10">
        <f>SUMIFS('PLAN BUDGET SAMI-JF'!BK13:BK100000,'PLAN BUDGET SAMI-JF'!D13:D100000,SUMMARY!D60,'PLAN BUDGET SAMI-JF'!J13:J100000,SUMMARY!A60&amp;"*")</f>
        <v>0</v>
      </c>
      <c r="Z60" s="10">
        <f>SUMIFS('PLAN BUDGET SAMI-JF'!BL13:BL100000,'PLAN BUDGET SAMI-JF'!D13:D100000,SUMMARY!D60,'PLAN BUDGET SAMI-JF'!J13:J100000,SUMMARY!A60&amp;"*")</f>
        <v>0</v>
      </c>
      <c r="AA60" s="10">
        <f>SUMIFS('PLAN BUDGET SAMI-JF'!BM13:BM100000,'PLAN BUDGET SAMI-JF'!D13:D100000,SUMMARY!D60,'PLAN BUDGET SAMI-JF'!J13:J100000,SUMMARY!A60&amp;"*")</f>
        <v>0</v>
      </c>
      <c r="AB60" s="10">
        <f>SUMIFS('PLAN BUDGET SAMI-JF'!BN13:BN100000,'PLAN BUDGET SAMI-JF'!D13:D100000,SUMMARY!D60,'PLAN BUDGET SAMI-JF'!J13:J100000,SUMMARY!A60&amp;"*")</f>
        <v>0</v>
      </c>
      <c r="AC60" s="10">
        <f t="shared" si="4"/>
        <v>3</v>
      </c>
      <c r="AD60" s="10">
        <f t="shared" si="5"/>
        <v>22.1317078728495</v>
      </c>
      <c r="AE60" s="16"/>
      <c r="AF60" s="10">
        <v>17</v>
      </c>
      <c r="AG60" s="10">
        <v>68.676971377211004</v>
      </c>
      <c r="AH60" s="20">
        <f t="shared" si="6"/>
        <v>-0.82352941176470584</v>
      </c>
      <c r="AI60" s="20">
        <f t="shared" si="7"/>
        <v>-0.67774193548387252</v>
      </c>
      <c r="AJ60" s="7"/>
    </row>
    <row r="61" spans="1:36" x14ac:dyDescent="0.35">
      <c r="A61" s="7" t="s">
        <v>491</v>
      </c>
      <c r="B61" s="7"/>
      <c r="C61" s="7"/>
      <c r="D61" s="7" t="s">
        <v>282</v>
      </c>
      <c r="E61" s="10">
        <f>SUMIFS('PLAN BUDGET SAMI-JF'!AN13:AN100000,'PLAN BUDGET SAMI-JF'!D13:D100000,SUMMARY!D61,'PLAN BUDGET SAMI-JF'!J13:J100000,SUMMARY!A61&amp;"*")</f>
        <v>0</v>
      </c>
      <c r="F61" s="10">
        <f>SUMIFS('PLAN BUDGET SAMI-JF'!AO13:AO100000,'PLAN BUDGET SAMI-JF'!D13:D100000,SUMMARY!D61,'PLAN BUDGET SAMI-JF'!J13:J100000,SUMMARY!A61&amp;"*")</f>
        <v>108</v>
      </c>
      <c r="G61" s="10">
        <f>SUMIFS('PLAN BUDGET SAMI-JF'!AP13:AP100000,'PLAN BUDGET SAMI-JF'!D13:D100000,SUMMARY!D61,'PLAN BUDGET SAMI-JF'!J13:J100000,SUMMARY!A61&amp;"*")</f>
        <v>0</v>
      </c>
      <c r="H61" s="10">
        <f>SUMIFS('PLAN BUDGET SAMI-JF'!AQ13:AQ100000,'PLAN BUDGET SAMI-JF'!D13:D100000,SUMMARY!D61,'PLAN BUDGET SAMI-JF'!J13:J100000,SUMMARY!A61&amp;"*")</f>
        <v>0</v>
      </c>
      <c r="I61" s="10">
        <f>SUMIFS('PLAN BUDGET SAMI-JF'!AR13:AR100000,'PLAN BUDGET SAMI-JF'!D13:D100000,SUMMARY!D61,'PLAN BUDGET SAMI-JF'!J13:J100000,SUMMARY!A61&amp;"*")</f>
        <v>0</v>
      </c>
      <c r="J61" s="10">
        <f>SUMIFS('PLAN BUDGET SAMI-JF'!AS13:AS100000,'PLAN BUDGET SAMI-JF'!D13:D100000,SUMMARY!D61,'PLAN BUDGET SAMI-JF'!J13:J100000,SUMMARY!A61&amp;"*")</f>
        <v>0</v>
      </c>
      <c r="K61" s="10">
        <f>SUMIFS('PLAN BUDGET SAMI-JF'!AT13:AT100000,'PLAN BUDGET SAMI-JF'!D13:D100000,SUMMARY!D61,'PLAN BUDGET SAMI-JF'!J13:J100000,SUMMARY!A61&amp;"*")</f>
        <v>0</v>
      </c>
      <c r="L61" s="10">
        <f>SUMIFS('PLAN BUDGET SAMI-JF'!AU13:AU100000,'PLAN BUDGET SAMI-JF'!D13:D100000,SUMMARY!D61,'PLAN BUDGET SAMI-JF'!J13:J100000,SUMMARY!A61&amp;"*")</f>
        <v>0</v>
      </c>
      <c r="M61" s="10">
        <f>SUMIFS('PLAN BUDGET SAMI-JF'!AV13:AV100000,'PLAN BUDGET SAMI-JF'!D13:D100000,SUMMARY!D61,'PLAN BUDGET SAMI-JF'!J13:J100000,SUMMARY!A61&amp;"*")</f>
        <v>0</v>
      </c>
      <c r="N61" s="10">
        <f>SUMIFS('PLAN BUDGET SAMI-JF'!AW13:AW100000,'PLAN BUDGET SAMI-JF'!D13:D100000,SUMMARY!D61,'PLAN BUDGET SAMI-JF'!J13:J100000,SUMMARY!A61&amp;"*")</f>
        <v>0</v>
      </c>
      <c r="O61" s="10">
        <f>SUMIFS('PLAN BUDGET SAMI-JF'!AX13:AX100000,'PLAN BUDGET SAMI-JF'!D13:D100000,SUMMARY!D61,'PLAN BUDGET SAMI-JF'!J13:J100000,SUMMARY!A61&amp;"*")</f>
        <v>0</v>
      </c>
      <c r="P61" s="10">
        <f>SUMIFS('PLAN BUDGET SAMI-JF'!AY13:AY100000,'PLAN BUDGET SAMI-JF'!D13:D100000,SUMMARY!D61,'PLAN BUDGET SAMI-JF'!J13:J100000,SUMMARY!A61&amp;"*")</f>
        <v>0</v>
      </c>
      <c r="Q61" s="10">
        <f>SUMIFS('PLAN BUDGET SAMI-JF'!BC13:BC100000,'PLAN BUDGET SAMI-JF'!D13:D100000,SUMMARY!D61,'PLAN BUDGET SAMI-JF'!J13:J100000,SUMMARY!A61&amp;"*")</f>
        <v>0</v>
      </c>
      <c r="R61" s="10">
        <f>SUMIFS('PLAN BUDGET SAMI-JF'!BD13:BD100000,'PLAN BUDGET SAMI-JF'!D13:D100000,SUMMARY!D61,'PLAN BUDGET SAMI-JF'!J13:J100000,SUMMARY!A61&amp;"*")</f>
        <v>393.07280391933</v>
      </c>
      <c r="S61" s="10">
        <f>SUMIFS('PLAN BUDGET SAMI-JF'!BE13:BE100000,'PLAN BUDGET SAMI-JF'!D13:D100000,SUMMARY!D61,'PLAN BUDGET SAMI-JF'!J13:J100000,SUMMARY!A61&amp;"*")</f>
        <v>0</v>
      </c>
      <c r="T61" s="10">
        <f>SUMIFS('PLAN BUDGET SAMI-JF'!BF13:BF100000,'PLAN BUDGET SAMI-JF'!D13:D100000,SUMMARY!D61,'PLAN BUDGET SAMI-JF'!J13:J100000,SUMMARY!A61&amp;"*")</f>
        <v>0</v>
      </c>
      <c r="U61" s="10">
        <f>SUMIFS('PLAN BUDGET SAMI-JF'!BG13:BG100000,'PLAN BUDGET SAMI-JF'!D13:D100000,SUMMARY!D61,'PLAN BUDGET SAMI-JF'!J13:J100000,SUMMARY!A61&amp;"*")</f>
        <v>0</v>
      </c>
      <c r="V61" s="10">
        <f>SUMIFS('PLAN BUDGET SAMI-JF'!BH13:BH100000,'PLAN BUDGET SAMI-JF'!D13:D100000,SUMMARY!D61,'PLAN BUDGET SAMI-JF'!J13:J100000,SUMMARY!A61&amp;"*")</f>
        <v>0</v>
      </c>
      <c r="W61" s="10">
        <f>SUMIFS('PLAN BUDGET SAMI-JF'!BI13:BI100000,'PLAN BUDGET SAMI-JF'!D13:D100000,SUMMARY!D61,'PLAN BUDGET SAMI-JF'!J13:J100000,SUMMARY!A61&amp;"*")</f>
        <v>0</v>
      </c>
      <c r="X61" s="10">
        <f>SUMIFS('PLAN BUDGET SAMI-JF'!BJ13:BJ100000,'PLAN BUDGET SAMI-JF'!D13:D100000,SUMMARY!D61,'PLAN BUDGET SAMI-JF'!J13:J100000,SUMMARY!A61&amp;"*")</f>
        <v>0</v>
      </c>
      <c r="Y61" s="10">
        <f>SUMIFS('PLAN BUDGET SAMI-JF'!BK13:BK100000,'PLAN BUDGET SAMI-JF'!D13:D100000,SUMMARY!D61,'PLAN BUDGET SAMI-JF'!J13:J100000,SUMMARY!A61&amp;"*")</f>
        <v>0</v>
      </c>
      <c r="Z61" s="10">
        <f>SUMIFS('PLAN BUDGET SAMI-JF'!BL13:BL100000,'PLAN BUDGET SAMI-JF'!D13:D100000,SUMMARY!D61,'PLAN BUDGET SAMI-JF'!J13:J100000,SUMMARY!A61&amp;"*")</f>
        <v>0</v>
      </c>
      <c r="AA61" s="10">
        <f>SUMIFS('PLAN BUDGET SAMI-JF'!BM13:BM100000,'PLAN BUDGET SAMI-JF'!D13:D100000,SUMMARY!D61,'PLAN BUDGET SAMI-JF'!J13:J100000,SUMMARY!A61&amp;"*")</f>
        <v>0</v>
      </c>
      <c r="AB61" s="10">
        <f>SUMIFS('PLAN BUDGET SAMI-JF'!BN13:BN100000,'PLAN BUDGET SAMI-JF'!D13:D100000,SUMMARY!D61,'PLAN BUDGET SAMI-JF'!J13:J100000,SUMMARY!A61&amp;"*")</f>
        <v>0</v>
      </c>
      <c r="AC61" s="10">
        <f t="shared" si="4"/>
        <v>108</v>
      </c>
      <c r="AD61" s="10">
        <f t="shared" si="5"/>
        <v>393.07280391933</v>
      </c>
      <c r="AE61" s="16"/>
      <c r="AF61" s="10">
        <v>72</v>
      </c>
      <c r="AG61" s="10">
        <v>120.01063385363</v>
      </c>
      <c r="AH61" s="20">
        <f t="shared" si="6"/>
        <v>0.5</v>
      </c>
      <c r="AI61" s="20">
        <f t="shared" si="7"/>
        <v>2.2753164556962351</v>
      </c>
      <c r="AJ61" s="36" t="s">
        <v>588</v>
      </c>
    </row>
    <row r="62" spans="1:36" x14ac:dyDescent="0.35">
      <c r="A62" s="7" t="s">
        <v>491</v>
      </c>
      <c r="B62" s="7"/>
      <c r="C62" s="7"/>
      <c r="D62" s="7" t="s">
        <v>87</v>
      </c>
      <c r="E62" s="10">
        <f>SUMIFS('PLAN BUDGET SAMI-JF'!AN13:AN100000,'PLAN BUDGET SAMI-JF'!D13:D100000,SUMMARY!D62,'PLAN BUDGET SAMI-JF'!J13:J100000,SUMMARY!A62&amp;"*")</f>
        <v>0</v>
      </c>
      <c r="F62" s="10">
        <f>SUMIFS('PLAN BUDGET SAMI-JF'!AO13:AO100000,'PLAN BUDGET SAMI-JF'!D13:D100000,SUMMARY!D62,'PLAN BUDGET SAMI-JF'!J13:J100000,SUMMARY!A62&amp;"*")</f>
        <v>3</v>
      </c>
      <c r="G62" s="10">
        <f>SUMIFS('PLAN BUDGET SAMI-JF'!AP13:AP100000,'PLAN BUDGET SAMI-JF'!D13:D100000,SUMMARY!D62,'PLAN BUDGET SAMI-JF'!J13:J100000,SUMMARY!A62&amp;"*")</f>
        <v>0</v>
      </c>
      <c r="H62" s="10">
        <f>SUMIFS('PLAN BUDGET SAMI-JF'!AQ13:AQ100000,'PLAN BUDGET SAMI-JF'!D13:D100000,SUMMARY!D62,'PLAN BUDGET SAMI-JF'!J13:J100000,SUMMARY!A62&amp;"*")</f>
        <v>0</v>
      </c>
      <c r="I62" s="10">
        <f>SUMIFS('PLAN BUDGET SAMI-JF'!AR13:AR100000,'PLAN BUDGET SAMI-JF'!D13:D100000,SUMMARY!D62,'PLAN BUDGET SAMI-JF'!J13:J100000,SUMMARY!A62&amp;"*")</f>
        <v>0</v>
      </c>
      <c r="J62" s="10">
        <f>SUMIFS('PLAN BUDGET SAMI-JF'!AS13:AS100000,'PLAN BUDGET SAMI-JF'!D13:D100000,SUMMARY!D62,'PLAN BUDGET SAMI-JF'!J13:J100000,SUMMARY!A62&amp;"*")</f>
        <v>0</v>
      </c>
      <c r="K62" s="10">
        <f>SUMIFS('PLAN BUDGET SAMI-JF'!AT13:AT100000,'PLAN BUDGET SAMI-JF'!D13:D100000,SUMMARY!D62,'PLAN BUDGET SAMI-JF'!J13:J100000,SUMMARY!A62&amp;"*")</f>
        <v>0</v>
      </c>
      <c r="L62" s="10">
        <f>SUMIFS('PLAN BUDGET SAMI-JF'!AU13:AU100000,'PLAN BUDGET SAMI-JF'!D13:D100000,SUMMARY!D62,'PLAN BUDGET SAMI-JF'!J13:J100000,SUMMARY!A62&amp;"*")</f>
        <v>0</v>
      </c>
      <c r="M62" s="10">
        <f>SUMIFS('PLAN BUDGET SAMI-JF'!AV13:AV100000,'PLAN BUDGET SAMI-JF'!D13:D100000,SUMMARY!D62,'PLAN BUDGET SAMI-JF'!J13:J100000,SUMMARY!A62&amp;"*")</f>
        <v>0</v>
      </c>
      <c r="N62" s="10">
        <f>SUMIFS('PLAN BUDGET SAMI-JF'!AW13:AW100000,'PLAN BUDGET SAMI-JF'!D13:D100000,SUMMARY!D62,'PLAN BUDGET SAMI-JF'!J13:J100000,SUMMARY!A62&amp;"*")</f>
        <v>0</v>
      </c>
      <c r="O62" s="10">
        <f>SUMIFS('PLAN BUDGET SAMI-JF'!AX13:AX100000,'PLAN BUDGET SAMI-JF'!D13:D100000,SUMMARY!D62,'PLAN BUDGET SAMI-JF'!J13:J100000,SUMMARY!A62&amp;"*")</f>
        <v>0</v>
      </c>
      <c r="P62" s="10">
        <f>SUMIFS('PLAN BUDGET SAMI-JF'!AY13:AY100000,'PLAN BUDGET SAMI-JF'!D13:D100000,SUMMARY!D62,'PLAN BUDGET SAMI-JF'!J13:J100000,SUMMARY!A62&amp;"*")</f>
        <v>0</v>
      </c>
      <c r="Q62" s="10">
        <f>SUMIFS('PLAN BUDGET SAMI-JF'!BC13:BC100000,'PLAN BUDGET SAMI-JF'!D13:D100000,SUMMARY!D62,'PLAN BUDGET SAMI-JF'!J13:J100000,SUMMARY!A62&amp;"*")</f>
        <v>0</v>
      </c>
      <c r="R62" s="10">
        <f>SUMIFS('PLAN BUDGET SAMI-JF'!BD13:BD100000,'PLAN BUDGET SAMI-JF'!D13:D100000,SUMMARY!D62,'PLAN BUDGET SAMI-JF'!J13:J100000,SUMMARY!A62&amp;"*")</f>
        <v>229.76719456154399</v>
      </c>
      <c r="S62" s="10">
        <f>SUMIFS('PLAN BUDGET SAMI-JF'!BE13:BE100000,'PLAN BUDGET SAMI-JF'!D13:D100000,SUMMARY!D62,'PLAN BUDGET SAMI-JF'!J13:J100000,SUMMARY!A62&amp;"*")</f>
        <v>0</v>
      </c>
      <c r="T62" s="10">
        <f>SUMIFS('PLAN BUDGET SAMI-JF'!BF13:BF100000,'PLAN BUDGET SAMI-JF'!D13:D100000,SUMMARY!D62,'PLAN BUDGET SAMI-JF'!J13:J100000,SUMMARY!A62&amp;"*")</f>
        <v>0</v>
      </c>
      <c r="U62" s="10">
        <f>SUMIFS('PLAN BUDGET SAMI-JF'!BG13:BG100000,'PLAN BUDGET SAMI-JF'!D13:D100000,SUMMARY!D62,'PLAN BUDGET SAMI-JF'!J13:J100000,SUMMARY!A62&amp;"*")</f>
        <v>0</v>
      </c>
      <c r="V62" s="10">
        <f>SUMIFS('PLAN BUDGET SAMI-JF'!BH13:BH100000,'PLAN BUDGET SAMI-JF'!D13:D100000,SUMMARY!D62,'PLAN BUDGET SAMI-JF'!J13:J100000,SUMMARY!A62&amp;"*")</f>
        <v>0</v>
      </c>
      <c r="W62" s="10">
        <f>SUMIFS('PLAN BUDGET SAMI-JF'!BI13:BI100000,'PLAN BUDGET SAMI-JF'!D13:D100000,SUMMARY!D62,'PLAN BUDGET SAMI-JF'!J13:J100000,SUMMARY!A62&amp;"*")</f>
        <v>0</v>
      </c>
      <c r="X62" s="10">
        <f>SUMIFS('PLAN BUDGET SAMI-JF'!BJ13:BJ100000,'PLAN BUDGET SAMI-JF'!D13:D100000,SUMMARY!D62,'PLAN BUDGET SAMI-JF'!J13:J100000,SUMMARY!A62&amp;"*")</f>
        <v>0</v>
      </c>
      <c r="Y62" s="10">
        <f>SUMIFS('PLAN BUDGET SAMI-JF'!BK13:BK100000,'PLAN BUDGET SAMI-JF'!D13:D100000,SUMMARY!D62,'PLAN BUDGET SAMI-JF'!J13:J100000,SUMMARY!A62&amp;"*")</f>
        <v>0</v>
      </c>
      <c r="Z62" s="10">
        <f>SUMIFS('PLAN BUDGET SAMI-JF'!BL13:BL100000,'PLAN BUDGET SAMI-JF'!D13:D100000,SUMMARY!D62,'PLAN BUDGET SAMI-JF'!J13:J100000,SUMMARY!A62&amp;"*")</f>
        <v>0</v>
      </c>
      <c r="AA62" s="10">
        <f>SUMIFS('PLAN BUDGET SAMI-JF'!BM13:BM100000,'PLAN BUDGET SAMI-JF'!D13:D100000,SUMMARY!D62,'PLAN BUDGET SAMI-JF'!J13:J100000,SUMMARY!A62&amp;"*")</f>
        <v>0</v>
      </c>
      <c r="AB62" s="10">
        <f>SUMIFS('PLAN BUDGET SAMI-JF'!BN13:BN100000,'PLAN BUDGET SAMI-JF'!D13:D100000,SUMMARY!D62,'PLAN BUDGET SAMI-JF'!J13:J100000,SUMMARY!A62&amp;"*")</f>
        <v>0</v>
      </c>
      <c r="AC62" s="10">
        <f t="shared" si="4"/>
        <v>3</v>
      </c>
      <c r="AD62" s="10">
        <f t="shared" si="5"/>
        <v>229.76719456154399</v>
      </c>
      <c r="AE62" s="16"/>
      <c r="AF62" s="10">
        <v>3</v>
      </c>
      <c r="AG62" s="10">
        <v>255.46567417366001</v>
      </c>
      <c r="AH62" s="20">
        <f t="shared" si="6"/>
        <v>0</v>
      </c>
      <c r="AI62" s="20">
        <f t="shared" si="7"/>
        <v>-0.10059464816649594</v>
      </c>
      <c r="AJ62" s="7"/>
    </row>
    <row r="63" spans="1:36" x14ac:dyDescent="0.35">
      <c r="A63" s="7" t="s">
        <v>491</v>
      </c>
      <c r="B63" s="7"/>
      <c r="C63" s="7"/>
      <c r="D63" s="7" t="s">
        <v>330</v>
      </c>
      <c r="E63" s="10">
        <f>SUMIFS('PLAN BUDGET SAMI-JF'!AN13:AN100000,'PLAN BUDGET SAMI-JF'!D13:D100000,SUMMARY!D63,'PLAN BUDGET SAMI-JF'!J13:J100000,SUMMARY!A63&amp;"*")</f>
        <v>0</v>
      </c>
      <c r="F63" s="10">
        <f>SUMIFS('PLAN BUDGET SAMI-JF'!AO13:AO100000,'PLAN BUDGET SAMI-JF'!D13:D100000,SUMMARY!D63,'PLAN BUDGET SAMI-JF'!J13:J100000,SUMMARY!A63&amp;"*")</f>
        <v>18</v>
      </c>
      <c r="G63" s="10">
        <f>SUMIFS('PLAN BUDGET SAMI-JF'!AP13:AP100000,'PLAN BUDGET SAMI-JF'!D13:D100000,SUMMARY!D63,'PLAN BUDGET SAMI-JF'!J13:J100000,SUMMARY!A63&amp;"*")</f>
        <v>0</v>
      </c>
      <c r="H63" s="10">
        <f>SUMIFS('PLAN BUDGET SAMI-JF'!AQ13:AQ100000,'PLAN BUDGET SAMI-JF'!D13:D100000,SUMMARY!D63,'PLAN BUDGET SAMI-JF'!J13:J100000,SUMMARY!A63&amp;"*")</f>
        <v>0</v>
      </c>
      <c r="I63" s="10">
        <f>SUMIFS('PLAN BUDGET SAMI-JF'!AR13:AR100000,'PLAN BUDGET SAMI-JF'!D13:D100000,SUMMARY!D63,'PLAN BUDGET SAMI-JF'!J13:J100000,SUMMARY!A63&amp;"*")</f>
        <v>0</v>
      </c>
      <c r="J63" s="10">
        <f>SUMIFS('PLAN BUDGET SAMI-JF'!AS13:AS100000,'PLAN BUDGET SAMI-JF'!D13:D100000,SUMMARY!D63,'PLAN BUDGET SAMI-JF'!J13:J100000,SUMMARY!A63&amp;"*")</f>
        <v>0</v>
      </c>
      <c r="K63" s="10">
        <f>SUMIFS('PLAN BUDGET SAMI-JF'!AT13:AT100000,'PLAN BUDGET SAMI-JF'!D13:D100000,SUMMARY!D63,'PLAN BUDGET SAMI-JF'!J13:J100000,SUMMARY!A63&amp;"*")</f>
        <v>0</v>
      </c>
      <c r="L63" s="10">
        <f>SUMIFS('PLAN BUDGET SAMI-JF'!AU13:AU100000,'PLAN BUDGET SAMI-JF'!D13:D100000,SUMMARY!D63,'PLAN BUDGET SAMI-JF'!J13:J100000,SUMMARY!A63&amp;"*")</f>
        <v>0</v>
      </c>
      <c r="M63" s="10">
        <f>SUMIFS('PLAN BUDGET SAMI-JF'!AV13:AV100000,'PLAN BUDGET SAMI-JF'!D13:D100000,SUMMARY!D63,'PLAN BUDGET SAMI-JF'!J13:J100000,SUMMARY!A63&amp;"*")</f>
        <v>0</v>
      </c>
      <c r="N63" s="10">
        <f>SUMIFS('PLAN BUDGET SAMI-JF'!AW13:AW100000,'PLAN BUDGET SAMI-JF'!D13:D100000,SUMMARY!D63,'PLAN BUDGET SAMI-JF'!J13:J100000,SUMMARY!A63&amp;"*")</f>
        <v>0</v>
      </c>
      <c r="O63" s="10">
        <f>SUMIFS('PLAN BUDGET SAMI-JF'!AX13:AX100000,'PLAN BUDGET SAMI-JF'!D13:D100000,SUMMARY!D63,'PLAN BUDGET SAMI-JF'!J13:J100000,SUMMARY!A63&amp;"*")</f>
        <v>0</v>
      </c>
      <c r="P63" s="10">
        <f>SUMIFS('PLAN BUDGET SAMI-JF'!AY13:AY100000,'PLAN BUDGET SAMI-JF'!D13:D100000,SUMMARY!D63,'PLAN BUDGET SAMI-JF'!J13:J100000,SUMMARY!A63&amp;"*")</f>
        <v>0</v>
      </c>
      <c r="Q63" s="10">
        <f>SUMIFS('PLAN BUDGET SAMI-JF'!BC13:BC100000,'PLAN BUDGET SAMI-JF'!D13:D100000,SUMMARY!D63,'PLAN BUDGET SAMI-JF'!J13:J100000,SUMMARY!A63&amp;"*")</f>
        <v>0</v>
      </c>
      <c r="R63" s="10">
        <f>SUMIFS('PLAN BUDGET SAMI-JF'!BD13:BD100000,'PLAN BUDGET SAMI-JF'!D13:D100000,SUMMARY!D63,'PLAN BUDGET SAMI-JF'!J13:J100000,SUMMARY!A63&amp;"*")</f>
        <v>8.5450609547681999</v>
      </c>
      <c r="S63" s="10">
        <f>SUMIFS('PLAN BUDGET SAMI-JF'!BE13:BE100000,'PLAN BUDGET SAMI-JF'!D13:D100000,SUMMARY!D63,'PLAN BUDGET SAMI-JF'!J13:J100000,SUMMARY!A63&amp;"*")</f>
        <v>0</v>
      </c>
      <c r="T63" s="10">
        <f>SUMIFS('PLAN BUDGET SAMI-JF'!BF13:BF100000,'PLAN BUDGET SAMI-JF'!D13:D100000,SUMMARY!D63,'PLAN BUDGET SAMI-JF'!J13:J100000,SUMMARY!A63&amp;"*")</f>
        <v>0</v>
      </c>
      <c r="U63" s="10">
        <f>SUMIFS('PLAN BUDGET SAMI-JF'!BG13:BG100000,'PLAN BUDGET SAMI-JF'!D13:D100000,SUMMARY!D63,'PLAN BUDGET SAMI-JF'!J13:J100000,SUMMARY!A63&amp;"*")</f>
        <v>0</v>
      </c>
      <c r="V63" s="10">
        <f>SUMIFS('PLAN BUDGET SAMI-JF'!BH13:BH100000,'PLAN BUDGET SAMI-JF'!D13:D100000,SUMMARY!D63,'PLAN BUDGET SAMI-JF'!J13:J100000,SUMMARY!A63&amp;"*")</f>
        <v>0</v>
      </c>
      <c r="W63" s="10">
        <f>SUMIFS('PLAN BUDGET SAMI-JF'!BI13:BI100000,'PLAN BUDGET SAMI-JF'!D13:D100000,SUMMARY!D63,'PLAN BUDGET SAMI-JF'!J13:J100000,SUMMARY!A63&amp;"*")</f>
        <v>0</v>
      </c>
      <c r="X63" s="10">
        <f>SUMIFS('PLAN BUDGET SAMI-JF'!BJ13:BJ100000,'PLAN BUDGET SAMI-JF'!D13:D100000,SUMMARY!D63,'PLAN BUDGET SAMI-JF'!J13:J100000,SUMMARY!A63&amp;"*")</f>
        <v>0</v>
      </c>
      <c r="Y63" s="10">
        <f>SUMIFS('PLAN BUDGET SAMI-JF'!BK13:BK100000,'PLAN BUDGET SAMI-JF'!D13:D100000,SUMMARY!D63,'PLAN BUDGET SAMI-JF'!J13:J100000,SUMMARY!A63&amp;"*")</f>
        <v>0</v>
      </c>
      <c r="Z63" s="10">
        <f>SUMIFS('PLAN BUDGET SAMI-JF'!BL13:BL100000,'PLAN BUDGET SAMI-JF'!D13:D100000,SUMMARY!D63,'PLAN BUDGET SAMI-JF'!J13:J100000,SUMMARY!A63&amp;"*")</f>
        <v>0</v>
      </c>
      <c r="AA63" s="10">
        <f>SUMIFS('PLAN BUDGET SAMI-JF'!BM13:BM100000,'PLAN BUDGET SAMI-JF'!D13:D100000,SUMMARY!D63,'PLAN BUDGET SAMI-JF'!J13:J100000,SUMMARY!A63&amp;"*")</f>
        <v>0</v>
      </c>
      <c r="AB63" s="10">
        <f>SUMIFS('PLAN BUDGET SAMI-JF'!BN13:BN100000,'PLAN BUDGET SAMI-JF'!D13:D100000,SUMMARY!D63,'PLAN BUDGET SAMI-JF'!J13:J100000,SUMMARY!A63&amp;"*")</f>
        <v>0</v>
      </c>
      <c r="AC63" s="10">
        <f t="shared" si="4"/>
        <v>18</v>
      </c>
      <c r="AD63" s="10">
        <f t="shared" si="5"/>
        <v>8.5450609547681999</v>
      </c>
      <c r="AE63" s="16"/>
      <c r="AF63" s="10">
        <v>0</v>
      </c>
      <c r="AG63" s="10">
        <v>0</v>
      </c>
      <c r="AH63" s="20">
        <f t="shared" si="6"/>
        <v>1</v>
      </c>
      <c r="AI63" s="20">
        <f t="shared" si="7"/>
        <v>1</v>
      </c>
      <c r="AJ63" s="36" t="s">
        <v>588</v>
      </c>
    </row>
    <row r="64" spans="1:36" x14ac:dyDescent="0.35">
      <c r="A64" s="7" t="s">
        <v>492</v>
      </c>
      <c r="B64" s="7"/>
      <c r="C64" s="7"/>
      <c r="D64" s="7" t="s">
        <v>493</v>
      </c>
      <c r="E64" s="10">
        <f>SUMIFS('PLAN BUDGET SAMI-JF'!AN13:AN100000,'PLAN BUDGET SAMI-JF'!D13:D100000,SUMMARY!D64,'PLAN BUDGET SAMI-JF'!J13:J100000,SUMMARY!A64&amp;"*")</f>
        <v>0</v>
      </c>
      <c r="F64" s="10">
        <f>SUMIFS('PLAN BUDGET SAMI-JF'!AO13:AO100000,'PLAN BUDGET SAMI-JF'!D13:D100000,SUMMARY!D64,'PLAN BUDGET SAMI-JF'!J13:J100000,SUMMARY!A64&amp;"*")</f>
        <v>0</v>
      </c>
      <c r="G64" s="10">
        <f>SUMIFS('PLAN BUDGET SAMI-JF'!AP13:AP100000,'PLAN BUDGET SAMI-JF'!D13:D100000,SUMMARY!D64,'PLAN BUDGET SAMI-JF'!J13:J100000,SUMMARY!A64&amp;"*")</f>
        <v>0</v>
      </c>
      <c r="H64" s="10">
        <f>SUMIFS('PLAN BUDGET SAMI-JF'!AQ13:AQ100000,'PLAN BUDGET SAMI-JF'!D13:D100000,SUMMARY!D64,'PLAN BUDGET SAMI-JF'!J13:J100000,SUMMARY!A64&amp;"*")</f>
        <v>0</v>
      </c>
      <c r="I64" s="10">
        <f>SUMIFS('PLAN BUDGET SAMI-JF'!AR13:AR100000,'PLAN BUDGET SAMI-JF'!D13:D100000,SUMMARY!D64,'PLAN BUDGET SAMI-JF'!J13:J100000,SUMMARY!A64&amp;"*")</f>
        <v>0</v>
      </c>
      <c r="J64" s="10">
        <f>SUMIFS('PLAN BUDGET SAMI-JF'!AS13:AS100000,'PLAN BUDGET SAMI-JF'!D13:D100000,SUMMARY!D64,'PLAN BUDGET SAMI-JF'!J13:J100000,SUMMARY!A64&amp;"*")</f>
        <v>0</v>
      </c>
      <c r="K64" s="10">
        <f>SUMIFS('PLAN BUDGET SAMI-JF'!AT13:AT100000,'PLAN BUDGET SAMI-JF'!D13:D100000,SUMMARY!D64,'PLAN BUDGET SAMI-JF'!J13:J100000,SUMMARY!A64&amp;"*")</f>
        <v>0</v>
      </c>
      <c r="L64" s="10">
        <f>SUMIFS('PLAN BUDGET SAMI-JF'!AU13:AU100000,'PLAN BUDGET SAMI-JF'!D13:D100000,SUMMARY!D64,'PLAN BUDGET SAMI-JF'!J13:J100000,SUMMARY!A64&amp;"*")</f>
        <v>0</v>
      </c>
      <c r="M64" s="10">
        <f>SUMIFS('PLAN BUDGET SAMI-JF'!AV13:AV100000,'PLAN BUDGET SAMI-JF'!D13:D100000,SUMMARY!D64,'PLAN BUDGET SAMI-JF'!J13:J100000,SUMMARY!A64&amp;"*")</f>
        <v>0</v>
      </c>
      <c r="N64" s="10">
        <f>SUMIFS('PLAN BUDGET SAMI-JF'!AW13:AW100000,'PLAN BUDGET SAMI-JF'!D13:D100000,SUMMARY!D64,'PLAN BUDGET SAMI-JF'!J13:J100000,SUMMARY!A64&amp;"*")</f>
        <v>0</v>
      </c>
      <c r="O64" s="10">
        <f>SUMIFS('PLAN BUDGET SAMI-JF'!AX13:AX100000,'PLAN BUDGET SAMI-JF'!D13:D100000,SUMMARY!D64,'PLAN BUDGET SAMI-JF'!J13:J100000,SUMMARY!A64&amp;"*")</f>
        <v>0</v>
      </c>
      <c r="P64" s="10">
        <f>SUMIFS('PLAN BUDGET SAMI-JF'!AY13:AY100000,'PLAN BUDGET SAMI-JF'!D13:D100000,SUMMARY!D64,'PLAN BUDGET SAMI-JF'!J13:J100000,SUMMARY!A64&amp;"*")</f>
        <v>0</v>
      </c>
      <c r="Q64" s="10">
        <f>SUMIFS('PLAN BUDGET SAMI-JF'!BC13:BC100000,'PLAN BUDGET SAMI-JF'!D13:D100000,SUMMARY!D64,'PLAN BUDGET SAMI-JF'!J13:J100000,SUMMARY!A64&amp;"*")</f>
        <v>0</v>
      </c>
      <c r="R64" s="10">
        <f>SUMIFS('PLAN BUDGET SAMI-JF'!BD13:BD100000,'PLAN BUDGET SAMI-JF'!D13:D100000,SUMMARY!D64,'PLAN BUDGET SAMI-JF'!J13:J100000,SUMMARY!A64&amp;"*")</f>
        <v>0</v>
      </c>
      <c r="S64" s="10">
        <f>SUMIFS('PLAN BUDGET SAMI-JF'!BE13:BE100000,'PLAN BUDGET SAMI-JF'!D13:D100000,SUMMARY!D64,'PLAN BUDGET SAMI-JF'!J13:J100000,SUMMARY!A64&amp;"*")</f>
        <v>0</v>
      </c>
      <c r="T64" s="10">
        <f>SUMIFS('PLAN BUDGET SAMI-JF'!BF13:BF100000,'PLAN BUDGET SAMI-JF'!D13:D100000,SUMMARY!D64,'PLAN BUDGET SAMI-JF'!J13:J100000,SUMMARY!A64&amp;"*")</f>
        <v>0</v>
      </c>
      <c r="U64" s="10">
        <f>SUMIFS('PLAN BUDGET SAMI-JF'!BG13:BG100000,'PLAN BUDGET SAMI-JF'!D13:D100000,SUMMARY!D64,'PLAN BUDGET SAMI-JF'!J13:J100000,SUMMARY!A64&amp;"*")</f>
        <v>0</v>
      </c>
      <c r="V64" s="10">
        <f>SUMIFS('PLAN BUDGET SAMI-JF'!BH13:BH100000,'PLAN BUDGET SAMI-JF'!D13:D100000,SUMMARY!D64,'PLAN BUDGET SAMI-JF'!J13:J100000,SUMMARY!A64&amp;"*")</f>
        <v>0</v>
      </c>
      <c r="W64" s="10">
        <f>SUMIFS('PLAN BUDGET SAMI-JF'!BI13:BI100000,'PLAN BUDGET SAMI-JF'!D13:D100000,SUMMARY!D64,'PLAN BUDGET SAMI-JF'!J13:J100000,SUMMARY!A64&amp;"*")</f>
        <v>0</v>
      </c>
      <c r="X64" s="10">
        <f>SUMIFS('PLAN BUDGET SAMI-JF'!BJ13:BJ100000,'PLAN BUDGET SAMI-JF'!D13:D100000,SUMMARY!D64,'PLAN BUDGET SAMI-JF'!J13:J100000,SUMMARY!A64&amp;"*")</f>
        <v>0</v>
      </c>
      <c r="Y64" s="10">
        <f>SUMIFS('PLAN BUDGET SAMI-JF'!BK13:BK100000,'PLAN BUDGET SAMI-JF'!D13:D100000,SUMMARY!D64,'PLAN BUDGET SAMI-JF'!J13:J100000,SUMMARY!A64&amp;"*")</f>
        <v>0</v>
      </c>
      <c r="Z64" s="10">
        <f>SUMIFS('PLAN BUDGET SAMI-JF'!BL13:BL100000,'PLAN BUDGET SAMI-JF'!D13:D100000,SUMMARY!D64,'PLAN BUDGET SAMI-JF'!J13:J100000,SUMMARY!A64&amp;"*")</f>
        <v>0</v>
      </c>
      <c r="AA64" s="10">
        <f>SUMIFS('PLAN BUDGET SAMI-JF'!BM13:BM100000,'PLAN BUDGET SAMI-JF'!D13:D100000,SUMMARY!D64,'PLAN BUDGET SAMI-JF'!J13:J100000,SUMMARY!A64&amp;"*")</f>
        <v>0</v>
      </c>
      <c r="AB64" s="10">
        <f>SUMIFS('PLAN BUDGET SAMI-JF'!BN13:BN100000,'PLAN BUDGET SAMI-JF'!D13:D100000,SUMMARY!D64,'PLAN BUDGET SAMI-JF'!J13:J100000,SUMMARY!A64&amp;"*")</f>
        <v>0</v>
      </c>
      <c r="AC64" s="10">
        <f t="shared" si="4"/>
        <v>0</v>
      </c>
      <c r="AD64" s="10">
        <f t="shared" si="5"/>
        <v>0</v>
      </c>
      <c r="AE64" s="16"/>
      <c r="AF64" s="10">
        <v>45</v>
      </c>
      <c r="AG64" s="10">
        <v>24524.324940185001</v>
      </c>
      <c r="AH64" s="20">
        <f t="shared" si="6"/>
        <v>-1</v>
      </c>
      <c r="AI64" s="20">
        <f t="shared" si="7"/>
        <v>-1</v>
      </c>
      <c r="AJ64" s="7" t="s">
        <v>494</v>
      </c>
    </row>
    <row r="65" spans="1:36" x14ac:dyDescent="0.35">
      <c r="A65" s="7" t="s">
        <v>355</v>
      </c>
      <c r="B65" s="7"/>
      <c r="C65" s="7"/>
      <c r="D65" s="7" t="s">
        <v>495</v>
      </c>
      <c r="E65" s="10">
        <f>SUMIFS('PLAN BUDGET SAMI-JF'!AN13:AN100000,'PLAN BUDGET SAMI-JF'!D13:D100000,SUMMARY!D65,'PLAN BUDGET SAMI-JF'!J13:J100000,SUMMARY!A65&amp;"*")</f>
        <v>0</v>
      </c>
      <c r="F65" s="10">
        <f>SUMIFS('PLAN BUDGET SAMI-JF'!AO13:AO100000,'PLAN BUDGET SAMI-JF'!D13:D100000,SUMMARY!D65,'PLAN BUDGET SAMI-JF'!J13:J100000,SUMMARY!A65&amp;"*")</f>
        <v>0</v>
      </c>
      <c r="G65" s="10">
        <f>SUMIFS('PLAN BUDGET SAMI-JF'!AP13:AP100000,'PLAN BUDGET SAMI-JF'!D13:D100000,SUMMARY!D65,'PLAN BUDGET SAMI-JF'!J13:J100000,SUMMARY!A65&amp;"*")</f>
        <v>0</v>
      </c>
      <c r="H65" s="10">
        <f>SUMIFS('PLAN BUDGET SAMI-JF'!AQ13:AQ100000,'PLAN BUDGET SAMI-JF'!D13:D100000,SUMMARY!D65,'PLAN BUDGET SAMI-JF'!J13:J100000,SUMMARY!A65&amp;"*")</f>
        <v>0</v>
      </c>
      <c r="I65" s="10">
        <f>SUMIFS('PLAN BUDGET SAMI-JF'!AR13:AR100000,'PLAN BUDGET SAMI-JF'!D13:D100000,SUMMARY!D65,'PLAN BUDGET SAMI-JF'!J13:J100000,SUMMARY!A65&amp;"*")</f>
        <v>0</v>
      </c>
      <c r="J65" s="10">
        <f>SUMIFS('PLAN BUDGET SAMI-JF'!AS13:AS100000,'PLAN BUDGET SAMI-JF'!D13:D100000,SUMMARY!D65,'PLAN BUDGET SAMI-JF'!J13:J100000,SUMMARY!A65&amp;"*")</f>
        <v>0</v>
      </c>
      <c r="K65" s="10">
        <f>SUMIFS('PLAN BUDGET SAMI-JF'!AT13:AT100000,'PLAN BUDGET SAMI-JF'!D13:D100000,SUMMARY!D65,'PLAN BUDGET SAMI-JF'!J13:J100000,SUMMARY!A65&amp;"*")</f>
        <v>0</v>
      </c>
      <c r="L65" s="10">
        <f>SUMIFS('PLAN BUDGET SAMI-JF'!AU13:AU100000,'PLAN BUDGET SAMI-JF'!D13:D100000,SUMMARY!D65,'PLAN BUDGET SAMI-JF'!J13:J100000,SUMMARY!A65&amp;"*")</f>
        <v>0</v>
      </c>
      <c r="M65" s="10">
        <f>SUMIFS('PLAN BUDGET SAMI-JF'!AV13:AV100000,'PLAN BUDGET SAMI-JF'!D13:D100000,SUMMARY!D65,'PLAN BUDGET SAMI-JF'!J13:J100000,SUMMARY!A65&amp;"*")</f>
        <v>0</v>
      </c>
      <c r="N65" s="10">
        <f>SUMIFS('PLAN BUDGET SAMI-JF'!AW13:AW100000,'PLAN BUDGET SAMI-JF'!D13:D100000,SUMMARY!D65,'PLAN BUDGET SAMI-JF'!J13:J100000,SUMMARY!A65&amp;"*")</f>
        <v>0</v>
      </c>
      <c r="O65" s="10">
        <f>SUMIFS('PLAN BUDGET SAMI-JF'!AX13:AX100000,'PLAN BUDGET SAMI-JF'!D13:D100000,SUMMARY!D65,'PLAN BUDGET SAMI-JF'!J13:J100000,SUMMARY!A65&amp;"*")</f>
        <v>0</v>
      </c>
      <c r="P65" s="10">
        <f>SUMIFS('PLAN BUDGET SAMI-JF'!AY13:AY100000,'PLAN BUDGET SAMI-JF'!D13:D100000,SUMMARY!D65,'PLAN BUDGET SAMI-JF'!J13:J100000,SUMMARY!A65&amp;"*")</f>
        <v>0</v>
      </c>
      <c r="Q65" s="10">
        <f>SUMIFS('PLAN BUDGET SAMI-JF'!BC13:BC100000,'PLAN BUDGET SAMI-JF'!D13:D100000,SUMMARY!D65,'PLAN BUDGET SAMI-JF'!J13:J100000,SUMMARY!A65&amp;"*")</f>
        <v>0</v>
      </c>
      <c r="R65" s="10">
        <f>SUMIFS('PLAN BUDGET SAMI-JF'!BD13:BD100000,'PLAN BUDGET SAMI-JF'!D13:D100000,SUMMARY!D65,'PLAN BUDGET SAMI-JF'!J13:J100000,SUMMARY!A65&amp;"*")</f>
        <v>0</v>
      </c>
      <c r="S65" s="10">
        <f>SUMIFS('PLAN BUDGET SAMI-JF'!BE13:BE100000,'PLAN BUDGET SAMI-JF'!D13:D100000,SUMMARY!D65,'PLAN BUDGET SAMI-JF'!J13:J100000,SUMMARY!A65&amp;"*")</f>
        <v>0</v>
      </c>
      <c r="T65" s="10">
        <f>SUMIFS('PLAN BUDGET SAMI-JF'!BF13:BF100000,'PLAN BUDGET SAMI-JF'!D13:D100000,SUMMARY!D65,'PLAN BUDGET SAMI-JF'!J13:J100000,SUMMARY!A65&amp;"*")</f>
        <v>0</v>
      </c>
      <c r="U65" s="10">
        <f>SUMIFS('PLAN BUDGET SAMI-JF'!BG13:BG100000,'PLAN BUDGET SAMI-JF'!D13:D100000,SUMMARY!D65,'PLAN BUDGET SAMI-JF'!J13:J100000,SUMMARY!A65&amp;"*")</f>
        <v>0</v>
      </c>
      <c r="V65" s="10">
        <f>SUMIFS('PLAN BUDGET SAMI-JF'!BH13:BH100000,'PLAN BUDGET SAMI-JF'!D13:D100000,SUMMARY!D65,'PLAN BUDGET SAMI-JF'!J13:J100000,SUMMARY!A65&amp;"*")</f>
        <v>0</v>
      </c>
      <c r="W65" s="10">
        <f>SUMIFS('PLAN BUDGET SAMI-JF'!BI13:BI100000,'PLAN BUDGET SAMI-JF'!D13:D100000,SUMMARY!D65,'PLAN BUDGET SAMI-JF'!J13:J100000,SUMMARY!A65&amp;"*")</f>
        <v>0</v>
      </c>
      <c r="X65" s="10">
        <f>SUMIFS('PLAN BUDGET SAMI-JF'!BJ13:BJ100000,'PLAN BUDGET SAMI-JF'!D13:D100000,SUMMARY!D65,'PLAN BUDGET SAMI-JF'!J13:J100000,SUMMARY!A65&amp;"*")</f>
        <v>0</v>
      </c>
      <c r="Y65" s="10">
        <f>SUMIFS('PLAN BUDGET SAMI-JF'!BK13:BK100000,'PLAN BUDGET SAMI-JF'!D13:D100000,SUMMARY!D65,'PLAN BUDGET SAMI-JF'!J13:J100000,SUMMARY!A65&amp;"*")</f>
        <v>0</v>
      </c>
      <c r="Z65" s="10">
        <f>SUMIFS('PLAN BUDGET SAMI-JF'!BL13:BL100000,'PLAN BUDGET SAMI-JF'!D13:D100000,SUMMARY!D65,'PLAN BUDGET SAMI-JF'!J13:J100000,SUMMARY!A65&amp;"*")</f>
        <v>0</v>
      </c>
      <c r="AA65" s="10">
        <f>SUMIFS('PLAN BUDGET SAMI-JF'!BM13:BM100000,'PLAN BUDGET SAMI-JF'!D13:D100000,SUMMARY!D65,'PLAN BUDGET SAMI-JF'!J13:J100000,SUMMARY!A65&amp;"*")</f>
        <v>0</v>
      </c>
      <c r="AB65" s="10">
        <f>SUMIFS('PLAN BUDGET SAMI-JF'!BN13:BN100000,'PLAN BUDGET SAMI-JF'!D13:D100000,SUMMARY!D65,'PLAN BUDGET SAMI-JF'!J13:J100000,SUMMARY!A65&amp;"*")</f>
        <v>0</v>
      </c>
      <c r="AC65" s="10">
        <f t="shared" si="4"/>
        <v>0</v>
      </c>
      <c r="AD65" s="10">
        <f t="shared" si="5"/>
        <v>0</v>
      </c>
      <c r="AE65" s="16"/>
      <c r="AF65" s="10">
        <v>1</v>
      </c>
      <c r="AG65" s="10">
        <v>46.523109642626999</v>
      </c>
      <c r="AH65" s="20">
        <f t="shared" si="6"/>
        <v>-1</v>
      </c>
      <c r="AI65" s="20">
        <f t="shared" si="7"/>
        <v>-1</v>
      </c>
      <c r="AJ65" s="7" t="s">
        <v>494</v>
      </c>
    </row>
    <row r="66" spans="1:36" x14ac:dyDescent="0.35">
      <c r="A66" s="7" t="s">
        <v>355</v>
      </c>
      <c r="B66" s="7"/>
      <c r="C66" s="7"/>
      <c r="D66" s="7" t="s">
        <v>496</v>
      </c>
      <c r="E66" s="10">
        <f>SUMIFS('PLAN BUDGET SAMI-JF'!AN13:AN100000,'PLAN BUDGET SAMI-JF'!D13:D100000,SUMMARY!D66,'PLAN BUDGET SAMI-JF'!J13:J100000,SUMMARY!A66&amp;"*")</f>
        <v>0</v>
      </c>
      <c r="F66" s="10">
        <f>SUMIFS('PLAN BUDGET SAMI-JF'!AO13:AO100000,'PLAN BUDGET SAMI-JF'!D13:D100000,SUMMARY!D66,'PLAN BUDGET SAMI-JF'!J13:J100000,SUMMARY!A66&amp;"*")</f>
        <v>0</v>
      </c>
      <c r="G66" s="10">
        <f>SUMIFS('PLAN BUDGET SAMI-JF'!AP13:AP100000,'PLAN BUDGET SAMI-JF'!D13:D100000,SUMMARY!D66,'PLAN BUDGET SAMI-JF'!J13:J100000,SUMMARY!A66&amp;"*")</f>
        <v>0</v>
      </c>
      <c r="H66" s="10">
        <f>SUMIFS('PLAN BUDGET SAMI-JF'!AQ13:AQ100000,'PLAN BUDGET SAMI-JF'!D13:D100000,SUMMARY!D66,'PLAN BUDGET SAMI-JF'!J13:J100000,SUMMARY!A66&amp;"*")</f>
        <v>0</v>
      </c>
      <c r="I66" s="10">
        <f>SUMIFS('PLAN BUDGET SAMI-JF'!AR13:AR100000,'PLAN BUDGET SAMI-JF'!D13:D100000,SUMMARY!D66,'PLAN BUDGET SAMI-JF'!J13:J100000,SUMMARY!A66&amp;"*")</f>
        <v>0</v>
      </c>
      <c r="J66" s="10">
        <f>SUMIFS('PLAN BUDGET SAMI-JF'!AS13:AS100000,'PLAN BUDGET SAMI-JF'!D13:D100000,SUMMARY!D66,'PLAN BUDGET SAMI-JF'!J13:J100000,SUMMARY!A66&amp;"*")</f>
        <v>0</v>
      </c>
      <c r="K66" s="10">
        <f>SUMIFS('PLAN BUDGET SAMI-JF'!AT13:AT100000,'PLAN BUDGET SAMI-JF'!D13:D100000,SUMMARY!D66,'PLAN BUDGET SAMI-JF'!J13:J100000,SUMMARY!A66&amp;"*")</f>
        <v>0</v>
      </c>
      <c r="L66" s="10">
        <f>SUMIFS('PLAN BUDGET SAMI-JF'!AU13:AU100000,'PLAN BUDGET SAMI-JF'!D13:D100000,SUMMARY!D66,'PLAN BUDGET SAMI-JF'!J13:J100000,SUMMARY!A66&amp;"*")</f>
        <v>0</v>
      </c>
      <c r="M66" s="10">
        <f>SUMIFS('PLAN BUDGET SAMI-JF'!AV13:AV100000,'PLAN BUDGET SAMI-JF'!D13:D100000,SUMMARY!D66,'PLAN BUDGET SAMI-JF'!J13:J100000,SUMMARY!A66&amp;"*")</f>
        <v>0</v>
      </c>
      <c r="N66" s="10">
        <f>SUMIFS('PLAN BUDGET SAMI-JF'!AW13:AW100000,'PLAN BUDGET SAMI-JF'!D13:D100000,SUMMARY!D66,'PLAN BUDGET SAMI-JF'!J13:J100000,SUMMARY!A66&amp;"*")</f>
        <v>0</v>
      </c>
      <c r="O66" s="10">
        <f>SUMIFS('PLAN BUDGET SAMI-JF'!AX13:AX100000,'PLAN BUDGET SAMI-JF'!D13:D100000,SUMMARY!D66,'PLAN BUDGET SAMI-JF'!J13:J100000,SUMMARY!A66&amp;"*")</f>
        <v>0</v>
      </c>
      <c r="P66" s="10">
        <f>SUMIFS('PLAN BUDGET SAMI-JF'!AY13:AY100000,'PLAN BUDGET SAMI-JF'!D13:D100000,SUMMARY!D66,'PLAN BUDGET SAMI-JF'!J13:J100000,SUMMARY!A66&amp;"*")</f>
        <v>0</v>
      </c>
      <c r="Q66" s="10">
        <f>SUMIFS('PLAN BUDGET SAMI-JF'!BC13:BC100000,'PLAN BUDGET SAMI-JF'!D13:D100000,SUMMARY!D66,'PLAN BUDGET SAMI-JF'!J13:J100000,SUMMARY!A66&amp;"*")</f>
        <v>0</v>
      </c>
      <c r="R66" s="10">
        <f>SUMIFS('PLAN BUDGET SAMI-JF'!BD13:BD100000,'PLAN BUDGET SAMI-JF'!D13:D100000,SUMMARY!D66,'PLAN BUDGET SAMI-JF'!J13:J100000,SUMMARY!A66&amp;"*")</f>
        <v>0</v>
      </c>
      <c r="S66" s="10">
        <f>SUMIFS('PLAN BUDGET SAMI-JF'!BE13:BE100000,'PLAN BUDGET SAMI-JF'!D13:D100000,SUMMARY!D66,'PLAN BUDGET SAMI-JF'!J13:J100000,SUMMARY!A66&amp;"*")</f>
        <v>0</v>
      </c>
      <c r="T66" s="10">
        <f>SUMIFS('PLAN BUDGET SAMI-JF'!BF13:BF100000,'PLAN BUDGET SAMI-JF'!D13:D100000,SUMMARY!D66,'PLAN BUDGET SAMI-JF'!J13:J100000,SUMMARY!A66&amp;"*")</f>
        <v>0</v>
      </c>
      <c r="U66" s="10">
        <f>SUMIFS('PLAN BUDGET SAMI-JF'!BG13:BG100000,'PLAN BUDGET SAMI-JF'!D13:D100000,SUMMARY!D66,'PLAN BUDGET SAMI-JF'!J13:J100000,SUMMARY!A66&amp;"*")</f>
        <v>0</v>
      </c>
      <c r="V66" s="10">
        <f>SUMIFS('PLAN BUDGET SAMI-JF'!BH13:BH100000,'PLAN BUDGET SAMI-JF'!D13:D100000,SUMMARY!D66,'PLAN BUDGET SAMI-JF'!J13:J100000,SUMMARY!A66&amp;"*")</f>
        <v>0</v>
      </c>
      <c r="W66" s="10">
        <f>SUMIFS('PLAN BUDGET SAMI-JF'!BI13:BI100000,'PLAN BUDGET SAMI-JF'!D13:D100000,SUMMARY!D66,'PLAN BUDGET SAMI-JF'!J13:J100000,SUMMARY!A66&amp;"*")</f>
        <v>0</v>
      </c>
      <c r="X66" s="10">
        <f>SUMIFS('PLAN BUDGET SAMI-JF'!BJ13:BJ100000,'PLAN BUDGET SAMI-JF'!D13:D100000,SUMMARY!D66,'PLAN BUDGET SAMI-JF'!J13:J100000,SUMMARY!A66&amp;"*")</f>
        <v>0</v>
      </c>
      <c r="Y66" s="10">
        <f>SUMIFS('PLAN BUDGET SAMI-JF'!BK13:BK100000,'PLAN BUDGET SAMI-JF'!D13:D100000,SUMMARY!D66,'PLAN BUDGET SAMI-JF'!J13:J100000,SUMMARY!A66&amp;"*")</f>
        <v>0</v>
      </c>
      <c r="Z66" s="10">
        <f>SUMIFS('PLAN BUDGET SAMI-JF'!BL13:BL100000,'PLAN BUDGET SAMI-JF'!D13:D100000,SUMMARY!D66,'PLAN BUDGET SAMI-JF'!J13:J100000,SUMMARY!A66&amp;"*")</f>
        <v>0</v>
      </c>
      <c r="AA66" s="10">
        <f>SUMIFS('PLAN BUDGET SAMI-JF'!BM13:BM100000,'PLAN BUDGET SAMI-JF'!D13:D100000,SUMMARY!D66,'PLAN BUDGET SAMI-JF'!J13:J100000,SUMMARY!A66&amp;"*")</f>
        <v>0</v>
      </c>
      <c r="AB66" s="10">
        <f>SUMIFS('PLAN BUDGET SAMI-JF'!BN13:BN100000,'PLAN BUDGET SAMI-JF'!D13:D100000,SUMMARY!D66,'PLAN BUDGET SAMI-JF'!J13:J100000,SUMMARY!A66&amp;"*")</f>
        <v>0</v>
      </c>
      <c r="AC66" s="10">
        <f t="shared" si="4"/>
        <v>0</v>
      </c>
      <c r="AD66" s="10">
        <f t="shared" si="5"/>
        <v>0</v>
      </c>
      <c r="AE66" s="16"/>
      <c r="AF66" s="10">
        <v>1</v>
      </c>
      <c r="AG66" s="10">
        <v>28.483536515893999</v>
      </c>
      <c r="AH66" s="20">
        <f t="shared" si="6"/>
        <v>-1</v>
      </c>
      <c r="AI66" s="20">
        <f t="shared" si="7"/>
        <v>-1</v>
      </c>
      <c r="AJ66" s="7" t="s">
        <v>494</v>
      </c>
    </row>
    <row r="67" spans="1:36" x14ac:dyDescent="0.35">
      <c r="A67" s="7" t="s">
        <v>355</v>
      </c>
      <c r="B67" s="7"/>
      <c r="C67" s="7"/>
      <c r="D67" s="7" t="s">
        <v>78</v>
      </c>
      <c r="E67" s="10">
        <f>SUMIFS('PLAN BUDGET SAMI-JF'!AN13:AN100000,'PLAN BUDGET SAMI-JF'!D13:D100000,SUMMARY!D67,'PLAN BUDGET SAMI-JF'!J13:J100000,SUMMARY!A67&amp;"*")</f>
        <v>0</v>
      </c>
      <c r="F67" s="10">
        <f>SUMIFS('PLAN BUDGET SAMI-JF'!AO13:AO100000,'PLAN BUDGET SAMI-JF'!D13:D100000,SUMMARY!D67,'PLAN BUDGET SAMI-JF'!J13:J100000,SUMMARY!A67&amp;"*")</f>
        <v>0</v>
      </c>
      <c r="G67" s="10">
        <f>SUMIFS('PLAN BUDGET SAMI-JF'!AP13:AP100000,'PLAN BUDGET SAMI-JF'!D13:D100000,SUMMARY!D67,'PLAN BUDGET SAMI-JF'!J13:J100000,SUMMARY!A67&amp;"*")</f>
        <v>0</v>
      </c>
      <c r="H67" s="10">
        <f>SUMIFS('PLAN BUDGET SAMI-JF'!AQ13:AQ100000,'PLAN BUDGET SAMI-JF'!D13:D100000,SUMMARY!D67,'PLAN BUDGET SAMI-JF'!J13:J100000,SUMMARY!A67&amp;"*")</f>
        <v>0</v>
      </c>
      <c r="I67" s="10">
        <f>SUMIFS('PLAN BUDGET SAMI-JF'!AR13:AR100000,'PLAN BUDGET SAMI-JF'!D13:D100000,SUMMARY!D67,'PLAN BUDGET SAMI-JF'!J13:J100000,SUMMARY!A67&amp;"*")</f>
        <v>0</v>
      </c>
      <c r="J67" s="10">
        <f>SUMIFS('PLAN BUDGET SAMI-JF'!AS13:AS100000,'PLAN BUDGET SAMI-JF'!D13:D100000,SUMMARY!D67,'PLAN BUDGET SAMI-JF'!J13:J100000,SUMMARY!A67&amp;"*")</f>
        <v>0</v>
      </c>
      <c r="K67" s="10">
        <f>SUMIFS('PLAN BUDGET SAMI-JF'!AT13:AT100000,'PLAN BUDGET SAMI-JF'!D13:D100000,SUMMARY!D67,'PLAN BUDGET SAMI-JF'!J13:J100000,SUMMARY!A67&amp;"*")</f>
        <v>0</v>
      </c>
      <c r="L67" s="10">
        <f>SUMIFS('PLAN BUDGET SAMI-JF'!AU13:AU100000,'PLAN BUDGET SAMI-JF'!D13:D100000,SUMMARY!D67,'PLAN BUDGET SAMI-JF'!J13:J100000,SUMMARY!A67&amp;"*")</f>
        <v>0</v>
      </c>
      <c r="M67" s="10">
        <f>SUMIFS('PLAN BUDGET SAMI-JF'!AV13:AV100000,'PLAN BUDGET SAMI-JF'!D13:D100000,SUMMARY!D67,'PLAN BUDGET SAMI-JF'!J13:J100000,SUMMARY!A67&amp;"*")</f>
        <v>0</v>
      </c>
      <c r="N67" s="10">
        <f>SUMIFS('PLAN BUDGET SAMI-JF'!AW13:AW100000,'PLAN BUDGET SAMI-JF'!D13:D100000,SUMMARY!D67,'PLAN BUDGET SAMI-JF'!J13:J100000,SUMMARY!A67&amp;"*")</f>
        <v>0</v>
      </c>
      <c r="O67" s="10">
        <f>SUMIFS('PLAN BUDGET SAMI-JF'!AX13:AX100000,'PLAN BUDGET SAMI-JF'!D13:D100000,SUMMARY!D67,'PLAN BUDGET SAMI-JF'!J13:J100000,SUMMARY!A67&amp;"*")</f>
        <v>0</v>
      </c>
      <c r="P67" s="10">
        <f>SUMIFS('PLAN BUDGET SAMI-JF'!AY13:AY100000,'PLAN BUDGET SAMI-JF'!D13:D100000,SUMMARY!D67,'PLAN BUDGET SAMI-JF'!J13:J100000,SUMMARY!A67&amp;"*")</f>
        <v>0</v>
      </c>
      <c r="Q67" s="10">
        <f>SUMIFS('PLAN BUDGET SAMI-JF'!BC13:BC100000,'PLAN BUDGET SAMI-JF'!D13:D100000,SUMMARY!D67,'PLAN BUDGET SAMI-JF'!J13:J100000,SUMMARY!A67&amp;"*")</f>
        <v>0</v>
      </c>
      <c r="R67" s="10">
        <f>SUMIFS('PLAN BUDGET SAMI-JF'!BD13:BD100000,'PLAN BUDGET SAMI-JF'!D13:D100000,SUMMARY!D67,'PLAN BUDGET SAMI-JF'!J13:J100000,SUMMARY!A67&amp;"*")</f>
        <v>0</v>
      </c>
      <c r="S67" s="10">
        <f>SUMIFS('PLAN BUDGET SAMI-JF'!BE13:BE100000,'PLAN BUDGET SAMI-JF'!D13:D100000,SUMMARY!D67,'PLAN BUDGET SAMI-JF'!J13:J100000,SUMMARY!A67&amp;"*")</f>
        <v>0</v>
      </c>
      <c r="T67" s="10">
        <f>SUMIFS('PLAN BUDGET SAMI-JF'!BF13:BF100000,'PLAN BUDGET SAMI-JF'!D13:D100000,SUMMARY!D67,'PLAN BUDGET SAMI-JF'!J13:J100000,SUMMARY!A67&amp;"*")</f>
        <v>0</v>
      </c>
      <c r="U67" s="10">
        <f>SUMIFS('PLAN BUDGET SAMI-JF'!BG13:BG100000,'PLAN BUDGET SAMI-JF'!D13:D100000,SUMMARY!D67,'PLAN BUDGET SAMI-JF'!J13:J100000,SUMMARY!A67&amp;"*")</f>
        <v>0</v>
      </c>
      <c r="V67" s="10">
        <f>SUMIFS('PLAN BUDGET SAMI-JF'!BH13:BH100000,'PLAN BUDGET SAMI-JF'!D13:D100000,SUMMARY!D67,'PLAN BUDGET SAMI-JF'!J13:J100000,SUMMARY!A67&amp;"*")</f>
        <v>0</v>
      </c>
      <c r="W67" s="10">
        <f>SUMIFS('PLAN BUDGET SAMI-JF'!BI13:BI100000,'PLAN BUDGET SAMI-JF'!D13:D100000,SUMMARY!D67,'PLAN BUDGET SAMI-JF'!J13:J100000,SUMMARY!A67&amp;"*")</f>
        <v>0</v>
      </c>
      <c r="X67" s="10">
        <f>SUMIFS('PLAN BUDGET SAMI-JF'!BJ13:BJ100000,'PLAN BUDGET SAMI-JF'!D13:D100000,SUMMARY!D67,'PLAN BUDGET SAMI-JF'!J13:J100000,SUMMARY!A67&amp;"*")</f>
        <v>0</v>
      </c>
      <c r="Y67" s="10">
        <f>SUMIFS('PLAN BUDGET SAMI-JF'!BK13:BK100000,'PLAN BUDGET SAMI-JF'!D13:D100000,SUMMARY!D67,'PLAN BUDGET SAMI-JF'!J13:J100000,SUMMARY!A67&amp;"*")</f>
        <v>0</v>
      </c>
      <c r="Z67" s="10">
        <f>SUMIFS('PLAN BUDGET SAMI-JF'!BL13:BL100000,'PLAN BUDGET SAMI-JF'!D13:D100000,SUMMARY!D67,'PLAN BUDGET SAMI-JF'!J13:J100000,SUMMARY!A67&amp;"*")</f>
        <v>0</v>
      </c>
      <c r="AA67" s="10">
        <f>SUMIFS('PLAN BUDGET SAMI-JF'!BM13:BM100000,'PLAN BUDGET SAMI-JF'!D13:D100000,SUMMARY!D67,'PLAN BUDGET SAMI-JF'!J13:J100000,SUMMARY!A67&amp;"*")</f>
        <v>0</v>
      </c>
      <c r="AB67" s="10">
        <f>SUMIFS('PLAN BUDGET SAMI-JF'!BN13:BN100000,'PLAN BUDGET SAMI-JF'!D13:D100000,SUMMARY!D67,'PLAN BUDGET SAMI-JF'!J13:J100000,SUMMARY!A67&amp;"*")</f>
        <v>0</v>
      </c>
      <c r="AC67" s="10">
        <f t="shared" si="4"/>
        <v>0</v>
      </c>
      <c r="AD67" s="10">
        <f t="shared" si="5"/>
        <v>0</v>
      </c>
      <c r="AE67" s="16"/>
      <c r="AF67" s="10">
        <v>1</v>
      </c>
      <c r="AG67" s="10">
        <v>2.8103756029014999</v>
      </c>
      <c r="AH67" s="20">
        <f t="shared" si="6"/>
        <v>-1</v>
      </c>
      <c r="AI67" s="20">
        <f t="shared" si="7"/>
        <v>-1</v>
      </c>
      <c r="AJ67" s="7" t="s">
        <v>494</v>
      </c>
    </row>
    <row r="68" spans="1:36" x14ac:dyDescent="0.35">
      <c r="A68" s="7" t="s">
        <v>355</v>
      </c>
      <c r="B68" s="7"/>
      <c r="C68" s="7"/>
      <c r="D68" s="7" t="s">
        <v>497</v>
      </c>
      <c r="E68" s="10">
        <f>SUMIFS('PLAN BUDGET SAMI-JF'!AN13:AN100000,'PLAN BUDGET SAMI-JF'!D13:D100000,SUMMARY!D68,'PLAN BUDGET SAMI-JF'!J13:J100000,SUMMARY!A68&amp;"*")</f>
        <v>0</v>
      </c>
      <c r="F68" s="10">
        <f>SUMIFS('PLAN BUDGET SAMI-JF'!AO13:AO100000,'PLAN BUDGET SAMI-JF'!D13:D100000,SUMMARY!D68,'PLAN BUDGET SAMI-JF'!J13:J100000,SUMMARY!A68&amp;"*")</f>
        <v>0</v>
      </c>
      <c r="G68" s="10">
        <f>SUMIFS('PLAN BUDGET SAMI-JF'!AP13:AP100000,'PLAN BUDGET SAMI-JF'!D13:D100000,SUMMARY!D68,'PLAN BUDGET SAMI-JF'!J13:J100000,SUMMARY!A68&amp;"*")</f>
        <v>0</v>
      </c>
      <c r="H68" s="10">
        <f>SUMIFS('PLAN BUDGET SAMI-JF'!AQ13:AQ100000,'PLAN BUDGET SAMI-JF'!D13:D100000,SUMMARY!D68,'PLAN BUDGET SAMI-JF'!J13:J100000,SUMMARY!A68&amp;"*")</f>
        <v>0</v>
      </c>
      <c r="I68" s="10">
        <f>SUMIFS('PLAN BUDGET SAMI-JF'!AR13:AR100000,'PLAN BUDGET SAMI-JF'!D13:D100000,SUMMARY!D68,'PLAN BUDGET SAMI-JF'!J13:J100000,SUMMARY!A68&amp;"*")</f>
        <v>0</v>
      </c>
      <c r="J68" s="10">
        <f>SUMIFS('PLAN BUDGET SAMI-JF'!AS13:AS100000,'PLAN BUDGET SAMI-JF'!D13:D100000,SUMMARY!D68,'PLAN BUDGET SAMI-JF'!J13:J100000,SUMMARY!A68&amp;"*")</f>
        <v>0</v>
      </c>
      <c r="K68" s="10">
        <f>SUMIFS('PLAN BUDGET SAMI-JF'!AT13:AT100000,'PLAN BUDGET SAMI-JF'!D13:D100000,SUMMARY!D68,'PLAN BUDGET SAMI-JF'!J13:J100000,SUMMARY!A68&amp;"*")</f>
        <v>0</v>
      </c>
      <c r="L68" s="10">
        <f>SUMIFS('PLAN BUDGET SAMI-JF'!AU13:AU100000,'PLAN BUDGET SAMI-JF'!D13:D100000,SUMMARY!D68,'PLAN BUDGET SAMI-JF'!J13:J100000,SUMMARY!A68&amp;"*")</f>
        <v>0</v>
      </c>
      <c r="M68" s="10">
        <f>SUMIFS('PLAN BUDGET SAMI-JF'!AV13:AV100000,'PLAN BUDGET SAMI-JF'!D13:D100000,SUMMARY!D68,'PLAN BUDGET SAMI-JF'!J13:J100000,SUMMARY!A68&amp;"*")</f>
        <v>0</v>
      </c>
      <c r="N68" s="10">
        <f>SUMIFS('PLAN BUDGET SAMI-JF'!AW13:AW100000,'PLAN BUDGET SAMI-JF'!D13:D100000,SUMMARY!D68,'PLAN BUDGET SAMI-JF'!J13:J100000,SUMMARY!A68&amp;"*")</f>
        <v>0</v>
      </c>
      <c r="O68" s="10">
        <f>SUMIFS('PLAN BUDGET SAMI-JF'!AX13:AX100000,'PLAN BUDGET SAMI-JF'!D13:D100000,SUMMARY!D68,'PLAN BUDGET SAMI-JF'!J13:J100000,SUMMARY!A68&amp;"*")</f>
        <v>0</v>
      </c>
      <c r="P68" s="10">
        <f>SUMIFS('PLAN BUDGET SAMI-JF'!AY13:AY100000,'PLAN BUDGET SAMI-JF'!D13:D100000,SUMMARY!D68,'PLAN BUDGET SAMI-JF'!J13:J100000,SUMMARY!A68&amp;"*")</f>
        <v>0</v>
      </c>
      <c r="Q68" s="10">
        <f>SUMIFS('PLAN BUDGET SAMI-JF'!BC13:BC100000,'PLAN BUDGET SAMI-JF'!D13:D100000,SUMMARY!D68,'PLAN BUDGET SAMI-JF'!J13:J100000,SUMMARY!A68&amp;"*")</f>
        <v>0</v>
      </c>
      <c r="R68" s="10">
        <f>SUMIFS('PLAN BUDGET SAMI-JF'!BD13:BD100000,'PLAN BUDGET SAMI-JF'!D13:D100000,SUMMARY!D68,'PLAN BUDGET SAMI-JF'!J13:J100000,SUMMARY!A68&amp;"*")</f>
        <v>0</v>
      </c>
      <c r="S68" s="10">
        <f>SUMIFS('PLAN BUDGET SAMI-JF'!BE13:BE100000,'PLAN BUDGET SAMI-JF'!D13:D100000,SUMMARY!D68,'PLAN BUDGET SAMI-JF'!J13:J100000,SUMMARY!A68&amp;"*")</f>
        <v>0</v>
      </c>
      <c r="T68" s="10">
        <f>SUMIFS('PLAN BUDGET SAMI-JF'!BF13:BF100000,'PLAN BUDGET SAMI-JF'!D13:D100000,SUMMARY!D68,'PLAN BUDGET SAMI-JF'!J13:J100000,SUMMARY!A68&amp;"*")</f>
        <v>0</v>
      </c>
      <c r="U68" s="10">
        <f>SUMIFS('PLAN BUDGET SAMI-JF'!BG13:BG100000,'PLAN BUDGET SAMI-JF'!D13:D100000,SUMMARY!D68,'PLAN BUDGET SAMI-JF'!J13:J100000,SUMMARY!A68&amp;"*")</f>
        <v>0</v>
      </c>
      <c r="V68" s="10">
        <f>SUMIFS('PLAN BUDGET SAMI-JF'!BH13:BH100000,'PLAN BUDGET SAMI-JF'!D13:D100000,SUMMARY!D68,'PLAN BUDGET SAMI-JF'!J13:J100000,SUMMARY!A68&amp;"*")</f>
        <v>0</v>
      </c>
      <c r="W68" s="10">
        <f>SUMIFS('PLAN BUDGET SAMI-JF'!BI13:BI100000,'PLAN BUDGET SAMI-JF'!D13:D100000,SUMMARY!D68,'PLAN BUDGET SAMI-JF'!J13:J100000,SUMMARY!A68&amp;"*")</f>
        <v>0</v>
      </c>
      <c r="X68" s="10">
        <f>SUMIFS('PLAN BUDGET SAMI-JF'!BJ13:BJ100000,'PLAN BUDGET SAMI-JF'!D13:D100000,SUMMARY!D68,'PLAN BUDGET SAMI-JF'!J13:J100000,SUMMARY!A68&amp;"*")</f>
        <v>0</v>
      </c>
      <c r="Y68" s="10">
        <f>SUMIFS('PLAN BUDGET SAMI-JF'!BK13:BK100000,'PLAN BUDGET SAMI-JF'!D13:D100000,SUMMARY!D68,'PLAN BUDGET SAMI-JF'!J13:J100000,SUMMARY!A68&amp;"*")</f>
        <v>0</v>
      </c>
      <c r="Z68" s="10">
        <f>SUMIFS('PLAN BUDGET SAMI-JF'!BL13:BL100000,'PLAN BUDGET SAMI-JF'!D13:D100000,SUMMARY!D68,'PLAN BUDGET SAMI-JF'!J13:J100000,SUMMARY!A68&amp;"*")</f>
        <v>0</v>
      </c>
      <c r="AA68" s="10">
        <f>SUMIFS('PLAN BUDGET SAMI-JF'!BM13:BM100000,'PLAN BUDGET SAMI-JF'!D13:D100000,SUMMARY!D68,'PLAN BUDGET SAMI-JF'!J13:J100000,SUMMARY!A68&amp;"*")</f>
        <v>0</v>
      </c>
      <c r="AB68" s="10">
        <f>SUMIFS('PLAN BUDGET SAMI-JF'!BN13:BN100000,'PLAN BUDGET SAMI-JF'!D13:D100000,SUMMARY!D68,'PLAN BUDGET SAMI-JF'!J13:J100000,SUMMARY!A68&amp;"*")</f>
        <v>0</v>
      </c>
      <c r="AC68" s="10">
        <f t="shared" si="4"/>
        <v>0</v>
      </c>
      <c r="AD68" s="10">
        <f t="shared" si="5"/>
        <v>0</v>
      </c>
      <c r="AE68" s="16"/>
      <c r="AF68" s="10">
        <v>10</v>
      </c>
      <c r="AG68" s="10">
        <v>8.3551707113289009</v>
      </c>
      <c r="AH68" s="20">
        <f t="shared" si="6"/>
        <v>-1</v>
      </c>
      <c r="AI68" s="20">
        <f t="shared" si="7"/>
        <v>-1</v>
      </c>
      <c r="AJ68" s="7" t="s">
        <v>494</v>
      </c>
    </row>
    <row r="69" spans="1:36" x14ac:dyDescent="0.35">
      <c r="A69" s="7" t="s">
        <v>355</v>
      </c>
      <c r="B69" s="7"/>
      <c r="C69" s="7"/>
      <c r="D69" s="7" t="s">
        <v>498</v>
      </c>
      <c r="E69" s="10">
        <f>SUMIFS('PLAN BUDGET SAMI-JF'!AN13:AN100000,'PLAN BUDGET SAMI-JF'!D13:D100000,SUMMARY!D69,'PLAN BUDGET SAMI-JF'!J13:J100000,SUMMARY!A69&amp;"*")</f>
        <v>0</v>
      </c>
      <c r="F69" s="10">
        <f>SUMIFS('PLAN BUDGET SAMI-JF'!AO13:AO100000,'PLAN BUDGET SAMI-JF'!D13:D100000,SUMMARY!D69,'PLAN BUDGET SAMI-JF'!J13:J100000,SUMMARY!A69&amp;"*")</f>
        <v>0</v>
      </c>
      <c r="G69" s="10">
        <f>SUMIFS('PLAN BUDGET SAMI-JF'!AP13:AP100000,'PLAN BUDGET SAMI-JF'!D13:D100000,SUMMARY!D69,'PLAN BUDGET SAMI-JF'!J13:J100000,SUMMARY!A69&amp;"*")</f>
        <v>0</v>
      </c>
      <c r="H69" s="10">
        <f>SUMIFS('PLAN BUDGET SAMI-JF'!AQ13:AQ100000,'PLAN BUDGET SAMI-JF'!D13:D100000,SUMMARY!D69,'PLAN BUDGET SAMI-JF'!J13:J100000,SUMMARY!A69&amp;"*")</f>
        <v>0</v>
      </c>
      <c r="I69" s="10">
        <f>SUMIFS('PLAN BUDGET SAMI-JF'!AR13:AR100000,'PLAN BUDGET SAMI-JF'!D13:D100000,SUMMARY!D69,'PLAN BUDGET SAMI-JF'!J13:J100000,SUMMARY!A69&amp;"*")</f>
        <v>0</v>
      </c>
      <c r="J69" s="10">
        <f>SUMIFS('PLAN BUDGET SAMI-JF'!AS13:AS100000,'PLAN BUDGET SAMI-JF'!D13:D100000,SUMMARY!D69,'PLAN BUDGET SAMI-JF'!J13:J100000,SUMMARY!A69&amp;"*")</f>
        <v>0</v>
      </c>
      <c r="K69" s="10">
        <f>SUMIFS('PLAN BUDGET SAMI-JF'!AT13:AT100000,'PLAN BUDGET SAMI-JF'!D13:D100000,SUMMARY!D69,'PLAN BUDGET SAMI-JF'!J13:J100000,SUMMARY!A69&amp;"*")</f>
        <v>0</v>
      </c>
      <c r="L69" s="10">
        <f>SUMIFS('PLAN BUDGET SAMI-JF'!AU13:AU100000,'PLAN BUDGET SAMI-JF'!D13:D100000,SUMMARY!D69,'PLAN BUDGET SAMI-JF'!J13:J100000,SUMMARY!A69&amp;"*")</f>
        <v>0</v>
      </c>
      <c r="M69" s="10">
        <f>SUMIFS('PLAN BUDGET SAMI-JF'!AV13:AV100000,'PLAN BUDGET SAMI-JF'!D13:D100000,SUMMARY!D69,'PLAN BUDGET SAMI-JF'!J13:J100000,SUMMARY!A69&amp;"*")</f>
        <v>0</v>
      </c>
      <c r="N69" s="10">
        <f>SUMIFS('PLAN BUDGET SAMI-JF'!AW13:AW100000,'PLAN BUDGET SAMI-JF'!D13:D100000,SUMMARY!D69,'PLAN BUDGET SAMI-JF'!J13:J100000,SUMMARY!A69&amp;"*")</f>
        <v>0</v>
      </c>
      <c r="O69" s="10">
        <f>SUMIFS('PLAN BUDGET SAMI-JF'!AX13:AX100000,'PLAN BUDGET SAMI-JF'!D13:D100000,SUMMARY!D69,'PLAN BUDGET SAMI-JF'!J13:J100000,SUMMARY!A69&amp;"*")</f>
        <v>0</v>
      </c>
      <c r="P69" s="10">
        <f>SUMIFS('PLAN BUDGET SAMI-JF'!AY13:AY100000,'PLAN BUDGET SAMI-JF'!D13:D100000,SUMMARY!D69,'PLAN BUDGET SAMI-JF'!J13:J100000,SUMMARY!A69&amp;"*")</f>
        <v>0</v>
      </c>
      <c r="Q69" s="10">
        <f>SUMIFS('PLAN BUDGET SAMI-JF'!BC13:BC100000,'PLAN BUDGET SAMI-JF'!D13:D100000,SUMMARY!D69,'PLAN BUDGET SAMI-JF'!J13:J100000,SUMMARY!A69&amp;"*")</f>
        <v>0</v>
      </c>
      <c r="R69" s="10">
        <f>SUMIFS('PLAN BUDGET SAMI-JF'!BD13:BD100000,'PLAN BUDGET SAMI-JF'!D13:D100000,SUMMARY!D69,'PLAN BUDGET SAMI-JF'!J13:J100000,SUMMARY!A69&amp;"*")</f>
        <v>0</v>
      </c>
      <c r="S69" s="10">
        <f>SUMIFS('PLAN BUDGET SAMI-JF'!BE13:BE100000,'PLAN BUDGET SAMI-JF'!D13:D100000,SUMMARY!D69,'PLAN BUDGET SAMI-JF'!J13:J100000,SUMMARY!A69&amp;"*")</f>
        <v>0</v>
      </c>
      <c r="T69" s="10">
        <f>SUMIFS('PLAN BUDGET SAMI-JF'!BF13:BF100000,'PLAN BUDGET SAMI-JF'!D13:D100000,SUMMARY!D69,'PLAN BUDGET SAMI-JF'!J13:J100000,SUMMARY!A69&amp;"*")</f>
        <v>0</v>
      </c>
      <c r="U69" s="10">
        <f>SUMIFS('PLAN BUDGET SAMI-JF'!BG13:BG100000,'PLAN BUDGET SAMI-JF'!D13:D100000,SUMMARY!D69,'PLAN BUDGET SAMI-JF'!J13:J100000,SUMMARY!A69&amp;"*")</f>
        <v>0</v>
      </c>
      <c r="V69" s="10">
        <f>SUMIFS('PLAN BUDGET SAMI-JF'!BH13:BH100000,'PLAN BUDGET SAMI-JF'!D13:D100000,SUMMARY!D69,'PLAN BUDGET SAMI-JF'!J13:J100000,SUMMARY!A69&amp;"*")</f>
        <v>0</v>
      </c>
      <c r="W69" s="10">
        <f>SUMIFS('PLAN BUDGET SAMI-JF'!BI13:BI100000,'PLAN BUDGET SAMI-JF'!D13:D100000,SUMMARY!D69,'PLAN BUDGET SAMI-JF'!J13:J100000,SUMMARY!A69&amp;"*")</f>
        <v>0</v>
      </c>
      <c r="X69" s="10">
        <f>SUMIFS('PLAN BUDGET SAMI-JF'!BJ13:BJ100000,'PLAN BUDGET SAMI-JF'!D13:D100000,SUMMARY!D69,'PLAN BUDGET SAMI-JF'!J13:J100000,SUMMARY!A69&amp;"*")</f>
        <v>0</v>
      </c>
      <c r="Y69" s="10">
        <f>SUMIFS('PLAN BUDGET SAMI-JF'!BK13:BK100000,'PLAN BUDGET SAMI-JF'!D13:D100000,SUMMARY!D69,'PLAN BUDGET SAMI-JF'!J13:J100000,SUMMARY!A69&amp;"*")</f>
        <v>0</v>
      </c>
      <c r="Z69" s="10">
        <f>SUMIFS('PLAN BUDGET SAMI-JF'!BL13:BL100000,'PLAN BUDGET SAMI-JF'!D13:D100000,SUMMARY!D69,'PLAN BUDGET SAMI-JF'!J13:J100000,SUMMARY!A69&amp;"*")</f>
        <v>0</v>
      </c>
      <c r="AA69" s="10">
        <f>SUMIFS('PLAN BUDGET SAMI-JF'!BM13:BM100000,'PLAN BUDGET SAMI-JF'!D13:D100000,SUMMARY!D69,'PLAN BUDGET SAMI-JF'!J13:J100000,SUMMARY!A69&amp;"*")</f>
        <v>0</v>
      </c>
      <c r="AB69" s="10">
        <f>SUMIFS('PLAN BUDGET SAMI-JF'!BN13:BN100000,'PLAN BUDGET SAMI-JF'!D13:D100000,SUMMARY!D69,'PLAN BUDGET SAMI-JF'!J13:J100000,SUMMARY!A69&amp;"*")</f>
        <v>0</v>
      </c>
      <c r="AC69" s="10">
        <f t="shared" si="4"/>
        <v>0</v>
      </c>
      <c r="AD69" s="10">
        <f t="shared" si="5"/>
        <v>0</v>
      </c>
      <c r="AE69" s="16"/>
      <c r="AF69" s="10">
        <v>5</v>
      </c>
      <c r="AG69" s="10">
        <v>303.82438950287002</v>
      </c>
      <c r="AH69" s="20">
        <f t="shared" si="6"/>
        <v>-1</v>
      </c>
      <c r="AI69" s="20">
        <f t="shared" si="7"/>
        <v>-1</v>
      </c>
      <c r="AJ69" s="7" t="s">
        <v>494</v>
      </c>
    </row>
    <row r="70" spans="1:36" x14ac:dyDescent="0.35">
      <c r="A70" s="7" t="s">
        <v>355</v>
      </c>
      <c r="B70" s="7"/>
      <c r="C70" s="7"/>
      <c r="D70" s="7" t="s">
        <v>499</v>
      </c>
      <c r="E70" s="10">
        <f>SUMIFS('PLAN BUDGET SAMI-JF'!AN13:AN100000,'PLAN BUDGET SAMI-JF'!D13:D100000,SUMMARY!D70,'PLAN BUDGET SAMI-JF'!J13:J100000,SUMMARY!A70&amp;"*")</f>
        <v>0</v>
      </c>
      <c r="F70" s="10">
        <f>SUMIFS('PLAN BUDGET SAMI-JF'!AO13:AO100000,'PLAN BUDGET SAMI-JF'!D13:D100000,SUMMARY!D70,'PLAN BUDGET SAMI-JF'!J13:J100000,SUMMARY!A70&amp;"*")</f>
        <v>0</v>
      </c>
      <c r="G70" s="10">
        <f>SUMIFS('PLAN BUDGET SAMI-JF'!AP13:AP100000,'PLAN BUDGET SAMI-JF'!D13:D100000,SUMMARY!D70,'PLAN BUDGET SAMI-JF'!J13:J100000,SUMMARY!A70&amp;"*")</f>
        <v>0</v>
      </c>
      <c r="H70" s="10">
        <f>SUMIFS('PLAN BUDGET SAMI-JF'!AQ13:AQ100000,'PLAN BUDGET SAMI-JF'!D13:D100000,SUMMARY!D70,'PLAN BUDGET SAMI-JF'!J13:J100000,SUMMARY!A70&amp;"*")</f>
        <v>0</v>
      </c>
      <c r="I70" s="10">
        <f>SUMIFS('PLAN BUDGET SAMI-JF'!AR13:AR100000,'PLAN BUDGET SAMI-JF'!D13:D100000,SUMMARY!D70,'PLAN BUDGET SAMI-JF'!J13:J100000,SUMMARY!A70&amp;"*")</f>
        <v>0</v>
      </c>
      <c r="J70" s="10">
        <f>SUMIFS('PLAN BUDGET SAMI-JF'!AS13:AS100000,'PLAN BUDGET SAMI-JF'!D13:D100000,SUMMARY!D70,'PLAN BUDGET SAMI-JF'!J13:J100000,SUMMARY!A70&amp;"*")</f>
        <v>0</v>
      </c>
      <c r="K70" s="10">
        <f>SUMIFS('PLAN BUDGET SAMI-JF'!AT13:AT100000,'PLAN BUDGET SAMI-JF'!D13:D100000,SUMMARY!D70,'PLAN BUDGET SAMI-JF'!J13:J100000,SUMMARY!A70&amp;"*")</f>
        <v>0</v>
      </c>
      <c r="L70" s="10">
        <f>SUMIFS('PLAN BUDGET SAMI-JF'!AU13:AU100000,'PLAN BUDGET SAMI-JF'!D13:D100000,SUMMARY!D70,'PLAN BUDGET SAMI-JF'!J13:J100000,SUMMARY!A70&amp;"*")</f>
        <v>0</v>
      </c>
      <c r="M70" s="10">
        <f>SUMIFS('PLAN BUDGET SAMI-JF'!AV13:AV100000,'PLAN BUDGET SAMI-JF'!D13:D100000,SUMMARY!D70,'PLAN BUDGET SAMI-JF'!J13:J100000,SUMMARY!A70&amp;"*")</f>
        <v>0</v>
      </c>
      <c r="N70" s="10">
        <f>SUMIFS('PLAN BUDGET SAMI-JF'!AW13:AW100000,'PLAN BUDGET SAMI-JF'!D13:D100000,SUMMARY!D70,'PLAN BUDGET SAMI-JF'!J13:J100000,SUMMARY!A70&amp;"*")</f>
        <v>0</v>
      </c>
      <c r="O70" s="10">
        <f>SUMIFS('PLAN BUDGET SAMI-JF'!AX13:AX100000,'PLAN BUDGET SAMI-JF'!D13:D100000,SUMMARY!D70,'PLAN BUDGET SAMI-JF'!J13:J100000,SUMMARY!A70&amp;"*")</f>
        <v>0</v>
      </c>
      <c r="P70" s="10">
        <f>SUMIFS('PLAN BUDGET SAMI-JF'!AY13:AY100000,'PLAN BUDGET SAMI-JF'!D13:D100000,SUMMARY!D70,'PLAN BUDGET SAMI-JF'!J13:J100000,SUMMARY!A70&amp;"*")</f>
        <v>0</v>
      </c>
      <c r="Q70" s="10">
        <f>SUMIFS('PLAN BUDGET SAMI-JF'!BC13:BC100000,'PLAN BUDGET SAMI-JF'!D13:D100000,SUMMARY!D70,'PLAN BUDGET SAMI-JF'!J13:J100000,SUMMARY!A70&amp;"*")</f>
        <v>0</v>
      </c>
      <c r="R70" s="10">
        <f>SUMIFS('PLAN BUDGET SAMI-JF'!BD13:BD100000,'PLAN BUDGET SAMI-JF'!D13:D100000,SUMMARY!D70,'PLAN BUDGET SAMI-JF'!J13:J100000,SUMMARY!A70&amp;"*")</f>
        <v>0</v>
      </c>
      <c r="S70" s="10">
        <f>SUMIFS('PLAN BUDGET SAMI-JF'!BE13:BE100000,'PLAN BUDGET SAMI-JF'!D13:D100000,SUMMARY!D70,'PLAN BUDGET SAMI-JF'!J13:J100000,SUMMARY!A70&amp;"*")</f>
        <v>0</v>
      </c>
      <c r="T70" s="10">
        <f>SUMIFS('PLAN BUDGET SAMI-JF'!BF13:BF100000,'PLAN BUDGET SAMI-JF'!D13:D100000,SUMMARY!D70,'PLAN BUDGET SAMI-JF'!J13:J100000,SUMMARY!A70&amp;"*")</f>
        <v>0</v>
      </c>
      <c r="U70" s="10">
        <f>SUMIFS('PLAN BUDGET SAMI-JF'!BG13:BG100000,'PLAN BUDGET SAMI-JF'!D13:D100000,SUMMARY!D70,'PLAN BUDGET SAMI-JF'!J13:J100000,SUMMARY!A70&amp;"*")</f>
        <v>0</v>
      </c>
      <c r="V70" s="10">
        <f>SUMIFS('PLAN BUDGET SAMI-JF'!BH13:BH100000,'PLAN BUDGET SAMI-JF'!D13:D100000,SUMMARY!D70,'PLAN BUDGET SAMI-JF'!J13:J100000,SUMMARY!A70&amp;"*")</f>
        <v>0</v>
      </c>
      <c r="W70" s="10">
        <f>SUMIFS('PLAN BUDGET SAMI-JF'!BI13:BI100000,'PLAN BUDGET SAMI-JF'!D13:D100000,SUMMARY!D70,'PLAN BUDGET SAMI-JF'!J13:J100000,SUMMARY!A70&amp;"*")</f>
        <v>0</v>
      </c>
      <c r="X70" s="10">
        <f>SUMIFS('PLAN BUDGET SAMI-JF'!BJ13:BJ100000,'PLAN BUDGET SAMI-JF'!D13:D100000,SUMMARY!D70,'PLAN BUDGET SAMI-JF'!J13:J100000,SUMMARY!A70&amp;"*")</f>
        <v>0</v>
      </c>
      <c r="Y70" s="10">
        <f>SUMIFS('PLAN BUDGET SAMI-JF'!BK13:BK100000,'PLAN BUDGET SAMI-JF'!D13:D100000,SUMMARY!D70,'PLAN BUDGET SAMI-JF'!J13:J100000,SUMMARY!A70&amp;"*")</f>
        <v>0</v>
      </c>
      <c r="Z70" s="10">
        <f>SUMIFS('PLAN BUDGET SAMI-JF'!BL13:BL100000,'PLAN BUDGET SAMI-JF'!D13:D100000,SUMMARY!D70,'PLAN BUDGET SAMI-JF'!J13:J100000,SUMMARY!A70&amp;"*")</f>
        <v>0</v>
      </c>
      <c r="AA70" s="10">
        <f>SUMIFS('PLAN BUDGET SAMI-JF'!BM13:BM100000,'PLAN BUDGET SAMI-JF'!D13:D100000,SUMMARY!D70,'PLAN BUDGET SAMI-JF'!J13:J100000,SUMMARY!A70&amp;"*")</f>
        <v>0</v>
      </c>
      <c r="AB70" s="10">
        <f>SUMIFS('PLAN BUDGET SAMI-JF'!BN13:BN100000,'PLAN BUDGET SAMI-JF'!D13:D100000,SUMMARY!D70,'PLAN BUDGET SAMI-JF'!J13:J100000,SUMMARY!A70&amp;"*")</f>
        <v>0</v>
      </c>
      <c r="AC70" s="10">
        <f t="shared" si="4"/>
        <v>0</v>
      </c>
      <c r="AD70" s="10">
        <f t="shared" si="5"/>
        <v>0</v>
      </c>
      <c r="AE70" s="16"/>
      <c r="AF70" s="10">
        <v>50</v>
      </c>
      <c r="AG70" s="10">
        <v>1788.13312572</v>
      </c>
      <c r="AH70" s="20">
        <f t="shared" si="6"/>
        <v>-1</v>
      </c>
      <c r="AI70" s="20">
        <f t="shared" si="7"/>
        <v>-1</v>
      </c>
      <c r="AJ70" s="7" t="s">
        <v>494</v>
      </c>
    </row>
    <row r="71" spans="1:36" x14ac:dyDescent="0.35">
      <c r="A71" s="7" t="s">
        <v>355</v>
      </c>
      <c r="B71" s="7"/>
      <c r="C71" s="7"/>
      <c r="D71" s="7" t="s">
        <v>500</v>
      </c>
      <c r="E71" s="10">
        <f>SUMIFS('PLAN BUDGET SAMI-JF'!AN13:AN100000,'PLAN BUDGET SAMI-JF'!D13:D100000,SUMMARY!D71,'PLAN BUDGET SAMI-JF'!J13:J100000,SUMMARY!A71&amp;"*")</f>
        <v>0</v>
      </c>
      <c r="F71" s="10">
        <f>SUMIFS('PLAN BUDGET SAMI-JF'!AO13:AO100000,'PLAN BUDGET SAMI-JF'!D13:D100000,SUMMARY!D71,'PLAN BUDGET SAMI-JF'!J13:J100000,SUMMARY!A71&amp;"*")</f>
        <v>0</v>
      </c>
      <c r="G71" s="10">
        <f>SUMIFS('PLAN BUDGET SAMI-JF'!AP13:AP100000,'PLAN BUDGET SAMI-JF'!D13:D100000,SUMMARY!D71,'PLAN BUDGET SAMI-JF'!J13:J100000,SUMMARY!A71&amp;"*")</f>
        <v>0</v>
      </c>
      <c r="H71" s="10">
        <f>SUMIFS('PLAN BUDGET SAMI-JF'!AQ13:AQ100000,'PLAN BUDGET SAMI-JF'!D13:D100000,SUMMARY!D71,'PLAN BUDGET SAMI-JF'!J13:J100000,SUMMARY!A71&amp;"*")</f>
        <v>0</v>
      </c>
      <c r="I71" s="10">
        <f>SUMIFS('PLAN BUDGET SAMI-JF'!AR13:AR100000,'PLAN BUDGET SAMI-JF'!D13:D100000,SUMMARY!D71,'PLAN BUDGET SAMI-JF'!J13:J100000,SUMMARY!A71&amp;"*")</f>
        <v>0</v>
      </c>
      <c r="J71" s="10">
        <f>SUMIFS('PLAN BUDGET SAMI-JF'!AS13:AS100000,'PLAN BUDGET SAMI-JF'!D13:D100000,SUMMARY!D71,'PLAN BUDGET SAMI-JF'!J13:J100000,SUMMARY!A71&amp;"*")</f>
        <v>0</v>
      </c>
      <c r="K71" s="10">
        <f>SUMIFS('PLAN BUDGET SAMI-JF'!AT13:AT100000,'PLAN BUDGET SAMI-JF'!D13:D100000,SUMMARY!D71,'PLAN BUDGET SAMI-JF'!J13:J100000,SUMMARY!A71&amp;"*")</f>
        <v>0</v>
      </c>
      <c r="L71" s="10">
        <f>SUMIFS('PLAN BUDGET SAMI-JF'!AU13:AU100000,'PLAN BUDGET SAMI-JF'!D13:D100000,SUMMARY!D71,'PLAN BUDGET SAMI-JF'!J13:J100000,SUMMARY!A71&amp;"*")</f>
        <v>0</v>
      </c>
      <c r="M71" s="10">
        <f>SUMIFS('PLAN BUDGET SAMI-JF'!AV13:AV100000,'PLAN BUDGET SAMI-JF'!D13:D100000,SUMMARY!D71,'PLAN BUDGET SAMI-JF'!J13:J100000,SUMMARY!A71&amp;"*")</f>
        <v>0</v>
      </c>
      <c r="N71" s="10">
        <f>SUMIFS('PLAN BUDGET SAMI-JF'!AW13:AW100000,'PLAN BUDGET SAMI-JF'!D13:D100000,SUMMARY!D71,'PLAN BUDGET SAMI-JF'!J13:J100000,SUMMARY!A71&amp;"*")</f>
        <v>0</v>
      </c>
      <c r="O71" s="10">
        <f>SUMIFS('PLAN BUDGET SAMI-JF'!AX13:AX100000,'PLAN BUDGET SAMI-JF'!D13:D100000,SUMMARY!D71,'PLAN BUDGET SAMI-JF'!J13:J100000,SUMMARY!A71&amp;"*")</f>
        <v>0</v>
      </c>
      <c r="P71" s="10">
        <f>SUMIFS('PLAN BUDGET SAMI-JF'!AY13:AY100000,'PLAN BUDGET SAMI-JF'!D13:D100000,SUMMARY!D71,'PLAN BUDGET SAMI-JF'!J13:J100000,SUMMARY!A71&amp;"*")</f>
        <v>0</v>
      </c>
      <c r="Q71" s="10">
        <f>SUMIFS('PLAN BUDGET SAMI-JF'!BC13:BC100000,'PLAN BUDGET SAMI-JF'!D13:D100000,SUMMARY!D71,'PLAN BUDGET SAMI-JF'!J13:J100000,SUMMARY!A71&amp;"*")</f>
        <v>0</v>
      </c>
      <c r="R71" s="10">
        <f>SUMIFS('PLAN BUDGET SAMI-JF'!BD13:BD100000,'PLAN BUDGET SAMI-JF'!D13:D100000,SUMMARY!D71,'PLAN BUDGET SAMI-JF'!J13:J100000,SUMMARY!A71&amp;"*")</f>
        <v>0</v>
      </c>
      <c r="S71" s="10">
        <f>SUMIFS('PLAN BUDGET SAMI-JF'!BE13:BE100000,'PLAN BUDGET SAMI-JF'!D13:D100000,SUMMARY!D71,'PLAN BUDGET SAMI-JF'!J13:J100000,SUMMARY!A71&amp;"*")</f>
        <v>0</v>
      </c>
      <c r="T71" s="10">
        <f>SUMIFS('PLAN BUDGET SAMI-JF'!BF13:BF100000,'PLAN BUDGET SAMI-JF'!D13:D100000,SUMMARY!D71,'PLAN BUDGET SAMI-JF'!J13:J100000,SUMMARY!A71&amp;"*")</f>
        <v>0</v>
      </c>
      <c r="U71" s="10">
        <f>SUMIFS('PLAN BUDGET SAMI-JF'!BG13:BG100000,'PLAN BUDGET SAMI-JF'!D13:D100000,SUMMARY!D71,'PLAN BUDGET SAMI-JF'!J13:J100000,SUMMARY!A71&amp;"*")</f>
        <v>0</v>
      </c>
      <c r="V71" s="10">
        <f>SUMIFS('PLAN BUDGET SAMI-JF'!BH13:BH100000,'PLAN BUDGET SAMI-JF'!D13:D100000,SUMMARY!D71,'PLAN BUDGET SAMI-JF'!J13:J100000,SUMMARY!A71&amp;"*")</f>
        <v>0</v>
      </c>
      <c r="W71" s="10">
        <f>SUMIFS('PLAN BUDGET SAMI-JF'!BI13:BI100000,'PLAN BUDGET SAMI-JF'!D13:D100000,SUMMARY!D71,'PLAN BUDGET SAMI-JF'!J13:J100000,SUMMARY!A71&amp;"*")</f>
        <v>0</v>
      </c>
      <c r="X71" s="10">
        <f>SUMIFS('PLAN BUDGET SAMI-JF'!BJ13:BJ100000,'PLAN BUDGET SAMI-JF'!D13:D100000,SUMMARY!D71,'PLAN BUDGET SAMI-JF'!J13:J100000,SUMMARY!A71&amp;"*")</f>
        <v>0</v>
      </c>
      <c r="Y71" s="10">
        <f>SUMIFS('PLAN BUDGET SAMI-JF'!BK13:BK100000,'PLAN BUDGET SAMI-JF'!D13:D100000,SUMMARY!D71,'PLAN BUDGET SAMI-JF'!J13:J100000,SUMMARY!A71&amp;"*")</f>
        <v>0</v>
      </c>
      <c r="Z71" s="10">
        <f>SUMIFS('PLAN BUDGET SAMI-JF'!BL13:BL100000,'PLAN BUDGET SAMI-JF'!D13:D100000,SUMMARY!D71,'PLAN BUDGET SAMI-JF'!J13:J100000,SUMMARY!A71&amp;"*")</f>
        <v>0</v>
      </c>
      <c r="AA71" s="10">
        <f>SUMIFS('PLAN BUDGET SAMI-JF'!BM13:BM100000,'PLAN BUDGET SAMI-JF'!D13:D100000,SUMMARY!D71,'PLAN BUDGET SAMI-JF'!J13:J100000,SUMMARY!A71&amp;"*")</f>
        <v>0</v>
      </c>
      <c r="AB71" s="10">
        <f>SUMIFS('PLAN BUDGET SAMI-JF'!BN13:BN100000,'PLAN BUDGET SAMI-JF'!D13:D100000,SUMMARY!D71,'PLAN BUDGET SAMI-JF'!J13:J100000,SUMMARY!A71&amp;"*")</f>
        <v>0</v>
      </c>
      <c r="AC71" s="10">
        <f t="shared" si="4"/>
        <v>0</v>
      </c>
      <c r="AD71" s="10">
        <f t="shared" si="5"/>
        <v>0</v>
      </c>
      <c r="AE71" s="16"/>
      <c r="AF71" s="10">
        <v>1</v>
      </c>
      <c r="AG71" s="10">
        <v>175.96495892041</v>
      </c>
      <c r="AH71" s="20">
        <f t="shared" si="6"/>
        <v>-1</v>
      </c>
      <c r="AI71" s="20">
        <f t="shared" si="7"/>
        <v>-1</v>
      </c>
      <c r="AJ71" s="7" t="s">
        <v>494</v>
      </c>
    </row>
    <row r="72" spans="1:36" x14ac:dyDescent="0.35">
      <c r="A72" s="7" t="s">
        <v>355</v>
      </c>
      <c r="B72" s="7"/>
      <c r="C72" s="7"/>
      <c r="D72" s="7" t="s">
        <v>501</v>
      </c>
      <c r="E72" s="10">
        <f>SUMIFS('PLAN BUDGET SAMI-JF'!AN13:AN100000,'PLAN BUDGET SAMI-JF'!D13:D100000,SUMMARY!D72,'PLAN BUDGET SAMI-JF'!J13:J100000,SUMMARY!A72&amp;"*")</f>
        <v>0</v>
      </c>
      <c r="F72" s="10">
        <f>SUMIFS('PLAN BUDGET SAMI-JF'!AO13:AO100000,'PLAN BUDGET SAMI-JF'!D13:D100000,SUMMARY!D72,'PLAN BUDGET SAMI-JF'!J13:J100000,SUMMARY!A72&amp;"*")</f>
        <v>0</v>
      </c>
      <c r="G72" s="10">
        <f>SUMIFS('PLAN BUDGET SAMI-JF'!AP13:AP100000,'PLAN BUDGET SAMI-JF'!D13:D100000,SUMMARY!D72,'PLAN BUDGET SAMI-JF'!J13:J100000,SUMMARY!A72&amp;"*")</f>
        <v>0</v>
      </c>
      <c r="H72" s="10">
        <f>SUMIFS('PLAN BUDGET SAMI-JF'!AQ13:AQ100000,'PLAN BUDGET SAMI-JF'!D13:D100000,SUMMARY!D72,'PLAN BUDGET SAMI-JF'!J13:J100000,SUMMARY!A72&amp;"*")</f>
        <v>0</v>
      </c>
      <c r="I72" s="10">
        <f>SUMIFS('PLAN BUDGET SAMI-JF'!AR13:AR100000,'PLAN BUDGET SAMI-JF'!D13:D100000,SUMMARY!D72,'PLAN BUDGET SAMI-JF'!J13:J100000,SUMMARY!A72&amp;"*")</f>
        <v>0</v>
      </c>
      <c r="J72" s="10">
        <f>SUMIFS('PLAN BUDGET SAMI-JF'!AS13:AS100000,'PLAN BUDGET SAMI-JF'!D13:D100000,SUMMARY!D72,'PLAN BUDGET SAMI-JF'!J13:J100000,SUMMARY!A72&amp;"*")</f>
        <v>0</v>
      </c>
      <c r="K72" s="10">
        <f>SUMIFS('PLAN BUDGET SAMI-JF'!AT13:AT100000,'PLAN BUDGET SAMI-JF'!D13:D100000,SUMMARY!D72,'PLAN BUDGET SAMI-JF'!J13:J100000,SUMMARY!A72&amp;"*")</f>
        <v>0</v>
      </c>
      <c r="L72" s="10">
        <f>SUMIFS('PLAN BUDGET SAMI-JF'!AU13:AU100000,'PLAN BUDGET SAMI-JF'!D13:D100000,SUMMARY!D72,'PLAN BUDGET SAMI-JF'!J13:J100000,SUMMARY!A72&amp;"*")</f>
        <v>0</v>
      </c>
      <c r="M72" s="10">
        <f>SUMIFS('PLAN BUDGET SAMI-JF'!AV13:AV100000,'PLAN BUDGET SAMI-JF'!D13:D100000,SUMMARY!D72,'PLAN BUDGET SAMI-JF'!J13:J100000,SUMMARY!A72&amp;"*")</f>
        <v>0</v>
      </c>
      <c r="N72" s="10">
        <f>SUMIFS('PLAN BUDGET SAMI-JF'!AW13:AW100000,'PLAN BUDGET SAMI-JF'!D13:D100000,SUMMARY!D72,'PLAN BUDGET SAMI-JF'!J13:J100000,SUMMARY!A72&amp;"*")</f>
        <v>0</v>
      </c>
      <c r="O72" s="10">
        <f>SUMIFS('PLAN BUDGET SAMI-JF'!AX13:AX100000,'PLAN BUDGET SAMI-JF'!D13:D100000,SUMMARY!D72,'PLAN BUDGET SAMI-JF'!J13:J100000,SUMMARY!A72&amp;"*")</f>
        <v>0</v>
      </c>
      <c r="P72" s="10">
        <f>SUMIFS('PLAN BUDGET SAMI-JF'!AY13:AY100000,'PLAN BUDGET SAMI-JF'!D13:D100000,SUMMARY!D72,'PLAN BUDGET SAMI-JF'!J13:J100000,SUMMARY!A72&amp;"*")</f>
        <v>0</v>
      </c>
      <c r="Q72" s="10">
        <f>SUMIFS('PLAN BUDGET SAMI-JF'!BC13:BC100000,'PLAN BUDGET SAMI-JF'!D13:D100000,SUMMARY!D72,'PLAN BUDGET SAMI-JF'!J13:J100000,SUMMARY!A72&amp;"*")</f>
        <v>0</v>
      </c>
      <c r="R72" s="10">
        <f>SUMIFS('PLAN BUDGET SAMI-JF'!BD13:BD100000,'PLAN BUDGET SAMI-JF'!D13:D100000,SUMMARY!D72,'PLAN BUDGET SAMI-JF'!J13:J100000,SUMMARY!A72&amp;"*")</f>
        <v>0</v>
      </c>
      <c r="S72" s="10">
        <f>SUMIFS('PLAN BUDGET SAMI-JF'!BE13:BE100000,'PLAN BUDGET SAMI-JF'!D13:D100000,SUMMARY!D72,'PLAN BUDGET SAMI-JF'!J13:J100000,SUMMARY!A72&amp;"*")</f>
        <v>0</v>
      </c>
      <c r="T72" s="10">
        <f>SUMIFS('PLAN BUDGET SAMI-JF'!BF13:BF100000,'PLAN BUDGET SAMI-JF'!D13:D100000,SUMMARY!D72,'PLAN BUDGET SAMI-JF'!J13:J100000,SUMMARY!A72&amp;"*")</f>
        <v>0</v>
      </c>
      <c r="U72" s="10">
        <f>SUMIFS('PLAN BUDGET SAMI-JF'!BG13:BG100000,'PLAN BUDGET SAMI-JF'!D13:D100000,SUMMARY!D72,'PLAN BUDGET SAMI-JF'!J13:J100000,SUMMARY!A72&amp;"*")</f>
        <v>0</v>
      </c>
      <c r="V72" s="10">
        <f>SUMIFS('PLAN BUDGET SAMI-JF'!BH13:BH100000,'PLAN BUDGET SAMI-JF'!D13:D100000,SUMMARY!D72,'PLAN BUDGET SAMI-JF'!J13:J100000,SUMMARY!A72&amp;"*")</f>
        <v>0</v>
      </c>
      <c r="W72" s="10">
        <f>SUMIFS('PLAN BUDGET SAMI-JF'!BI13:BI100000,'PLAN BUDGET SAMI-JF'!D13:D100000,SUMMARY!D72,'PLAN BUDGET SAMI-JF'!J13:J100000,SUMMARY!A72&amp;"*")</f>
        <v>0</v>
      </c>
      <c r="X72" s="10">
        <f>SUMIFS('PLAN BUDGET SAMI-JF'!BJ13:BJ100000,'PLAN BUDGET SAMI-JF'!D13:D100000,SUMMARY!D72,'PLAN BUDGET SAMI-JF'!J13:J100000,SUMMARY!A72&amp;"*")</f>
        <v>0</v>
      </c>
      <c r="Y72" s="10">
        <f>SUMIFS('PLAN BUDGET SAMI-JF'!BK13:BK100000,'PLAN BUDGET SAMI-JF'!D13:D100000,SUMMARY!D72,'PLAN BUDGET SAMI-JF'!J13:J100000,SUMMARY!A72&amp;"*")</f>
        <v>0</v>
      </c>
      <c r="Z72" s="10">
        <f>SUMIFS('PLAN BUDGET SAMI-JF'!BL13:BL100000,'PLAN BUDGET SAMI-JF'!D13:D100000,SUMMARY!D72,'PLAN BUDGET SAMI-JF'!J13:J100000,SUMMARY!A72&amp;"*")</f>
        <v>0</v>
      </c>
      <c r="AA72" s="10">
        <f>SUMIFS('PLAN BUDGET SAMI-JF'!BM13:BM100000,'PLAN BUDGET SAMI-JF'!D13:D100000,SUMMARY!D72,'PLAN BUDGET SAMI-JF'!J13:J100000,SUMMARY!A72&amp;"*")</f>
        <v>0</v>
      </c>
      <c r="AB72" s="10">
        <f>SUMIFS('PLAN BUDGET SAMI-JF'!BN13:BN100000,'PLAN BUDGET SAMI-JF'!D13:D100000,SUMMARY!D72,'PLAN BUDGET SAMI-JF'!J13:J100000,SUMMARY!A72&amp;"*")</f>
        <v>0</v>
      </c>
      <c r="AC72" s="10">
        <f t="shared" si="4"/>
        <v>0</v>
      </c>
      <c r="AD72" s="10">
        <f t="shared" si="5"/>
        <v>0</v>
      </c>
      <c r="AE72" s="16"/>
      <c r="AF72" s="10">
        <v>1</v>
      </c>
      <c r="AG72" s="10">
        <v>696.26422594406995</v>
      </c>
      <c r="AH72" s="20">
        <f t="shared" si="6"/>
        <v>-1</v>
      </c>
      <c r="AI72" s="20">
        <f t="shared" si="7"/>
        <v>-1</v>
      </c>
      <c r="AJ72" s="7" t="s">
        <v>494</v>
      </c>
    </row>
    <row r="73" spans="1:36" x14ac:dyDescent="0.35">
      <c r="A73" s="7" t="s">
        <v>355</v>
      </c>
      <c r="B73" s="7"/>
      <c r="C73" s="7"/>
      <c r="D73" s="7" t="s">
        <v>502</v>
      </c>
      <c r="E73" s="10">
        <f>SUMIFS('PLAN BUDGET SAMI-JF'!AN13:AN100000,'PLAN BUDGET SAMI-JF'!D13:D100000,SUMMARY!D73,'PLAN BUDGET SAMI-JF'!J13:J100000,SUMMARY!A73&amp;"*")</f>
        <v>0</v>
      </c>
      <c r="F73" s="10">
        <f>SUMIFS('PLAN BUDGET SAMI-JF'!AO13:AO100000,'PLAN BUDGET SAMI-JF'!D13:D100000,SUMMARY!D73,'PLAN BUDGET SAMI-JF'!J13:J100000,SUMMARY!A73&amp;"*")</f>
        <v>0</v>
      </c>
      <c r="G73" s="10">
        <f>SUMIFS('PLAN BUDGET SAMI-JF'!AP13:AP100000,'PLAN BUDGET SAMI-JF'!D13:D100000,SUMMARY!D73,'PLAN BUDGET SAMI-JF'!J13:J100000,SUMMARY!A73&amp;"*")</f>
        <v>0</v>
      </c>
      <c r="H73" s="10">
        <f>SUMIFS('PLAN BUDGET SAMI-JF'!AQ13:AQ100000,'PLAN BUDGET SAMI-JF'!D13:D100000,SUMMARY!D73,'PLAN BUDGET SAMI-JF'!J13:J100000,SUMMARY!A73&amp;"*")</f>
        <v>0</v>
      </c>
      <c r="I73" s="10">
        <f>SUMIFS('PLAN BUDGET SAMI-JF'!AR13:AR100000,'PLAN BUDGET SAMI-JF'!D13:D100000,SUMMARY!D73,'PLAN BUDGET SAMI-JF'!J13:J100000,SUMMARY!A73&amp;"*")</f>
        <v>0</v>
      </c>
      <c r="J73" s="10">
        <f>SUMIFS('PLAN BUDGET SAMI-JF'!AS13:AS100000,'PLAN BUDGET SAMI-JF'!D13:D100000,SUMMARY!D73,'PLAN BUDGET SAMI-JF'!J13:J100000,SUMMARY!A73&amp;"*")</f>
        <v>0</v>
      </c>
      <c r="K73" s="10">
        <f>SUMIFS('PLAN BUDGET SAMI-JF'!AT13:AT100000,'PLAN BUDGET SAMI-JF'!D13:D100000,SUMMARY!D73,'PLAN BUDGET SAMI-JF'!J13:J100000,SUMMARY!A73&amp;"*")</f>
        <v>0</v>
      </c>
      <c r="L73" s="10">
        <f>SUMIFS('PLAN BUDGET SAMI-JF'!AU13:AU100000,'PLAN BUDGET SAMI-JF'!D13:D100000,SUMMARY!D73,'PLAN BUDGET SAMI-JF'!J13:J100000,SUMMARY!A73&amp;"*")</f>
        <v>0</v>
      </c>
      <c r="M73" s="10">
        <f>SUMIFS('PLAN BUDGET SAMI-JF'!AV13:AV100000,'PLAN BUDGET SAMI-JF'!D13:D100000,SUMMARY!D73,'PLAN BUDGET SAMI-JF'!J13:J100000,SUMMARY!A73&amp;"*")</f>
        <v>0</v>
      </c>
      <c r="N73" s="10">
        <f>SUMIFS('PLAN BUDGET SAMI-JF'!AW13:AW100000,'PLAN BUDGET SAMI-JF'!D13:D100000,SUMMARY!D73,'PLAN BUDGET SAMI-JF'!J13:J100000,SUMMARY!A73&amp;"*")</f>
        <v>0</v>
      </c>
      <c r="O73" s="10">
        <f>SUMIFS('PLAN BUDGET SAMI-JF'!AX13:AX100000,'PLAN BUDGET SAMI-JF'!D13:D100000,SUMMARY!D73,'PLAN BUDGET SAMI-JF'!J13:J100000,SUMMARY!A73&amp;"*")</f>
        <v>0</v>
      </c>
      <c r="P73" s="10">
        <f>SUMIFS('PLAN BUDGET SAMI-JF'!AY13:AY100000,'PLAN BUDGET SAMI-JF'!D13:D100000,SUMMARY!D73,'PLAN BUDGET SAMI-JF'!J13:J100000,SUMMARY!A73&amp;"*")</f>
        <v>0</v>
      </c>
      <c r="Q73" s="10">
        <f>SUMIFS('PLAN BUDGET SAMI-JF'!BC13:BC100000,'PLAN BUDGET SAMI-JF'!D13:D100000,SUMMARY!D73,'PLAN BUDGET SAMI-JF'!J13:J100000,SUMMARY!A73&amp;"*")</f>
        <v>0</v>
      </c>
      <c r="R73" s="10">
        <f>SUMIFS('PLAN BUDGET SAMI-JF'!BD13:BD100000,'PLAN BUDGET SAMI-JF'!D13:D100000,SUMMARY!D73,'PLAN BUDGET SAMI-JF'!J13:J100000,SUMMARY!A73&amp;"*")</f>
        <v>0</v>
      </c>
      <c r="S73" s="10">
        <f>SUMIFS('PLAN BUDGET SAMI-JF'!BE13:BE100000,'PLAN BUDGET SAMI-JF'!D13:D100000,SUMMARY!D73,'PLAN BUDGET SAMI-JF'!J13:J100000,SUMMARY!A73&amp;"*")</f>
        <v>0</v>
      </c>
      <c r="T73" s="10">
        <f>SUMIFS('PLAN BUDGET SAMI-JF'!BF13:BF100000,'PLAN BUDGET SAMI-JF'!D13:D100000,SUMMARY!D73,'PLAN BUDGET SAMI-JF'!J13:J100000,SUMMARY!A73&amp;"*")</f>
        <v>0</v>
      </c>
      <c r="U73" s="10">
        <f>SUMIFS('PLAN BUDGET SAMI-JF'!BG13:BG100000,'PLAN BUDGET SAMI-JF'!D13:D100000,SUMMARY!D73,'PLAN BUDGET SAMI-JF'!J13:J100000,SUMMARY!A73&amp;"*")</f>
        <v>0</v>
      </c>
      <c r="V73" s="10">
        <f>SUMIFS('PLAN BUDGET SAMI-JF'!BH13:BH100000,'PLAN BUDGET SAMI-JF'!D13:D100000,SUMMARY!D73,'PLAN BUDGET SAMI-JF'!J13:J100000,SUMMARY!A73&amp;"*")</f>
        <v>0</v>
      </c>
      <c r="W73" s="10">
        <f>SUMIFS('PLAN BUDGET SAMI-JF'!BI13:BI100000,'PLAN BUDGET SAMI-JF'!D13:D100000,SUMMARY!D73,'PLAN BUDGET SAMI-JF'!J13:J100000,SUMMARY!A73&amp;"*")</f>
        <v>0</v>
      </c>
      <c r="X73" s="10">
        <f>SUMIFS('PLAN BUDGET SAMI-JF'!BJ13:BJ100000,'PLAN BUDGET SAMI-JF'!D13:D100000,SUMMARY!D73,'PLAN BUDGET SAMI-JF'!J13:J100000,SUMMARY!A73&amp;"*")</f>
        <v>0</v>
      </c>
      <c r="Y73" s="10">
        <f>SUMIFS('PLAN BUDGET SAMI-JF'!BK13:BK100000,'PLAN BUDGET SAMI-JF'!D13:D100000,SUMMARY!D73,'PLAN BUDGET SAMI-JF'!J13:J100000,SUMMARY!A73&amp;"*")</f>
        <v>0</v>
      </c>
      <c r="Z73" s="10">
        <f>SUMIFS('PLAN BUDGET SAMI-JF'!BL13:BL100000,'PLAN BUDGET SAMI-JF'!D13:D100000,SUMMARY!D73,'PLAN BUDGET SAMI-JF'!J13:J100000,SUMMARY!A73&amp;"*")</f>
        <v>0</v>
      </c>
      <c r="AA73" s="10">
        <f>SUMIFS('PLAN BUDGET SAMI-JF'!BM13:BM100000,'PLAN BUDGET SAMI-JF'!D13:D100000,SUMMARY!D73,'PLAN BUDGET SAMI-JF'!J13:J100000,SUMMARY!A73&amp;"*")</f>
        <v>0</v>
      </c>
      <c r="AB73" s="10">
        <f>SUMIFS('PLAN BUDGET SAMI-JF'!BN13:BN100000,'PLAN BUDGET SAMI-JF'!D13:D100000,SUMMARY!D73,'PLAN BUDGET SAMI-JF'!J13:J100000,SUMMARY!A73&amp;"*")</f>
        <v>0</v>
      </c>
      <c r="AC73" s="10">
        <f t="shared" ref="AC73:AC102" si="8">SUM(E73:P73)</f>
        <v>0</v>
      </c>
      <c r="AD73" s="10">
        <f t="shared" ref="AD73:AD102" si="9">SUM(Q73:AB73)</f>
        <v>0</v>
      </c>
      <c r="AE73" s="16"/>
      <c r="AF73" s="10">
        <v>30</v>
      </c>
      <c r="AG73" s="10">
        <v>1784.9682883293001</v>
      </c>
      <c r="AH73" s="20">
        <f t="shared" ref="AH73:AH102" si="10">IFERROR((AC73-AF73)/AF73,1)</f>
        <v>-1</v>
      </c>
      <c r="AI73" s="20">
        <f t="shared" ref="AI73:AI102" si="11">IFERROR((AD73-AG73)/AG73,1)</f>
        <v>-1</v>
      </c>
      <c r="AJ73" s="7" t="s">
        <v>494</v>
      </c>
    </row>
    <row r="74" spans="1:36" x14ac:dyDescent="0.35">
      <c r="A74" s="7" t="s">
        <v>355</v>
      </c>
      <c r="B74" s="7"/>
      <c r="C74" s="7"/>
      <c r="D74" s="7" t="s">
        <v>503</v>
      </c>
      <c r="E74" s="10">
        <f>SUMIFS('PLAN BUDGET SAMI-JF'!AN13:AN100000,'PLAN BUDGET SAMI-JF'!D13:D100000,SUMMARY!D74,'PLAN BUDGET SAMI-JF'!J13:J100000,SUMMARY!A74&amp;"*")</f>
        <v>0</v>
      </c>
      <c r="F74" s="10">
        <f>SUMIFS('PLAN BUDGET SAMI-JF'!AO13:AO100000,'PLAN BUDGET SAMI-JF'!D13:D100000,SUMMARY!D74,'PLAN BUDGET SAMI-JF'!J13:J100000,SUMMARY!A74&amp;"*")</f>
        <v>0</v>
      </c>
      <c r="G74" s="10">
        <f>SUMIFS('PLAN BUDGET SAMI-JF'!AP13:AP100000,'PLAN BUDGET SAMI-JF'!D13:D100000,SUMMARY!D74,'PLAN BUDGET SAMI-JF'!J13:J100000,SUMMARY!A74&amp;"*")</f>
        <v>0</v>
      </c>
      <c r="H74" s="10">
        <f>SUMIFS('PLAN BUDGET SAMI-JF'!AQ13:AQ100000,'PLAN BUDGET SAMI-JF'!D13:D100000,SUMMARY!D74,'PLAN BUDGET SAMI-JF'!J13:J100000,SUMMARY!A74&amp;"*")</f>
        <v>0</v>
      </c>
      <c r="I74" s="10">
        <f>SUMIFS('PLAN BUDGET SAMI-JF'!AR13:AR100000,'PLAN BUDGET SAMI-JF'!D13:D100000,SUMMARY!D74,'PLAN BUDGET SAMI-JF'!J13:J100000,SUMMARY!A74&amp;"*")</f>
        <v>0</v>
      </c>
      <c r="J74" s="10">
        <f>SUMIFS('PLAN BUDGET SAMI-JF'!AS13:AS100000,'PLAN BUDGET SAMI-JF'!D13:D100000,SUMMARY!D74,'PLAN BUDGET SAMI-JF'!J13:J100000,SUMMARY!A74&amp;"*")</f>
        <v>0</v>
      </c>
      <c r="K74" s="10">
        <f>SUMIFS('PLAN BUDGET SAMI-JF'!AT13:AT100000,'PLAN BUDGET SAMI-JF'!D13:D100000,SUMMARY!D74,'PLAN BUDGET SAMI-JF'!J13:J100000,SUMMARY!A74&amp;"*")</f>
        <v>0</v>
      </c>
      <c r="L74" s="10">
        <f>SUMIFS('PLAN BUDGET SAMI-JF'!AU13:AU100000,'PLAN BUDGET SAMI-JF'!D13:D100000,SUMMARY!D74,'PLAN BUDGET SAMI-JF'!J13:J100000,SUMMARY!A74&amp;"*")</f>
        <v>0</v>
      </c>
      <c r="M74" s="10">
        <f>SUMIFS('PLAN BUDGET SAMI-JF'!AV13:AV100000,'PLAN BUDGET SAMI-JF'!D13:D100000,SUMMARY!D74,'PLAN BUDGET SAMI-JF'!J13:J100000,SUMMARY!A74&amp;"*")</f>
        <v>0</v>
      </c>
      <c r="N74" s="10">
        <f>SUMIFS('PLAN BUDGET SAMI-JF'!AW13:AW100000,'PLAN BUDGET SAMI-JF'!D13:D100000,SUMMARY!D74,'PLAN BUDGET SAMI-JF'!J13:J100000,SUMMARY!A74&amp;"*")</f>
        <v>0</v>
      </c>
      <c r="O74" s="10">
        <f>SUMIFS('PLAN BUDGET SAMI-JF'!AX13:AX100000,'PLAN BUDGET SAMI-JF'!D13:D100000,SUMMARY!D74,'PLAN BUDGET SAMI-JF'!J13:J100000,SUMMARY!A74&amp;"*")</f>
        <v>0</v>
      </c>
      <c r="P74" s="10">
        <f>SUMIFS('PLAN BUDGET SAMI-JF'!AY13:AY100000,'PLAN BUDGET SAMI-JF'!D13:D100000,SUMMARY!D74,'PLAN BUDGET SAMI-JF'!J13:J100000,SUMMARY!A74&amp;"*")</f>
        <v>0</v>
      </c>
      <c r="Q74" s="10">
        <f>SUMIFS('PLAN BUDGET SAMI-JF'!BC13:BC100000,'PLAN BUDGET SAMI-JF'!D13:D100000,SUMMARY!D74,'PLAN BUDGET SAMI-JF'!J13:J100000,SUMMARY!A74&amp;"*")</f>
        <v>0</v>
      </c>
      <c r="R74" s="10">
        <f>SUMIFS('PLAN BUDGET SAMI-JF'!BD13:BD100000,'PLAN BUDGET SAMI-JF'!D13:D100000,SUMMARY!D74,'PLAN BUDGET SAMI-JF'!J13:J100000,SUMMARY!A74&amp;"*")</f>
        <v>0</v>
      </c>
      <c r="S74" s="10">
        <f>SUMIFS('PLAN BUDGET SAMI-JF'!BE13:BE100000,'PLAN BUDGET SAMI-JF'!D13:D100000,SUMMARY!D74,'PLAN BUDGET SAMI-JF'!J13:J100000,SUMMARY!A74&amp;"*")</f>
        <v>0</v>
      </c>
      <c r="T74" s="10">
        <f>SUMIFS('PLAN BUDGET SAMI-JF'!BF13:BF100000,'PLAN BUDGET SAMI-JF'!D13:D100000,SUMMARY!D74,'PLAN BUDGET SAMI-JF'!J13:J100000,SUMMARY!A74&amp;"*")</f>
        <v>0</v>
      </c>
      <c r="U74" s="10">
        <f>SUMIFS('PLAN BUDGET SAMI-JF'!BG13:BG100000,'PLAN BUDGET SAMI-JF'!D13:D100000,SUMMARY!D74,'PLAN BUDGET SAMI-JF'!J13:J100000,SUMMARY!A74&amp;"*")</f>
        <v>0</v>
      </c>
      <c r="V74" s="10">
        <f>SUMIFS('PLAN BUDGET SAMI-JF'!BH13:BH100000,'PLAN BUDGET SAMI-JF'!D13:D100000,SUMMARY!D74,'PLAN BUDGET SAMI-JF'!J13:J100000,SUMMARY!A74&amp;"*")</f>
        <v>0</v>
      </c>
      <c r="W74" s="10">
        <f>SUMIFS('PLAN BUDGET SAMI-JF'!BI13:BI100000,'PLAN BUDGET SAMI-JF'!D13:D100000,SUMMARY!D74,'PLAN BUDGET SAMI-JF'!J13:J100000,SUMMARY!A74&amp;"*")</f>
        <v>0</v>
      </c>
      <c r="X74" s="10">
        <f>SUMIFS('PLAN BUDGET SAMI-JF'!BJ13:BJ100000,'PLAN BUDGET SAMI-JF'!D13:D100000,SUMMARY!D74,'PLAN BUDGET SAMI-JF'!J13:J100000,SUMMARY!A74&amp;"*")</f>
        <v>0</v>
      </c>
      <c r="Y74" s="10">
        <f>SUMIFS('PLAN BUDGET SAMI-JF'!BK13:BK100000,'PLAN BUDGET SAMI-JF'!D13:D100000,SUMMARY!D74,'PLAN BUDGET SAMI-JF'!J13:J100000,SUMMARY!A74&amp;"*")</f>
        <v>0</v>
      </c>
      <c r="Z74" s="10">
        <f>SUMIFS('PLAN BUDGET SAMI-JF'!BL13:BL100000,'PLAN BUDGET SAMI-JF'!D13:D100000,SUMMARY!D74,'PLAN BUDGET SAMI-JF'!J13:J100000,SUMMARY!A74&amp;"*")</f>
        <v>0</v>
      </c>
      <c r="AA74" s="10">
        <f>SUMIFS('PLAN BUDGET SAMI-JF'!BM13:BM100000,'PLAN BUDGET SAMI-JF'!D13:D100000,SUMMARY!D74,'PLAN BUDGET SAMI-JF'!J13:J100000,SUMMARY!A74&amp;"*")</f>
        <v>0</v>
      </c>
      <c r="AB74" s="10">
        <f>SUMIFS('PLAN BUDGET SAMI-JF'!BN13:BN100000,'PLAN BUDGET SAMI-JF'!D13:D100000,SUMMARY!D74,'PLAN BUDGET SAMI-JF'!J13:J100000,SUMMARY!A74&amp;"*")</f>
        <v>0</v>
      </c>
      <c r="AC74" s="10">
        <f t="shared" si="8"/>
        <v>0</v>
      </c>
      <c r="AD74" s="10">
        <f t="shared" si="9"/>
        <v>0</v>
      </c>
      <c r="AE74" s="16"/>
      <c r="AF74" s="10">
        <v>1</v>
      </c>
      <c r="AG74" s="10">
        <v>224.70345473649999</v>
      </c>
      <c r="AH74" s="20">
        <f t="shared" si="10"/>
        <v>-1</v>
      </c>
      <c r="AI74" s="20">
        <f t="shared" si="11"/>
        <v>-1</v>
      </c>
      <c r="AJ74" s="7" t="s">
        <v>494</v>
      </c>
    </row>
    <row r="75" spans="1:36" x14ac:dyDescent="0.35">
      <c r="A75" s="7" t="s">
        <v>355</v>
      </c>
      <c r="B75" s="7"/>
      <c r="C75" s="7"/>
      <c r="D75" s="7" t="s">
        <v>326</v>
      </c>
      <c r="E75" s="10">
        <f>SUMIFS('PLAN BUDGET SAMI-JF'!AN13:AN100000,'PLAN BUDGET SAMI-JF'!D13:D100000,SUMMARY!D75,'PLAN BUDGET SAMI-JF'!J13:J100000,SUMMARY!A75&amp;"*")</f>
        <v>0</v>
      </c>
      <c r="F75" s="10">
        <f>SUMIFS('PLAN BUDGET SAMI-JF'!AO13:AO100000,'PLAN BUDGET SAMI-JF'!D13:D100000,SUMMARY!D75,'PLAN BUDGET SAMI-JF'!J13:J100000,SUMMARY!A75&amp;"*")</f>
        <v>0</v>
      </c>
      <c r="G75" s="10">
        <f>SUMIFS('PLAN BUDGET SAMI-JF'!AP13:AP100000,'PLAN BUDGET SAMI-JF'!D13:D100000,SUMMARY!D75,'PLAN BUDGET SAMI-JF'!J13:J100000,SUMMARY!A75&amp;"*")</f>
        <v>0</v>
      </c>
      <c r="H75" s="10">
        <f>SUMIFS('PLAN BUDGET SAMI-JF'!AQ13:AQ100000,'PLAN BUDGET SAMI-JF'!D13:D100000,SUMMARY!D75,'PLAN BUDGET SAMI-JF'!J13:J100000,SUMMARY!A75&amp;"*")</f>
        <v>0</v>
      </c>
      <c r="I75" s="10">
        <f>SUMIFS('PLAN BUDGET SAMI-JF'!AR13:AR100000,'PLAN BUDGET SAMI-JF'!D13:D100000,SUMMARY!D75,'PLAN BUDGET SAMI-JF'!J13:J100000,SUMMARY!A75&amp;"*")</f>
        <v>0</v>
      </c>
      <c r="J75" s="10">
        <f>SUMIFS('PLAN BUDGET SAMI-JF'!AS13:AS100000,'PLAN BUDGET SAMI-JF'!D13:D100000,SUMMARY!D75,'PLAN BUDGET SAMI-JF'!J13:J100000,SUMMARY!A75&amp;"*")</f>
        <v>0</v>
      </c>
      <c r="K75" s="10">
        <f>SUMIFS('PLAN BUDGET SAMI-JF'!AT13:AT100000,'PLAN BUDGET SAMI-JF'!D13:D100000,SUMMARY!D75,'PLAN BUDGET SAMI-JF'!J13:J100000,SUMMARY!A75&amp;"*")</f>
        <v>0</v>
      </c>
      <c r="L75" s="10">
        <f>SUMIFS('PLAN BUDGET SAMI-JF'!AU13:AU100000,'PLAN BUDGET SAMI-JF'!D13:D100000,SUMMARY!D75,'PLAN BUDGET SAMI-JF'!J13:J100000,SUMMARY!A75&amp;"*")</f>
        <v>0</v>
      </c>
      <c r="M75" s="10">
        <f>SUMIFS('PLAN BUDGET SAMI-JF'!AV13:AV100000,'PLAN BUDGET SAMI-JF'!D13:D100000,SUMMARY!D75,'PLAN BUDGET SAMI-JF'!J13:J100000,SUMMARY!A75&amp;"*")</f>
        <v>0</v>
      </c>
      <c r="N75" s="10">
        <f>SUMIFS('PLAN BUDGET SAMI-JF'!AW13:AW100000,'PLAN BUDGET SAMI-JF'!D13:D100000,SUMMARY!D75,'PLAN BUDGET SAMI-JF'!J13:J100000,SUMMARY!A75&amp;"*")</f>
        <v>0</v>
      </c>
      <c r="O75" s="10">
        <f>SUMIFS('PLAN BUDGET SAMI-JF'!AX13:AX100000,'PLAN BUDGET SAMI-JF'!D13:D100000,SUMMARY!D75,'PLAN BUDGET SAMI-JF'!J13:J100000,SUMMARY!A75&amp;"*")</f>
        <v>0</v>
      </c>
      <c r="P75" s="10">
        <f>SUMIFS('PLAN BUDGET SAMI-JF'!AY13:AY100000,'PLAN BUDGET SAMI-JF'!D13:D100000,SUMMARY!D75,'PLAN BUDGET SAMI-JF'!J13:J100000,SUMMARY!A75&amp;"*")</f>
        <v>0</v>
      </c>
      <c r="Q75" s="10">
        <f>SUMIFS('PLAN BUDGET SAMI-JF'!BC13:BC100000,'PLAN BUDGET SAMI-JF'!D13:D100000,SUMMARY!D75,'PLAN BUDGET SAMI-JF'!J13:J100000,SUMMARY!A75&amp;"*")</f>
        <v>0</v>
      </c>
      <c r="R75" s="10">
        <f>SUMIFS('PLAN BUDGET SAMI-JF'!BD13:BD100000,'PLAN BUDGET SAMI-JF'!D13:D100000,SUMMARY!D75,'PLAN BUDGET SAMI-JF'!J13:J100000,SUMMARY!A75&amp;"*")</f>
        <v>0</v>
      </c>
      <c r="S75" s="10">
        <f>SUMIFS('PLAN BUDGET SAMI-JF'!BE13:BE100000,'PLAN BUDGET SAMI-JF'!D13:D100000,SUMMARY!D75,'PLAN BUDGET SAMI-JF'!J13:J100000,SUMMARY!A75&amp;"*")</f>
        <v>0</v>
      </c>
      <c r="T75" s="10">
        <f>SUMIFS('PLAN BUDGET SAMI-JF'!BF13:BF100000,'PLAN BUDGET SAMI-JF'!D13:D100000,SUMMARY!D75,'PLAN BUDGET SAMI-JF'!J13:J100000,SUMMARY!A75&amp;"*")</f>
        <v>0</v>
      </c>
      <c r="U75" s="10">
        <f>SUMIFS('PLAN BUDGET SAMI-JF'!BG13:BG100000,'PLAN BUDGET SAMI-JF'!D13:D100000,SUMMARY!D75,'PLAN BUDGET SAMI-JF'!J13:J100000,SUMMARY!A75&amp;"*")</f>
        <v>0</v>
      </c>
      <c r="V75" s="10">
        <f>SUMIFS('PLAN BUDGET SAMI-JF'!BH13:BH100000,'PLAN BUDGET SAMI-JF'!D13:D100000,SUMMARY!D75,'PLAN BUDGET SAMI-JF'!J13:J100000,SUMMARY!A75&amp;"*")</f>
        <v>0</v>
      </c>
      <c r="W75" s="10">
        <f>SUMIFS('PLAN BUDGET SAMI-JF'!BI13:BI100000,'PLAN BUDGET SAMI-JF'!D13:D100000,SUMMARY!D75,'PLAN BUDGET SAMI-JF'!J13:J100000,SUMMARY!A75&amp;"*")</f>
        <v>0</v>
      </c>
      <c r="X75" s="10">
        <f>SUMIFS('PLAN BUDGET SAMI-JF'!BJ13:BJ100000,'PLAN BUDGET SAMI-JF'!D13:D100000,SUMMARY!D75,'PLAN BUDGET SAMI-JF'!J13:J100000,SUMMARY!A75&amp;"*")</f>
        <v>0</v>
      </c>
      <c r="Y75" s="10">
        <f>SUMIFS('PLAN BUDGET SAMI-JF'!BK13:BK100000,'PLAN BUDGET SAMI-JF'!D13:D100000,SUMMARY!D75,'PLAN BUDGET SAMI-JF'!J13:J100000,SUMMARY!A75&amp;"*")</f>
        <v>0</v>
      </c>
      <c r="Z75" s="10">
        <f>SUMIFS('PLAN BUDGET SAMI-JF'!BL13:BL100000,'PLAN BUDGET SAMI-JF'!D13:D100000,SUMMARY!D75,'PLAN BUDGET SAMI-JF'!J13:J100000,SUMMARY!A75&amp;"*")</f>
        <v>0</v>
      </c>
      <c r="AA75" s="10">
        <f>SUMIFS('PLAN BUDGET SAMI-JF'!BM13:BM100000,'PLAN BUDGET SAMI-JF'!D13:D100000,SUMMARY!D75,'PLAN BUDGET SAMI-JF'!J13:J100000,SUMMARY!A75&amp;"*")</f>
        <v>0</v>
      </c>
      <c r="AB75" s="10">
        <f>SUMIFS('PLAN BUDGET SAMI-JF'!BN13:BN100000,'PLAN BUDGET SAMI-JF'!D13:D100000,SUMMARY!D75,'PLAN BUDGET SAMI-JF'!J13:J100000,SUMMARY!A75&amp;"*")</f>
        <v>0</v>
      </c>
      <c r="AC75" s="10">
        <f t="shared" si="8"/>
        <v>0</v>
      </c>
      <c r="AD75" s="10">
        <f t="shared" si="9"/>
        <v>0</v>
      </c>
      <c r="AE75" s="16"/>
      <c r="AF75" s="10">
        <v>30</v>
      </c>
      <c r="AG75" s="10">
        <v>1746.9902396415</v>
      </c>
      <c r="AH75" s="20">
        <f t="shared" si="10"/>
        <v>-1</v>
      </c>
      <c r="AI75" s="20">
        <f t="shared" si="11"/>
        <v>-1</v>
      </c>
      <c r="AJ75" s="7" t="s">
        <v>494</v>
      </c>
    </row>
    <row r="76" spans="1:36" x14ac:dyDescent="0.35">
      <c r="A76" s="7" t="s">
        <v>355</v>
      </c>
      <c r="B76" s="7"/>
      <c r="C76" s="7"/>
      <c r="D76" s="7" t="s">
        <v>504</v>
      </c>
      <c r="E76" s="10">
        <f>SUMIFS('PLAN BUDGET SAMI-JF'!AN13:AN100000,'PLAN BUDGET SAMI-JF'!D13:D100000,SUMMARY!D76,'PLAN BUDGET SAMI-JF'!J13:J100000,SUMMARY!A76&amp;"*")</f>
        <v>0</v>
      </c>
      <c r="F76" s="10">
        <f>SUMIFS('PLAN BUDGET SAMI-JF'!AO13:AO100000,'PLAN BUDGET SAMI-JF'!D13:D100000,SUMMARY!D76,'PLAN BUDGET SAMI-JF'!J13:J100000,SUMMARY!A76&amp;"*")</f>
        <v>0</v>
      </c>
      <c r="G76" s="10">
        <f>SUMIFS('PLAN BUDGET SAMI-JF'!AP13:AP100000,'PLAN BUDGET SAMI-JF'!D13:D100000,SUMMARY!D76,'PLAN BUDGET SAMI-JF'!J13:J100000,SUMMARY!A76&amp;"*")</f>
        <v>0</v>
      </c>
      <c r="H76" s="10">
        <f>SUMIFS('PLAN BUDGET SAMI-JF'!AQ13:AQ100000,'PLAN BUDGET SAMI-JF'!D13:D100000,SUMMARY!D76,'PLAN BUDGET SAMI-JF'!J13:J100000,SUMMARY!A76&amp;"*")</f>
        <v>0</v>
      </c>
      <c r="I76" s="10">
        <f>SUMIFS('PLAN BUDGET SAMI-JF'!AR13:AR100000,'PLAN BUDGET SAMI-JF'!D13:D100000,SUMMARY!D76,'PLAN BUDGET SAMI-JF'!J13:J100000,SUMMARY!A76&amp;"*")</f>
        <v>0</v>
      </c>
      <c r="J76" s="10">
        <f>SUMIFS('PLAN BUDGET SAMI-JF'!AS13:AS100000,'PLAN BUDGET SAMI-JF'!D13:D100000,SUMMARY!D76,'PLAN BUDGET SAMI-JF'!J13:J100000,SUMMARY!A76&amp;"*")</f>
        <v>0</v>
      </c>
      <c r="K76" s="10">
        <f>SUMIFS('PLAN BUDGET SAMI-JF'!AT13:AT100000,'PLAN BUDGET SAMI-JF'!D13:D100000,SUMMARY!D76,'PLAN BUDGET SAMI-JF'!J13:J100000,SUMMARY!A76&amp;"*")</f>
        <v>0</v>
      </c>
      <c r="L76" s="10">
        <f>SUMIFS('PLAN BUDGET SAMI-JF'!AU13:AU100000,'PLAN BUDGET SAMI-JF'!D13:D100000,SUMMARY!D76,'PLAN BUDGET SAMI-JF'!J13:J100000,SUMMARY!A76&amp;"*")</f>
        <v>0</v>
      </c>
      <c r="M76" s="10">
        <f>SUMIFS('PLAN BUDGET SAMI-JF'!AV13:AV100000,'PLAN BUDGET SAMI-JF'!D13:D100000,SUMMARY!D76,'PLAN BUDGET SAMI-JF'!J13:J100000,SUMMARY!A76&amp;"*")</f>
        <v>0</v>
      </c>
      <c r="N76" s="10">
        <f>SUMIFS('PLAN BUDGET SAMI-JF'!AW13:AW100000,'PLAN BUDGET SAMI-JF'!D13:D100000,SUMMARY!D76,'PLAN BUDGET SAMI-JF'!J13:J100000,SUMMARY!A76&amp;"*")</f>
        <v>0</v>
      </c>
      <c r="O76" s="10">
        <f>SUMIFS('PLAN BUDGET SAMI-JF'!AX13:AX100000,'PLAN BUDGET SAMI-JF'!D13:D100000,SUMMARY!D76,'PLAN BUDGET SAMI-JF'!J13:J100000,SUMMARY!A76&amp;"*")</f>
        <v>0</v>
      </c>
      <c r="P76" s="10">
        <f>SUMIFS('PLAN BUDGET SAMI-JF'!AY13:AY100000,'PLAN BUDGET SAMI-JF'!D13:D100000,SUMMARY!D76,'PLAN BUDGET SAMI-JF'!J13:J100000,SUMMARY!A76&amp;"*")</f>
        <v>0</v>
      </c>
      <c r="Q76" s="10">
        <f>SUMIFS('PLAN BUDGET SAMI-JF'!BC13:BC100000,'PLAN BUDGET SAMI-JF'!D13:D100000,SUMMARY!D76,'PLAN BUDGET SAMI-JF'!J13:J100000,SUMMARY!A76&amp;"*")</f>
        <v>0</v>
      </c>
      <c r="R76" s="10">
        <f>SUMIFS('PLAN BUDGET SAMI-JF'!BD13:BD100000,'PLAN BUDGET SAMI-JF'!D13:D100000,SUMMARY!D76,'PLAN BUDGET SAMI-JF'!J13:J100000,SUMMARY!A76&amp;"*")</f>
        <v>0</v>
      </c>
      <c r="S76" s="10">
        <f>SUMIFS('PLAN BUDGET SAMI-JF'!BE13:BE100000,'PLAN BUDGET SAMI-JF'!D13:D100000,SUMMARY!D76,'PLAN BUDGET SAMI-JF'!J13:J100000,SUMMARY!A76&amp;"*")</f>
        <v>0</v>
      </c>
      <c r="T76" s="10">
        <f>SUMIFS('PLAN BUDGET SAMI-JF'!BF13:BF100000,'PLAN BUDGET SAMI-JF'!D13:D100000,SUMMARY!D76,'PLAN BUDGET SAMI-JF'!J13:J100000,SUMMARY!A76&amp;"*")</f>
        <v>0</v>
      </c>
      <c r="U76" s="10">
        <f>SUMIFS('PLAN BUDGET SAMI-JF'!BG13:BG100000,'PLAN BUDGET SAMI-JF'!D13:D100000,SUMMARY!D76,'PLAN BUDGET SAMI-JF'!J13:J100000,SUMMARY!A76&amp;"*")</f>
        <v>0</v>
      </c>
      <c r="V76" s="10">
        <f>SUMIFS('PLAN BUDGET SAMI-JF'!BH13:BH100000,'PLAN BUDGET SAMI-JF'!D13:D100000,SUMMARY!D76,'PLAN BUDGET SAMI-JF'!J13:J100000,SUMMARY!A76&amp;"*")</f>
        <v>0</v>
      </c>
      <c r="W76" s="10">
        <f>SUMIFS('PLAN BUDGET SAMI-JF'!BI13:BI100000,'PLAN BUDGET SAMI-JF'!D13:D100000,SUMMARY!D76,'PLAN BUDGET SAMI-JF'!J13:J100000,SUMMARY!A76&amp;"*")</f>
        <v>0</v>
      </c>
      <c r="X76" s="10">
        <f>SUMIFS('PLAN BUDGET SAMI-JF'!BJ13:BJ100000,'PLAN BUDGET SAMI-JF'!D13:D100000,SUMMARY!D76,'PLAN BUDGET SAMI-JF'!J13:J100000,SUMMARY!A76&amp;"*")</f>
        <v>0</v>
      </c>
      <c r="Y76" s="10">
        <f>SUMIFS('PLAN BUDGET SAMI-JF'!BK13:BK100000,'PLAN BUDGET SAMI-JF'!D13:D100000,SUMMARY!D76,'PLAN BUDGET SAMI-JF'!J13:J100000,SUMMARY!A76&amp;"*")</f>
        <v>0</v>
      </c>
      <c r="Z76" s="10">
        <f>SUMIFS('PLAN BUDGET SAMI-JF'!BL13:BL100000,'PLAN BUDGET SAMI-JF'!D13:D100000,SUMMARY!D76,'PLAN BUDGET SAMI-JF'!J13:J100000,SUMMARY!A76&amp;"*")</f>
        <v>0</v>
      </c>
      <c r="AA76" s="10">
        <f>SUMIFS('PLAN BUDGET SAMI-JF'!BM13:BM100000,'PLAN BUDGET SAMI-JF'!D13:D100000,SUMMARY!D76,'PLAN BUDGET SAMI-JF'!J13:J100000,SUMMARY!A76&amp;"*")</f>
        <v>0</v>
      </c>
      <c r="AB76" s="10">
        <f>SUMIFS('PLAN BUDGET SAMI-JF'!BN13:BN100000,'PLAN BUDGET SAMI-JF'!D13:D100000,SUMMARY!D76,'PLAN BUDGET SAMI-JF'!J13:J100000,SUMMARY!A76&amp;"*")</f>
        <v>0</v>
      </c>
      <c r="AC76" s="10">
        <f t="shared" si="8"/>
        <v>0</v>
      </c>
      <c r="AD76" s="10">
        <f t="shared" si="9"/>
        <v>0</v>
      </c>
      <c r="AE76" s="16"/>
      <c r="AF76" s="10">
        <v>1</v>
      </c>
      <c r="AG76" s="10">
        <v>39.598445431873998</v>
      </c>
      <c r="AH76" s="20">
        <f t="shared" si="10"/>
        <v>-1</v>
      </c>
      <c r="AI76" s="20">
        <f t="shared" si="11"/>
        <v>-1</v>
      </c>
      <c r="AJ76" s="7" t="s">
        <v>494</v>
      </c>
    </row>
    <row r="77" spans="1:36" x14ac:dyDescent="0.35">
      <c r="A77" s="7" t="s">
        <v>355</v>
      </c>
      <c r="B77" s="7"/>
      <c r="C77" s="7"/>
      <c r="D77" s="7" t="s">
        <v>505</v>
      </c>
      <c r="E77" s="10">
        <f>SUMIFS('PLAN BUDGET SAMI-JF'!AN13:AN100000,'PLAN BUDGET SAMI-JF'!D13:D100000,SUMMARY!D77,'PLAN BUDGET SAMI-JF'!J13:J100000,SUMMARY!A77&amp;"*")</f>
        <v>0</v>
      </c>
      <c r="F77" s="10">
        <f>SUMIFS('PLAN BUDGET SAMI-JF'!AO13:AO100000,'PLAN BUDGET SAMI-JF'!D13:D100000,SUMMARY!D77,'PLAN BUDGET SAMI-JF'!J13:J100000,SUMMARY!A77&amp;"*")</f>
        <v>0</v>
      </c>
      <c r="G77" s="10">
        <f>SUMIFS('PLAN BUDGET SAMI-JF'!AP13:AP100000,'PLAN BUDGET SAMI-JF'!D13:D100000,SUMMARY!D77,'PLAN BUDGET SAMI-JF'!J13:J100000,SUMMARY!A77&amp;"*")</f>
        <v>0</v>
      </c>
      <c r="H77" s="10">
        <f>SUMIFS('PLAN BUDGET SAMI-JF'!AQ13:AQ100000,'PLAN BUDGET SAMI-JF'!D13:D100000,SUMMARY!D77,'PLAN BUDGET SAMI-JF'!J13:J100000,SUMMARY!A77&amp;"*")</f>
        <v>0</v>
      </c>
      <c r="I77" s="10">
        <f>SUMIFS('PLAN BUDGET SAMI-JF'!AR13:AR100000,'PLAN BUDGET SAMI-JF'!D13:D100000,SUMMARY!D77,'PLAN BUDGET SAMI-JF'!J13:J100000,SUMMARY!A77&amp;"*")</f>
        <v>0</v>
      </c>
      <c r="J77" s="10">
        <f>SUMIFS('PLAN BUDGET SAMI-JF'!AS13:AS100000,'PLAN BUDGET SAMI-JF'!D13:D100000,SUMMARY!D77,'PLAN BUDGET SAMI-JF'!J13:J100000,SUMMARY!A77&amp;"*")</f>
        <v>0</v>
      </c>
      <c r="K77" s="10">
        <f>SUMIFS('PLAN BUDGET SAMI-JF'!AT13:AT100000,'PLAN BUDGET SAMI-JF'!D13:D100000,SUMMARY!D77,'PLAN BUDGET SAMI-JF'!J13:J100000,SUMMARY!A77&amp;"*")</f>
        <v>0</v>
      </c>
      <c r="L77" s="10">
        <f>SUMIFS('PLAN BUDGET SAMI-JF'!AU13:AU100000,'PLAN BUDGET SAMI-JF'!D13:D100000,SUMMARY!D77,'PLAN BUDGET SAMI-JF'!J13:J100000,SUMMARY!A77&amp;"*")</f>
        <v>0</v>
      </c>
      <c r="M77" s="10">
        <f>SUMIFS('PLAN BUDGET SAMI-JF'!AV13:AV100000,'PLAN BUDGET SAMI-JF'!D13:D100000,SUMMARY!D77,'PLAN BUDGET SAMI-JF'!J13:J100000,SUMMARY!A77&amp;"*")</f>
        <v>0</v>
      </c>
      <c r="N77" s="10">
        <f>SUMIFS('PLAN BUDGET SAMI-JF'!AW13:AW100000,'PLAN BUDGET SAMI-JF'!D13:D100000,SUMMARY!D77,'PLAN BUDGET SAMI-JF'!J13:J100000,SUMMARY!A77&amp;"*")</f>
        <v>0</v>
      </c>
      <c r="O77" s="10">
        <f>SUMIFS('PLAN BUDGET SAMI-JF'!AX13:AX100000,'PLAN BUDGET SAMI-JF'!D13:D100000,SUMMARY!D77,'PLAN BUDGET SAMI-JF'!J13:J100000,SUMMARY!A77&amp;"*")</f>
        <v>0</v>
      </c>
      <c r="P77" s="10">
        <f>SUMIFS('PLAN BUDGET SAMI-JF'!AY13:AY100000,'PLAN BUDGET SAMI-JF'!D13:D100000,SUMMARY!D77,'PLAN BUDGET SAMI-JF'!J13:J100000,SUMMARY!A77&amp;"*")</f>
        <v>0</v>
      </c>
      <c r="Q77" s="10">
        <f>SUMIFS('PLAN BUDGET SAMI-JF'!BC13:BC100000,'PLAN BUDGET SAMI-JF'!D13:D100000,SUMMARY!D77,'PLAN BUDGET SAMI-JF'!J13:J100000,SUMMARY!A77&amp;"*")</f>
        <v>0</v>
      </c>
      <c r="R77" s="10">
        <f>SUMIFS('PLAN BUDGET SAMI-JF'!BD13:BD100000,'PLAN BUDGET SAMI-JF'!D13:D100000,SUMMARY!D77,'PLAN BUDGET SAMI-JF'!J13:J100000,SUMMARY!A77&amp;"*")</f>
        <v>0</v>
      </c>
      <c r="S77" s="10">
        <f>SUMIFS('PLAN BUDGET SAMI-JF'!BE13:BE100000,'PLAN BUDGET SAMI-JF'!D13:D100000,SUMMARY!D77,'PLAN BUDGET SAMI-JF'!J13:J100000,SUMMARY!A77&amp;"*")</f>
        <v>0</v>
      </c>
      <c r="T77" s="10">
        <f>SUMIFS('PLAN BUDGET SAMI-JF'!BF13:BF100000,'PLAN BUDGET SAMI-JF'!D13:D100000,SUMMARY!D77,'PLAN BUDGET SAMI-JF'!J13:J100000,SUMMARY!A77&amp;"*")</f>
        <v>0</v>
      </c>
      <c r="U77" s="10">
        <f>SUMIFS('PLAN BUDGET SAMI-JF'!BG13:BG100000,'PLAN BUDGET SAMI-JF'!D13:D100000,SUMMARY!D77,'PLAN BUDGET SAMI-JF'!J13:J100000,SUMMARY!A77&amp;"*")</f>
        <v>0</v>
      </c>
      <c r="V77" s="10">
        <f>SUMIFS('PLAN BUDGET SAMI-JF'!BH13:BH100000,'PLAN BUDGET SAMI-JF'!D13:D100000,SUMMARY!D77,'PLAN BUDGET SAMI-JF'!J13:J100000,SUMMARY!A77&amp;"*")</f>
        <v>0</v>
      </c>
      <c r="W77" s="10">
        <f>SUMIFS('PLAN BUDGET SAMI-JF'!BI13:BI100000,'PLAN BUDGET SAMI-JF'!D13:D100000,SUMMARY!D77,'PLAN BUDGET SAMI-JF'!J13:J100000,SUMMARY!A77&amp;"*")</f>
        <v>0</v>
      </c>
      <c r="X77" s="10">
        <f>SUMIFS('PLAN BUDGET SAMI-JF'!BJ13:BJ100000,'PLAN BUDGET SAMI-JF'!D13:D100000,SUMMARY!D77,'PLAN BUDGET SAMI-JF'!J13:J100000,SUMMARY!A77&amp;"*")</f>
        <v>0</v>
      </c>
      <c r="Y77" s="10">
        <f>SUMIFS('PLAN BUDGET SAMI-JF'!BK13:BK100000,'PLAN BUDGET SAMI-JF'!D13:D100000,SUMMARY!D77,'PLAN BUDGET SAMI-JF'!J13:J100000,SUMMARY!A77&amp;"*")</f>
        <v>0</v>
      </c>
      <c r="Z77" s="10">
        <f>SUMIFS('PLAN BUDGET SAMI-JF'!BL13:BL100000,'PLAN BUDGET SAMI-JF'!D13:D100000,SUMMARY!D77,'PLAN BUDGET SAMI-JF'!J13:J100000,SUMMARY!A77&amp;"*")</f>
        <v>0</v>
      </c>
      <c r="AA77" s="10">
        <f>SUMIFS('PLAN BUDGET SAMI-JF'!BM13:BM100000,'PLAN BUDGET SAMI-JF'!D13:D100000,SUMMARY!D77,'PLAN BUDGET SAMI-JF'!J13:J100000,SUMMARY!A77&amp;"*")</f>
        <v>0</v>
      </c>
      <c r="AB77" s="10">
        <f>SUMIFS('PLAN BUDGET SAMI-JF'!BN13:BN100000,'PLAN BUDGET SAMI-JF'!D13:D100000,SUMMARY!D77,'PLAN BUDGET SAMI-JF'!J13:J100000,SUMMARY!A77&amp;"*")</f>
        <v>0</v>
      </c>
      <c r="AC77" s="10">
        <f t="shared" si="8"/>
        <v>0</v>
      </c>
      <c r="AD77" s="10">
        <f t="shared" si="9"/>
        <v>0</v>
      </c>
      <c r="AE77" s="16"/>
      <c r="AF77" s="10">
        <v>1</v>
      </c>
      <c r="AG77" s="10">
        <v>104.43963389161</v>
      </c>
      <c r="AH77" s="20">
        <f t="shared" si="10"/>
        <v>-1</v>
      </c>
      <c r="AI77" s="20">
        <f t="shared" si="11"/>
        <v>-1</v>
      </c>
      <c r="AJ77" s="7" t="s">
        <v>494</v>
      </c>
    </row>
    <row r="78" spans="1:36" x14ac:dyDescent="0.35">
      <c r="A78" s="7" t="s">
        <v>355</v>
      </c>
      <c r="B78" s="7"/>
      <c r="C78" s="7"/>
      <c r="D78" s="7" t="s">
        <v>506</v>
      </c>
      <c r="E78" s="10">
        <f>SUMIFS('PLAN BUDGET SAMI-JF'!AN13:AN100000,'PLAN BUDGET SAMI-JF'!D13:D100000,SUMMARY!D78,'PLAN BUDGET SAMI-JF'!J13:J100000,SUMMARY!A78&amp;"*")</f>
        <v>0</v>
      </c>
      <c r="F78" s="10">
        <f>SUMIFS('PLAN BUDGET SAMI-JF'!AO13:AO100000,'PLAN BUDGET SAMI-JF'!D13:D100000,SUMMARY!D78,'PLAN BUDGET SAMI-JF'!J13:J100000,SUMMARY!A78&amp;"*")</f>
        <v>0</v>
      </c>
      <c r="G78" s="10">
        <f>SUMIFS('PLAN BUDGET SAMI-JF'!AP13:AP100000,'PLAN BUDGET SAMI-JF'!D13:D100000,SUMMARY!D78,'PLAN BUDGET SAMI-JF'!J13:J100000,SUMMARY!A78&amp;"*")</f>
        <v>0</v>
      </c>
      <c r="H78" s="10">
        <f>SUMIFS('PLAN BUDGET SAMI-JF'!AQ13:AQ100000,'PLAN BUDGET SAMI-JF'!D13:D100000,SUMMARY!D78,'PLAN BUDGET SAMI-JF'!J13:J100000,SUMMARY!A78&amp;"*")</f>
        <v>0</v>
      </c>
      <c r="I78" s="10">
        <f>SUMIFS('PLAN BUDGET SAMI-JF'!AR13:AR100000,'PLAN BUDGET SAMI-JF'!D13:D100000,SUMMARY!D78,'PLAN BUDGET SAMI-JF'!J13:J100000,SUMMARY!A78&amp;"*")</f>
        <v>0</v>
      </c>
      <c r="J78" s="10">
        <f>SUMIFS('PLAN BUDGET SAMI-JF'!AS13:AS100000,'PLAN BUDGET SAMI-JF'!D13:D100000,SUMMARY!D78,'PLAN BUDGET SAMI-JF'!J13:J100000,SUMMARY!A78&amp;"*")</f>
        <v>0</v>
      </c>
      <c r="K78" s="10">
        <f>SUMIFS('PLAN BUDGET SAMI-JF'!AT13:AT100000,'PLAN BUDGET SAMI-JF'!D13:D100000,SUMMARY!D78,'PLAN BUDGET SAMI-JF'!J13:J100000,SUMMARY!A78&amp;"*")</f>
        <v>0</v>
      </c>
      <c r="L78" s="10">
        <f>SUMIFS('PLAN BUDGET SAMI-JF'!AU13:AU100000,'PLAN BUDGET SAMI-JF'!D13:D100000,SUMMARY!D78,'PLAN BUDGET SAMI-JF'!J13:J100000,SUMMARY!A78&amp;"*")</f>
        <v>0</v>
      </c>
      <c r="M78" s="10">
        <f>SUMIFS('PLAN BUDGET SAMI-JF'!AV13:AV100000,'PLAN BUDGET SAMI-JF'!D13:D100000,SUMMARY!D78,'PLAN BUDGET SAMI-JF'!J13:J100000,SUMMARY!A78&amp;"*")</f>
        <v>0</v>
      </c>
      <c r="N78" s="10">
        <f>SUMIFS('PLAN BUDGET SAMI-JF'!AW13:AW100000,'PLAN BUDGET SAMI-JF'!D13:D100000,SUMMARY!D78,'PLAN BUDGET SAMI-JF'!J13:J100000,SUMMARY!A78&amp;"*")</f>
        <v>0</v>
      </c>
      <c r="O78" s="10">
        <f>SUMIFS('PLAN BUDGET SAMI-JF'!AX13:AX100000,'PLAN BUDGET SAMI-JF'!D13:D100000,SUMMARY!D78,'PLAN BUDGET SAMI-JF'!J13:J100000,SUMMARY!A78&amp;"*")</f>
        <v>0</v>
      </c>
      <c r="P78" s="10">
        <f>SUMIFS('PLAN BUDGET SAMI-JF'!AY13:AY100000,'PLAN BUDGET SAMI-JF'!D13:D100000,SUMMARY!D78,'PLAN BUDGET SAMI-JF'!J13:J100000,SUMMARY!A78&amp;"*")</f>
        <v>0</v>
      </c>
      <c r="Q78" s="10">
        <f>SUMIFS('PLAN BUDGET SAMI-JF'!BC13:BC100000,'PLAN BUDGET SAMI-JF'!D13:D100000,SUMMARY!D78,'PLAN BUDGET SAMI-JF'!J13:J100000,SUMMARY!A78&amp;"*")</f>
        <v>0</v>
      </c>
      <c r="R78" s="10">
        <f>SUMIFS('PLAN BUDGET SAMI-JF'!BD13:BD100000,'PLAN BUDGET SAMI-JF'!D13:D100000,SUMMARY!D78,'PLAN BUDGET SAMI-JF'!J13:J100000,SUMMARY!A78&amp;"*")</f>
        <v>0</v>
      </c>
      <c r="S78" s="10">
        <f>SUMIFS('PLAN BUDGET SAMI-JF'!BE13:BE100000,'PLAN BUDGET SAMI-JF'!D13:D100000,SUMMARY!D78,'PLAN BUDGET SAMI-JF'!J13:J100000,SUMMARY!A78&amp;"*")</f>
        <v>0</v>
      </c>
      <c r="T78" s="10">
        <f>SUMIFS('PLAN BUDGET SAMI-JF'!BF13:BF100000,'PLAN BUDGET SAMI-JF'!D13:D100000,SUMMARY!D78,'PLAN BUDGET SAMI-JF'!J13:J100000,SUMMARY!A78&amp;"*")</f>
        <v>0</v>
      </c>
      <c r="U78" s="10">
        <f>SUMIFS('PLAN BUDGET SAMI-JF'!BG13:BG100000,'PLAN BUDGET SAMI-JF'!D13:D100000,SUMMARY!D78,'PLAN BUDGET SAMI-JF'!J13:J100000,SUMMARY!A78&amp;"*")</f>
        <v>0</v>
      </c>
      <c r="V78" s="10">
        <f>SUMIFS('PLAN BUDGET SAMI-JF'!BH13:BH100000,'PLAN BUDGET SAMI-JF'!D13:D100000,SUMMARY!D78,'PLAN BUDGET SAMI-JF'!J13:J100000,SUMMARY!A78&amp;"*")</f>
        <v>0</v>
      </c>
      <c r="W78" s="10">
        <f>SUMIFS('PLAN BUDGET SAMI-JF'!BI13:BI100000,'PLAN BUDGET SAMI-JF'!D13:D100000,SUMMARY!D78,'PLAN BUDGET SAMI-JF'!J13:J100000,SUMMARY!A78&amp;"*")</f>
        <v>0</v>
      </c>
      <c r="X78" s="10">
        <f>SUMIFS('PLAN BUDGET SAMI-JF'!BJ13:BJ100000,'PLAN BUDGET SAMI-JF'!D13:D100000,SUMMARY!D78,'PLAN BUDGET SAMI-JF'!J13:J100000,SUMMARY!A78&amp;"*")</f>
        <v>0</v>
      </c>
      <c r="Y78" s="10">
        <f>SUMIFS('PLAN BUDGET SAMI-JF'!BK13:BK100000,'PLAN BUDGET SAMI-JF'!D13:D100000,SUMMARY!D78,'PLAN BUDGET SAMI-JF'!J13:J100000,SUMMARY!A78&amp;"*")</f>
        <v>0</v>
      </c>
      <c r="Z78" s="10">
        <f>SUMIFS('PLAN BUDGET SAMI-JF'!BL13:BL100000,'PLAN BUDGET SAMI-JF'!D13:D100000,SUMMARY!D78,'PLAN BUDGET SAMI-JF'!J13:J100000,SUMMARY!A78&amp;"*")</f>
        <v>0</v>
      </c>
      <c r="AA78" s="10">
        <f>SUMIFS('PLAN BUDGET SAMI-JF'!BM13:BM100000,'PLAN BUDGET SAMI-JF'!D13:D100000,SUMMARY!D78,'PLAN BUDGET SAMI-JF'!J13:J100000,SUMMARY!A78&amp;"*")</f>
        <v>0</v>
      </c>
      <c r="AB78" s="10">
        <f>SUMIFS('PLAN BUDGET SAMI-JF'!BN13:BN100000,'PLAN BUDGET SAMI-JF'!D13:D100000,SUMMARY!D78,'PLAN BUDGET SAMI-JF'!J13:J100000,SUMMARY!A78&amp;"*")</f>
        <v>0</v>
      </c>
      <c r="AC78" s="10">
        <f t="shared" si="8"/>
        <v>0</v>
      </c>
      <c r="AD78" s="10">
        <f t="shared" si="9"/>
        <v>0</v>
      </c>
      <c r="AE78" s="16"/>
      <c r="AF78" s="10">
        <v>57</v>
      </c>
      <c r="AG78" s="10">
        <v>345.63189143341998</v>
      </c>
      <c r="AH78" s="20">
        <f t="shared" si="10"/>
        <v>-1</v>
      </c>
      <c r="AI78" s="20">
        <f t="shared" si="11"/>
        <v>-1</v>
      </c>
      <c r="AJ78" s="7" t="s">
        <v>494</v>
      </c>
    </row>
    <row r="79" spans="1:36" x14ac:dyDescent="0.35">
      <c r="A79" s="7" t="s">
        <v>491</v>
      </c>
      <c r="B79" s="7"/>
      <c r="C79" s="7"/>
      <c r="D79" s="7" t="s">
        <v>507</v>
      </c>
      <c r="E79" s="10">
        <f>SUMIFS('PLAN BUDGET SAMI-JF'!AN13:AN100000,'PLAN BUDGET SAMI-JF'!D13:D100000,SUMMARY!D79,'PLAN BUDGET SAMI-JF'!J13:J100000,SUMMARY!A79&amp;"*")</f>
        <v>0</v>
      </c>
      <c r="F79" s="10">
        <f>SUMIFS('PLAN BUDGET SAMI-JF'!AO13:AO100000,'PLAN BUDGET SAMI-JF'!D13:D100000,SUMMARY!D79,'PLAN BUDGET SAMI-JF'!J13:J100000,SUMMARY!A79&amp;"*")</f>
        <v>0</v>
      </c>
      <c r="G79" s="10">
        <f>SUMIFS('PLAN BUDGET SAMI-JF'!AP13:AP100000,'PLAN BUDGET SAMI-JF'!D13:D100000,SUMMARY!D79,'PLAN BUDGET SAMI-JF'!J13:J100000,SUMMARY!A79&amp;"*")</f>
        <v>0</v>
      </c>
      <c r="H79" s="10">
        <f>SUMIFS('PLAN BUDGET SAMI-JF'!AQ13:AQ100000,'PLAN BUDGET SAMI-JF'!D13:D100000,SUMMARY!D79,'PLAN BUDGET SAMI-JF'!J13:J100000,SUMMARY!A79&amp;"*")</f>
        <v>0</v>
      </c>
      <c r="I79" s="10">
        <f>SUMIFS('PLAN BUDGET SAMI-JF'!AR13:AR100000,'PLAN BUDGET SAMI-JF'!D13:D100000,SUMMARY!D79,'PLAN BUDGET SAMI-JF'!J13:J100000,SUMMARY!A79&amp;"*")</f>
        <v>0</v>
      </c>
      <c r="J79" s="10">
        <f>SUMIFS('PLAN BUDGET SAMI-JF'!AS13:AS100000,'PLAN BUDGET SAMI-JF'!D13:D100000,SUMMARY!D79,'PLAN BUDGET SAMI-JF'!J13:J100000,SUMMARY!A79&amp;"*")</f>
        <v>0</v>
      </c>
      <c r="K79" s="10">
        <f>SUMIFS('PLAN BUDGET SAMI-JF'!AT13:AT100000,'PLAN BUDGET SAMI-JF'!D13:D100000,SUMMARY!D79,'PLAN BUDGET SAMI-JF'!J13:J100000,SUMMARY!A79&amp;"*")</f>
        <v>0</v>
      </c>
      <c r="L79" s="10">
        <f>SUMIFS('PLAN BUDGET SAMI-JF'!AU13:AU100000,'PLAN BUDGET SAMI-JF'!D13:D100000,SUMMARY!D79,'PLAN BUDGET SAMI-JF'!J13:J100000,SUMMARY!A79&amp;"*")</f>
        <v>0</v>
      </c>
      <c r="M79" s="10">
        <f>SUMIFS('PLAN BUDGET SAMI-JF'!AV13:AV100000,'PLAN BUDGET SAMI-JF'!D13:D100000,SUMMARY!D79,'PLAN BUDGET SAMI-JF'!J13:J100000,SUMMARY!A79&amp;"*")</f>
        <v>0</v>
      </c>
      <c r="N79" s="10">
        <f>SUMIFS('PLAN BUDGET SAMI-JF'!AW13:AW100000,'PLAN BUDGET SAMI-JF'!D13:D100000,SUMMARY!D79,'PLAN BUDGET SAMI-JF'!J13:J100000,SUMMARY!A79&amp;"*")</f>
        <v>0</v>
      </c>
      <c r="O79" s="10">
        <f>SUMIFS('PLAN BUDGET SAMI-JF'!AX13:AX100000,'PLAN BUDGET SAMI-JF'!D13:D100000,SUMMARY!D79,'PLAN BUDGET SAMI-JF'!J13:J100000,SUMMARY!A79&amp;"*")</f>
        <v>0</v>
      </c>
      <c r="P79" s="10">
        <f>SUMIFS('PLAN BUDGET SAMI-JF'!AY13:AY100000,'PLAN BUDGET SAMI-JF'!D13:D100000,SUMMARY!D79,'PLAN BUDGET SAMI-JF'!J13:J100000,SUMMARY!A79&amp;"*")</f>
        <v>0</v>
      </c>
      <c r="Q79" s="10">
        <f>SUMIFS('PLAN BUDGET SAMI-JF'!BC13:BC100000,'PLAN BUDGET SAMI-JF'!D13:D100000,SUMMARY!D79,'PLAN BUDGET SAMI-JF'!J13:J100000,SUMMARY!A79&amp;"*")</f>
        <v>0</v>
      </c>
      <c r="R79" s="10">
        <f>SUMIFS('PLAN BUDGET SAMI-JF'!BD13:BD100000,'PLAN BUDGET SAMI-JF'!D13:D100000,SUMMARY!D79,'PLAN BUDGET SAMI-JF'!J13:J100000,SUMMARY!A79&amp;"*")</f>
        <v>0</v>
      </c>
      <c r="S79" s="10">
        <f>SUMIFS('PLAN BUDGET SAMI-JF'!BE13:BE100000,'PLAN BUDGET SAMI-JF'!D13:D100000,SUMMARY!D79,'PLAN BUDGET SAMI-JF'!J13:J100000,SUMMARY!A79&amp;"*")</f>
        <v>0</v>
      </c>
      <c r="T79" s="10">
        <f>SUMIFS('PLAN BUDGET SAMI-JF'!BF13:BF100000,'PLAN BUDGET SAMI-JF'!D13:D100000,SUMMARY!D79,'PLAN BUDGET SAMI-JF'!J13:J100000,SUMMARY!A79&amp;"*")</f>
        <v>0</v>
      </c>
      <c r="U79" s="10">
        <f>SUMIFS('PLAN BUDGET SAMI-JF'!BG13:BG100000,'PLAN BUDGET SAMI-JF'!D13:D100000,SUMMARY!D79,'PLAN BUDGET SAMI-JF'!J13:J100000,SUMMARY!A79&amp;"*")</f>
        <v>0</v>
      </c>
      <c r="V79" s="10">
        <f>SUMIFS('PLAN BUDGET SAMI-JF'!BH13:BH100000,'PLAN BUDGET SAMI-JF'!D13:D100000,SUMMARY!D79,'PLAN BUDGET SAMI-JF'!J13:J100000,SUMMARY!A79&amp;"*")</f>
        <v>0</v>
      </c>
      <c r="W79" s="10">
        <f>SUMIFS('PLAN BUDGET SAMI-JF'!BI13:BI100000,'PLAN BUDGET SAMI-JF'!D13:D100000,SUMMARY!D79,'PLAN BUDGET SAMI-JF'!J13:J100000,SUMMARY!A79&amp;"*")</f>
        <v>0</v>
      </c>
      <c r="X79" s="10">
        <f>SUMIFS('PLAN BUDGET SAMI-JF'!BJ13:BJ100000,'PLAN BUDGET SAMI-JF'!D13:D100000,SUMMARY!D79,'PLAN BUDGET SAMI-JF'!J13:J100000,SUMMARY!A79&amp;"*")</f>
        <v>0</v>
      </c>
      <c r="Y79" s="10">
        <f>SUMIFS('PLAN BUDGET SAMI-JF'!BK13:BK100000,'PLAN BUDGET SAMI-JF'!D13:D100000,SUMMARY!D79,'PLAN BUDGET SAMI-JF'!J13:J100000,SUMMARY!A79&amp;"*")</f>
        <v>0</v>
      </c>
      <c r="Z79" s="10">
        <f>SUMIFS('PLAN BUDGET SAMI-JF'!BL13:BL100000,'PLAN BUDGET SAMI-JF'!D13:D100000,SUMMARY!D79,'PLAN BUDGET SAMI-JF'!J13:J100000,SUMMARY!A79&amp;"*")</f>
        <v>0</v>
      </c>
      <c r="AA79" s="10">
        <f>SUMIFS('PLAN BUDGET SAMI-JF'!BM13:BM100000,'PLAN BUDGET SAMI-JF'!D13:D100000,SUMMARY!D79,'PLAN BUDGET SAMI-JF'!J13:J100000,SUMMARY!A79&amp;"*")</f>
        <v>0</v>
      </c>
      <c r="AB79" s="10">
        <f>SUMIFS('PLAN BUDGET SAMI-JF'!BN13:BN100000,'PLAN BUDGET SAMI-JF'!D13:D100000,SUMMARY!D79,'PLAN BUDGET SAMI-JF'!J13:J100000,SUMMARY!A79&amp;"*")</f>
        <v>0</v>
      </c>
      <c r="AC79" s="10">
        <f t="shared" si="8"/>
        <v>0</v>
      </c>
      <c r="AD79" s="10">
        <f t="shared" si="9"/>
        <v>0</v>
      </c>
      <c r="AE79" s="16"/>
      <c r="AF79" s="10">
        <v>351</v>
      </c>
      <c r="AG79" s="10">
        <v>99.831757244312996</v>
      </c>
      <c r="AH79" s="20">
        <f t="shared" si="10"/>
        <v>-1</v>
      </c>
      <c r="AI79" s="20">
        <f t="shared" si="11"/>
        <v>-1</v>
      </c>
      <c r="AJ79" s="7" t="s">
        <v>494</v>
      </c>
    </row>
    <row r="80" spans="1:36" x14ac:dyDescent="0.35">
      <c r="A80" s="7" t="s">
        <v>47</v>
      </c>
      <c r="B80" s="7"/>
      <c r="C80" s="7"/>
      <c r="D80" s="7" t="s">
        <v>420</v>
      </c>
      <c r="E80" s="10">
        <f>SUMIFS('PLAN BUDGET SAMI-JF'!AN13:AN100000,'PLAN BUDGET SAMI-JF'!D13:D100000,SUMMARY!D80,'PLAN BUDGET SAMI-JF'!J13:J100000,SUMMARY!A80&amp;"*")</f>
        <v>0</v>
      </c>
      <c r="F80" s="10">
        <f>SUMIFS('PLAN BUDGET SAMI-JF'!AO13:AO100000,'PLAN BUDGET SAMI-JF'!D13:D100000,SUMMARY!D80,'PLAN BUDGET SAMI-JF'!J13:J100000,SUMMARY!A80&amp;"*")</f>
        <v>0</v>
      </c>
      <c r="G80" s="10">
        <f>SUMIFS('PLAN BUDGET SAMI-JF'!AP13:AP100000,'PLAN BUDGET SAMI-JF'!D13:D100000,SUMMARY!D80,'PLAN BUDGET SAMI-JF'!J13:J100000,SUMMARY!A80&amp;"*")</f>
        <v>0</v>
      </c>
      <c r="H80" s="10">
        <f>SUMIFS('PLAN BUDGET SAMI-JF'!AQ13:AQ100000,'PLAN BUDGET SAMI-JF'!D13:D100000,SUMMARY!D80,'PLAN BUDGET SAMI-JF'!J13:J100000,SUMMARY!A80&amp;"*")</f>
        <v>0</v>
      </c>
      <c r="I80" s="10">
        <f>SUMIFS('PLAN BUDGET SAMI-JF'!AR13:AR100000,'PLAN BUDGET SAMI-JF'!D13:D100000,SUMMARY!D80,'PLAN BUDGET SAMI-JF'!J13:J100000,SUMMARY!A80&amp;"*")</f>
        <v>0</v>
      </c>
      <c r="J80" s="10">
        <f>SUMIFS('PLAN BUDGET SAMI-JF'!AS13:AS100000,'PLAN BUDGET SAMI-JF'!D13:D100000,SUMMARY!D80,'PLAN BUDGET SAMI-JF'!J13:J100000,SUMMARY!A80&amp;"*")</f>
        <v>0</v>
      </c>
      <c r="K80" s="10">
        <f>SUMIFS('PLAN BUDGET SAMI-JF'!AT13:AT100000,'PLAN BUDGET SAMI-JF'!D13:D100000,SUMMARY!D80,'PLAN BUDGET SAMI-JF'!J13:J100000,SUMMARY!A80&amp;"*")</f>
        <v>0</v>
      </c>
      <c r="L80" s="10">
        <f>SUMIFS('PLAN BUDGET SAMI-JF'!AU13:AU100000,'PLAN BUDGET SAMI-JF'!D13:D100000,SUMMARY!D80,'PLAN BUDGET SAMI-JF'!J13:J100000,SUMMARY!A80&amp;"*")</f>
        <v>0</v>
      </c>
      <c r="M80" s="10">
        <f>SUMIFS('PLAN BUDGET SAMI-JF'!AV13:AV100000,'PLAN BUDGET SAMI-JF'!D13:D100000,SUMMARY!D80,'PLAN BUDGET SAMI-JF'!J13:J100000,SUMMARY!A80&amp;"*")</f>
        <v>0</v>
      </c>
      <c r="N80" s="10">
        <f>SUMIFS('PLAN BUDGET SAMI-JF'!AW13:AW100000,'PLAN BUDGET SAMI-JF'!D13:D100000,SUMMARY!D80,'PLAN BUDGET SAMI-JF'!J13:J100000,SUMMARY!A80&amp;"*")</f>
        <v>0</v>
      </c>
      <c r="O80" s="10">
        <f>SUMIFS('PLAN BUDGET SAMI-JF'!AX13:AX100000,'PLAN BUDGET SAMI-JF'!D13:D100000,SUMMARY!D80,'PLAN BUDGET SAMI-JF'!J13:J100000,SUMMARY!A80&amp;"*")</f>
        <v>0</v>
      </c>
      <c r="P80" s="10">
        <f>SUMIFS('PLAN BUDGET SAMI-JF'!AY13:AY100000,'PLAN BUDGET SAMI-JF'!D13:D100000,SUMMARY!D80,'PLAN BUDGET SAMI-JF'!J13:J100000,SUMMARY!A80&amp;"*")</f>
        <v>0</v>
      </c>
      <c r="Q80" s="10">
        <f>SUMIFS('PLAN BUDGET SAMI-JF'!BC13:BC100000,'PLAN BUDGET SAMI-JF'!D13:D100000,SUMMARY!D80,'PLAN BUDGET SAMI-JF'!J13:J100000,SUMMARY!A80&amp;"*")</f>
        <v>0</v>
      </c>
      <c r="R80" s="10">
        <f>SUMIFS('PLAN BUDGET SAMI-JF'!BD13:BD100000,'PLAN BUDGET SAMI-JF'!D13:D100000,SUMMARY!D80,'PLAN BUDGET SAMI-JF'!J13:J100000,SUMMARY!A80&amp;"*")</f>
        <v>0</v>
      </c>
      <c r="S80" s="10">
        <f>SUMIFS('PLAN BUDGET SAMI-JF'!BE13:BE100000,'PLAN BUDGET SAMI-JF'!D13:D100000,SUMMARY!D80,'PLAN BUDGET SAMI-JF'!J13:J100000,SUMMARY!A80&amp;"*")</f>
        <v>0</v>
      </c>
      <c r="T80" s="10">
        <f>SUMIFS('PLAN BUDGET SAMI-JF'!BF13:BF100000,'PLAN BUDGET SAMI-JF'!D13:D100000,SUMMARY!D80,'PLAN BUDGET SAMI-JF'!J13:J100000,SUMMARY!A80&amp;"*")</f>
        <v>0</v>
      </c>
      <c r="U80" s="10">
        <f>SUMIFS('PLAN BUDGET SAMI-JF'!BG13:BG100000,'PLAN BUDGET SAMI-JF'!D13:D100000,SUMMARY!D80,'PLAN BUDGET SAMI-JF'!J13:J100000,SUMMARY!A80&amp;"*")</f>
        <v>0</v>
      </c>
      <c r="V80" s="10">
        <f>SUMIFS('PLAN BUDGET SAMI-JF'!BH13:BH100000,'PLAN BUDGET SAMI-JF'!D13:D100000,SUMMARY!D80,'PLAN BUDGET SAMI-JF'!J13:J100000,SUMMARY!A80&amp;"*")</f>
        <v>0</v>
      </c>
      <c r="W80" s="10">
        <f>SUMIFS('PLAN BUDGET SAMI-JF'!BI13:BI100000,'PLAN BUDGET SAMI-JF'!D13:D100000,SUMMARY!D80,'PLAN BUDGET SAMI-JF'!J13:J100000,SUMMARY!A80&amp;"*")</f>
        <v>0</v>
      </c>
      <c r="X80" s="10">
        <f>SUMIFS('PLAN BUDGET SAMI-JF'!BJ13:BJ100000,'PLAN BUDGET SAMI-JF'!D13:D100000,SUMMARY!D80,'PLAN BUDGET SAMI-JF'!J13:J100000,SUMMARY!A80&amp;"*")</f>
        <v>0</v>
      </c>
      <c r="Y80" s="10">
        <f>SUMIFS('PLAN BUDGET SAMI-JF'!BK13:BK100000,'PLAN BUDGET SAMI-JF'!D13:D100000,SUMMARY!D80,'PLAN BUDGET SAMI-JF'!J13:J100000,SUMMARY!A80&amp;"*")</f>
        <v>0</v>
      </c>
      <c r="Z80" s="10">
        <f>SUMIFS('PLAN BUDGET SAMI-JF'!BL13:BL100000,'PLAN BUDGET SAMI-JF'!D13:D100000,SUMMARY!D80,'PLAN BUDGET SAMI-JF'!J13:J100000,SUMMARY!A80&amp;"*")</f>
        <v>0</v>
      </c>
      <c r="AA80" s="10">
        <f>SUMIFS('PLAN BUDGET SAMI-JF'!BM13:BM100000,'PLAN BUDGET SAMI-JF'!D13:D100000,SUMMARY!D80,'PLAN BUDGET SAMI-JF'!J13:J100000,SUMMARY!A80&amp;"*")</f>
        <v>0</v>
      </c>
      <c r="AB80" s="10">
        <f>SUMIFS('PLAN BUDGET SAMI-JF'!BN13:BN100000,'PLAN BUDGET SAMI-JF'!D13:D100000,SUMMARY!D80,'PLAN BUDGET SAMI-JF'!J13:J100000,SUMMARY!A80&amp;"*")</f>
        <v>0</v>
      </c>
      <c r="AC80" s="10">
        <f t="shared" si="8"/>
        <v>0</v>
      </c>
      <c r="AD80" s="10">
        <f t="shared" si="9"/>
        <v>0</v>
      </c>
      <c r="AE80" s="16"/>
      <c r="AF80" s="10">
        <v>2</v>
      </c>
      <c r="AG80" s="10">
        <v>62.030812856834999</v>
      </c>
      <c r="AH80" s="20">
        <f t="shared" si="10"/>
        <v>-1</v>
      </c>
      <c r="AI80" s="20">
        <f t="shared" si="11"/>
        <v>-1</v>
      </c>
      <c r="AJ80" s="7" t="s">
        <v>494</v>
      </c>
    </row>
    <row r="81" spans="1:36" x14ac:dyDescent="0.35">
      <c r="A81" s="7" t="s">
        <v>47</v>
      </c>
      <c r="B81" s="7"/>
      <c r="C81" s="7"/>
      <c r="D81" s="7" t="s">
        <v>508</v>
      </c>
      <c r="E81" s="10">
        <f>SUMIFS('PLAN BUDGET SAMI-JF'!AN13:AN100000,'PLAN BUDGET SAMI-JF'!D13:D100000,SUMMARY!D81,'PLAN BUDGET SAMI-JF'!J13:J100000,SUMMARY!A81&amp;"*")</f>
        <v>0</v>
      </c>
      <c r="F81" s="10">
        <f>SUMIFS('PLAN BUDGET SAMI-JF'!AO13:AO100000,'PLAN BUDGET SAMI-JF'!D13:D100000,SUMMARY!D81,'PLAN BUDGET SAMI-JF'!J13:J100000,SUMMARY!A81&amp;"*")</f>
        <v>0</v>
      </c>
      <c r="G81" s="10">
        <f>SUMIFS('PLAN BUDGET SAMI-JF'!AP13:AP100000,'PLAN BUDGET SAMI-JF'!D13:D100000,SUMMARY!D81,'PLAN BUDGET SAMI-JF'!J13:J100000,SUMMARY!A81&amp;"*")</f>
        <v>0</v>
      </c>
      <c r="H81" s="10">
        <f>SUMIFS('PLAN BUDGET SAMI-JF'!AQ13:AQ100000,'PLAN BUDGET SAMI-JF'!D13:D100000,SUMMARY!D81,'PLAN BUDGET SAMI-JF'!J13:J100000,SUMMARY!A81&amp;"*")</f>
        <v>0</v>
      </c>
      <c r="I81" s="10">
        <f>SUMIFS('PLAN BUDGET SAMI-JF'!AR13:AR100000,'PLAN BUDGET SAMI-JF'!D13:D100000,SUMMARY!D81,'PLAN BUDGET SAMI-JF'!J13:J100000,SUMMARY!A81&amp;"*")</f>
        <v>0</v>
      </c>
      <c r="J81" s="10">
        <f>SUMIFS('PLAN BUDGET SAMI-JF'!AS13:AS100000,'PLAN BUDGET SAMI-JF'!D13:D100000,SUMMARY!D81,'PLAN BUDGET SAMI-JF'!J13:J100000,SUMMARY!A81&amp;"*")</f>
        <v>0</v>
      </c>
      <c r="K81" s="10">
        <f>SUMIFS('PLAN BUDGET SAMI-JF'!AT13:AT100000,'PLAN BUDGET SAMI-JF'!D13:D100000,SUMMARY!D81,'PLAN BUDGET SAMI-JF'!J13:J100000,SUMMARY!A81&amp;"*")</f>
        <v>0</v>
      </c>
      <c r="L81" s="10">
        <f>SUMIFS('PLAN BUDGET SAMI-JF'!AU13:AU100000,'PLAN BUDGET SAMI-JF'!D13:D100000,SUMMARY!D81,'PLAN BUDGET SAMI-JF'!J13:J100000,SUMMARY!A81&amp;"*")</f>
        <v>0</v>
      </c>
      <c r="M81" s="10">
        <f>SUMIFS('PLAN BUDGET SAMI-JF'!AV13:AV100000,'PLAN BUDGET SAMI-JF'!D13:D100000,SUMMARY!D81,'PLAN BUDGET SAMI-JF'!J13:J100000,SUMMARY!A81&amp;"*")</f>
        <v>0</v>
      </c>
      <c r="N81" s="10">
        <f>SUMIFS('PLAN BUDGET SAMI-JF'!AW13:AW100000,'PLAN BUDGET SAMI-JF'!D13:D100000,SUMMARY!D81,'PLAN BUDGET SAMI-JF'!J13:J100000,SUMMARY!A81&amp;"*")</f>
        <v>0</v>
      </c>
      <c r="O81" s="10">
        <f>SUMIFS('PLAN BUDGET SAMI-JF'!AX13:AX100000,'PLAN BUDGET SAMI-JF'!D13:D100000,SUMMARY!D81,'PLAN BUDGET SAMI-JF'!J13:J100000,SUMMARY!A81&amp;"*")</f>
        <v>0</v>
      </c>
      <c r="P81" s="10">
        <f>SUMIFS('PLAN BUDGET SAMI-JF'!AY13:AY100000,'PLAN BUDGET SAMI-JF'!D13:D100000,SUMMARY!D81,'PLAN BUDGET SAMI-JF'!J13:J100000,SUMMARY!A81&amp;"*")</f>
        <v>0</v>
      </c>
      <c r="Q81" s="10">
        <f>SUMIFS('PLAN BUDGET SAMI-JF'!BC13:BC100000,'PLAN BUDGET SAMI-JF'!D13:D100000,SUMMARY!D81,'PLAN BUDGET SAMI-JF'!J13:J100000,SUMMARY!A81&amp;"*")</f>
        <v>0</v>
      </c>
      <c r="R81" s="10">
        <f>SUMIFS('PLAN BUDGET SAMI-JF'!BD13:BD100000,'PLAN BUDGET SAMI-JF'!D13:D100000,SUMMARY!D81,'PLAN BUDGET SAMI-JF'!J13:J100000,SUMMARY!A81&amp;"*")</f>
        <v>0</v>
      </c>
      <c r="S81" s="10">
        <f>SUMIFS('PLAN BUDGET SAMI-JF'!BE13:BE100000,'PLAN BUDGET SAMI-JF'!D13:D100000,SUMMARY!D81,'PLAN BUDGET SAMI-JF'!J13:J100000,SUMMARY!A81&amp;"*")</f>
        <v>0</v>
      </c>
      <c r="T81" s="10">
        <f>SUMIFS('PLAN BUDGET SAMI-JF'!BF13:BF100000,'PLAN BUDGET SAMI-JF'!D13:D100000,SUMMARY!D81,'PLAN BUDGET SAMI-JF'!J13:J100000,SUMMARY!A81&amp;"*")</f>
        <v>0</v>
      </c>
      <c r="U81" s="10">
        <f>SUMIFS('PLAN BUDGET SAMI-JF'!BG13:BG100000,'PLAN BUDGET SAMI-JF'!D13:D100000,SUMMARY!D81,'PLAN BUDGET SAMI-JF'!J13:J100000,SUMMARY!A81&amp;"*")</f>
        <v>0</v>
      </c>
      <c r="V81" s="10">
        <f>SUMIFS('PLAN BUDGET SAMI-JF'!BH13:BH100000,'PLAN BUDGET SAMI-JF'!D13:D100000,SUMMARY!D81,'PLAN BUDGET SAMI-JF'!J13:J100000,SUMMARY!A81&amp;"*")</f>
        <v>0</v>
      </c>
      <c r="W81" s="10">
        <f>SUMIFS('PLAN BUDGET SAMI-JF'!BI13:BI100000,'PLAN BUDGET SAMI-JF'!D13:D100000,SUMMARY!D81,'PLAN BUDGET SAMI-JF'!J13:J100000,SUMMARY!A81&amp;"*")</f>
        <v>0</v>
      </c>
      <c r="X81" s="10">
        <f>SUMIFS('PLAN BUDGET SAMI-JF'!BJ13:BJ100000,'PLAN BUDGET SAMI-JF'!D13:D100000,SUMMARY!D81,'PLAN BUDGET SAMI-JF'!J13:J100000,SUMMARY!A81&amp;"*")</f>
        <v>0</v>
      </c>
      <c r="Y81" s="10">
        <f>SUMIFS('PLAN BUDGET SAMI-JF'!BK13:BK100000,'PLAN BUDGET SAMI-JF'!D13:D100000,SUMMARY!D81,'PLAN BUDGET SAMI-JF'!J13:J100000,SUMMARY!A81&amp;"*")</f>
        <v>0</v>
      </c>
      <c r="Z81" s="10">
        <f>SUMIFS('PLAN BUDGET SAMI-JF'!BL13:BL100000,'PLAN BUDGET SAMI-JF'!D13:D100000,SUMMARY!D81,'PLAN BUDGET SAMI-JF'!J13:J100000,SUMMARY!A81&amp;"*")</f>
        <v>0</v>
      </c>
      <c r="AA81" s="10">
        <f>SUMIFS('PLAN BUDGET SAMI-JF'!BM13:BM100000,'PLAN BUDGET SAMI-JF'!D13:D100000,SUMMARY!D81,'PLAN BUDGET SAMI-JF'!J13:J100000,SUMMARY!A81&amp;"*")</f>
        <v>0</v>
      </c>
      <c r="AB81" s="10">
        <f>SUMIFS('PLAN BUDGET SAMI-JF'!BN13:BN100000,'PLAN BUDGET SAMI-JF'!D13:D100000,SUMMARY!D81,'PLAN BUDGET SAMI-JF'!J13:J100000,SUMMARY!A81&amp;"*")</f>
        <v>0</v>
      </c>
      <c r="AC81" s="10">
        <f t="shared" si="8"/>
        <v>0</v>
      </c>
      <c r="AD81" s="10">
        <f t="shared" si="9"/>
        <v>0</v>
      </c>
      <c r="AE81" s="16"/>
      <c r="AF81" s="10">
        <v>6</v>
      </c>
      <c r="AG81" s="10">
        <v>132.92317040750001</v>
      </c>
      <c r="AH81" s="20">
        <f t="shared" si="10"/>
        <v>-1</v>
      </c>
      <c r="AI81" s="20">
        <f t="shared" si="11"/>
        <v>-1</v>
      </c>
      <c r="AJ81" s="7" t="s">
        <v>494</v>
      </c>
    </row>
    <row r="82" spans="1:36" x14ac:dyDescent="0.35">
      <c r="A82" s="7" t="s">
        <v>47</v>
      </c>
      <c r="B82" s="7"/>
      <c r="C82" s="7"/>
      <c r="D82" s="7" t="s">
        <v>509</v>
      </c>
      <c r="E82" s="10">
        <f>SUMIFS('PLAN BUDGET SAMI-JF'!AN13:AN100000,'PLAN BUDGET SAMI-JF'!D13:D100000,SUMMARY!D82,'PLAN BUDGET SAMI-JF'!J13:J100000,SUMMARY!A82&amp;"*")</f>
        <v>0</v>
      </c>
      <c r="F82" s="10">
        <f>SUMIFS('PLAN BUDGET SAMI-JF'!AO13:AO100000,'PLAN BUDGET SAMI-JF'!D13:D100000,SUMMARY!D82,'PLAN BUDGET SAMI-JF'!J13:J100000,SUMMARY!A82&amp;"*")</f>
        <v>0</v>
      </c>
      <c r="G82" s="10">
        <f>SUMIFS('PLAN BUDGET SAMI-JF'!AP13:AP100000,'PLAN BUDGET SAMI-JF'!D13:D100000,SUMMARY!D82,'PLAN BUDGET SAMI-JF'!J13:J100000,SUMMARY!A82&amp;"*")</f>
        <v>0</v>
      </c>
      <c r="H82" s="10">
        <f>SUMIFS('PLAN BUDGET SAMI-JF'!AQ13:AQ100000,'PLAN BUDGET SAMI-JF'!D13:D100000,SUMMARY!D82,'PLAN BUDGET SAMI-JF'!J13:J100000,SUMMARY!A82&amp;"*")</f>
        <v>0</v>
      </c>
      <c r="I82" s="10">
        <f>SUMIFS('PLAN BUDGET SAMI-JF'!AR13:AR100000,'PLAN BUDGET SAMI-JF'!D13:D100000,SUMMARY!D82,'PLAN BUDGET SAMI-JF'!J13:J100000,SUMMARY!A82&amp;"*")</f>
        <v>0</v>
      </c>
      <c r="J82" s="10">
        <f>SUMIFS('PLAN BUDGET SAMI-JF'!AS13:AS100000,'PLAN BUDGET SAMI-JF'!D13:D100000,SUMMARY!D82,'PLAN BUDGET SAMI-JF'!J13:J100000,SUMMARY!A82&amp;"*")</f>
        <v>0</v>
      </c>
      <c r="K82" s="10">
        <f>SUMIFS('PLAN BUDGET SAMI-JF'!AT13:AT100000,'PLAN BUDGET SAMI-JF'!D13:D100000,SUMMARY!D82,'PLAN BUDGET SAMI-JF'!J13:J100000,SUMMARY!A82&amp;"*")</f>
        <v>0</v>
      </c>
      <c r="L82" s="10">
        <f>SUMIFS('PLAN BUDGET SAMI-JF'!AU13:AU100000,'PLAN BUDGET SAMI-JF'!D13:D100000,SUMMARY!D82,'PLAN BUDGET SAMI-JF'!J13:J100000,SUMMARY!A82&amp;"*")</f>
        <v>0</v>
      </c>
      <c r="M82" s="10">
        <f>SUMIFS('PLAN BUDGET SAMI-JF'!AV13:AV100000,'PLAN BUDGET SAMI-JF'!D13:D100000,SUMMARY!D82,'PLAN BUDGET SAMI-JF'!J13:J100000,SUMMARY!A82&amp;"*")</f>
        <v>0</v>
      </c>
      <c r="N82" s="10">
        <f>SUMIFS('PLAN BUDGET SAMI-JF'!AW13:AW100000,'PLAN BUDGET SAMI-JF'!D13:D100000,SUMMARY!D82,'PLAN BUDGET SAMI-JF'!J13:J100000,SUMMARY!A82&amp;"*")</f>
        <v>0</v>
      </c>
      <c r="O82" s="10">
        <f>SUMIFS('PLAN BUDGET SAMI-JF'!AX13:AX100000,'PLAN BUDGET SAMI-JF'!D13:D100000,SUMMARY!D82,'PLAN BUDGET SAMI-JF'!J13:J100000,SUMMARY!A82&amp;"*")</f>
        <v>0</v>
      </c>
      <c r="P82" s="10">
        <f>SUMIFS('PLAN BUDGET SAMI-JF'!AY13:AY100000,'PLAN BUDGET SAMI-JF'!D13:D100000,SUMMARY!D82,'PLAN BUDGET SAMI-JF'!J13:J100000,SUMMARY!A82&amp;"*")</f>
        <v>0</v>
      </c>
      <c r="Q82" s="10">
        <f>SUMIFS('PLAN BUDGET SAMI-JF'!BC13:BC100000,'PLAN BUDGET SAMI-JF'!D13:D100000,SUMMARY!D82,'PLAN BUDGET SAMI-JF'!J13:J100000,SUMMARY!A82&amp;"*")</f>
        <v>0</v>
      </c>
      <c r="R82" s="10">
        <f>SUMIFS('PLAN BUDGET SAMI-JF'!BD13:BD100000,'PLAN BUDGET SAMI-JF'!D13:D100000,SUMMARY!D82,'PLAN BUDGET SAMI-JF'!J13:J100000,SUMMARY!A82&amp;"*")</f>
        <v>0</v>
      </c>
      <c r="S82" s="10">
        <f>SUMIFS('PLAN BUDGET SAMI-JF'!BE13:BE100000,'PLAN BUDGET SAMI-JF'!D13:D100000,SUMMARY!D82,'PLAN BUDGET SAMI-JF'!J13:J100000,SUMMARY!A82&amp;"*")</f>
        <v>0</v>
      </c>
      <c r="T82" s="10">
        <f>SUMIFS('PLAN BUDGET SAMI-JF'!BF13:BF100000,'PLAN BUDGET SAMI-JF'!D13:D100000,SUMMARY!D82,'PLAN BUDGET SAMI-JF'!J13:J100000,SUMMARY!A82&amp;"*")</f>
        <v>0</v>
      </c>
      <c r="U82" s="10">
        <f>SUMIFS('PLAN BUDGET SAMI-JF'!BG13:BG100000,'PLAN BUDGET SAMI-JF'!D13:D100000,SUMMARY!D82,'PLAN BUDGET SAMI-JF'!J13:J100000,SUMMARY!A82&amp;"*")</f>
        <v>0</v>
      </c>
      <c r="V82" s="10">
        <f>SUMIFS('PLAN BUDGET SAMI-JF'!BH13:BH100000,'PLAN BUDGET SAMI-JF'!D13:D100000,SUMMARY!D82,'PLAN BUDGET SAMI-JF'!J13:J100000,SUMMARY!A82&amp;"*")</f>
        <v>0</v>
      </c>
      <c r="W82" s="10">
        <f>SUMIFS('PLAN BUDGET SAMI-JF'!BI13:BI100000,'PLAN BUDGET SAMI-JF'!D13:D100000,SUMMARY!D82,'PLAN BUDGET SAMI-JF'!J13:J100000,SUMMARY!A82&amp;"*")</f>
        <v>0</v>
      </c>
      <c r="X82" s="10">
        <f>SUMIFS('PLAN BUDGET SAMI-JF'!BJ13:BJ100000,'PLAN BUDGET SAMI-JF'!D13:D100000,SUMMARY!D82,'PLAN BUDGET SAMI-JF'!J13:J100000,SUMMARY!A82&amp;"*")</f>
        <v>0</v>
      </c>
      <c r="Y82" s="10">
        <f>SUMIFS('PLAN BUDGET SAMI-JF'!BK13:BK100000,'PLAN BUDGET SAMI-JF'!D13:D100000,SUMMARY!D82,'PLAN BUDGET SAMI-JF'!J13:J100000,SUMMARY!A82&amp;"*")</f>
        <v>0</v>
      </c>
      <c r="Z82" s="10">
        <f>SUMIFS('PLAN BUDGET SAMI-JF'!BL13:BL100000,'PLAN BUDGET SAMI-JF'!D13:D100000,SUMMARY!D82,'PLAN BUDGET SAMI-JF'!J13:J100000,SUMMARY!A82&amp;"*")</f>
        <v>0</v>
      </c>
      <c r="AA82" s="10">
        <f>SUMIFS('PLAN BUDGET SAMI-JF'!BM13:BM100000,'PLAN BUDGET SAMI-JF'!D13:D100000,SUMMARY!D82,'PLAN BUDGET SAMI-JF'!J13:J100000,SUMMARY!A82&amp;"*")</f>
        <v>0</v>
      </c>
      <c r="AB82" s="10">
        <f>SUMIFS('PLAN BUDGET SAMI-JF'!BN13:BN100000,'PLAN BUDGET SAMI-JF'!D13:D100000,SUMMARY!D82,'PLAN BUDGET SAMI-JF'!J13:J100000,SUMMARY!A82&amp;"*")</f>
        <v>0</v>
      </c>
      <c r="AC82" s="10">
        <f t="shared" si="8"/>
        <v>0</v>
      </c>
      <c r="AD82" s="10">
        <f t="shared" si="9"/>
        <v>0</v>
      </c>
      <c r="AE82" s="16"/>
      <c r="AF82" s="10">
        <v>4</v>
      </c>
      <c r="AG82" s="10">
        <v>3.7978048687857999</v>
      </c>
      <c r="AH82" s="20">
        <f t="shared" si="10"/>
        <v>-1</v>
      </c>
      <c r="AI82" s="20">
        <f t="shared" si="11"/>
        <v>-1</v>
      </c>
      <c r="AJ82" s="7" t="s">
        <v>494</v>
      </c>
    </row>
    <row r="83" spans="1:36" x14ac:dyDescent="0.35">
      <c r="A83" s="7" t="s">
        <v>47</v>
      </c>
      <c r="B83" s="7"/>
      <c r="C83" s="7"/>
      <c r="D83" s="7" t="s">
        <v>498</v>
      </c>
      <c r="E83" s="10">
        <f>SUMIFS('PLAN BUDGET SAMI-JF'!AN13:AN100000,'PLAN BUDGET SAMI-JF'!D13:D100000,SUMMARY!D83,'PLAN BUDGET SAMI-JF'!J13:J100000,SUMMARY!A83&amp;"*")</f>
        <v>0</v>
      </c>
      <c r="F83" s="10">
        <f>SUMIFS('PLAN BUDGET SAMI-JF'!AO13:AO100000,'PLAN BUDGET SAMI-JF'!D13:D100000,SUMMARY!D83,'PLAN BUDGET SAMI-JF'!J13:J100000,SUMMARY!A83&amp;"*")</f>
        <v>0</v>
      </c>
      <c r="G83" s="10">
        <f>SUMIFS('PLAN BUDGET SAMI-JF'!AP13:AP100000,'PLAN BUDGET SAMI-JF'!D13:D100000,SUMMARY!D83,'PLAN BUDGET SAMI-JF'!J13:J100000,SUMMARY!A83&amp;"*")</f>
        <v>0</v>
      </c>
      <c r="H83" s="10">
        <f>SUMIFS('PLAN BUDGET SAMI-JF'!AQ13:AQ100000,'PLAN BUDGET SAMI-JF'!D13:D100000,SUMMARY!D83,'PLAN BUDGET SAMI-JF'!J13:J100000,SUMMARY!A83&amp;"*")</f>
        <v>0</v>
      </c>
      <c r="I83" s="10">
        <f>SUMIFS('PLAN BUDGET SAMI-JF'!AR13:AR100000,'PLAN BUDGET SAMI-JF'!D13:D100000,SUMMARY!D83,'PLAN BUDGET SAMI-JF'!J13:J100000,SUMMARY!A83&amp;"*")</f>
        <v>0</v>
      </c>
      <c r="J83" s="10">
        <f>SUMIFS('PLAN BUDGET SAMI-JF'!AS13:AS100000,'PLAN BUDGET SAMI-JF'!D13:D100000,SUMMARY!D83,'PLAN BUDGET SAMI-JF'!J13:J100000,SUMMARY!A83&amp;"*")</f>
        <v>0</v>
      </c>
      <c r="K83" s="10">
        <f>SUMIFS('PLAN BUDGET SAMI-JF'!AT13:AT100000,'PLAN BUDGET SAMI-JF'!D13:D100000,SUMMARY!D83,'PLAN BUDGET SAMI-JF'!J13:J100000,SUMMARY!A83&amp;"*")</f>
        <v>0</v>
      </c>
      <c r="L83" s="10">
        <f>SUMIFS('PLAN BUDGET SAMI-JF'!AU13:AU100000,'PLAN BUDGET SAMI-JF'!D13:D100000,SUMMARY!D83,'PLAN BUDGET SAMI-JF'!J13:J100000,SUMMARY!A83&amp;"*")</f>
        <v>0</v>
      </c>
      <c r="M83" s="10">
        <f>SUMIFS('PLAN BUDGET SAMI-JF'!AV13:AV100000,'PLAN BUDGET SAMI-JF'!D13:D100000,SUMMARY!D83,'PLAN BUDGET SAMI-JF'!J13:J100000,SUMMARY!A83&amp;"*")</f>
        <v>0</v>
      </c>
      <c r="N83" s="10">
        <f>SUMIFS('PLAN BUDGET SAMI-JF'!AW13:AW100000,'PLAN BUDGET SAMI-JF'!D13:D100000,SUMMARY!D83,'PLAN BUDGET SAMI-JF'!J13:J100000,SUMMARY!A83&amp;"*")</f>
        <v>0</v>
      </c>
      <c r="O83" s="10">
        <f>SUMIFS('PLAN BUDGET SAMI-JF'!AX13:AX100000,'PLAN BUDGET SAMI-JF'!D13:D100000,SUMMARY!D83,'PLAN BUDGET SAMI-JF'!J13:J100000,SUMMARY!A83&amp;"*")</f>
        <v>0</v>
      </c>
      <c r="P83" s="10">
        <f>SUMIFS('PLAN BUDGET SAMI-JF'!AY13:AY100000,'PLAN BUDGET SAMI-JF'!D13:D100000,SUMMARY!D83,'PLAN BUDGET SAMI-JF'!J13:J100000,SUMMARY!A83&amp;"*")</f>
        <v>0</v>
      </c>
      <c r="Q83" s="10">
        <f>SUMIFS('PLAN BUDGET SAMI-JF'!BC13:BC100000,'PLAN BUDGET SAMI-JF'!D13:D100000,SUMMARY!D83,'PLAN BUDGET SAMI-JF'!J13:J100000,SUMMARY!A83&amp;"*")</f>
        <v>0</v>
      </c>
      <c r="R83" s="10">
        <f>SUMIFS('PLAN BUDGET SAMI-JF'!BD13:BD100000,'PLAN BUDGET SAMI-JF'!D13:D100000,SUMMARY!D83,'PLAN BUDGET SAMI-JF'!J13:J100000,SUMMARY!A83&amp;"*")</f>
        <v>0</v>
      </c>
      <c r="S83" s="10">
        <f>SUMIFS('PLAN BUDGET SAMI-JF'!BE13:BE100000,'PLAN BUDGET SAMI-JF'!D13:D100000,SUMMARY!D83,'PLAN BUDGET SAMI-JF'!J13:J100000,SUMMARY!A83&amp;"*")</f>
        <v>0</v>
      </c>
      <c r="T83" s="10">
        <f>SUMIFS('PLAN BUDGET SAMI-JF'!BF13:BF100000,'PLAN BUDGET SAMI-JF'!D13:D100000,SUMMARY!D83,'PLAN BUDGET SAMI-JF'!J13:J100000,SUMMARY!A83&amp;"*")</f>
        <v>0</v>
      </c>
      <c r="U83" s="10">
        <f>SUMIFS('PLAN BUDGET SAMI-JF'!BG13:BG100000,'PLAN BUDGET SAMI-JF'!D13:D100000,SUMMARY!D83,'PLAN BUDGET SAMI-JF'!J13:J100000,SUMMARY!A83&amp;"*")</f>
        <v>0</v>
      </c>
      <c r="V83" s="10">
        <f>SUMIFS('PLAN BUDGET SAMI-JF'!BH13:BH100000,'PLAN BUDGET SAMI-JF'!D13:D100000,SUMMARY!D83,'PLAN BUDGET SAMI-JF'!J13:J100000,SUMMARY!A83&amp;"*")</f>
        <v>0</v>
      </c>
      <c r="W83" s="10">
        <f>SUMIFS('PLAN BUDGET SAMI-JF'!BI13:BI100000,'PLAN BUDGET SAMI-JF'!D13:D100000,SUMMARY!D83,'PLAN BUDGET SAMI-JF'!J13:J100000,SUMMARY!A83&amp;"*")</f>
        <v>0</v>
      </c>
      <c r="X83" s="10">
        <f>SUMIFS('PLAN BUDGET SAMI-JF'!BJ13:BJ100000,'PLAN BUDGET SAMI-JF'!D13:D100000,SUMMARY!D83,'PLAN BUDGET SAMI-JF'!J13:J100000,SUMMARY!A83&amp;"*")</f>
        <v>0</v>
      </c>
      <c r="Y83" s="10">
        <f>SUMIFS('PLAN BUDGET SAMI-JF'!BK13:BK100000,'PLAN BUDGET SAMI-JF'!D13:D100000,SUMMARY!D83,'PLAN BUDGET SAMI-JF'!J13:J100000,SUMMARY!A83&amp;"*")</f>
        <v>0</v>
      </c>
      <c r="Z83" s="10">
        <f>SUMIFS('PLAN BUDGET SAMI-JF'!BL13:BL100000,'PLAN BUDGET SAMI-JF'!D13:D100000,SUMMARY!D83,'PLAN BUDGET SAMI-JF'!J13:J100000,SUMMARY!A83&amp;"*")</f>
        <v>0</v>
      </c>
      <c r="AA83" s="10">
        <f>SUMIFS('PLAN BUDGET SAMI-JF'!BM13:BM100000,'PLAN BUDGET SAMI-JF'!D13:D100000,SUMMARY!D83,'PLAN BUDGET SAMI-JF'!J13:J100000,SUMMARY!A83&amp;"*")</f>
        <v>0</v>
      </c>
      <c r="AB83" s="10">
        <f>SUMIFS('PLAN BUDGET SAMI-JF'!BN13:BN100000,'PLAN BUDGET SAMI-JF'!D13:D100000,SUMMARY!D83,'PLAN BUDGET SAMI-JF'!J13:J100000,SUMMARY!A83&amp;"*")</f>
        <v>0</v>
      </c>
      <c r="AC83" s="10">
        <f t="shared" si="8"/>
        <v>0</v>
      </c>
      <c r="AD83" s="10">
        <f t="shared" si="9"/>
        <v>0</v>
      </c>
      <c r="AE83" s="16"/>
      <c r="AF83" s="10">
        <v>46</v>
      </c>
      <c r="AG83" s="10">
        <v>3240.9639426278</v>
      </c>
      <c r="AH83" s="20">
        <f t="shared" si="10"/>
        <v>-1</v>
      </c>
      <c r="AI83" s="20">
        <f t="shared" si="11"/>
        <v>-1</v>
      </c>
      <c r="AJ83" s="7" t="s">
        <v>494</v>
      </c>
    </row>
    <row r="84" spans="1:36" x14ac:dyDescent="0.35">
      <c r="A84" s="7" t="s">
        <v>47</v>
      </c>
      <c r="B84" s="7"/>
      <c r="C84" s="7"/>
      <c r="D84" s="7" t="s">
        <v>510</v>
      </c>
      <c r="E84" s="10">
        <f>SUMIFS('PLAN BUDGET SAMI-JF'!AN13:AN100000,'PLAN BUDGET SAMI-JF'!D13:D100000,SUMMARY!D84,'PLAN BUDGET SAMI-JF'!J13:J100000,SUMMARY!A84&amp;"*")</f>
        <v>0</v>
      </c>
      <c r="F84" s="10">
        <f>SUMIFS('PLAN BUDGET SAMI-JF'!AO13:AO100000,'PLAN BUDGET SAMI-JF'!D13:D100000,SUMMARY!D84,'PLAN BUDGET SAMI-JF'!J13:J100000,SUMMARY!A84&amp;"*")</f>
        <v>0</v>
      </c>
      <c r="G84" s="10">
        <f>SUMIFS('PLAN BUDGET SAMI-JF'!AP13:AP100000,'PLAN BUDGET SAMI-JF'!D13:D100000,SUMMARY!D84,'PLAN BUDGET SAMI-JF'!J13:J100000,SUMMARY!A84&amp;"*")</f>
        <v>0</v>
      </c>
      <c r="H84" s="10">
        <f>SUMIFS('PLAN BUDGET SAMI-JF'!AQ13:AQ100000,'PLAN BUDGET SAMI-JF'!D13:D100000,SUMMARY!D84,'PLAN BUDGET SAMI-JF'!J13:J100000,SUMMARY!A84&amp;"*")</f>
        <v>0</v>
      </c>
      <c r="I84" s="10">
        <f>SUMIFS('PLAN BUDGET SAMI-JF'!AR13:AR100000,'PLAN BUDGET SAMI-JF'!D13:D100000,SUMMARY!D84,'PLAN BUDGET SAMI-JF'!J13:J100000,SUMMARY!A84&amp;"*")</f>
        <v>0</v>
      </c>
      <c r="J84" s="10">
        <f>SUMIFS('PLAN BUDGET SAMI-JF'!AS13:AS100000,'PLAN BUDGET SAMI-JF'!D13:D100000,SUMMARY!D84,'PLAN BUDGET SAMI-JF'!J13:J100000,SUMMARY!A84&amp;"*")</f>
        <v>0</v>
      </c>
      <c r="K84" s="10">
        <f>SUMIFS('PLAN BUDGET SAMI-JF'!AT13:AT100000,'PLAN BUDGET SAMI-JF'!D13:D100000,SUMMARY!D84,'PLAN BUDGET SAMI-JF'!J13:J100000,SUMMARY!A84&amp;"*")</f>
        <v>0</v>
      </c>
      <c r="L84" s="10">
        <f>SUMIFS('PLAN BUDGET SAMI-JF'!AU13:AU100000,'PLAN BUDGET SAMI-JF'!D13:D100000,SUMMARY!D84,'PLAN BUDGET SAMI-JF'!J13:J100000,SUMMARY!A84&amp;"*")</f>
        <v>0</v>
      </c>
      <c r="M84" s="10">
        <f>SUMIFS('PLAN BUDGET SAMI-JF'!AV13:AV100000,'PLAN BUDGET SAMI-JF'!D13:D100000,SUMMARY!D84,'PLAN BUDGET SAMI-JF'!J13:J100000,SUMMARY!A84&amp;"*")</f>
        <v>0</v>
      </c>
      <c r="N84" s="10">
        <f>SUMIFS('PLAN BUDGET SAMI-JF'!AW13:AW100000,'PLAN BUDGET SAMI-JF'!D13:D100000,SUMMARY!D84,'PLAN BUDGET SAMI-JF'!J13:J100000,SUMMARY!A84&amp;"*")</f>
        <v>0</v>
      </c>
      <c r="O84" s="10">
        <f>SUMIFS('PLAN BUDGET SAMI-JF'!AX13:AX100000,'PLAN BUDGET SAMI-JF'!D13:D100000,SUMMARY!D84,'PLAN BUDGET SAMI-JF'!J13:J100000,SUMMARY!A84&amp;"*")</f>
        <v>0</v>
      </c>
      <c r="P84" s="10">
        <f>SUMIFS('PLAN BUDGET SAMI-JF'!AY13:AY100000,'PLAN BUDGET SAMI-JF'!D13:D100000,SUMMARY!D84,'PLAN BUDGET SAMI-JF'!J13:J100000,SUMMARY!A84&amp;"*")</f>
        <v>0</v>
      </c>
      <c r="Q84" s="10">
        <f>SUMIFS('PLAN BUDGET SAMI-JF'!BC13:BC100000,'PLAN BUDGET SAMI-JF'!D13:D100000,SUMMARY!D84,'PLAN BUDGET SAMI-JF'!J13:J100000,SUMMARY!A84&amp;"*")</f>
        <v>0</v>
      </c>
      <c r="R84" s="10">
        <f>SUMIFS('PLAN BUDGET SAMI-JF'!BD13:BD100000,'PLAN BUDGET SAMI-JF'!D13:D100000,SUMMARY!D84,'PLAN BUDGET SAMI-JF'!J13:J100000,SUMMARY!A84&amp;"*")</f>
        <v>0</v>
      </c>
      <c r="S84" s="10">
        <f>SUMIFS('PLAN BUDGET SAMI-JF'!BE13:BE100000,'PLAN BUDGET SAMI-JF'!D13:D100000,SUMMARY!D84,'PLAN BUDGET SAMI-JF'!J13:J100000,SUMMARY!A84&amp;"*")</f>
        <v>0</v>
      </c>
      <c r="T84" s="10">
        <f>SUMIFS('PLAN BUDGET SAMI-JF'!BF13:BF100000,'PLAN BUDGET SAMI-JF'!D13:D100000,SUMMARY!D84,'PLAN BUDGET SAMI-JF'!J13:J100000,SUMMARY!A84&amp;"*")</f>
        <v>0</v>
      </c>
      <c r="U84" s="10">
        <f>SUMIFS('PLAN BUDGET SAMI-JF'!BG13:BG100000,'PLAN BUDGET SAMI-JF'!D13:D100000,SUMMARY!D84,'PLAN BUDGET SAMI-JF'!J13:J100000,SUMMARY!A84&amp;"*")</f>
        <v>0</v>
      </c>
      <c r="V84" s="10">
        <f>SUMIFS('PLAN BUDGET SAMI-JF'!BH13:BH100000,'PLAN BUDGET SAMI-JF'!D13:D100000,SUMMARY!D84,'PLAN BUDGET SAMI-JF'!J13:J100000,SUMMARY!A84&amp;"*")</f>
        <v>0</v>
      </c>
      <c r="W84" s="10">
        <f>SUMIFS('PLAN BUDGET SAMI-JF'!BI13:BI100000,'PLAN BUDGET SAMI-JF'!D13:D100000,SUMMARY!D84,'PLAN BUDGET SAMI-JF'!J13:J100000,SUMMARY!A84&amp;"*")</f>
        <v>0</v>
      </c>
      <c r="X84" s="10">
        <f>SUMIFS('PLAN BUDGET SAMI-JF'!BJ13:BJ100000,'PLAN BUDGET SAMI-JF'!D13:D100000,SUMMARY!D84,'PLAN BUDGET SAMI-JF'!J13:J100000,SUMMARY!A84&amp;"*")</f>
        <v>0</v>
      </c>
      <c r="Y84" s="10">
        <f>SUMIFS('PLAN BUDGET SAMI-JF'!BK13:BK100000,'PLAN BUDGET SAMI-JF'!D13:D100000,SUMMARY!D84,'PLAN BUDGET SAMI-JF'!J13:J100000,SUMMARY!A84&amp;"*")</f>
        <v>0</v>
      </c>
      <c r="Z84" s="10">
        <f>SUMIFS('PLAN BUDGET SAMI-JF'!BL13:BL100000,'PLAN BUDGET SAMI-JF'!D13:D100000,SUMMARY!D84,'PLAN BUDGET SAMI-JF'!J13:J100000,SUMMARY!A84&amp;"*")</f>
        <v>0</v>
      </c>
      <c r="AA84" s="10">
        <f>SUMIFS('PLAN BUDGET SAMI-JF'!BM13:BM100000,'PLAN BUDGET SAMI-JF'!D13:D100000,SUMMARY!D84,'PLAN BUDGET SAMI-JF'!J13:J100000,SUMMARY!A84&amp;"*")</f>
        <v>0</v>
      </c>
      <c r="AB84" s="10">
        <f>SUMIFS('PLAN BUDGET SAMI-JF'!BN13:BN100000,'PLAN BUDGET SAMI-JF'!D13:D100000,SUMMARY!D84,'PLAN BUDGET SAMI-JF'!J13:J100000,SUMMARY!A84&amp;"*")</f>
        <v>0</v>
      </c>
      <c r="AC84" s="10">
        <f t="shared" si="8"/>
        <v>0</v>
      </c>
      <c r="AD84" s="10">
        <f t="shared" si="9"/>
        <v>0</v>
      </c>
      <c r="AE84" s="16"/>
      <c r="AF84" s="10">
        <v>1000</v>
      </c>
      <c r="AG84" s="10">
        <v>18.989024343929</v>
      </c>
      <c r="AH84" s="20">
        <f t="shared" si="10"/>
        <v>-1</v>
      </c>
      <c r="AI84" s="20">
        <f t="shared" si="11"/>
        <v>-1</v>
      </c>
      <c r="AJ84" s="7" t="s">
        <v>494</v>
      </c>
    </row>
    <row r="85" spans="1:36" x14ac:dyDescent="0.35">
      <c r="A85" s="7" t="s">
        <v>47</v>
      </c>
      <c r="B85" s="7"/>
      <c r="C85" s="7"/>
      <c r="D85" s="7" t="s">
        <v>511</v>
      </c>
      <c r="E85" s="10">
        <f>SUMIFS('PLAN BUDGET SAMI-JF'!AN13:AN100000,'PLAN BUDGET SAMI-JF'!D13:D100000,SUMMARY!D85,'PLAN BUDGET SAMI-JF'!J13:J100000,SUMMARY!A85&amp;"*")</f>
        <v>0</v>
      </c>
      <c r="F85" s="10">
        <f>SUMIFS('PLAN BUDGET SAMI-JF'!AO13:AO100000,'PLAN BUDGET SAMI-JF'!D13:D100000,SUMMARY!D85,'PLAN BUDGET SAMI-JF'!J13:J100000,SUMMARY!A85&amp;"*")</f>
        <v>0</v>
      </c>
      <c r="G85" s="10">
        <f>SUMIFS('PLAN BUDGET SAMI-JF'!AP13:AP100000,'PLAN BUDGET SAMI-JF'!D13:D100000,SUMMARY!D85,'PLAN BUDGET SAMI-JF'!J13:J100000,SUMMARY!A85&amp;"*")</f>
        <v>0</v>
      </c>
      <c r="H85" s="10">
        <f>SUMIFS('PLAN BUDGET SAMI-JF'!AQ13:AQ100000,'PLAN BUDGET SAMI-JF'!D13:D100000,SUMMARY!D85,'PLAN BUDGET SAMI-JF'!J13:J100000,SUMMARY!A85&amp;"*")</f>
        <v>0</v>
      </c>
      <c r="I85" s="10">
        <f>SUMIFS('PLAN BUDGET SAMI-JF'!AR13:AR100000,'PLAN BUDGET SAMI-JF'!D13:D100000,SUMMARY!D85,'PLAN BUDGET SAMI-JF'!J13:J100000,SUMMARY!A85&amp;"*")</f>
        <v>0</v>
      </c>
      <c r="J85" s="10">
        <f>SUMIFS('PLAN BUDGET SAMI-JF'!AS13:AS100000,'PLAN BUDGET SAMI-JF'!D13:D100000,SUMMARY!D85,'PLAN BUDGET SAMI-JF'!J13:J100000,SUMMARY!A85&amp;"*")</f>
        <v>0</v>
      </c>
      <c r="K85" s="10">
        <f>SUMIFS('PLAN BUDGET SAMI-JF'!AT13:AT100000,'PLAN BUDGET SAMI-JF'!D13:D100000,SUMMARY!D85,'PLAN BUDGET SAMI-JF'!J13:J100000,SUMMARY!A85&amp;"*")</f>
        <v>0</v>
      </c>
      <c r="L85" s="10">
        <f>SUMIFS('PLAN BUDGET SAMI-JF'!AU13:AU100000,'PLAN BUDGET SAMI-JF'!D13:D100000,SUMMARY!D85,'PLAN BUDGET SAMI-JF'!J13:J100000,SUMMARY!A85&amp;"*")</f>
        <v>0</v>
      </c>
      <c r="M85" s="10">
        <f>SUMIFS('PLAN BUDGET SAMI-JF'!AV13:AV100000,'PLAN BUDGET SAMI-JF'!D13:D100000,SUMMARY!D85,'PLAN BUDGET SAMI-JF'!J13:J100000,SUMMARY!A85&amp;"*")</f>
        <v>0</v>
      </c>
      <c r="N85" s="10">
        <f>SUMIFS('PLAN BUDGET SAMI-JF'!AW13:AW100000,'PLAN BUDGET SAMI-JF'!D13:D100000,SUMMARY!D85,'PLAN BUDGET SAMI-JF'!J13:J100000,SUMMARY!A85&amp;"*")</f>
        <v>0</v>
      </c>
      <c r="O85" s="10">
        <f>SUMIFS('PLAN BUDGET SAMI-JF'!AX13:AX100000,'PLAN BUDGET SAMI-JF'!D13:D100000,SUMMARY!D85,'PLAN BUDGET SAMI-JF'!J13:J100000,SUMMARY!A85&amp;"*")</f>
        <v>0</v>
      </c>
      <c r="P85" s="10">
        <f>SUMIFS('PLAN BUDGET SAMI-JF'!AY13:AY100000,'PLAN BUDGET SAMI-JF'!D13:D100000,SUMMARY!D85,'PLAN BUDGET SAMI-JF'!J13:J100000,SUMMARY!A85&amp;"*")</f>
        <v>0</v>
      </c>
      <c r="Q85" s="10">
        <f>SUMIFS('PLAN BUDGET SAMI-JF'!BC13:BC100000,'PLAN BUDGET SAMI-JF'!D13:D100000,SUMMARY!D85,'PLAN BUDGET SAMI-JF'!J13:J100000,SUMMARY!A85&amp;"*")</f>
        <v>0</v>
      </c>
      <c r="R85" s="10">
        <f>SUMIFS('PLAN BUDGET SAMI-JF'!BD13:BD100000,'PLAN BUDGET SAMI-JF'!D13:D100000,SUMMARY!D85,'PLAN BUDGET SAMI-JF'!J13:J100000,SUMMARY!A85&amp;"*")</f>
        <v>0</v>
      </c>
      <c r="S85" s="10">
        <f>SUMIFS('PLAN BUDGET SAMI-JF'!BE13:BE100000,'PLAN BUDGET SAMI-JF'!D13:D100000,SUMMARY!D85,'PLAN BUDGET SAMI-JF'!J13:J100000,SUMMARY!A85&amp;"*")</f>
        <v>0</v>
      </c>
      <c r="T85" s="10">
        <f>SUMIFS('PLAN BUDGET SAMI-JF'!BF13:BF100000,'PLAN BUDGET SAMI-JF'!D13:D100000,SUMMARY!D85,'PLAN BUDGET SAMI-JF'!J13:J100000,SUMMARY!A85&amp;"*")</f>
        <v>0</v>
      </c>
      <c r="U85" s="10">
        <f>SUMIFS('PLAN BUDGET SAMI-JF'!BG13:BG100000,'PLAN BUDGET SAMI-JF'!D13:D100000,SUMMARY!D85,'PLAN BUDGET SAMI-JF'!J13:J100000,SUMMARY!A85&amp;"*")</f>
        <v>0</v>
      </c>
      <c r="V85" s="10">
        <f>SUMIFS('PLAN BUDGET SAMI-JF'!BH13:BH100000,'PLAN BUDGET SAMI-JF'!D13:D100000,SUMMARY!D85,'PLAN BUDGET SAMI-JF'!J13:J100000,SUMMARY!A85&amp;"*")</f>
        <v>0</v>
      </c>
      <c r="W85" s="10">
        <f>SUMIFS('PLAN BUDGET SAMI-JF'!BI13:BI100000,'PLAN BUDGET SAMI-JF'!D13:D100000,SUMMARY!D85,'PLAN BUDGET SAMI-JF'!J13:J100000,SUMMARY!A85&amp;"*")</f>
        <v>0</v>
      </c>
      <c r="X85" s="10">
        <f>SUMIFS('PLAN BUDGET SAMI-JF'!BJ13:BJ100000,'PLAN BUDGET SAMI-JF'!D13:D100000,SUMMARY!D85,'PLAN BUDGET SAMI-JF'!J13:J100000,SUMMARY!A85&amp;"*")</f>
        <v>0</v>
      </c>
      <c r="Y85" s="10">
        <f>SUMIFS('PLAN BUDGET SAMI-JF'!BK13:BK100000,'PLAN BUDGET SAMI-JF'!D13:D100000,SUMMARY!D85,'PLAN BUDGET SAMI-JF'!J13:J100000,SUMMARY!A85&amp;"*")</f>
        <v>0</v>
      </c>
      <c r="Z85" s="10">
        <f>SUMIFS('PLAN BUDGET SAMI-JF'!BL13:BL100000,'PLAN BUDGET SAMI-JF'!D13:D100000,SUMMARY!D85,'PLAN BUDGET SAMI-JF'!J13:J100000,SUMMARY!A85&amp;"*")</f>
        <v>0</v>
      </c>
      <c r="AA85" s="10">
        <f>SUMIFS('PLAN BUDGET SAMI-JF'!BM13:BM100000,'PLAN BUDGET SAMI-JF'!D13:D100000,SUMMARY!D85,'PLAN BUDGET SAMI-JF'!J13:J100000,SUMMARY!A85&amp;"*")</f>
        <v>0</v>
      </c>
      <c r="AB85" s="10">
        <f>SUMIFS('PLAN BUDGET SAMI-JF'!BN13:BN100000,'PLAN BUDGET SAMI-JF'!D13:D100000,SUMMARY!D85,'PLAN BUDGET SAMI-JF'!J13:J100000,SUMMARY!A85&amp;"*")</f>
        <v>0</v>
      </c>
      <c r="AC85" s="10">
        <f t="shared" si="8"/>
        <v>0</v>
      </c>
      <c r="AD85" s="10">
        <f t="shared" si="9"/>
        <v>0</v>
      </c>
      <c r="AE85" s="16"/>
      <c r="AF85" s="10">
        <v>1</v>
      </c>
      <c r="AG85" s="10">
        <v>1729.5836339929001</v>
      </c>
      <c r="AH85" s="20">
        <f t="shared" si="10"/>
        <v>-1</v>
      </c>
      <c r="AI85" s="20">
        <f t="shared" si="11"/>
        <v>-1</v>
      </c>
      <c r="AJ85" s="7" t="s">
        <v>494</v>
      </c>
    </row>
    <row r="86" spans="1:36" x14ac:dyDescent="0.35">
      <c r="A86" s="7" t="s">
        <v>47</v>
      </c>
      <c r="B86" s="7"/>
      <c r="C86" s="7"/>
      <c r="D86" s="7" t="s">
        <v>512</v>
      </c>
      <c r="E86" s="10">
        <f>SUMIFS('PLAN BUDGET SAMI-JF'!AN13:AN100000,'PLAN BUDGET SAMI-JF'!D13:D100000,SUMMARY!D86,'PLAN BUDGET SAMI-JF'!J13:J100000,SUMMARY!A86&amp;"*")</f>
        <v>0</v>
      </c>
      <c r="F86" s="10">
        <f>SUMIFS('PLAN BUDGET SAMI-JF'!AO13:AO100000,'PLAN BUDGET SAMI-JF'!D13:D100000,SUMMARY!D86,'PLAN BUDGET SAMI-JF'!J13:J100000,SUMMARY!A86&amp;"*")</f>
        <v>0</v>
      </c>
      <c r="G86" s="10">
        <f>SUMIFS('PLAN BUDGET SAMI-JF'!AP13:AP100000,'PLAN BUDGET SAMI-JF'!D13:D100000,SUMMARY!D86,'PLAN BUDGET SAMI-JF'!J13:J100000,SUMMARY!A86&amp;"*")</f>
        <v>0</v>
      </c>
      <c r="H86" s="10">
        <f>SUMIFS('PLAN BUDGET SAMI-JF'!AQ13:AQ100000,'PLAN BUDGET SAMI-JF'!D13:D100000,SUMMARY!D86,'PLAN BUDGET SAMI-JF'!J13:J100000,SUMMARY!A86&amp;"*")</f>
        <v>0</v>
      </c>
      <c r="I86" s="10">
        <f>SUMIFS('PLAN BUDGET SAMI-JF'!AR13:AR100000,'PLAN BUDGET SAMI-JF'!D13:D100000,SUMMARY!D86,'PLAN BUDGET SAMI-JF'!J13:J100000,SUMMARY!A86&amp;"*")</f>
        <v>0</v>
      </c>
      <c r="J86" s="10">
        <f>SUMIFS('PLAN BUDGET SAMI-JF'!AS13:AS100000,'PLAN BUDGET SAMI-JF'!D13:D100000,SUMMARY!D86,'PLAN BUDGET SAMI-JF'!J13:J100000,SUMMARY!A86&amp;"*")</f>
        <v>0</v>
      </c>
      <c r="K86" s="10">
        <f>SUMIFS('PLAN BUDGET SAMI-JF'!AT13:AT100000,'PLAN BUDGET SAMI-JF'!D13:D100000,SUMMARY!D86,'PLAN BUDGET SAMI-JF'!J13:J100000,SUMMARY!A86&amp;"*")</f>
        <v>0</v>
      </c>
      <c r="L86" s="10">
        <f>SUMIFS('PLAN BUDGET SAMI-JF'!AU13:AU100000,'PLAN BUDGET SAMI-JF'!D13:D100000,SUMMARY!D86,'PLAN BUDGET SAMI-JF'!J13:J100000,SUMMARY!A86&amp;"*")</f>
        <v>0</v>
      </c>
      <c r="M86" s="10">
        <f>SUMIFS('PLAN BUDGET SAMI-JF'!AV13:AV100000,'PLAN BUDGET SAMI-JF'!D13:D100000,SUMMARY!D86,'PLAN BUDGET SAMI-JF'!J13:J100000,SUMMARY!A86&amp;"*")</f>
        <v>0</v>
      </c>
      <c r="N86" s="10">
        <f>SUMIFS('PLAN BUDGET SAMI-JF'!AW13:AW100000,'PLAN BUDGET SAMI-JF'!D13:D100000,SUMMARY!D86,'PLAN BUDGET SAMI-JF'!J13:J100000,SUMMARY!A86&amp;"*")</f>
        <v>0</v>
      </c>
      <c r="O86" s="10">
        <f>SUMIFS('PLAN BUDGET SAMI-JF'!AX13:AX100000,'PLAN BUDGET SAMI-JF'!D13:D100000,SUMMARY!D86,'PLAN BUDGET SAMI-JF'!J13:J100000,SUMMARY!A86&amp;"*")</f>
        <v>0</v>
      </c>
      <c r="P86" s="10">
        <f>SUMIFS('PLAN BUDGET SAMI-JF'!AY13:AY100000,'PLAN BUDGET SAMI-JF'!D13:D100000,SUMMARY!D86,'PLAN BUDGET SAMI-JF'!J13:J100000,SUMMARY!A86&amp;"*")</f>
        <v>0</v>
      </c>
      <c r="Q86" s="10">
        <f>SUMIFS('PLAN BUDGET SAMI-JF'!BC13:BC100000,'PLAN BUDGET SAMI-JF'!D13:D100000,SUMMARY!D86,'PLAN BUDGET SAMI-JF'!J13:J100000,SUMMARY!A86&amp;"*")</f>
        <v>0</v>
      </c>
      <c r="R86" s="10">
        <f>SUMIFS('PLAN BUDGET SAMI-JF'!BD13:BD100000,'PLAN BUDGET SAMI-JF'!D13:D100000,SUMMARY!D86,'PLAN BUDGET SAMI-JF'!J13:J100000,SUMMARY!A86&amp;"*")</f>
        <v>0</v>
      </c>
      <c r="S86" s="10">
        <f>SUMIFS('PLAN BUDGET SAMI-JF'!BE13:BE100000,'PLAN BUDGET SAMI-JF'!D13:D100000,SUMMARY!D86,'PLAN BUDGET SAMI-JF'!J13:J100000,SUMMARY!A86&amp;"*")</f>
        <v>0</v>
      </c>
      <c r="T86" s="10">
        <f>SUMIFS('PLAN BUDGET SAMI-JF'!BF13:BF100000,'PLAN BUDGET SAMI-JF'!D13:D100000,SUMMARY!D86,'PLAN BUDGET SAMI-JF'!J13:J100000,SUMMARY!A86&amp;"*")</f>
        <v>0</v>
      </c>
      <c r="U86" s="10">
        <f>SUMIFS('PLAN BUDGET SAMI-JF'!BG13:BG100000,'PLAN BUDGET SAMI-JF'!D13:D100000,SUMMARY!D86,'PLAN BUDGET SAMI-JF'!J13:J100000,SUMMARY!A86&amp;"*")</f>
        <v>0</v>
      </c>
      <c r="V86" s="10">
        <f>SUMIFS('PLAN BUDGET SAMI-JF'!BH13:BH100000,'PLAN BUDGET SAMI-JF'!D13:D100000,SUMMARY!D86,'PLAN BUDGET SAMI-JF'!J13:J100000,SUMMARY!A86&amp;"*")</f>
        <v>0</v>
      </c>
      <c r="W86" s="10">
        <f>SUMIFS('PLAN BUDGET SAMI-JF'!BI13:BI100000,'PLAN BUDGET SAMI-JF'!D13:D100000,SUMMARY!D86,'PLAN BUDGET SAMI-JF'!J13:J100000,SUMMARY!A86&amp;"*")</f>
        <v>0</v>
      </c>
      <c r="X86" s="10">
        <f>SUMIFS('PLAN BUDGET SAMI-JF'!BJ13:BJ100000,'PLAN BUDGET SAMI-JF'!D13:D100000,SUMMARY!D86,'PLAN BUDGET SAMI-JF'!J13:J100000,SUMMARY!A86&amp;"*")</f>
        <v>0</v>
      </c>
      <c r="Y86" s="10">
        <f>SUMIFS('PLAN BUDGET SAMI-JF'!BK13:BK100000,'PLAN BUDGET SAMI-JF'!D13:D100000,SUMMARY!D86,'PLAN BUDGET SAMI-JF'!J13:J100000,SUMMARY!A86&amp;"*")</f>
        <v>0</v>
      </c>
      <c r="Z86" s="10">
        <f>SUMIFS('PLAN BUDGET SAMI-JF'!BL13:BL100000,'PLAN BUDGET SAMI-JF'!D13:D100000,SUMMARY!D86,'PLAN BUDGET SAMI-JF'!J13:J100000,SUMMARY!A86&amp;"*")</f>
        <v>0</v>
      </c>
      <c r="AA86" s="10">
        <f>SUMIFS('PLAN BUDGET SAMI-JF'!BM13:BM100000,'PLAN BUDGET SAMI-JF'!D13:D100000,SUMMARY!D86,'PLAN BUDGET SAMI-JF'!J13:J100000,SUMMARY!A86&amp;"*")</f>
        <v>0</v>
      </c>
      <c r="AB86" s="10">
        <f>SUMIFS('PLAN BUDGET SAMI-JF'!BN13:BN100000,'PLAN BUDGET SAMI-JF'!D13:D100000,SUMMARY!D86,'PLAN BUDGET SAMI-JF'!J13:J100000,SUMMARY!A86&amp;"*")</f>
        <v>0</v>
      </c>
      <c r="AC86" s="10">
        <f t="shared" si="8"/>
        <v>0</v>
      </c>
      <c r="AD86" s="10">
        <f t="shared" si="9"/>
        <v>0</v>
      </c>
      <c r="AE86" s="16"/>
      <c r="AF86" s="10">
        <v>1</v>
      </c>
      <c r="AG86" s="10">
        <v>0.82285772157027004</v>
      </c>
      <c r="AH86" s="20">
        <f t="shared" si="10"/>
        <v>-1</v>
      </c>
      <c r="AI86" s="20">
        <f t="shared" si="11"/>
        <v>-1</v>
      </c>
      <c r="AJ86" s="7" t="s">
        <v>494</v>
      </c>
    </row>
    <row r="87" spans="1:36" x14ac:dyDescent="0.35">
      <c r="A87" s="7" t="s">
        <v>47</v>
      </c>
      <c r="B87" s="7"/>
      <c r="C87" s="7"/>
      <c r="D87" s="7" t="s">
        <v>513</v>
      </c>
      <c r="E87" s="10">
        <f>SUMIFS('PLAN BUDGET SAMI-JF'!AN13:AN100000,'PLAN BUDGET SAMI-JF'!D13:D100000,SUMMARY!D87,'PLAN BUDGET SAMI-JF'!J13:J100000,SUMMARY!A87&amp;"*")</f>
        <v>0</v>
      </c>
      <c r="F87" s="10">
        <f>SUMIFS('PLAN BUDGET SAMI-JF'!AO13:AO100000,'PLAN BUDGET SAMI-JF'!D13:D100000,SUMMARY!D87,'PLAN BUDGET SAMI-JF'!J13:J100000,SUMMARY!A87&amp;"*")</f>
        <v>0</v>
      </c>
      <c r="G87" s="10">
        <f>SUMIFS('PLAN BUDGET SAMI-JF'!AP13:AP100000,'PLAN BUDGET SAMI-JF'!D13:D100000,SUMMARY!D87,'PLAN BUDGET SAMI-JF'!J13:J100000,SUMMARY!A87&amp;"*")</f>
        <v>0</v>
      </c>
      <c r="H87" s="10">
        <f>SUMIFS('PLAN BUDGET SAMI-JF'!AQ13:AQ100000,'PLAN BUDGET SAMI-JF'!D13:D100000,SUMMARY!D87,'PLAN BUDGET SAMI-JF'!J13:J100000,SUMMARY!A87&amp;"*")</f>
        <v>0</v>
      </c>
      <c r="I87" s="10">
        <f>SUMIFS('PLAN BUDGET SAMI-JF'!AR13:AR100000,'PLAN BUDGET SAMI-JF'!D13:D100000,SUMMARY!D87,'PLAN BUDGET SAMI-JF'!J13:J100000,SUMMARY!A87&amp;"*")</f>
        <v>0</v>
      </c>
      <c r="J87" s="10">
        <f>SUMIFS('PLAN BUDGET SAMI-JF'!AS13:AS100000,'PLAN BUDGET SAMI-JF'!D13:D100000,SUMMARY!D87,'PLAN BUDGET SAMI-JF'!J13:J100000,SUMMARY!A87&amp;"*")</f>
        <v>0</v>
      </c>
      <c r="K87" s="10">
        <f>SUMIFS('PLAN BUDGET SAMI-JF'!AT13:AT100000,'PLAN BUDGET SAMI-JF'!D13:D100000,SUMMARY!D87,'PLAN BUDGET SAMI-JF'!J13:J100000,SUMMARY!A87&amp;"*")</f>
        <v>0</v>
      </c>
      <c r="L87" s="10">
        <f>SUMIFS('PLAN BUDGET SAMI-JF'!AU13:AU100000,'PLAN BUDGET SAMI-JF'!D13:D100000,SUMMARY!D87,'PLAN BUDGET SAMI-JF'!J13:J100000,SUMMARY!A87&amp;"*")</f>
        <v>0</v>
      </c>
      <c r="M87" s="10">
        <f>SUMIFS('PLAN BUDGET SAMI-JF'!AV13:AV100000,'PLAN BUDGET SAMI-JF'!D13:D100000,SUMMARY!D87,'PLAN BUDGET SAMI-JF'!J13:J100000,SUMMARY!A87&amp;"*")</f>
        <v>0</v>
      </c>
      <c r="N87" s="10">
        <f>SUMIFS('PLAN BUDGET SAMI-JF'!AW13:AW100000,'PLAN BUDGET SAMI-JF'!D13:D100000,SUMMARY!D87,'PLAN BUDGET SAMI-JF'!J13:J100000,SUMMARY!A87&amp;"*")</f>
        <v>0</v>
      </c>
      <c r="O87" s="10">
        <f>SUMIFS('PLAN BUDGET SAMI-JF'!AX13:AX100000,'PLAN BUDGET SAMI-JF'!D13:D100000,SUMMARY!D87,'PLAN BUDGET SAMI-JF'!J13:J100000,SUMMARY!A87&amp;"*")</f>
        <v>0</v>
      </c>
      <c r="P87" s="10">
        <f>SUMIFS('PLAN BUDGET SAMI-JF'!AY13:AY100000,'PLAN BUDGET SAMI-JF'!D13:D100000,SUMMARY!D87,'PLAN BUDGET SAMI-JF'!J13:J100000,SUMMARY!A87&amp;"*")</f>
        <v>0</v>
      </c>
      <c r="Q87" s="10">
        <f>SUMIFS('PLAN BUDGET SAMI-JF'!BC13:BC100000,'PLAN BUDGET SAMI-JF'!D13:D100000,SUMMARY!D87,'PLAN BUDGET SAMI-JF'!J13:J100000,SUMMARY!A87&amp;"*")</f>
        <v>0</v>
      </c>
      <c r="R87" s="10">
        <f>SUMIFS('PLAN BUDGET SAMI-JF'!BD13:BD100000,'PLAN BUDGET SAMI-JF'!D13:D100000,SUMMARY!D87,'PLAN BUDGET SAMI-JF'!J13:J100000,SUMMARY!A87&amp;"*")</f>
        <v>0</v>
      </c>
      <c r="S87" s="10">
        <f>SUMIFS('PLAN BUDGET SAMI-JF'!BE13:BE100000,'PLAN BUDGET SAMI-JF'!D13:D100000,SUMMARY!D87,'PLAN BUDGET SAMI-JF'!J13:J100000,SUMMARY!A87&amp;"*")</f>
        <v>0</v>
      </c>
      <c r="T87" s="10">
        <f>SUMIFS('PLAN BUDGET SAMI-JF'!BF13:BF100000,'PLAN BUDGET SAMI-JF'!D13:D100000,SUMMARY!D87,'PLAN BUDGET SAMI-JF'!J13:J100000,SUMMARY!A87&amp;"*")</f>
        <v>0</v>
      </c>
      <c r="U87" s="10">
        <f>SUMIFS('PLAN BUDGET SAMI-JF'!BG13:BG100000,'PLAN BUDGET SAMI-JF'!D13:D100000,SUMMARY!D87,'PLAN BUDGET SAMI-JF'!J13:J100000,SUMMARY!A87&amp;"*")</f>
        <v>0</v>
      </c>
      <c r="V87" s="10">
        <f>SUMIFS('PLAN BUDGET SAMI-JF'!BH13:BH100000,'PLAN BUDGET SAMI-JF'!D13:D100000,SUMMARY!D87,'PLAN BUDGET SAMI-JF'!J13:J100000,SUMMARY!A87&amp;"*")</f>
        <v>0</v>
      </c>
      <c r="W87" s="10">
        <f>SUMIFS('PLAN BUDGET SAMI-JF'!BI13:BI100000,'PLAN BUDGET SAMI-JF'!D13:D100000,SUMMARY!D87,'PLAN BUDGET SAMI-JF'!J13:J100000,SUMMARY!A87&amp;"*")</f>
        <v>0</v>
      </c>
      <c r="X87" s="10">
        <f>SUMIFS('PLAN BUDGET SAMI-JF'!BJ13:BJ100000,'PLAN BUDGET SAMI-JF'!D13:D100000,SUMMARY!D87,'PLAN BUDGET SAMI-JF'!J13:J100000,SUMMARY!A87&amp;"*")</f>
        <v>0</v>
      </c>
      <c r="Y87" s="10">
        <f>SUMIFS('PLAN BUDGET SAMI-JF'!BK13:BK100000,'PLAN BUDGET SAMI-JF'!D13:D100000,SUMMARY!D87,'PLAN BUDGET SAMI-JF'!J13:J100000,SUMMARY!A87&amp;"*")</f>
        <v>0</v>
      </c>
      <c r="Z87" s="10">
        <f>SUMIFS('PLAN BUDGET SAMI-JF'!BL13:BL100000,'PLAN BUDGET SAMI-JF'!D13:D100000,SUMMARY!D87,'PLAN BUDGET SAMI-JF'!J13:J100000,SUMMARY!A87&amp;"*")</f>
        <v>0</v>
      </c>
      <c r="AA87" s="10">
        <f>SUMIFS('PLAN BUDGET SAMI-JF'!BM13:BM100000,'PLAN BUDGET SAMI-JF'!D13:D100000,SUMMARY!D87,'PLAN BUDGET SAMI-JF'!J13:J100000,SUMMARY!A87&amp;"*")</f>
        <v>0</v>
      </c>
      <c r="AB87" s="10">
        <f>SUMIFS('PLAN BUDGET SAMI-JF'!BN13:BN100000,'PLAN BUDGET SAMI-JF'!D13:D100000,SUMMARY!D87,'PLAN BUDGET SAMI-JF'!J13:J100000,SUMMARY!A87&amp;"*")</f>
        <v>0</v>
      </c>
      <c r="AC87" s="10">
        <f t="shared" si="8"/>
        <v>0</v>
      </c>
      <c r="AD87" s="10">
        <f t="shared" si="9"/>
        <v>0</v>
      </c>
      <c r="AE87" s="16"/>
      <c r="AF87" s="10">
        <v>48</v>
      </c>
      <c r="AG87" s="10">
        <v>2657.9547095119001</v>
      </c>
      <c r="AH87" s="20">
        <f t="shared" si="10"/>
        <v>-1</v>
      </c>
      <c r="AI87" s="20">
        <f t="shared" si="11"/>
        <v>-1</v>
      </c>
      <c r="AJ87" s="7" t="s">
        <v>494</v>
      </c>
    </row>
    <row r="88" spans="1:36" x14ac:dyDescent="0.35">
      <c r="A88" s="7" t="s">
        <v>47</v>
      </c>
      <c r="B88" s="7"/>
      <c r="C88" s="7"/>
      <c r="D88" s="7" t="s">
        <v>514</v>
      </c>
      <c r="E88" s="10">
        <f>SUMIFS('PLAN BUDGET SAMI-JF'!AN13:AN100000,'PLAN BUDGET SAMI-JF'!D13:D100000,SUMMARY!D88,'PLAN BUDGET SAMI-JF'!J13:J100000,SUMMARY!A88&amp;"*")</f>
        <v>0</v>
      </c>
      <c r="F88" s="10">
        <f>SUMIFS('PLAN BUDGET SAMI-JF'!AO13:AO100000,'PLAN BUDGET SAMI-JF'!D13:D100000,SUMMARY!D88,'PLAN BUDGET SAMI-JF'!J13:J100000,SUMMARY!A88&amp;"*")</f>
        <v>0</v>
      </c>
      <c r="G88" s="10">
        <f>SUMIFS('PLAN BUDGET SAMI-JF'!AP13:AP100000,'PLAN BUDGET SAMI-JF'!D13:D100000,SUMMARY!D88,'PLAN BUDGET SAMI-JF'!J13:J100000,SUMMARY!A88&amp;"*")</f>
        <v>0</v>
      </c>
      <c r="H88" s="10">
        <f>SUMIFS('PLAN BUDGET SAMI-JF'!AQ13:AQ100000,'PLAN BUDGET SAMI-JF'!D13:D100000,SUMMARY!D88,'PLAN BUDGET SAMI-JF'!J13:J100000,SUMMARY!A88&amp;"*")</f>
        <v>0</v>
      </c>
      <c r="I88" s="10">
        <f>SUMIFS('PLAN BUDGET SAMI-JF'!AR13:AR100000,'PLAN BUDGET SAMI-JF'!D13:D100000,SUMMARY!D88,'PLAN BUDGET SAMI-JF'!J13:J100000,SUMMARY!A88&amp;"*")</f>
        <v>0</v>
      </c>
      <c r="J88" s="10">
        <f>SUMIFS('PLAN BUDGET SAMI-JF'!AS13:AS100000,'PLAN BUDGET SAMI-JF'!D13:D100000,SUMMARY!D88,'PLAN BUDGET SAMI-JF'!J13:J100000,SUMMARY!A88&amp;"*")</f>
        <v>0</v>
      </c>
      <c r="K88" s="10">
        <f>SUMIFS('PLAN BUDGET SAMI-JF'!AT13:AT100000,'PLAN BUDGET SAMI-JF'!D13:D100000,SUMMARY!D88,'PLAN BUDGET SAMI-JF'!J13:J100000,SUMMARY!A88&amp;"*")</f>
        <v>0</v>
      </c>
      <c r="L88" s="10">
        <f>SUMIFS('PLAN BUDGET SAMI-JF'!AU13:AU100000,'PLAN BUDGET SAMI-JF'!D13:D100000,SUMMARY!D88,'PLAN BUDGET SAMI-JF'!J13:J100000,SUMMARY!A88&amp;"*")</f>
        <v>0</v>
      </c>
      <c r="M88" s="10">
        <f>SUMIFS('PLAN BUDGET SAMI-JF'!AV13:AV100000,'PLAN BUDGET SAMI-JF'!D13:D100000,SUMMARY!D88,'PLAN BUDGET SAMI-JF'!J13:J100000,SUMMARY!A88&amp;"*")</f>
        <v>0</v>
      </c>
      <c r="N88" s="10">
        <f>SUMIFS('PLAN BUDGET SAMI-JF'!AW13:AW100000,'PLAN BUDGET SAMI-JF'!D13:D100000,SUMMARY!D88,'PLAN BUDGET SAMI-JF'!J13:J100000,SUMMARY!A88&amp;"*")</f>
        <v>0</v>
      </c>
      <c r="O88" s="10">
        <f>SUMIFS('PLAN BUDGET SAMI-JF'!AX13:AX100000,'PLAN BUDGET SAMI-JF'!D13:D100000,SUMMARY!D88,'PLAN BUDGET SAMI-JF'!J13:J100000,SUMMARY!A88&amp;"*")</f>
        <v>0</v>
      </c>
      <c r="P88" s="10">
        <f>SUMIFS('PLAN BUDGET SAMI-JF'!AY13:AY100000,'PLAN BUDGET SAMI-JF'!D13:D100000,SUMMARY!D88,'PLAN BUDGET SAMI-JF'!J13:J100000,SUMMARY!A88&amp;"*")</f>
        <v>0</v>
      </c>
      <c r="Q88" s="10">
        <f>SUMIFS('PLAN BUDGET SAMI-JF'!BC13:BC100000,'PLAN BUDGET SAMI-JF'!D13:D100000,SUMMARY!D88,'PLAN BUDGET SAMI-JF'!J13:J100000,SUMMARY!A88&amp;"*")</f>
        <v>0</v>
      </c>
      <c r="R88" s="10">
        <f>SUMIFS('PLAN BUDGET SAMI-JF'!BD13:BD100000,'PLAN BUDGET SAMI-JF'!D13:D100000,SUMMARY!D88,'PLAN BUDGET SAMI-JF'!J13:J100000,SUMMARY!A88&amp;"*")</f>
        <v>0</v>
      </c>
      <c r="S88" s="10">
        <f>SUMIFS('PLAN BUDGET SAMI-JF'!BE13:BE100000,'PLAN BUDGET SAMI-JF'!D13:D100000,SUMMARY!D88,'PLAN BUDGET SAMI-JF'!J13:J100000,SUMMARY!A88&amp;"*")</f>
        <v>0</v>
      </c>
      <c r="T88" s="10">
        <f>SUMIFS('PLAN BUDGET SAMI-JF'!BF13:BF100000,'PLAN BUDGET SAMI-JF'!D13:D100000,SUMMARY!D88,'PLAN BUDGET SAMI-JF'!J13:J100000,SUMMARY!A88&amp;"*")</f>
        <v>0</v>
      </c>
      <c r="U88" s="10">
        <f>SUMIFS('PLAN BUDGET SAMI-JF'!BG13:BG100000,'PLAN BUDGET SAMI-JF'!D13:D100000,SUMMARY!D88,'PLAN BUDGET SAMI-JF'!J13:J100000,SUMMARY!A88&amp;"*")</f>
        <v>0</v>
      </c>
      <c r="V88" s="10">
        <f>SUMIFS('PLAN BUDGET SAMI-JF'!BH13:BH100000,'PLAN BUDGET SAMI-JF'!D13:D100000,SUMMARY!D88,'PLAN BUDGET SAMI-JF'!J13:J100000,SUMMARY!A88&amp;"*")</f>
        <v>0</v>
      </c>
      <c r="W88" s="10">
        <f>SUMIFS('PLAN BUDGET SAMI-JF'!BI13:BI100000,'PLAN BUDGET SAMI-JF'!D13:D100000,SUMMARY!D88,'PLAN BUDGET SAMI-JF'!J13:J100000,SUMMARY!A88&amp;"*")</f>
        <v>0</v>
      </c>
      <c r="X88" s="10">
        <f>SUMIFS('PLAN BUDGET SAMI-JF'!BJ13:BJ100000,'PLAN BUDGET SAMI-JF'!D13:D100000,SUMMARY!D88,'PLAN BUDGET SAMI-JF'!J13:J100000,SUMMARY!A88&amp;"*")</f>
        <v>0</v>
      </c>
      <c r="Y88" s="10">
        <f>SUMIFS('PLAN BUDGET SAMI-JF'!BK13:BK100000,'PLAN BUDGET SAMI-JF'!D13:D100000,SUMMARY!D88,'PLAN BUDGET SAMI-JF'!J13:J100000,SUMMARY!A88&amp;"*")</f>
        <v>0</v>
      </c>
      <c r="Z88" s="10">
        <f>SUMIFS('PLAN BUDGET SAMI-JF'!BL13:BL100000,'PLAN BUDGET SAMI-JF'!D13:D100000,SUMMARY!D88,'PLAN BUDGET SAMI-JF'!J13:J100000,SUMMARY!A88&amp;"*")</f>
        <v>0</v>
      </c>
      <c r="AA88" s="10">
        <f>SUMIFS('PLAN BUDGET SAMI-JF'!BM13:BM100000,'PLAN BUDGET SAMI-JF'!D13:D100000,SUMMARY!D88,'PLAN BUDGET SAMI-JF'!J13:J100000,SUMMARY!A88&amp;"*")</f>
        <v>0</v>
      </c>
      <c r="AB88" s="10">
        <f>SUMIFS('PLAN BUDGET SAMI-JF'!BN13:BN100000,'PLAN BUDGET SAMI-JF'!D13:D100000,SUMMARY!D88,'PLAN BUDGET SAMI-JF'!J13:J100000,SUMMARY!A88&amp;"*")</f>
        <v>0</v>
      </c>
      <c r="AC88" s="10">
        <f t="shared" si="8"/>
        <v>0</v>
      </c>
      <c r="AD88" s="10">
        <f t="shared" si="9"/>
        <v>0</v>
      </c>
      <c r="AE88" s="16"/>
      <c r="AF88" s="10">
        <v>300</v>
      </c>
      <c r="AG88" s="10">
        <v>96.701606471459002</v>
      </c>
      <c r="AH88" s="20">
        <f t="shared" si="10"/>
        <v>-1</v>
      </c>
      <c r="AI88" s="20">
        <f t="shared" si="11"/>
        <v>-1</v>
      </c>
      <c r="AJ88" s="7" t="s">
        <v>494</v>
      </c>
    </row>
    <row r="89" spans="1:36" x14ac:dyDescent="0.35">
      <c r="A89" s="7" t="s">
        <v>47</v>
      </c>
      <c r="B89" s="7"/>
      <c r="C89" s="7"/>
      <c r="D89" s="7" t="s">
        <v>515</v>
      </c>
      <c r="E89" s="10">
        <f>SUMIFS('PLAN BUDGET SAMI-JF'!AN13:AN100000,'PLAN BUDGET SAMI-JF'!D13:D100000,SUMMARY!D89,'PLAN BUDGET SAMI-JF'!J13:J100000,SUMMARY!A89&amp;"*")</f>
        <v>0</v>
      </c>
      <c r="F89" s="10">
        <f>SUMIFS('PLAN BUDGET SAMI-JF'!AO13:AO100000,'PLAN BUDGET SAMI-JF'!D13:D100000,SUMMARY!D89,'PLAN BUDGET SAMI-JF'!J13:J100000,SUMMARY!A89&amp;"*")</f>
        <v>0</v>
      </c>
      <c r="G89" s="10">
        <f>SUMIFS('PLAN BUDGET SAMI-JF'!AP13:AP100000,'PLAN BUDGET SAMI-JF'!D13:D100000,SUMMARY!D89,'PLAN BUDGET SAMI-JF'!J13:J100000,SUMMARY!A89&amp;"*")</f>
        <v>0</v>
      </c>
      <c r="H89" s="10">
        <f>SUMIFS('PLAN BUDGET SAMI-JF'!AQ13:AQ100000,'PLAN BUDGET SAMI-JF'!D13:D100000,SUMMARY!D89,'PLAN BUDGET SAMI-JF'!J13:J100000,SUMMARY!A89&amp;"*")</f>
        <v>0</v>
      </c>
      <c r="I89" s="10">
        <f>SUMIFS('PLAN BUDGET SAMI-JF'!AR13:AR100000,'PLAN BUDGET SAMI-JF'!D13:D100000,SUMMARY!D89,'PLAN BUDGET SAMI-JF'!J13:J100000,SUMMARY!A89&amp;"*")</f>
        <v>0</v>
      </c>
      <c r="J89" s="10">
        <f>SUMIFS('PLAN BUDGET SAMI-JF'!AS13:AS100000,'PLAN BUDGET SAMI-JF'!D13:D100000,SUMMARY!D89,'PLAN BUDGET SAMI-JF'!J13:J100000,SUMMARY!A89&amp;"*")</f>
        <v>0</v>
      </c>
      <c r="K89" s="10">
        <f>SUMIFS('PLAN BUDGET SAMI-JF'!AT13:AT100000,'PLAN BUDGET SAMI-JF'!D13:D100000,SUMMARY!D89,'PLAN BUDGET SAMI-JF'!J13:J100000,SUMMARY!A89&amp;"*")</f>
        <v>0</v>
      </c>
      <c r="L89" s="10">
        <f>SUMIFS('PLAN BUDGET SAMI-JF'!AU13:AU100000,'PLAN BUDGET SAMI-JF'!D13:D100000,SUMMARY!D89,'PLAN BUDGET SAMI-JF'!J13:J100000,SUMMARY!A89&amp;"*")</f>
        <v>0</v>
      </c>
      <c r="M89" s="10">
        <f>SUMIFS('PLAN BUDGET SAMI-JF'!AV13:AV100000,'PLAN BUDGET SAMI-JF'!D13:D100000,SUMMARY!D89,'PLAN BUDGET SAMI-JF'!J13:J100000,SUMMARY!A89&amp;"*")</f>
        <v>0</v>
      </c>
      <c r="N89" s="10">
        <f>SUMIFS('PLAN BUDGET SAMI-JF'!AW13:AW100000,'PLAN BUDGET SAMI-JF'!D13:D100000,SUMMARY!D89,'PLAN BUDGET SAMI-JF'!J13:J100000,SUMMARY!A89&amp;"*")</f>
        <v>0</v>
      </c>
      <c r="O89" s="10">
        <f>SUMIFS('PLAN BUDGET SAMI-JF'!AX13:AX100000,'PLAN BUDGET SAMI-JF'!D13:D100000,SUMMARY!D89,'PLAN BUDGET SAMI-JF'!J13:J100000,SUMMARY!A89&amp;"*")</f>
        <v>0</v>
      </c>
      <c r="P89" s="10">
        <f>SUMIFS('PLAN BUDGET SAMI-JF'!AY13:AY100000,'PLAN BUDGET SAMI-JF'!D13:D100000,SUMMARY!D89,'PLAN BUDGET SAMI-JF'!J13:J100000,SUMMARY!A89&amp;"*")</f>
        <v>0</v>
      </c>
      <c r="Q89" s="10">
        <f>SUMIFS('PLAN BUDGET SAMI-JF'!BC13:BC100000,'PLAN BUDGET SAMI-JF'!D13:D100000,SUMMARY!D89,'PLAN BUDGET SAMI-JF'!J13:J100000,SUMMARY!A89&amp;"*")</f>
        <v>0</v>
      </c>
      <c r="R89" s="10">
        <f>SUMIFS('PLAN BUDGET SAMI-JF'!BD13:BD100000,'PLAN BUDGET SAMI-JF'!D13:D100000,SUMMARY!D89,'PLAN BUDGET SAMI-JF'!J13:J100000,SUMMARY!A89&amp;"*")</f>
        <v>0</v>
      </c>
      <c r="S89" s="10">
        <f>SUMIFS('PLAN BUDGET SAMI-JF'!BE13:BE100000,'PLAN BUDGET SAMI-JF'!D13:D100000,SUMMARY!D89,'PLAN BUDGET SAMI-JF'!J13:J100000,SUMMARY!A89&amp;"*")</f>
        <v>0</v>
      </c>
      <c r="T89" s="10">
        <f>SUMIFS('PLAN BUDGET SAMI-JF'!BF13:BF100000,'PLAN BUDGET SAMI-JF'!D13:D100000,SUMMARY!D89,'PLAN BUDGET SAMI-JF'!J13:J100000,SUMMARY!A89&amp;"*")</f>
        <v>0</v>
      </c>
      <c r="U89" s="10">
        <f>SUMIFS('PLAN BUDGET SAMI-JF'!BG13:BG100000,'PLAN BUDGET SAMI-JF'!D13:D100000,SUMMARY!D89,'PLAN BUDGET SAMI-JF'!J13:J100000,SUMMARY!A89&amp;"*")</f>
        <v>0</v>
      </c>
      <c r="V89" s="10">
        <f>SUMIFS('PLAN BUDGET SAMI-JF'!BH13:BH100000,'PLAN BUDGET SAMI-JF'!D13:D100000,SUMMARY!D89,'PLAN BUDGET SAMI-JF'!J13:J100000,SUMMARY!A89&amp;"*")</f>
        <v>0</v>
      </c>
      <c r="W89" s="10">
        <f>SUMIFS('PLAN BUDGET SAMI-JF'!BI13:BI100000,'PLAN BUDGET SAMI-JF'!D13:D100000,SUMMARY!D89,'PLAN BUDGET SAMI-JF'!J13:J100000,SUMMARY!A89&amp;"*")</f>
        <v>0</v>
      </c>
      <c r="X89" s="10">
        <f>SUMIFS('PLAN BUDGET SAMI-JF'!BJ13:BJ100000,'PLAN BUDGET SAMI-JF'!D13:D100000,SUMMARY!D89,'PLAN BUDGET SAMI-JF'!J13:J100000,SUMMARY!A89&amp;"*")</f>
        <v>0</v>
      </c>
      <c r="Y89" s="10">
        <f>SUMIFS('PLAN BUDGET SAMI-JF'!BK13:BK100000,'PLAN BUDGET SAMI-JF'!D13:D100000,SUMMARY!D89,'PLAN BUDGET SAMI-JF'!J13:J100000,SUMMARY!A89&amp;"*")</f>
        <v>0</v>
      </c>
      <c r="Z89" s="10">
        <f>SUMIFS('PLAN BUDGET SAMI-JF'!BL13:BL100000,'PLAN BUDGET SAMI-JF'!D13:D100000,SUMMARY!D89,'PLAN BUDGET SAMI-JF'!J13:J100000,SUMMARY!A89&amp;"*")</f>
        <v>0</v>
      </c>
      <c r="AA89" s="10">
        <f>SUMIFS('PLAN BUDGET SAMI-JF'!BM13:BM100000,'PLAN BUDGET SAMI-JF'!D13:D100000,SUMMARY!D89,'PLAN BUDGET SAMI-JF'!J13:J100000,SUMMARY!A89&amp;"*")</f>
        <v>0</v>
      </c>
      <c r="AB89" s="10">
        <f>SUMIFS('PLAN BUDGET SAMI-JF'!BN13:BN100000,'PLAN BUDGET SAMI-JF'!D13:D100000,SUMMARY!D89,'PLAN BUDGET SAMI-JF'!J13:J100000,SUMMARY!A89&amp;"*")</f>
        <v>0</v>
      </c>
      <c r="AC89" s="10">
        <f t="shared" si="8"/>
        <v>0</v>
      </c>
      <c r="AD89" s="10">
        <f t="shared" si="9"/>
        <v>0</v>
      </c>
      <c r="AE89" s="16"/>
      <c r="AF89" s="10">
        <v>4</v>
      </c>
      <c r="AG89" s="10">
        <v>5.5231476206751999</v>
      </c>
      <c r="AH89" s="20">
        <f t="shared" si="10"/>
        <v>-1</v>
      </c>
      <c r="AI89" s="20">
        <f t="shared" si="11"/>
        <v>-1</v>
      </c>
      <c r="AJ89" s="7" t="s">
        <v>494</v>
      </c>
    </row>
    <row r="90" spans="1:36" x14ac:dyDescent="0.35">
      <c r="A90" s="7" t="s">
        <v>47</v>
      </c>
      <c r="B90" s="7"/>
      <c r="C90" s="7"/>
      <c r="D90" s="7" t="s">
        <v>516</v>
      </c>
      <c r="E90" s="10">
        <f>SUMIFS('PLAN BUDGET SAMI-JF'!AN13:AN100000,'PLAN BUDGET SAMI-JF'!D13:D100000,SUMMARY!D90,'PLAN BUDGET SAMI-JF'!J13:J100000,SUMMARY!A90&amp;"*")</f>
        <v>0</v>
      </c>
      <c r="F90" s="10">
        <f>SUMIFS('PLAN BUDGET SAMI-JF'!AO13:AO100000,'PLAN BUDGET SAMI-JF'!D13:D100000,SUMMARY!D90,'PLAN BUDGET SAMI-JF'!J13:J100000,SUMMARY!A90&amp;"*")</f>
        <v>0</v>
      </c>
      <c r="G90" s="10">
        <f>SUMIFS('PLAN BUDGET SAMI-JF'!AP13:AP100000,'PLAN BUDGET SAMI-JF'!D13:D100000,SUMMARY!D90,'PLAN BUDGET SAMI-JF'!J13:J100000,SUMMARY!A90&amp;"*")</f>
        <v>0</v>
      </c>
      <c r="H90" s="10">
        <f>SUMIFS('PLAN BUDGET SAMI-JF'!AQ13:AQ100000,'PLAN BUDGET SAMI-JF'!D13:D100000,SUMMARY!D90,'PLAN BUDGET SAMI-JF'!J13:J100000,SUMMARY!A90&amp;"*")</f>
        <v>0</v>
      </c>
      <c r="I90" s="10">
        <f>SUMIFS('PLAN BUDGET SAMI-JF'!AR13:AR100000,'PLAN BUDGET SAMI-JF'!D13:D100000,SUMMARY!D90,'PLAN BUDGET SAMI-JF'!J13:J100000,SUMMARY!A90&amp;"*")</f>
        <v>0</v>
      </c>
      <c r="J90" s="10">
        <f>SUMIFS('PLAN BUDGET SAMI-JF'!AS13:AS100000,'PLAN BUDGET SAMI-JF'!D13:D100000,SUMMARY!D90,'PLAN BUDGET SAMI-JF'!J13:J100000,SUMMARY!A90&amp;"*")</f>
        <v>0</v>
      </c>
      <c r="K90" s="10">
        <f>SUMIFS('PLAN BUDGET SAMI-JF'!AT13:AT100000,'PLAN BUDGET SAMI-JF'!D13:D100000,SUMMARY!D90,'PLAN BUDGET SAMI-JF'!J13:J100000,SUMMARY!A90&amp;"*")</f>
        <v>0</v>
      </c>
      <c r="L90" s="10">
        <f>SUMIFS('PLAN BUDGET SAMI-JF'!AU13:AU100000,'PLAN BUDGET SAMI-JF'!D13:D100000,SUMMARY!D90,'PLAN BUDGET SAMI-JF'!J13:J100000,SUMMARY!A90&amp;"*")</f>
        <v>0</v>
      </c>
      <c r="M90" s="10">
        <f>SUMIFS('PLAN BUDGET SAMI-JF'!AV13:AV100000,'PLAN BUDGET SAMI-JF'!D13:D100000,SUMMARY!D90,'PLAN BUDGET SAMI-JF'!J13:J100000,SUMMARY!A90&amp;"*")</f>
        <v>0</v>
      </c>
      <c r="N90" s="10">
        <f>SUMIFS('PLAN BUDGET SAMI-JF'!AW13:AW100000,'PLAN BUDGET SAMI-JF'!D13:D100000,SUMMARY!D90,'PLAN BUDGET SAMI-JF'!J13:J100000,SUMMARY!A90&amp;"*")</f>
        <v>0</v>
      </c>
      <c r="O90" s="10">
        <f>SUMIFS('PLAN BUDGET SAMI-JF'!AX13:AX100000,'PLAN BUDGET SAMI-JF'!D13:D100000,SUMMARY!D90,'PLAN BUDGET SAMI-JF'!J13:J100000,SUMMARY!A90&amp;"*")</f>
        <v>0</v>
      </c>
      <c r="P90" s="10">
        <f>SUMIFS('PLAN BUDGET SAMI-JF'!AY13:AY100000,'PLAN BUDGET SAMI-JF'!D13:D100000,SUMMARY!D90,'PLAN BUDGET SAMI-JF'!J13:J100000,SUMMARY!A90&amp;"*")</f>
        <v>0</v>
      </c>
      <c r="Q90" s="10">
        <f>SUMIFS('PLAN BUDGET SAMI-JF'!BC13:BC100000,'PLAN BUDGET SAMI-JF'!D13:D100000,SUMMARY!D90,'PLAN BUDGET SAMI-JF'!J13:J100000,SUMMARY!A90&amp;"*")</f>
        <v>0</v>
      </c>
      <c r="R90" s="10">
        <f>SUMIFS('PLAN BUDGET SAMI-JF'!BD13:BD100000,'PLAN BUDGET SAMI-JF'!D13:D100000,SUMMARY!D90,'PLAN BUDGET SAMI-JF'!J13:J100000,SUMMARY!A90&amp;"*")</f>
        <v>0</v>
      </c>
      <c r="S90" s="10">
        <f>SUMIFS('PLAN BUDGET SAMI-JF'!BE13:BE100000,'PLAN BUDGET SAMI-JF'!D13:D100000,SUMMARY!D90,'PLAN BUDGET SAMI-JF'!J13:J100000,SUMMARY!A90&amp;"*")</f>
        <v>0</v>
      </c>
      <c r="T90" s="10">
        <f>SUMIFS('PLAN BUDGET SAMI-JF'!BF13:BF100000,'PLAN BUDGET SAMI-JF'!D13:D100000,SUMMARY!D90,'PLAN BUDGET SAMI-JF'!J13:J100000,SUMMARY!A90&amp;"*")</f>
        <v>0</v>
      </c>
      <c r="U90" s="10">
        <f>SUMIFS('PLAN BUDGET SAMI-JF'!BG13:BG100000,'PLAN BUDGET SAMI-JF'!D13:D100000,SUMMARY!D90,'PLAN BUDGET SAMI-JF'!J13:J100000,SUMMARY!A90&amp;"*")</f>
        <v>0</v>
      </c>
      <c r="V90" s="10">
        <f>SUMIFS('PLAN BUDGET SAMI-JF'!BH13:BH100000,'PLAN BUDGET SAMI-JF'!D13:D100000,SUMMARY!D90,'PLAN BUDGET SAMI-JF'!J13:J100000,SUMMARY!A90&amp;"*")</f>
        <v>0</v>
      </c>
      <c r="W90" s="10">
        <f>SUMIFS('PLAN BUDGET SAMI-JF'!BI13:BI100000,'PLAN BUDGET SAMI-JF'!D13:D100000,SUMMARY!D90,'PLAN BUDGET SAMI-JF'!J13:J100000,SUMMARY!A90&amp;"*")</f>
        <v>0</v>
      </c>
      <c r="X90" s="10">
        <f>SUMIFS('PLAN BUDGET SAMI-JF'!BJ13:BJ100000,'PLAN BUDGET SAMI-JF'!D13:D100000,SUMMARY!D90,'PLAN BUDGET SAMI-JF'!J13:J100000,SUMMARY!A90&amp;"*")</f>
        <v>0</v>
      </c>
      <c r="Y90" s="10">
        <f>SUMIFS('PLAN BUDGET SAMI-JF'!BK13:BK100000,'PLAN BUDGET SAMI-JF'!D13:D100000,SUMMARY!D90,'PLAN BUDGET SAMI-JF'!J13:J100000,SUMMARY!A90&amp;"*")</f>
        <v>0</v>
      </c>
      <c r="Z90" s="10">
        <f>SUMIFS('PLAN BUDGET SAMI-JF'!BL13:BL100000,'PLAN BUDGET SAMI-JF'!D13:D100000,SUMMARY!D90,'PLAN BUDGET SAMI-JF'!J13:J100000,SUMMARY!A90&amp;"*")</f>
        <v>0</v>
      </c>
      <c r="AA90" s="10">
        <f>SUMIFS('PLAN BUDGET SAMI-JF'!BM13:BM100000,'PLAN BUDGET SAMI-JF'!D13:D100000,SUMMARY!D90,'PLAN BUDGET SAMI-JF'!J13:J100000,SUMMARY!A90&amp;"*")</f>
        <v>0</v>
      </c>
      <c r="AB90" s="10">
        <f>SUMIFS('PLAN BUDGET SAMI-JF'!BN13:BN100000,'PLAN BUDGET SAMI-JF'!D13:D100000,SUMMARY!D90,'PLAN BUDGET SAMI-JF'!J13:J100000,SUMMARY!A90&amp;"*")</f>
        <v>0</v>
      </c>
      <c r="AC90" s="10">
        <f t="shared" si="8"/>
        <v>0</v>
      </c>
      <c r="AD90" s="10">
        <f t="shared" si="9"/>
        <v>0</v>
      </c>
      <c r="AE90" s="16"/>
      <c r="AF90" s="10">
        <v>2</v>
      </c>
      <c r="AG90" s="10">
        <v>1.7723089387666999</v>
      </c>
      <c r="AH90" s="20">
        <f t="shared" si="10"/>
        <v>-1</v>
      </c>
      <c r="AI90" s="20">
        <f t="shared" si="11"/>
        <v>-1</v>
      </c>
      <c r="AJ90" s="7" t="s">
        <v>494</v>
      </c>
    </row>
    <row r="91" spans="1:36" x14ac:dyDescent="0.35">
      <c r="A91" s="7" t="s">
        <v>47</v>
      </c>
      <c r="B91" s="7"/>
      <c r="C91" s="7"/>
      <c r="D91" s="7" t="s">
        <v>224</v>
      </c>
      <c r="E91" s="10">
        <f>SUMIFS('PLAN BUDGET SAMI-JF'!AN13:AN100000,'PLAN BUDGET SAMI-JF'!D13:D100000,SUMMARY!D91,'PLAN BUDGET SAMI-JF'!J13:J100000,SUMMARY!A91&amp;"*")</f>
        <v>0</v>
      </c>
      <c r="F91" s="10">
        <f>SUMIFS('PLAN BUDGET SAMI-JF'!AO13:AO100000,'PLAN BUDGET SAMI-JF'!D13:D100000,SUMMARY!D91,'PLAN BUDGET SAMI-JF'!J13:J100000,SUMMARY!A91&amp;"*")</f>
        <v>0</v>
      </c>
      <c r="G91" s="10">
        <f>SUMIFS('PLAN BUDGET SAMI-JF'!AP13:AP100000,'PLAN BUDGET SAMI-JF'!D13:D100000,SUMMARY!D91,'PLAN BUDGET SAMI-JF'!J13:J100000,SUMMARY!A91&amp;"*")</f>
        <v>0</v>
      </c>
      <c r="H91" s="10">
        <f>SUMIFS('PLAN BUDGET SAMI-JF'!AQ13:AQ100000,'PLAN BUDGET SAMI-JF'!D13:D100000,SUMMARY!D91,'PLAN BUDGET SAMI-JF'!J13:J100000,SUMMARY!A91&amp;"*")</f>
        <v>0</v>
      </c>
      <c r="I91" s="10">
        <f>SUMIFS('PLAN BUDGET SAMI-JF'!AR13:AR100000,'PLAN BUDGET SAMI-JF'!D13:D100000,SUMMARY!D91,'PLAN BUDGET SAMI-JF'!J13:J100000,SUMMARY!A91&amp;"*")</f>
        <v>0</v>
      </c>
      <c r="J91" s="10">
        <f>SUMIFS('PLAN BUDGET SAMI-JF'!AS13:AS100000,'PLAN BUDGET SAMI-JF'!D13:D100000,SUMMARY!D91,'PLAN BUDGET SAMI-JF'!J13:J100000,SUMMARY!A91&amp;"*")</f>
        <v>0</v>
      </c>
      <c r="K91" s="10">
        <f>SUMIFS('PLAN BUDGET SAMI-JF'!AT13:AT100000,'PLAN BUDGET SAMI-JF'!D13:D100000,SUMMARY!D91,'PLAN BUDGET SAMI-JF'!J13:J100000,SUMMARY!A91&amp;"*")</f>
        <v>0</v>
      </c>
      <c r="L91" s="10">
        <f>SUMIFS('PLAN BUDGET SAMI-JF'!AU13:AU100000,'PLAN BUDGET SAMI-JF'!D13:D100000,SUMMARY!D91,'PLAN BUDGET SAMI-JF'!J13:J100000,SUMMARY!A91&amp;"*")</f>
        <v>0</v>
      </c>
      <c r="M91" s="10">
        <f>SUMIFS('PLAN BUDGET SAMI-JF'!AV13:AV100000,'PLAN BUDGET SAMI-JF'!D13:D100000,SUMMARY!D91,'PLAN BUDGET SAMI-JF'!J13:J100000,SUMMARY!A91&amp;"*")</f>
        <v>0</v>
      </c>
      <c r="N91" s="10">
        <f>SUMIFS('PLAN BUDGET SAMI-JF'!AW13:AW100000,'PLAN BUDGET SAMI-JF'!D13:D100000,SUMMARY!D91,'PLAN BUDGET SAMI-JF'!J13:J100000,SUMMARY!A91&amp;"*")</f>
        <v>0</v>
      </c>
      <c r="O91" s="10">
        <f>SUMIFS('PLAN BUDGET SAMI-JF'!AX13:AX100000,'PLAN BUDGET SAMI-JF'!D13:D100000,SUMMARY!D91,'PLAN BUDGET SAMI-JF'!J13:J100000,SUMMARY!A91&amp;"*")</f>
        <v>0</v>
      </c>
      <c r="P91" s="10">
        <f>SUMIFS('PLAN BUDGET SAMI-JF'!AY13:AY100000,'PLAN BUDGET SAMI-JF'!D13:D100000,SUMMARY!D91,'PLAN BUDGET SAMI-JF'!J13:J100000,SUMMARY!A91&amp;"*")</f>
        <v>0</v>
      </c>
      <c r="Q91" s="10">
        <f>SUMIFS('PLAN BUDGET SAMI-JF'!BC13:BC100000,'PLAN BUDGET SAMI-JF'!D13:D100000,SUMMARY!D91,'PLAN BUDGET SAMI-JF'!J13:J100000,SUMMARY!A91&amp;"*")</f>
        <v>0</v>
      </c>
      <c r="R91" s="10">
        <f>SUMIFS('PLAN BUDGET SAMI-JF'!BD13:BD100000,'PLAN BUDGET SAMI-JF'!D13:D100000,SUMMARY!D91,'PLAN BUDGET SAMI-JF'!J13:J100000,SUMMARY!A91&amp;"*")</f>
        <v>0</v>
      </c>
      <c r="S91" s="10">
        <f>SUMIFS('PLAN BUDGET SAMI-JF'!BE13:BE100000,'PLAN BUDGET SAMI-JF'!D13:D100000,SUMMARY!D91,'PLAN BUDGET SAMI-JF'!J13:J100000,SUMMARY!A91&amp;"*")</f>
        <v>0</v>
      </c>
      <c r="T91" s="10">
        <f>SUMIFS('PLAN BUDGET SAMI-JF'!BF13:BF100000,'PLAN BUDGET SAMI-JF'!D13:D100000,SUMMARY!D91,'PLAN BUDGET SAMI-JF'!J13:J100000,SUMMARY!A91&amp;"*")</f>
        <v>0</v>
      </c>
      <c r="U91" s="10">
        <f>SUMIFS('PLAN BUDGET SAMI-JF'!BG13:BG100000,'PLAN BUDGET SAMI-JF'!D13:D100000,SUMMARY!D91,'PLAN BUDGET SAMI-JF'!J13:J100000,SUMMARY!A91&amp;"*")</f>
        <v>0</v>
      </c>
      <c r="V91" s="10">
        <f>SUMIFS('PLAN BUDGET SAMI-JF'!BH13:BH100000,'PLAN BUDGET SAMI-JF'!D13:D100000,SUMMARY!D91,'PLAN BUDGET SAMI-JF'!J13:J100000,SUMMARY!A91&amp;"*")</f>
        <v>0</v>
      </c>
      <c r="W91" s="10">
        <f>SUMIFS('PLAN BUDGET SAMI-JF'!BI13:BI100000,'PLAN BUDGET SAMI-JF'!D13:D100000,SUMMARY!D91,'PLAN BUDGET SAMI-JF'!J13:J100000,SUMMARY!A91&amp;"*")</f>
        <v>0</v>
      </c>
      <c r="X91" s="10">
        <f>SUMIFS('PLAN BUDGET SAMI-JF'!BJ13:BJ100000,'PLAN BUDGET SAMI-JF'!D13:D100000,SUMMARY!D91,'PLAN BUDGET SAMI-JF'!J13:J100000,SUMMARY!A91&amp;"*")</f>
        <v>0</v>
      </c>
      <c r="Y91" s="10">
        <f>SUMIFS('PLAN BUDGET SAMI-JF'!BK13:BK100000,'PLAN BUDGET SAMI-JF'!D13:D100000,SUMMARY!D91,'PLAN BUDGET SAMI-JF'!J13:J100000,SUMMARY!A91&amp;"*")</f>
        <v>0</v>
      </c>
      <c r="Z91" s="10">
        <f>SUMIFS('PLAN BUDGET SAMI-JF'!BL13:BL100000,'PLAN BUDGET SAMI-JF'!D13:D100000,SUMMARY!D91,'PLAN BUDGET SAMI-JF'!J13:J100000,SUMMARY!A91&amp;"*")</f>
        <v>0</v>
      </c>
      <c r="AA91" s="10">
        <f>SUMIFS('PLAN BUDGET SAMI-JF'!BM13:BM100000,'PLAN BUDGET SAMI-JF'!D13:D100000,SUMMARY!D91,'PLAN BUDGET SAMI-JF'!J13:J100000,SUMMARY!A91&amp;"*")</f>
        <v>0</v>
      </c>
      <c r="AB91" s="10">
        <f>SUMIFS('PLAN BUDGET SAMI-JF'!BN13:BN100000,'PLAN BUDGET SAMI-JF'!D13:D100000,SUMMARY!D91,'PLAN BUDGET SAMI-JF'!J13:J100000,SUMMARY!A91&amp;"*")</f>
        <v>0</v>
      </c>
      <c r="AC91" s="10">
        <f t="shared" si="8"/>
        <v>0</v>
      </c>
      <c r="AD91" s="10">
        <f t="shared" si="9"/>
        <v>0</v>
      </c>
      <c r="AE91" s="16"/>
      <c r="AF91" s="10">
        <v>3</v>
      </c>
      <c r="AG91" s="10">
        <v>189.89024343929</v>
      </c>
      <c r="AH91" s="20">
        <f t="shared" si="10"/>
        <v>-1</v>
      </c>
      <c r="AI91" s="20">
        <f t="shared" si="11"/>
        <v>-1</v>
      </c>
      <c r="AJ91" s="7" t="s">
        <v>494</v>
      </c>
    </row>
    <row r="92" spans="1:36" x14ac:dyDescent="0.35">
      <c r="A92" s="7" t="s">
        <v>47</v>
      </c>
      <c r="B92" s="7"/>
      <c r="C92" s="7"/>
      <c r="D92" s="7" t="s">
        <v>517</v>
      </c>
      <c r="E92" s="10">
        <f>SUMIFS('PLAN BUDGET SAMI-JF'!AN13:AN100000,'PLAN BUDGET SAMI-JF'!D13:D100000,SUMMARY!D92,'PLAN BUDGET SAMI-JF'!J13:J100000,SUMMARY!A92&amp;"*")</f>
        <v>0</v>
      </c>
      <c r="F92" s="10">
        <f>SUMIFS('PLAN BUDGET SAMI-JF'!AO13:AO100000,'PLAN BUDGET SAMI-JF'!D13:D100000,SUMMARY!D92,'PLAN BUDGET SAMI-JF'!J13:J100000,SUMMARY!A92&amp;"*")</f>
        <v>0</v>
      </c>
      <c r="G92" s="10">
        <f>SUMIFS('PLAN BUDGET SAMI-JF'!AP13:AP100000,'PLAN BUDGET SAMI-JF'!D13:D100000,SUMMARY!D92,'PLAN BUDGET SAMI-JF'!J13:J100000,SUMMARY!A92&amp;"*")</f>
        <v>0</v>
      </c>
      <c r="H92" s="10">
        <f>SUMIFS('PLAN BUDGET SAMI-JF'!AQ13:AQ100000,'PLAN BUDGET SAMI-JF'!D13:D100000,SUMMARY!D92,'PLAN BUDGET SAMI-JF'!J13:J100000,SUMMARY!A92&amp;"*")</f>
        <v>0</v>
      </c>
      <c r="I92" s="10">
        <f>SUMIFS('PLAN BUDGET SAMI-JF'!AR13:AR100000,'PLAN BUDGET SAMI-JF'!D13:D100000,SUMMARY!D92,'PLAN BUDGET SAMI-JF'!J13:J100000,SUMMARY!A92&amp;"*")</f>
        <v>0</v>
      </c>
      <c r="J92" s="10">
        <f>SUMIFS('PLAN BUDGET SAMI-JF'!AS13:AS100000,'PLAN BUDGET SAMI-JF'!D13:D100000,SUMMARY!D92,'PLAN BUDGET SAMI-JF'!J13:J100000,SUMMARY!A92&amp;"*")</f>
        <v>0</v>
      </c>
      <c r="K92" s="10">
        <f>SUMIFS('PLAN BUDGET SAMI-JF'!AT13:AT100000,'PLAN BUDGET SAMI-JF'!D13:D100000,SUMMARY!D92,'PLAN BUDGET SAMI-JF'!J13:J100000,SUMMARY!A92&amp;"*")</f>
        <v>0</v>
      </c>
      <c r="L92" s="10">
        <f>SUMIFS('PLAN BUDGET SAMI-JF'!AU13:AU100000,'PLAN BUDGET SAMI-JF'!D13:D100000,SUMMARY!D92,'PLAN BUDGET SAMI-JF'!J13:J100000,SUMMARY!A92&amp;"*")</f>
        <v>0</v>
      </c>
      <c r="M92" s="10">
        <f>SUMIFS('PLAN BUDGET SAMI-JF'!AV13:AV100000,'PLAN BUDGET SAMI-JF'!D13:D100000,SUMMARY!D92,'PLAN BUDGET SAMI-JF'!J13:J100000,SUMMARY!A92&amp;"*")</f>
        <v>0</v>
      </c>
      <c r="N92" s="10">
        <f>SUMIFS('PLAN BUDGET SAMI-JF'!AW13:AW100000,'PLAN BUDGET SAMI-JF'!D13:D100000,SUMMARY!D92,'PLAN BUDGET SAMI-JF'!J13:J100000,SUMMARY!A92&amp;"*")</f>
        <v>0</v>
      </c>
      <c r="O92" s="10">
        <f>SUMIFS('PLAN BUDGET SAMI-JF'!AX13:AX100000,'PLAN BUDGET SAMI-JF'!D13:D100000,SUMMARY!D92,'PLAN BUDGET SAMI-JF'!J13:J100000,SUMMARY!A92&amp;"*")</f>
        <v>0</v>
      </c>
      <c r="P92" s="10">
        <f>SUMIFS('PLAN BUDGET SAMI-JF'!AY13:AY100000,'PLAN BUDGET SAMI-JF'!D13:D100000,SUMMARY!D92,'PLAN BUDGET SAMI-JF'!J13:J100000,SUMMARY!A92&amp;"*")</f>
        <v>0</v>
      </c>
      <c r="Q92" s="10">
        <f>SUMIFS('PLAN BUDGET SAMI-JF'!BC13:BC100000,'PLAN BUDGET SAMI-JF'!D13:D100000,SUMMARY!D92,'PLAN BUDGET SAMI-JF'!J13:J100000,SUMMARY!A92&amp;"*")</f>
        <v>0</v>
      </c>
      <c r="R92" s="10">
        <f>SUMIFS('PLAN BUDGET SAMI-JF'!BD13:BD100000,'PLAN BUDGET SAMI-JF'!D13:D100000,SUMMARY!D92,'PLAN BUDGET SAMI-JF'!J13:J100000,SUMMARY!A92&amp;"*")</f>
        <v>0</v>
      </c>
      <c r="S92" s="10">
        <f>SUMIFS('PLAN BUDGET SAMI-JF'!BE13:BE100000,'PLAN BUDGET SAMI-JF'!D13:D100000,SUMMARY!D92,'PLAN BUDGET SAMI-JF'!J13:J100000,SUMMARY!A92&amp;"*")</f>
        <v>0</v>
      </c>
      <c r="T92" s="10">
        <f>SUMIFS('PLAN BUDGET SAMI-JF'!BF13:BF100000,'PLAN BUDGET SAMI-JF'!D13:D100000,SUMMARY!D92,'PLAN BUDGET SAMI-JF'!J13:J100000,SUMMARY!A92&amp;"*")</f>
        <v>0</v>
      </c>
      <c r="U92" s="10">
        <f>SUMIFS('PLAN BUDGET SAMI-JF'!BG13:BG100000,'PLAN BUDGET SAMI-JF'!D13:D100000,SUMMARY!D92,'PLAN BUDGET SAMI-JF'!J13:J100000,SUMMARY!A92&amp;"*")</f>
        <v>0</v>
      </c>
      <c r="V92" s="10">
        <f>SUMIFS('PLAN BUDGET SAMI-JF'!BH13:BH100000,'PLAN BUDGET SAMI-JF'!D13:D100000,SUMMARY!D92,'PLAN BUDGET SAMI-JF'!J13:J100000,SUMMARY!A92&amp;"*")</f>
        <v>0</v>
      </c>
      <c r="W92" s="10">
        <f>SUMIFS('PLAN BUDGET SAMI-JF'!BI13:BI100000,'PLAN BUDGET SAMI-JF'!D13:D100000,SUMMARY!D92,'PLAN BUDGET SAMI-JF'!J13:J100000,SUMMARY!A92&amp;"*")</f>
        <v>0</v>
      </c>
      <c r="X92" s="10">
        <f>SUMIFS('PLAN BUDGET SAMI-JF'!BJ13:BJ100000,'PLAN BUDGET SAMI-JF'!D13:D100000,SUMMARY!D92,'PLAN BUDGET SAMI-JF'!J13:J100000,SUMMARY!A92&amp;"*")</f>
        <v>0</v>
      </c>
      <c r="Y92" s="10">
        <f>SUMIFS('PLAN BUDGET SAMI-JF'!BK13:BK100000,'PLAN BUDGET SAMI-JF'!D13:D100000,SUMMARY!D92,'PLAN BUDGET SAMI-JF'!J13:J100000,SUMMARY!A92&amp;"*")</f>
        <v>0</v>
      </c>
      <c r="Z92" s="10">
        <f>SUMIFS('PLAN BUDGET SAMI-JF'!BL13:BL100000,'PLAN BUDGET SAMI-JF'!D13:D100000,SUMMARY!D92,'PLAN BUDGET SAMI-JF'!J13:J100000,SUMMARY!A92&amp;"*")</f>
        <v>0</v>
      </c>
      <c r="AA92" s="10">
        <f>SUMIFS('PLAN BUDGET SAMI-JF'!BM13:BM100000,'PLAN BUDGET SAMI-JF'!D13:D100000,SUMMARY!D92,'PLAN BUDGET SAMI-JF'!J13:J100000,SUMMARY!A92&amp;"*")</f>
        <v>0</v>
      </c>
      <c r="AB92" s="10">
        <f>SUMIFS('PLAN BUDGET SAMI-JF'!BN13:BN100000,'PLAN BUDGET SAMI-JF'!D13:D100000,SUMMARY!D92,'PLAN BUDGET SAMI-JF'!J13:J100000,SUMMARY!A92&amp;"*")</f>
        <v>0</v>
      </c>
      <c r="AC92" s="10">
        <f t="shared" si="8"/>
        <v>0</v>
      </c>
      <c r="AD92" s="10">
        <f t="shared" si="9"/>
        <v>0</v>
      </c>
      <c r="AE92" s="16"/>
      <c r="AF92" s="10">
        <v>6</v>
      </c>
      <c r="AG92" s="10">
        <v>189.89024343929</v>
      </c>
      <c r="AH92" s="20">
        <f t="shared" si="10"/>
        <v>-1</v>
      </c>
      <c r="AI92" s="20">
        <f t="shared" si="11"/>
        <v>-1</v>
      </c>
      <c r="AJ92" s="7" t="s">
        <v>494</v>
      </c>
    </row>
    <row r="93" spans="1:36" x14ac:dyDescent="0.35">
      <c r="A93" s="7" t="s">
        <v>47</v>
      </c>
      <c r="B93" s="7"/>
      <c r="C93" s="7"/>
      <c r="D93" s="7" t="s">
        <v>518</v>
      </c>
      <c r="E93" s="10">
        <f>SUMIFS('PLAN BUDGET SAMI-JF'!AN13:AN100000,'PLAN BUDGET SAMI-JF'!D13:D100000,SUMMARY!D93,'PLAN BUDGET SAMI-JF'!J13:J100000,SUMMARY!A93&amp;"*")</f>
        <v>0</v>
      </c>
      <c r="F93" s="10">
        <f>SUMIFS('PLAN BUDGET SAMI-JF'!AO13:AO100000,'PLAN BUDGET SAMI-JF'!D13:D100000,SUMMARY!D93,'PLAN BUDGET SAMI-JF'!J13:J100000,SUMMARY!A93&amp;"*")</f>
        <v>0</v>
      </c>
      <c r="G93" s="10">
        <f>SUMIFS('PLAN BUDGET SAMI-JF'!AP13:AP100000,'PLAN BUDGET SAMI-JF'!D13:D100000,SUMMARY!D93,'PLAN BUDGET SAMI-JF'!J13:J100000,SUMMARY!A93&amp;"*")</f>
        <v>0</v>
      </c>
      <c r="H93" s="10">
        <f>SUMIFS('PLAN BUDGET SAMI-JF'!AQ13:AQ100000,'PLAN BUDGET SAMI-JF'!D13:D100000,SUMMARY!D93,'PLAN BUDGET SAMI-JF'!J13:J100000,SUMMARY!A93&amp;"*")</f>
        <v>0</v>
      </c>
      <c r="I93" s="10">
        <f>SUMIFS('PLAN BUDGET SAMI-JF'!AR13:AR100000,'PLAN BUDGET SAMI-JF'!D13:D100000,SUMMARY!D93,'PLAN BUDGET SAMI-JF'!J13:J100000,SUMMARY!A93&amp;"*")</f>
        <v>0</v>
      </c>
      <c r="J93" s="10">
        <f>SUMIFS('PLAN BUDGET SAMI-JF'!AS13:AS100000,'PLAN BUDGET SAMI-JF'!D13:D100000,SUMMARY!D93,'PLAN BUDGET SAMI-JF'!J13:J100000,SUMMARY!A93&amp;"*")</f>
        <v>0</v>
      </c>
      <c r="K93" s="10">
        <f>SUMIFS('PLAN BUDGET SAMI-JF'!AT13:AT100000,'PLAN BUDGET SAMI-JF'!D13:D100000,SUMMARY!D93,'PLAN BUDGET SAMI-JF'!J13:J100000,SUMMARY!A93&amp;"*")</f>
        <v>0</v>
      </c>
      <c r="L93" s="10">
        <f>SUMIFS('PLAN BUDGET SAMI-JF'!AU13:AU100000,'PLAN BUDGET SAMI-JF'!D13:D100000,SUMMARY!D93,'PLAN BUDGET SAMI-JF'!J13:J100000,SUMMARY!A93&amp;"*")</f>
        <v>0</v>
      </c>
      <c r="M93" s="10">
        <f>SUMIFS('PLAN BUDGET SAMI-JF'!AV13:AV100000,'PLAN BUDGET SAMI-JF'!D13:D100000,SUMMARY!D93,'PLAN BUDGET SAMI-JF'!J13:J100000,SUMMARY!A93&amp;"*")</f>
        <v>0</v>
      </c>
      <c r="N93" s="10">
        <f>SUMIFS('PLAN BUDGET SAMI-JF'!AW13:AW100000,'PLAN BUDGET SAMI-JF'!D13:D100000,SUMMARY!D93,'PLAN BUDGET SAMI-JF'!J13:J100000,SUMMARY!A93&amp;"*")</f>
        <v>0</v>
      </c>
      <c r="O93" s="10">
        <f>SUMIFS('PLAN BUDGET SAMI-JF'!AX13:AX100000,'PLAN BUDGET SAMI-JF'!D13:D100000,SUMMARY!D93,'PLAN BUDGET SAMI-JF'!J13:J100000,SUMMARY!A93&amp;"*")</f>
        <v>0</v>
      </c>
      <c r="P93" s="10">
        <f>SUMIFS('PLAN BUDGET SAMI-JF'!AY13:AY100000,'PLAN BUDGET SAMI-JF'!D13:D100000,SUMMARY!D93,'PLAN BUDGET SAMI-JF'!J13:J100000,SUMMARY!A93&amp;"*")</f>
        <v>0</v>
      </c>
      <c r="Q93" s="10">
        <f>SUMIFS('PLAN BUDGET SAMI-JF'!BC13:BC100000,'PLAN BUDGET SAMI-JF'!D13:D100000,SUMMARY!D93,'PLAN BUDGET SAMI-JF'!J13:J100000,SUMMARY!A93&amp;"*")</f>
        <v>0</v>
      </c>
      <c r="R93" s="10">
        <f>SUMIFS('PLAN BUDGET SAMI-JF'!BD13:BD100000,'PLAN BUDGET SAMI-JF'!D13:D100000,SUMMARY!D93,'PLAN BUDGET SAMI-JF'!J13:J100000,SUMMARY!A93&amp;"*")</f>
        <v>0</v>
      </c>
      <c r="S93" s="10">
        <f>SUMIFS('PLAN BUDGET SAMI-JF'!BE13:BE100000,'PLAN BUDGET SAMI-JF'!D13:D100000,SUMMARY!D93,'PLAN BUDGET SAMI-JF'!J13:J100000,SUMMARY!A93&amp;"*")</f>
        <v>0</v>
      </c>
      <c r="T93" s="10">
        <f>SUMIFS('PLAN BUDGET SAMI-JF'!BF13:BF100000,'PLAN BUDGET SAMI-JF'!D13:D100000,SUMMARY!D93,'PLAN BUDGET SAMI-JF'!J13:J100000,SUMMARY!A93&amp;"*")</f>
        <v>0</v>
      </c>
      <c r="U93" s="10">
        <f>SUMIFS('PLAN BUDGET SAMI-JF'!BG13:BG100000,'PLAN BUDGET SAMI-JF'!D13:D100000,SUMMARY!D93,'PLAN BUDGET SAMI-JF'!J13:J100000,SUMMARY!A93&amp;"*")</f>
        <v>0</v>
      </c>
      <c r="V93" s="10">
        <f>SUMIFS('PLAN BUDGET SAMI-JF'!BH13:BH100000,'PLAN BUDGET SAMI-JF'!D13:D100000,SUMMARY!D93,'PLAN BUDGET SAMI-JF'!J13:J100000,SUMMARY!A93&amp;"*")</f>
        <v>0</v>
      </c>
      <c r="W93" s="10">
        <f>SUMIFS('PLAN BUDGET SAMI-JF'!BI13:BI100000,'PLAN BUDGET SAMI-JF'!D13:D100000,SUMMARY!D93,'PLAN BUDGET SAMI-JF'!J13:J100000,SUMMARY!A93&amp;"*")</f>
        <v>0</v>
      </c>
      <c r="X93" s="10">
        <f>SUMIFS('PLAN BUDGET SAMI-JF'!BJ13:BJ100000,'PLAN BUDGET SAMI-JF'!D13:D100000,SUMMARY!D93,'PLAN BUDGET SAMI-JF'!J13:J100000,SUMMARY!A93&amp;"*")</f>
        <v>0</v>
      </c>
      <c r="Y93" s="10">
        <f>SUMIFS('PLAN BUDGET SAMI-JF'!BK13:BK100000,'PLAN BUDGET SAMI-JF'!D13:D100000,SUMMARY!D93,'PLAN BUDGET SAMI-JF'!J13:J100000,SUMMARY!A93&amp;"*")</f>
        <v>0</v>
      </c>
      <c r="Z93" s="10">
        <f>SUMIFS('PLAN BUDGET SAMI-JF'!BL13:BL100000,'PLAN BUDGET SAMI-JF'!D13:D100000,SUMMARY!D93,'PLAN BUDGET SAMI-JF'!J13:J100000,SUMMARY!A93&amp;"*")</f>
        <v>0</v>
      </c>
      <c r="AA93" s="10">
        <f>SUMIFS('PLAN BUDGET SAMI-JF'!BM13:BM100000,'PLAN BUDGET SAMI-JF'!D13:D100000,SUMMARY!D93,'PLAN BUDGET SAMI-JF'!J13:J100000,SUMMARY!A93&amp;"*")</f>
        <v>0</v>
      </c>
      <c r="AB93" s="10">
        <f>SUMIFS('PLAN BUDGET SAMI-JF'!BN13:BN100000,'PLAN BUDGET SAMI-JF'!D13:D100000,SUMMARY!D93,'PLAN BUDGET SAMI-JF'!J13:J100000,SUMMARY!A93&amp;"*")</f>
        <v>0</v>
      </c>
      <c r="AC93" s="10">
        <f t="shared" si="8"/>
        <v>0</v>
      </c>
      <c r="AD93" s="10">
        <f t="shared" si="9"/>
        <v>0</v>
      </c>
      <c r="AE93" s="16"/>
      <c r="AF93" s="10">
        <v>35</v>
      </c>
      <c r="AG93" s="10">
        <v>22774.701986755001</v>
      </c>
      <c r="AH93" s="20">
        <f t="shared" si="10"/>
        <v>-1</v>
      </c>
      <c r="AI93" s="20">
        <f t="shared" si="11"/>
        <v>-1</v>
      </c>
      <c r="AJ93" s="7" t="s">
        <v>494</v>
      </c>
    </row>
    <row r="94" spans="1:36" x14ac:dyDescent="0.35">
      <c r="A94" s="7" t="s">
        <v>47</v>
      </c>
      <c r="B94" s="7"/>
      <c r="C94" s="7"/>
      <c r="D94" s="7" t="s">
        <v>507</v>
      </c>
      <c r="E94" s="10">
        <f>SUMIFS('PLAN BUDGET SAMI-JF'!AN13:AN100000,'PLAN BUDGET SAMI-JF'!D13:D100000,SUMMARY!D94,'PLAN BUDGET SAMI-JF'!J13:J100000,SUMMARY!A94&amp;"*")</f>
        <v>0</v>
      </c>
      <c r="F94" s="10">
        <f>SUMIFS('PLAN BUDGET SAMI-JF'!AO13:AO100000,'PLAN BUDGET SAMI-JF'!D13:D100000,SUMMARY!D94,'PLAN BUDGET SAMI-JF'!J13:J100000,SUMMARY!A94&amp;"*")</f>
        <v>0</v>
      </c>
      <c r="G94" s="10">
        <f>SUMIFS('PLAN BUDGET SAMI-JF'!AP13:AP100000,'PLAN BUDGET SAMI-JF'!D13:D100000,SUMMARY!D94,'PLAN BUDGET SAMI-JF'!J13:J100000,SUMMARY!A94&amp;"*")</f>
        <v>0</v>
      </c>
      <c r="H94" s="10">
        <f>SUMIFS('PLAN BUDGET SAMI-JF'!AQ13:AQ100000,'PLAN BUDGET SAMI-JF'!D13:D100000,SUMMARY!D94,'PLAN BUDGET SAMI-JF'!J13:J100000,SUMMARY!A94&amp;"*")</f>
        <v>0</v>
      </c>
      <c r="I94" s="10">
        <f>SUMIFS('PLAN BUDGET SAMI-JF'!AR13:AR100000,'PLAN BUDGET SAMI-JF'!D13:D100000,SUMMARY!D94,'PLAN BUDGET SAMI-JF'!J13:J100000,SUMMARY!A94&amp;"*")</f>
        <v>0</v>
      </c>
      <c r="J94" s="10">
        <f>SUMIFS('PLAN BUDGET SAMI-JF'!AS13:AS100000,'PLAN BUDGET SAMI-JF'!D13:D100000,SUMMARY!D94,'PLAN BUDGET SAMI-JF'!J13:J100000,SUMMARY!A94&amp;"*")</f>
        <v>0</v>
      </c>
      <c r="K94" s="10">
        <f>SUMIFS('PLAN BUDGET SAMI-JF'!AT13:AT100000,'PLAN BUDGET SAMI-JF'!D13:D100000,SUMMARY!D94,'PLAN BUDGET SAMI-JF'!J13:J100000,SUMMARY!A94&amp;"*")</f>
        <v>0</v>
      </c>
      <c r="L94" s="10">
        <f>SUMIFS('PLAN BUDGET SAMI-JF'!AU13:AU100000,'PLAN BUDGET SAMI-JF'!D13:D100000,SUMMARY!D94,'PLAN BUDGET SAMI-JF'!J13:J100000,SUMMARY!A94&amp;"*")</f>
        <v>0</v>
      </c>
      <c r="M94" s="10">
        <f>SUMIFS('PLAN BUDGET SAMI-JF'!AV13:AV100000,'PLAN BUDGET SAMI-JF'!D13:D100000,SUMMARY!D94,'PLAN BUDGET SAMI-JF'!J13:J100000,SUMMARY!A94&amp;"*")</f>
        <v>0</v>
      </c>
      <c r="N94" s="10">
        <f>SUMIFS('PLAN BUDGET SAMI-JF'!AW13:AW100000,'PLAN BUDGET SAMI-JF'!D13:D100000,SUMMARY!D94,'PLAN BUDGET SAMI-JF'!J13:J100000,SUMMARY!A94&amp;"*")</f>
        <v>0</v>
      </c>
      <c r="O94" s="10">
        <f>SUMIFS('PLAN BUDGET SAMI-JF'!AX13:AX100000,'PLAN BUDGET SAMI-JF'!D13:D100000,SUMMARY!D94,'PLAN BUDGET SAMI-JF'!J13:J100000,SUMMARY!A94&amp;"*")</f>
        <v>0</v>
      </c>
      <c r="P94" s="10">
        <f>SUMIFS('PLAN BUDGET SAMI-JF'!AY13:AY100000,'PLAN BUDGET SAMI-JF'!D13:D100000,SUMMARY!D94,'PLAN BUDGET SAMI-JF'!J13:J100000,SUMMARY!A94&amp;"*")</f>
        <v>0</v>
      </c>
      <c r="Q94" s="10">
        <f>SUMIFS('PLAN BUDGET SAMI-JF'!BC13:BC100000,'PLAN BUDGET SAMI-JF'!D13:D100000,SUMMARY!D94,'PLAN BUDGET SAMI-JF'!J13:J100000,SUMMARY!A94&amp;"*")</f>
        <v>0</v>
      </c>
      <c r="R94" s="10">
        <f>SUMIFS('PLAN BUDGET SAMI-JF'!BD13:BD100000,'PLAN BUDGET SAMI-JF'!D13:D100000,SUMMARY!D94,'PLAN BUDGET SAMI-JF'!J13:J100000,SUMMARY!A94&amp;"*")</f>
        <v>0</v>
      </c>
      <c r="S94" s="10">
        <f>SUMIFS('PLAN BUDGET SAMI-JF'!BE13:BE100000,'PLAN BUDGET SAMI-JF'!D13:D100000,SUMMARY!D94,'PLAN BUDGET SAMI-JF'!J13:J100000,SUMMARY!A94&amp;"*")</f>
        <v>0</v>
      </c>
      <c r="T94" s="10">
        <f>SUMIFS('PLAN BUDGET SAMI-JF'!BF13:BF100000,'PLAN BUDGET SAMI-JF'!D13:D100000,SUMMARY!D94,'PLAN BUDGET SAMI-JF'!J13:J100000,SUMMARY!A94&amp;"*")</f>
        <v>0</v>
      </c>
      <c r="U94" s="10">
        <f>SUMIFS('PLAN BUDGET SAMI-JF'!BG13:BG100000,'PLAN BUDGET SAMI-JF'!D13:D100000,SUMMARY!D94,'PLAN BUDGET SAMI-JF'!J13:J100000,SUMMARY!A94&amp;"*")</f>
        <v>0</v>
      </c>
      <c r="V94" s="10">
        <f>SUMIFS('PLAN BUDGET SAMI-JF'!BH13:BH100000,'PLAN BUDGET SAMI-JF'!D13:D100000,SUMMARY!D94,'PLAN BUDGET SAMI-JF'!J13:J100000,SUMMARY!A94&amp;"*")</f>
        <v>0</v>
      </c>
      <c r="W94" s="10">
        <f>SUMIFS('PLAN BUDGET SAMI-JF'!BI13:BI100000,'PLAN BUDGET SAMI-JF'!D13:D100000,SUMMARY!D94,'PLAN BUDGET SAMI-JF'!J13:J100000,SUMMARY!A94&amp;"*")</f>
        <v>0</v>
      </c>
      <c r="X94" s="10">
        <f>SUMIFS('PLAN BUDGET SAMI-JF'!BJ13:BJ100000,'PLAN BUDGET SAMI-JF'!D13:D100000,SUMMARY!D94,'PLAN BUDGET SAMI-JF'!J13:J100000,SUMMARY!A94&amp;"*")</f>
        <v>0</v>
      </c>
      <c r="Y94" s="10">
        <f>SUMIFS('PLAN BUDGET SAMI-JF'!BK13:BK100000,'PLAN BUDGET SAMI-JF'!D13:D100000,SUMMARY!D94,'PLAN BUDGET SAMI-JF'!J13:J100000,SUMMARY!A94&amp;"*")</f>
        <v>0</v>
      </c>
      <c r="Z94" s="10">
        <f>SUMIFS('PLAN BUDGET SAMI-JF'!BL13:BL100000,'PLAN BUDGET SAMI-JF'!D13:D100000,SUMMARY!D94,'PLAN BUDGET SAMI-JF'!J13:J100000,SUMMARY!A94&amp;"*")</f>
        <v>0</v>
      </c>
      <c r="AA94" s="10">
        <f>SUMIFS('PLAN BUDGET SAMI-JF'!BM13:BM100000,'PLAN BUDGET SAMI-JF'!D13:D100000,SUMMARY!D94,'PLAN BUDGET SAMI-JF'!J13:J100000,SUMMARY!A94&amp;"*")</f>
        <v>0</v>
      </c>
      <c r="AB94" s="10">
        <f>SUMIFS('PLAN BUDGET SAMI-JF'!BN13:BN100000,'PLAN BUDGET SAMI-JF'!D13:D100000,SUMMARY!D94,'PLAN BUDGET SAMI-JF'!J13:J100000,SUMMARY!A94&amp;"*")</f>
        <v>0</v>
      </c>
      <c r="AC94" s="10">
        <f t="shared" si="8"/>
        <v>0</v>
      </c>
      <c r="AD94" s="10">
        <f t="shared" si="9"/>
        <v>0</v>
      </c>
      <c r="AE94" s="16"/>
      <c r="AF94" s="10">
        <v>356</v>
      </c>
      <c r="AG94" s="10">
        <v>58.494550150012998</v>
      </c>
      <c r="AH94" s="20">
        <f t="shared" si="10"/>
        <v>-1</v>
      </c>
      <c r="AI94" s="20">
        <f t="shared" si="11"/>
        <v>-1</v>
      </c>
      <c r="AJ94" s="7" t="s">
        <v>494</v>
      </c>
    </row>
    <row r="95" spans="1:36" x14ac:dyDescent="0.35">
      <c r="A95" s="7" t="s">
        <v>47</v>
      </c>
      <c r="B95" s="7"/>
      <c r="C95" s="7"/>
      <c r="D95" s="7" t="s">
        <v>519</v>
      </c>
      <c r="E95" s="10">
        <f>SUMIFS('PLAN BUDGET SAMI-JF'!AN13:AN100000,'PLAN BUDGET SAMI-JF'!D13:D100000,SUMMARY!D95,'PLAN BUDGET SAMI-JF'!J13:J100000,SUMMARY!A95&amp;"*")</f>
        <v>0</v>
      </c>
      <c r="F95" s="10">
        <f>SUMIFS('PLAN BUDGET SAMI-JF'!AO13:AO100000,'PLAN BUDGET SAMI-JF'!D13:D100000,SUMMARY!D95,'PLAN BUDGET SAMI-JF'!J13:J100000,SUMMARY!A95&amp;"*")</f>
        <v>0</v>
      </c>
      <c r="G95" s="10">
        <f>SUMIFS('PLAN BUDGET SAMI-JF'!AP13:AP100000,'PLAN BUDGET SAMI-JF'!D13:D100000,SUMMARY!D95,'PLAN BUDGET SAMI-JF'!J13:J100000,SUMMARY!A95&amp;"*")</f>
        <v>0</v>
      </c>
      <c r="H95" s="10">
        <f>SUMIFS('PLAN BUDGET SAMI-JF'!AQ13:AQ100000,'PLAN BUDGET SAMI-JF'!D13:D100000,SUMMARY!D95,'PLAN BUDGET SAMI-JF'!J13:J100000,SUMMARY!A95&amp;"*")</f>
        <v>0</v>
      </c>
      <c r="I95" s="10">
        <f>SUMIFS('PLAN BUDGET SAMI-JF'!AR13:AR100000,'PLAN BUDGET SAMI-JF'!D13:D100000,SUMMARY!D95,'PLAN BUDGET SAMI-JF'!J13:J100000,SUMMARY!A95&amp;"*")</f>
        <v>0</v>
      </c>
      <c r="J95" s="10">
        <f>SUMIFS('PLAN BUDGET SAMI-JF'!AS13:AS100000,'PLAN BUDGET SAMI-JF'!D13:D100000,SUMMARY!D95,'PLAN BUDGET SAMI-JF'!J13:J100000,SUMMARY!A95&amp;"*")</f>
        <v>0</v>
      </c>
      <c r="K95" s="10">
        <f>SUMIFS('PLAN BUDGET SAMI-JF'!AT13:AT100000,'PLAN BUDGET SAMI-JF'!D13:D100000,SUMMARY!D95,'PLAN BUDGET SAMI-JF'!J13:J100000,SUMMARY!A95&amp;"*")</f>
        <v>0</v>
      </c>
      <c r="L95" s="10">
        <f>SUMIFS('PLAN BUDGET SAMI-JF'!AU13:AU100000,'PLAN BUDGET SAMI-JF'!D13:D100000,SUMMARY!D95,'PLAN BUDGET SAMI-JF'!J13:J100000,SUMMARY!A95&amp;"*")</f>
        <v>0</v>
      </c>
      <c r="M95" s="10">
        <f>SUMIFS('PLAN BUDGET SAMI-JF'!AV13:AV100000,'PLAN BUDGET SAMI-JF'!D13:D100000,SUMMARY!D95,'PLAN BUDGET SAMI-JF'!J13:J100000,SUMMARY!A95&amp;"*")</f>
        <v>0</v>
      </c>
      <c r="N95" s="10">
        <f>SUMIFS('PLAN BUDGET SAMI-JF'!AW13:AW100000,'PLAN BUDGET SAMI-JF'!D13:D100000,SUMMARY!D95,'PLAN BUDGET SAMI-JF'!J13:J100000,SUMMARY!A95&amp;"*")</f>
        <v>0</v>
      </c>
      <c r="O95" s="10">
        <f>SUMIFS('PLAN BUDGET SAMI-JF'!AX13:AX100000,'PLAN BUDGET SAMI-JF'!D13:D100000,SUMMARY!D95,'PLAN BUDGET SAMI-JF'!J13:J100000,SUMMARY!A95&amp;"*")</f>
        <v>0</v>
      </c>
      <c r="P95" s="10">
        <f>SUMIFS('PLAN BUDGET SAMI-JF'!AY13:AY100000,'PLAN BUDGET SAMI-JF'!D13:D100000,SUMMARY!D95,'PLAN BUDGET SAMI-JF'!J13:J100000,SUMMARY!A95&amp;"*")</f>
        <v>0</v>
      </c>
      <c r="Q95" s="10">
        <f>SUMIFS('PLAN BUDGET SAMI-JF'!BC13:BC100000,'PLAN BUDGET SAMI-JF'!D13:D100000,SUMMARY!D95,'PLAN BUDGET SAMI-JF'!J13:J100000,SUMMARY!A95&amp;"*")</f>
        <v>0</v>
      </c>
      <c r="R95" s="10">
        <f>SUMIFS('PLAN BUDGET SAMI-JF'!BD13:BD100000,'PLAN BUDGET SAMI-JF'!D13:D100000,SUMMARY!D95,'PLAN BUDGET SAMI-JF'!J13:J100000,SUMMARY!A95&amp;"*")</f>
        <v>0</v>
      </c>
      <c r="S95" s="10">
        <f>SUMIFS('PLAN BUDGET SAMI-JF'!BE13:BE100000,'PLAN BUDGET SAMI-JF'!D13:D100000,SUMMARY!D95,'PLAN BUDGET SAMI-JF'!J13:J100000,SUMMARY!A95&amp;"*")</f>
        <v>0</v>
      </c>
      <c r="T95" s="10">
        <f>SUMIFS('PLAN BUDGET SAMI-JF'!BF13:BF100000,'PLAN BUDGET SAMI-JF'!D13:D100000,SUMMARY!D95,'PLAN BUDGET SAMI-JF'!J13:J100000,SUMMARY!A95&amp;"*")</f>
        <v>0</v>
      </c>
      <c r="U95" s="10">
        <f>SUMIFS('PLAN BUDGET SAMI-JF'!BG13:BG100000,'PLAN BUDGET SAMI-JF'!D13:D100000,SUMMARY!D95,'PLAN BUDGET SAMI-JF'!J13:J100000,SUMMARY!A95&amp;"*")</f>
        <v>0</v>
      </c>
      <c r="V95" s="10">
        <f>SUMIFS('PLAN BUDGET SAMI-JF'!BH13:BH100000,'PLAN BUDGET SAMI-JF'!D13:D100000,SUMMARY!D95,'PLAN BUDGET SAMI-JF'!J13:J100000,SUMMARY!A95&amp;"*")</f>
        <v>0</v>
      </c>
      <c r="W95" s="10">
        <f>SUMIFS('PLAN BUDGET SAMI-JF'!BI13:BI100000,'PLAN BUDGET SAMI-JF'!D13:D100000,SUMMARY!D95,'PLAN BUDGET SAMI-JF'!J13:J100000,SUMMARY!A95&amp;"*")</f>
        <v>0</v>
      </c>
      <c r="X95" s="10">
        <f>SUMIFS('PLAN BUDGET SAMI-JF'!BJ13:BJ100000,'PLAN BUDGET SAMI-JF'!D13:D100000,SUMMARY!D95,'PLAN BUDGET SAMI-JF'!J13:J100000,SUMMARY!A95&amp;"*")</f>
        <v>0</v>
      </c>
      <c r="Y95" s="10">
        <f>SUMIFS('PLAN BUDGET SAMI-JF'!BK13:BK100000,'PLAN BUDGET SAMI-JF'!D13:D100000,SUMMARY!D95,'PLAN BUDGET SAMI-JF'!J13:J100000,SUMMARY!A95&amp;"*")</f>
        <v>0</v>
      </c>
      <c r="Z95" s="10">
        <f>SUMIFS('PLAN BUDGET SAMI-JF'!BL13:BL100000,'PLAN BUDGET SAMI-JF'!D13:D100000,SUMMARY!D95,'PLAN BUDGET SAMI-JF'!J13:J100000,SUMMARY!A95&amp;"*")</f>
        <v>0</v>
      </c>
      <c r="AA95" s="10">
        <f>SUMIFS('PLAN BUDGET SAMI-JF'!BM13:BM100000,'PLAN BUDGET SAMI-JF'!D13:D100000,SUMMARY!D95,'PLAN BUDGET SAMI-JF'!J13:J100000,SUMMARY!A95&amp;"*")</f>
        <v>0</v>
      </c>
      <c r="AB95" s="10">
        <f>SUMIFS('PLAN BUDGET SAMI-JF'!BN13:BN100000,'PLAN BUDGET SAMI-JF'!D13:D100000,SUMMARY!D95,'PLAN BUDGET SAMI-JF'!J13:J100000,SUMMARY!A95&amp;"*")</f>
        <v>0</v>
      </c>
      <c r="AC95" s="10">
        <f t="shared" si="8"/>
        <v>0</v>
      </c>
      <c r="AD95" s="10">
        <f t="shared" si="9"/>
        <v>0</v>
      </c>
      <c r="AE95" s="16"/>
      <c r="AF95" s="10">
        <v>2940</v>
      </c>
      <c r="AG95" s="10">
        <v>1860.9243857050999</v>
      </c>
      <c r="AH95" s="20">
        <f t="shared" si="10"/>
        <v>-1</v>
      </c>
      <c r="AI95" s="20">
        <f t="shared" si="11"/>
        <v>-1</v>
      </c>
      <c r="AJ95" s="7" t="s">
        <v>494</v>
      </c>
    </row>
    <row r="96" spans="1:36" x14ac:dyDescent="0.35">
      <c r="A96" s="7" t="s">
        <v>47</v>
      </c>
      <c r="B96" s="7"/>
      <c r="C96" s="7"/>
      <c r="D96" s="7" t="s">
        <v>520</v>
      </c>
      <c r="E96" s="10">
        <f>SUMIFS('PLAN BUDGET SAMI-JF'!AN13:AN100000,'PLAN BUDGET SAMI-JF'!D13:D100000,SUMMARY!D96,'PLAN BUDGET SAMI-JF'!J13:J100000,SUMMARY!A96&amp;"*")</f>
        <v>0</v>
      </c>
      <c r="F96" s="10">
        <f>SUMIFS('PLAN BUDGET SAMI-JF'!AO13:AO100000,'PLAN BUDGET SAMI-JF'!D13:D100000,SUMMARY!D96,'PLAN BUDGET SAMI-JF'!J13:J100000,SUMMARY!A96&amp;"*")</f>
        <v>0</v>
      </c>
      <c r="G96" s="10">
        <f>SUMIFS('PLAN BUDGET SAMI-JF'!AP13:AP100000,'PLAN BUDGET SAMI-JF'!D13:D100000,SUMMARY!D96,'PLAN BUDGET SAMI-JF'!J13:J100000,SUMMARY!A96&amp;"*")</f>
        <v>0</v>
      </c>
      <c r="H96" s="10">
        <f>SUMIFS('PLAN BUDGET SAMI-JF'!AQ13:AQ100000,'PLAN BUDGET SAMI-JF'!D13:D100000,SUMMARY!D96,'PLAN BUDGET SAMI-JF'!J13:J100000,SUMMARY!A96&amp;"*")</f>
        <v>0</v>
      </c>
      <c r="I96" s="10">
        <f>SUMIFS('PLAN BUDGET SAMI-JF'!AR13:AR100000,'PLAN BUDGET SAMI-JF'!D13:D100000,SUMMARY!D96,'PLAN BUDGET SAMI-JF'!J13:J100000,SUMMARY!A96&amp;"*")</f>
        <v>0</v>
      </c>
      <c r="J96" s="10">
        <f>SUMIFS('PLAN BUDGET SAMI-JF'!AS13:AS100000,'PLAN BUDGET SAMI-JF'!D13:D100000,SUMMARY!D96,'PLAN BUDGET SAMI-JF'!J13:J100000,SUMMARY!A96&amp;"*")</f>
        <v>0</v>
      </c>
      <c r="K96" s="10">
        <f>SUMIFS('PLAN BUDGET SAMI-JF'!AT13:AT100000,'PLAN BUDGET SAMI-JF'!D13:D100000,SUMMARY!D96,'PLAN BUDGET SAMI-JF'!J13:J100000,SUMMARY!A96&amp;"*")</f>
        <v>0</v>
      </c>
      <c r="L96" s="10">
        <f>SUMIFS('PLAN BUDGET SAMI-JF'!AU13:AU100000,'PLAN BUDGET SAMI-JF'!D13:D100000,SUMMARY!D96,'PLAN BUDGET SAMI-JF'!J13:J100000,SUMMARY!A96&amp;"*")</f>
        <v>0</v>
      </c>
      <c r="M96" s="10">
        <f>SUMIFS('PLAN BUDGET SAMI-JF'!AV13:AV100000,'PLAN BUDGET SAMI-JF'!D13:D100000,SUMMARY!D96,'PLAN BUDGET SAMI-JF'!J13:J100000,SUMMARY!A96&amp;"*")</f>
        <v>0</v>
      </c>
      <c r="N96" s="10">
        <f>SUMIFS('PLAN BUDGET SAMI-JF'!AW13:AW100000,'PLAN BUDGET SAMI-JF'!D13:D100000,SUMMARY!D96,'PLAN BUDGET SAMI-JF'!J13:J100000,SUMMARY!A96&amp;"*")</f>
        <v>0</v>
      </c>
      <c r="O96" s="10">
        <f>SUMIFS('PLAN BUDGET SAMI-JF'!AX13:AX100000,'PLAN BUDGET SAMI-JF'!D13:D100000,SUMMARY!D96,'PLAN BUDGET SAMI-JF'!J13:J100000,SUMMARY!A96&amp;"*")</f>
        <v>0</v>
      </c>
      <c r="P96" s="10">
        <f>SUMIFS('PLAN BUDGET SAMI-JF'!AY13:AY100000,'PLAN BUDGET SAMI-JF'!D13:D100000,SUMMARY!D96,'PLAN BUDGET SAMI-JF'!J13:J100000,SUMMARY!A96&amp;"*")</f>
        <v>0</v>
      </c>
      <c r="Q96" s="10">
        <f>SUMIFS('PLAN BUDGET SAMI-JF'!BC13:BC100000,'PLAN BUDGET SAMI-JF'!D13:D100000,SUMMARY!D96,'PLAN BUDGET SAMI-JF'!J13:J100000,SUMMARY!A96&amp;"*")</f>
        <v>0</v>
      </c>
      <c r="R96" s="10">
        <f>SUMIFS('PLAN BUDGET SAMI-JF'!BD13:BD100000,'PLAN BUDGET SAMI-JF'!D13:D100000,SUMMARY!D96,'PLAN BUDGET SAMI-JF'!J13:J100000,SUMMARY!A96&amp;"*")</f>
        <v>0</v>
      </c>
      <c r="S96" s="10">
        <f>SUMIFS('PLAN BUDGET SAMI-JF'!BE13:BE100000,'PLAN BUDGET SAMI-JF'!D13:D100000,SUMMARY!D96,'PLAN BUDGET SAMI-JF'!J13:J100000,SUMMARY!A96&amp;"*")</f>
        <v>0</v>
      </c>
      <c r="T96" s="10">
        <f>SUMIFS('PLAN BUDGET SAMI-JF'!BF13:BF100000,'PLAN BUDGET SAMI-JF'!D13:D100000,SUMMARY!D96,'PLAN BUDGET SAMI-JF'!J13:J100000,SUMMARY!A96&amp;"*")</f>
        <v>0</v>
      </c>
      <c r="U96" s="10">
        <f>SUMIFS('PLAN BUDGET SAMI-JF'!BG13:BG100000,'PLAN BUDGET SAMI-JF'!D13:D100000,SUMMARY!D96,'PLAN BUDGET SAMI-JF'!J13:J100000,SUMMARY!A96&amp;"*")</f>
        <v>0</v>
      </c>
      <c r="V96" s="10">
        <f>SUMIFS('PLAN BUDGET SAMI-JF'!BH13:BH100000,'PLAN BUDGET SAMI-JF'!D13:D100000,SUMMARY!D96,'PLAN BUDGET SAMI-JF'!J13:J100000,SUMMARY!A96&amp;"*")</f>
        <v>0</v>
      </c>
      <c r="W96" s="10">
        <f>SUMIFS('PLAN BUDGET SAMI-JF'!BI13:BI100000,'PLAN BUDGET SAMI-JF'!D13:D100000,SUMMARY!D96,'PLAN BUDGET SAMI-JF'!J13:J100000,SUMMARY!A96&amp;"*")</f>
        <v>0</v>
      </c>
      <c r="X96" s="10">
        <f>SUMIFS('PLAN BUDGET SAMI-JF'!BJ13:BJ100000,'PLAN BUDGET SAMI-JF'!D13:D100000,SUMMARY!D96,'PLAN BUDGET SAMI-JF'!J13:J100000,SUMMARY!A96&amp;"*")</f>
        <v>0</v>
      </c>
      <c r="Y96" s="10">
        <f>SUMIFS('PLAN BUDGET SAMI-JF'!BK13:BK100000,'PLAN BUDGET SAMI-JF'!D13:D100000,SUMMARY!D96,'PLAN BUDGET SAMI-JF'!J13:J100000,SUMMARY!A96&amp;"*")</f>
        <v>0</v>
      </c>
      <c r="Z96" s="10">
        <f>SUMIFS('PLAN BUDGET SAMI-JF'!BL13:BL100000,'PLAN BUDGET SAMI-JF'!D13:D100000,SUMMARY!D96,'PLAN BUDGET SAMI-JF'!J13:J100000,SUMMARY!A96&amp;"*")</f>
        <v>0</v>
      </c>
      <c r="AA96" s="10">
        <f>SUMIFS('PLAN BUDGET SAMI-JF'!BM13:BM100000,'PLAN BUDGET SAMI-JF'!D13:D100000,SUMMARY!D96,'PLAN BUDGET SAMI-JF'!J13:J100000,SUMMARY!A96&amp;"*")</f>
        <v>0</v>
      </c>
      <c r="AB96" s="10">
        <f>SUMIFS('PLAN BUDGET SAMI-JF'!BN13:BN100000,'PLAN BUDGET SAMI-JF'!D13:D100000,SUMMARY!D96,'PLAN BUDGET SAMI-JF'!J13:J100000,SUMMARY!A96&amp;"*")</f>
        <v>0</v>
      </c>
      <c r="AC96" s="10">
        <f t="shared" si="8"/>
        <v>0</v>
      </c>
      <c r="AD96" s="10">
        <f t="shared" si="9"/>
        <v>0</v>
      </c>
      <c r="AE96" s="16"/>
      <c r="AF96" s="10">
        <v>34</v>
      </c>
      <c r="AG96" s="10">
        <v>24.749028394921002</v>
      </c>
      <c r="AH96" s="20">
        <f t="shared" si="10"/>
        <v>-1</v>
      </c>
      <c r="AI96" s="20">
        <f t="shared" si="11"/>
        <v>-1</v>
      </c>
      <c r="AJ96" s="7" t="s">
        <v>494</v>
      </c>
    </row>
    <row r="97" spans="1:36" x14ac:dyDescent="0.35">
      <c r="A97" s="7" t="s">
        <v>47</v>
      </c>
      <c r="B97" s="7"/>
      <c r="C97" s="7"/>
      <c r="D97" s="7" t="s">
        <v>521</v>
      </c>
      <c r="E97" s="10">
        <f>SUMIFS('PLAN BUDGET SAMI-JF'!AN13:AN100000,'PLAN BUDGET SAMI-JF'!D13:D100000,SUMMARY!D97,'PLAN BUDGET SAMI-JF'!J13:J100000,SUMMARY!A97&amp;"*")</f>
        <v>0</v>
      </c>
      <c r="F97" s="10">
        <f>SUMIFS('PLAN BUDGET SAMI-JF'!AO13:AO100000,'PLAN BUDGET SAMI-JF'!D13:D100000,SUMMARY!D97,'PLAN BUDGET SAMI-JF'!J13:J100000,SUMMARY!A97&amp;"*")</f>
        <v>0</v>
      </c>
      <c r="G97" s="10">
        <f>SUMIFS('PLAN BUDGET SAMI-JF'!AP13:AP100000,'PLAN BUDGET SAMI-JF'!D13:D100000,SUMMARY!D97,'PLAN BUDGET SAMI-JF'!J13:J100000,SUMMARY!A97&amp;"*")</f>
        <v>0</v>
      </c>
      <c r="H97" s="10">
        <f>SUMIFS('PLAN BUDGET SAMI-JF'!AQ13:AQ100000,'PLAN BUDGET SAMI-JF'!D13:D100000,SUMMARY!D97,'PLAN BUDGET SAMI-JF'!J13:J100000,SUMMARY!A97&amp;"*")</f>
        <v>0</v>
      </c>
      <c r="I97" s="10">
        <f>SUMIFS('PLAN BUDGET SAMI-JF'!AR13:AR100000,'PLAN BUDGET SAMI-JF'!D13:D100000,SUMMARY!D97,'PLAN BUDGET SAMI-JF'!J13:J100000,SUMMARY!A97&amp;"*")</f>
        <v>0</v>
      </c>
      <c r="J97" s="10">
        <f>SUMIFS('PLAN BUDGET SAMI-JF'!AS13:AS100000,'PLAN BUDGET SAMI-JF'!D13:D100000,SUMMARY!D97,'PLAN BUDGET SAMI-JF'!J13:J100000,SUMMARY!A97&amp;"*")</f>
        <v>0</v>
      </c>
      <c r="K97" s="10">
        <f>SUMIFS('PLAN BUDGET SAMI-JF'!AT13:AT100000,'PLAN BUDGET SAMI-JF'!D13:D100000,SUMMARY!D97,'PLAN BUDGET SAMI-JF'!J13:J100000,SUMMARY!A97&amp;"*")</f>
        <v>0</v>
      </c>
      <c r="L97" s="10">
        <f>SUMIFS('PLAN BUDGET SAMI-JF'!AU13:AU100000,'PLAN BUDGET SAMI-JF'!D13:D100000,SUMMARY!D97,'PLAN BUDGET SAMI-JF'!J13:J100000,SUMMARY!A97&amp;"*")</f>
        <v>0</v>
      </c>
      <c r="M97" s="10">
        <f>SUMIFS('PLAN BUDGET SAMI-JF'!AV13:AV100000,'PLAN BUDGET SAMI-JF'!D13:D100000,SUMMARY!D97,'PLAN BUDGET SAMI-JF'!J13:J100000,SUMMARY!A97&amp;"*")</f>
        <v>0</v>
      </c>
      <c r="N97" s="10">
        <f>SUMIFS('PLAN BUDGET SAMI-JF'!AW13:AW100000,'PLAN BUDGET SAMI-JF'!D13:D100000,SUMMARY!D97,'PLAN BUDGET SAMI-JF'!J13:J100000,SUMMARY!A97&amp;"*")</f>
        <v>0</v>
      </c>
      <c r="O97" s="10">
        <f>SUMIFS('PLAN BUDGET SAMI-JF'!AX13:AX100000,'PLAN BUDGET SAMI-JF'!D13:D100000,SUMMARY!D97,'PLAN BUDGET SAMI-JF'!J13:J100000,SUMMARY!A97&amp;"*")</f>
        <v>0</v>
      </c>
      <c r="P97" s="10">
        <f>SUMIFS('PLAN BUDGET SAMI-JF'!AY13:AY100000,'PLAN BUDGET SAMI-JF'!D13:D100000,SUMMARY!D97,'PLAN BUDGET SAMI-JF'!J13:J100000,SUMMARY!A97&amp;"*")</f>
        <v>0</v>
      </c>
      <c r="Q97" s="10">
        <f>SUMIFS('PLAN BUDGET SAMI-JF'!BC13:BC100000,'PLAN BUDGET SAMI-JF'!D13:D100000,SUMMARY!D97,'PLAN BUDGET SAMI-JF'!J13:J100000,SUMMARY!A97&amp;"*")</f>
        <v>0</v>
      </c>
      <c r="R97" s="10">
        <f>SUMIFS('PLAN BUDGET SAMI-JF'!BD13:BD100000,'PLAN BUDGET SAMI-JF'!D13:D100000,SUMMARY!D97,'PLAN BUDGET SAMI-JF'!J13:J100000,SUMMARY!A97&amp;"*")</f>
        <v>0</v>
      </c>
      <c r="S97" s="10">
        <f>SUMIFS('PLAN BUDGET SAMI-JF'!BE13:BE100000,'PLAN BUDGET SAMI-JF'!D13:D100000,SUMMARY!D97,'PLAN BUDGET SAMI-JF'!J13:J100000,SUMMARY!A97&amp;"*")</f>
        <v>0</v>
      </c>
      <c r="T97" s="10">
        <f>SUMIFS('PLAN BUDGET SAMI-JF'!BF13:BF100000,'PLAN BUDGET SAMI-JF'!D13:D100000,SUMMARY!D97,'PLAN BUDGET SAMI-JF'!J13:J100000,SUMMARY!A97&amp;"*")</f>
        <v>0</v>
      </c>
      <c r="U97" s="10">
        <f>SUMIFS('PLAN BUDGET SAMI-JF'!BG13:BG100000,'PLAN BUDGET SAMI-JF'!D13:D100000,SUMMARY!D97,'PLAN BUDGET SAMI-JF'!J13:J100000,SUMMARY!A97&amp;"*")</f>
        <v>0</v>
      </c>
      <c r="V97" s="10">
        <f>SUMIFS('PLAN BUDGET SAMI-JF'!BH13:BH100000,'PLAN BUDGET SAMI-JF'!D13:D100000,SUMMARY!D97,'PLAN BUDGET SAMI-JF'!J13:J100000,SUMMARY!A97&amp;"*")</f>
        <v>0</v>
      </c>
      <c r="W97" s="10">
        <f>SUMIFS('PLAN BUDGET SAMI-JF'!BI13:BI100000,'PLAN BUDGET SAMI-JF'!D13:D100000,SUMMARY!D97,'PLAN BUDGET SAMI-JF'!J13:J100000,SUMMARY!A97&amp;"*")</f>
        <v>0</v>
      </c>
      <c r="X97" s="10">
        <f>SUMIFS('PLAN BUDGET SAMI-JF'!BJ13:BJ100000,'PLAN BUDGET SAMI-JF'!D13:D100000,SUMMARY!D97,'PLAN BUDGET SAMI-JF'!J13:J100000,SUMMARY!A97&amp;"*")</f>
        <v>0</v>
      </c>
      <c r="Y97" s="10">
        <f>SUMIFS('PLAN BUDGET SAMI-JF'!BK13:BK100000,'PLAN BUDGET SAMI-JF'!D13:D100000,SUMMARY!D97,'PLAN BUDGET SAMI-JF'!J13:J100000,SUMMARY!A97&amp;"*")</f>
        <v>0</v>
      </c>
      <c r="Z97" s="10">
        <f>SUMIFS('PLAN BUDGET SAMI-JF'!BL13:BL100000,'PLAN BUDGET SAMI-JF'!D13:D100000,SUMMARY!D97,'PLAN BUDGET SAMI-JF'!J13:J100000,SUMMARY!A97&amp;"*")</f>
        <v>0</v>
      </c>
      <c r="AA97" s="10">
        <f>SUMIFS('PLAN BUDGET SAMI-JF'!BM13:BM100000,'PLAN BUDGET SAMI-JF'!D13:D100000,SUMMARY!D97,'PLAN BUDGET SAMI-JF'!J13:J100000,SUMMARY!A97&amp;"*")</f>
        <v>0</v>
      </c>
      <c r="AB97" s="10">
        <f>SUMIFS('PLAN BUDGET SAMI-JF'!BN13:BN100000,'PLAN BUDGET SAMI-JF'!D13:D100000,SUMMARY!D97,'PLAN BUDGET SAMI-JF'!J13:J100000,SUMMARY!A97&amp;"*")</f>
        <v>0</v>
      </c>
      <c r="AC97" s="10">
        <f t="shared" si="8"/>
        <v>0</v>
      </c>
      <c r="AD97" s="10">
        <f t="shared" si="9"/>
        <v>0</v>
      </c>
      <c r="AE97" s="16"/>
      <c r="AF97" s="10">
        <v>3</v>
      </c>
      <c r="AG97" s="10">
        <v>1253.2756066992999</v>
      </c>
      <c r="AH97" s="20">
        <f t="shared" si="10"/>
        <v>-1</v>
      </c>
      <c r="AI97" s="20">
        <f t="shared" si="11"/>
        <v>-1</v>
      </c>
      <c r="AJ97" s="7" t="s">
        <v>494</v>
      </c>
    </row>
    <row r="98" spans="1:36" x14ac:dyDescent="0.35">
      <c r="A98" s="7" t="s">
        <v>47</v>
      </c>
      <c r="B98" s="7"/>
      <c r="C98" s="7"/>
      <c r="D98" s="7" t="s">
        <v>522</v>
      </c>
      <c r="E98" s="10">
        <f>SUMIFS('PLAN BUDGET SAMI-JF'!AN13:AN100000,'PLAN BUDGET SAMI-JF'!D13:D100000,SUMMARY!D98,'PLAN BUDGET SAMI-JF'!J13:J100000,SUMMARY!A98&amp;"*")</f>
        <v>0</v>
      </c>
      <c r="F98" s="10">
        <f>SUMIFS('PLAN BUDGET SAMI-JF'!AO13:AO100000,'PLAN BUDGET SAMI-JF'!D13:D100000,SUMMARY!D98,'PLAN BUDGET SAMI-JF'!J13:J100000,SUMMARY!A98&amp;"*")</f>
        <v>0</v>
      </c>
      <c r="G98" s="10">
        <f>SUMIFS('PLAN BUDGET SAMI-JF'!AP13:AP100000,'PLAN BUDGET SAMI-JF'!D13:D100000,SUMMARY!D98,'PLAN BUDGET SAMI-JF'!J13:J100000,SUMMARY!A98&amp;"*")</f>
        <v>0</v>
      </c>
      <c r="H98" s="10">
        <f>SUMIFS('PLAN BUDGET SAMI-JF'!AQ13:AQ100000,'PLAN BUDGET SAMI-JF'!D13:D100000,SUMMARY!D98,'PLAN BUDGET SAMI-JF'!J13:J100000,SUMMARY!A98&amp;"*")</f>
        <v>0</v>
      </c>
      <c r="I98" s="10">
        <f>SUMIFS('PLAN BUDGET SAMI-JF'!AR13:AR100000,'PLAN BUDGET SAMI-JF'!D13:D100000,SUMMARY!D98,'PLAN BUDGET SAMI-JF'!J13:J100000,SUMMARY!A98&amp;"*")</f>
        <v>0</v>
      </c>
      <c r="J98" s="10">
        <f>SUMIFS('PLAN BUDGET SAMI-JF'!AS13:AS100000,'PLAN BUDGET SAMI-JF'!D13:D100000,SUMMARY!D98,'PLAN BUDGET SAMI-JF'!J13:J100000,SUMMARY!A98&amp;"*")</f>
        <v>0</v>
      </c>
      <c r="K98" s="10">
        <f>SUMIFS('PLAN BUDGET SAMI-JF'!AT13:AT100000,'PLAN BUDGET SAMI-JF'!D13:D100000,SUMMARY!D98,'PLAN BUDGET SAMI-JF'!J13:J100000,SUMMARY!A98&amp;"*")</f>
        <v>0</v>
      </c>
      <c r="L98" s="10">
        <f>SUMIFS('PLAN BUDGET SAMI-JF'!AU13:AU100000,'PLAN BUDGET SAMI-JF'!D13:D100000,SUMMARY!D98,'PLAN BUDGET SAMI-JF'!J13:J100000,SUMMARY!A98&amp;"*")</f>
        <v>0</v>
      </c>
      <c r="M98" s="10">
        <f>SUMIFS('PLAN BUDGET SAMI-JF'!AV13:AV100000,'PLAN BUDGET SAMI-JF'!D13:D100000,SUMMARY!D98,'PLAN BUDGET SAMI-JF'!J13:J100000,SUMMARY!A98&amp;"*")</f>
        <v>0</v>
      </c>
      <c r="N98" s="10">
        <f>SUMIFS('PLAN BUDGET SAMI-JF'!AW13:AW100000,'PLAN BUDGET SAMI-JF'!D13:D100000,SUMMARY!D98,'PLAN BUDGET SAMI-JF'!J13:J100000,SUMMARY!A98&amp;"*")</f>
        <v>0</v>
      </c>
      <c r="O98" s="10">
        <f>SUMIFS('PLAN BUDGET SAMI-JF'!AX13:AX100000,'PLAN BUDGET SAMI-JF'!D13:D100000,SUMMARY!D98,'PLAN BUDGET SAMI-JF'!J13:J100000,SUMMARY!A98&amp;"*")</f>
        <v>0</v>
      </c>
      <c r="P98" s="10">
        <f>SUMIFS('PLAN BUDGET SAMI-JF'!AY13:AY100000,'PLAN BUDGET SAMI-JF'!D13:D100000,SUMMARY!D98,'PLAN BUDGET SAMI-JF'!J13:J100000,SUMMARY!A98&amp;"*")</f>
        <v>0</v>
      </c>
      <c r="Q98" s="10">
        <f>SUMIFS('PLAN BUDGET SAMI-JF'!BC13:BC100000,'PLAN BUDGET SAMI-JF'!D13:D100000,SUMMARY!D98,'PLAN BUDGET SAMI-JF'!J13:J100000,SUMMARY!A98&amp;"*")</f>
        <v>0</v>
      </c>
      <c r="R98" s="10">
        <f>SUMIFS('PLAN BUDGET SAMI-JF'!BD13:BD100000,'PLAN BUDGET SAMI-JF'!D13:D100000,SUMMARY!D98,'PLAN BUDGET SAMI-JF'!J13:J100000,SUMMARY!A98&amp;"*")</f>
        <v>0</v>
      </c>
      <c r="S98" s="10">
        <f>SUMIFS('PLAN BUDGET SAMI-JF'!BE13:BE100000,'PLAN BUDGET SAMI-JF'!D13:D100000,SUMMARY!D98,'PLAN BUDGET SAMI-JF'!J13:J100000,SUMMARY!A98&amp;"*")</f>
        <v>0</v>
      </c>
      <c r="T98" s="10">
        <f>SUMIFS('PLAN BUDGET SAMI-JF'!BF13:BF100000,'PLAN BUDGET SAMI-JF'!D13:D100000,SUMMARY!D98,'PLAN BUDGET SAMI-JF'!J13:J100000,SUMMARY!A98&amp;"*")</f>
        <v>0</v>
      </c>
      <c r="U98" s="10">
        <f>SUMIFS('PLAN BUDGET SAMI-JF'!BG13:BG100000,'PLAN BUDGET SAMI-JF'!D13:D100000,SUMMARY!D98,'PLAN BUDGET SAMI-JF'!J13:J100000,SUMMARY!A98&amp;"*")</f>
        <v>0</v>
      </c>
      <c r="V98" s="10">
        <f>SUMIFS('PLAN BUDGET SAMI-JF'!BH13:BH100000,'PLAN BUDGET SAMI-JF'!D13:D100000,SUMMARY!D98,'PLAN BUDGET SAMI-JF'!J13:J100000,SUMMARY!A98&amp;"*")</f>
        <v>0</v>
      </c>
      <c r="W98" s="10">
        <f>SUMIFS('PLAN BUDGET SAMI-JF'!BI13:BI100000,'PLAN BUDGET SAMI-JF'!D13:D100000,SUMMARY!D98,'PLAN BUDGET SAMI-JF'!J13:J100000,SUMMARY!A98&amp;"*")</f>
        <v>0</v>
      </c>
      <c r="X98" s="10">
        <f>SUMIFS('PLAN BUDGET SAMI-JF'!BJ13:BJ100000,'PLAN BUDGET SAMI-JF'!D13:D100000,SUMMARY!D98,'PLAN BUDGET SAMI-JF'!J13:J100000,SUMMARY!A98&amp;"*")</f>
        <v>0</v>
      </c>
      <c r="Y98" s="10">
        <f>SUMIFS('PLAN BUDGET SAMI-JF'!BK13:BK100000,'PLAN BUDGET SAMI-JF'!D13:D100000,SUMMARY!D98,'PLAN BUDGET SAMI-JF'!J13:J100000,SUMMARY!A98&amp;"*")</f>
        <v>0</v>
      </c>
      <c r="Z98" s="10">
        <f>SUMIFS('PLAN BUDGET SAMI-JF'!BL13:BL100000,'PLAN BUDGET SAMI-JF'!D13:D100000,SUMMARY!D98,'PLAN BUDGET SAMI-JF'!J13:J100000,SUMMARY!A98&amp;"*")</f>
        <v>0</v>
      </c>
      <c r="AA98" s="10">
        <f>SUMIFS('PLAN BUDGET SAMI-JF'!BM13:BM100000,'PLAN BUDGET SAMI-JF'!D13:D100000,SUMMARY!D98,'PLAN BUDGET SAMI-JF'!J13:J100000,SUMMARY!A98&amp;"*")</f>
        <v>0</v>
      </c>
      <c r="AB98" s="10">
        <f>SUMIFS('PLAN BUDGET SAMI-JF'!BN13:BN100000,'PLAN BUDGET SAMI-JF'!D13:D100000,SUMMARY!D98,'PLAN BUDGET SAMI-JF'!J13:J100000,SUMMARY!A98&amp;"*")</f>
        <v>0</v>
      </c>
      <c r="AC98" s="10">
        <f t="shared" si="8"/>
        <v>0</v>
      </c>
      <c r="AD98" s="10">
        <f t="shared" si="9"/>
        <v>0</v>
      </c>
      <c r="AE98" s="16"/>
      <c r="AF98" s="10">
        <v>8</v>
      </c>
      <c r="AG98" s="10">
        <v>140.51878014508</v>
      </c>
      <c r="AH98" s="20">
        <f t="shared" si="10"/>
        <v>-1</v>
      </c>
      <c r="AI98" s="20">
        <f t="shared" si="11"/>
        <v>-1</v>
      </c>
      <c r="AJ98" s="7" t="s">
        <v>494</v>
      </c>
    </row>
    <row r="99" spans="1:36" x14ac:dyDescent="0.35">
      <c r="A99" s="7" t="s">
        <v>47</v>
      </c>
      <c r="B99" s="7"/>
      <c r="C99" s="7"/>
      <c r="D99" s="7" t="s">
        <v>465</v>
      </c>
      <c r="E99" s="10">
        <f>SUMIFS('PLAN BUDGET SAMI-JF'!AN13:AN100000,'PLAN BUDGET SAMI-JF'!D13:D100000,SUMMARY!D99,'PLAN BUDGET SAMI-JF'!J13:J100000,SUMMARY!A99&amp;"*")</f>
        <v>0</v>
      </c>
      <c r="F99" s="10">
        <f>SUMIFS('PLAN BUDGET SAMI-JF'!AO13:AO100000,'PLAN BUDGET SAMI-JF'!D13:D100000,SUMMARY!D99,'PLAN BUDGET SAMI-JF'!J13:J100000,SUMMARY!A99&amp;"*")</f>
        <v>0</v>
      </c>
      <c r="G99" s="10">
        <f>SUMIFS('PLAN BUDGET SAMI-JF'!AP13:AP100000,'PLAN BUDGET SAMI-JF'!D13:D100000,SUMMARY!D99,'PLAN BUDGET SAMI-JF'!J13:J100000,SUMMARY!A99&amp;"*")</f>
        <v>0</v>
      </c>
      <c r="H99" s="10">
        <f>SUMIFS('PLAN BUDGET SAMI-JF'!AQ13:AQ100000,'PLAN BUDGET SAMI-JF'!D13:D100000,SUMMARY!D99,'PLAN BUDGET SAMI-JF'!J13:J100000,SUMMARY!A99&amp;"*")</f>
        <v>0</v>
      </c>
      <c r="I99" s="10">
        <f>SUMIFS('PLAN BUDGET SAMI-JF'!AR13:AR100000,'PLAN BUDGET SAMI-JF'!D13:D100000,SUMMARY!D99,'PLAN BUDGET SAMI-JF'!J13:J100000,SUMMARY!A99&amp;"*")</f>
        <v>0</v>
      </c>
      <c r="J99" s="10">
        <f>SUMIFS('PLAN BUDGET SAMI-JF'!AS13:AS100000,'PLAN BUDGET SAMI-JF'!D13:D100000,SUMMARY!D99,'PLAN BUDGET SAMI-JF'!J13:J100000,SUMMARY!A99&amp;"*")</f>
        <v>0</v>
      </c>
      <c r="K99" s="10">
        <f>SUMIFS('PLAN BUDGET SAMI-JF'!AT13:AT100000,'PLAN BUDGET SAMI-JF'!D13:D100000,SUMMARY!D99,'PLAN BUDGET SAMI-JF'!J13:J100000,SUMMARY!A99&amp;"*")</f>
        <v>0</v>
      </c>
      <c r="L99" s="10">
        <f>SUMIFS('PLAN BUDGET SAMI-JF'!AU13:AU100000,'PLAN BUDGET SAMI-JF'!D13:D100000,SUMMARY!D99,'PLAN BUDGET SAMI-JF'!J13:J100000,SUMMARY!A99&amp;"*")</f>
        <v>0</v>
      </c>
      <c r="M99" s="10">
        <f>SUMIFS('PLAN BUDGET SAMI-JF'!AV13:AV100000,'PLAN BUDGET SAMI-JF'!D13:D100000,SUMMARY!D99,'PLAN BUDGET SAMI-JF'!J13:J100000,SUMMARY!A99&amp;"*")</f>
        <v>0</v>
      </c>
      <c r="N99" s="10">
        <f>SUMIFS('PLAN BUDGET SAMI-JF'!AW13:AW100000,'PLAN BUDGET SAMI-JF'!D13:D100000,SUMMARY!D99,'PLAN BUDGET SAMI-JF'!J13:J100000,SUMMARY!A99&amp;"*")</f>
        <v>0</v>
      </c>
      <c r="O99" s="10">
        <f>SUMIFS('PLAN BUDGET SAMI-JF'!AX13:AX100000,'PLAN BUDGET SAMI-JF'!D13:D100000,SUMMARY!D99,'PLAN BUDGET SAMI-JF'!J13:J100000,SUMMARY!A99&amp;"*")</f>
        <v>0</v>
      </c>
      <c r="P99" s="10">
        <f>SUMIFS('PLAN BUDGET SAMI-JF'!AY13:AY100000,'PLAN BUDGET SAMI-JF'!D13:D100000,SUMMARY!D99,'PLAN BUDGET SAMI-JF'!J13:J100000,SUMMARY!A99&amp;"*")</f>
        <v>0</v>
      </c>
      <c r="Q99" s="10">
        <f>SUMIFS('PLAN BUDGET SAMI-JF'!BC13:BC100000,'PLAN BUDGET SAMI-JF'!D13:D100000,SUMMARY!D99,'PLAN BUDGET SAMI-JF'!J13:J100000,SUMMARY!A99&amp;"*")</f>
        <v>0</v>
      </c>
      <c r="R99" s="10">
        <f>SUMIFS('PLAN BUDGET SAMI-JF'!BD13:BD100000,'PLAN BUDGET SAMI-JF'!D13:D100000,SUMMARY!D99,'PLAN BUDGET SAMI-JF'!J13:J100000,SUMMARY!A99&amp;"*")</f>
        <v>0</v>
      </c>
      <c r="S99" s="10">
        <f>SUMIFS('PLAN BUDGET SAMI-JF'!BE13:BE100000,'PLAN BUDGET SAMI-JF'!D13:D100000,SUMMARY!D99,'PLAN BUDGET SAMI-JF'!J13:J100000,SUMMARY!A99&amp;"*")</f>
        <v>0</v>
      </c>
      <c r="T99" s="10">
        <f>SUMIFS('PLAN BUDGET SAMI-JF'!BF13:BF100000,'PLAN BUDGET SAMI-JF'!D13:D100000,SUMMARY!D99,'PLAN BUDGET SAMI-JF'!J13:J100000,SUMMARY!A99&amp;"*")</f>
        <v>0</v>
      </c>
      <c r="U99" s="10">
        <f>SUMIFS('PLAN BUDGET SAMI-JF'!BG13:BG100000,'PLAN BUDGET SAMI-JF'!D13:D100000,SUMMARY!D99,'PLAN BUDGET SAMI-JF'!J13:J100000,SUMMARY!A99&amp;"*")</f>
        <v>0</v>
      </c>
      <c r="V99" s="10">
        <f>SUMIFS('PLAN BUDGET SAMI-JF'!BH13:BH100000,'PLAN BUDGET SAMI-JF'!D13:D100000,SUMMARY!D99,'PLAN BUDGET SAMI-JF'!J13:J100000,SUMMARY!A99&amp;"*")</f>
        <v>0</v>
      </c>
      <c r="W99" s="10">
        <f>SUMIFS('PLAN BUDGET SAMI-JF'!BI13:BI100000,'PLAN BUDGET SAMI-JF'!D13:D100000,SUMMARY!D99,'PLAN BUDGET SAMI-JF'!J13:J100000,SUMMARY!A99&amp;"*")</f>
        <v>0</v>
      </c>
      <c r="X99" s="10">
        <f>SUMIFS('PLAN BUDGET SAMI-JF'!BJ13:BJ100000,'PLAN BUDGET SAMI-JF'!D13:D100000,SUMMARY!D99,'PLAN BUDGET SAMI-JF'!J13:J100000,SUMMARY!A99&amp;"*")</f>
        <v>0</v>
      </c>
      <c r="Y99" s="10">
        <f>SUMIFS('PLAN BUDGET SAMI-JF'!BK13:BK100000,'PLAN BUDGET SAMI-JF'!D13:D100000,SUMMARY!D99,'PLAN BUDGET SAMI-JF'!J13:J100000,SUMMARY!A99&amp;"*")</f>
        <v>0</v>
      </c>
      <c r="Z99" s="10">
        <f>SUMIFS('PLAN BUDGET SAMI-JF'!BL13:BL100000,'PLAN BUDGET SAMI-JF'!D13:D100000,SUMMARY!D99,'PLAN BUDGET SAMI-JF'!J13:J100000,SUMMARY!A99&amp;"*")</f>
        <v>0</v>
      </c>
      <c r="AA99" s="10">
        <f>SUMIFS('PLAN BUDGET SAMI-JF'!BM13:BM100000,'PLAN BUDGET SAMI-JF'!D13:D100000,SUMMARY!D99,'PLAN BUDGET SAMI-JF'!J13:J100000,SUMMARY!A99&amp;"*")</f>
        <v>0</v>
      </c>
      <c r="AB99" s="10">
        <f>SUMIFS('PLAN BUDGET SAMI-JF'!BN13:BN100000,'PLAN BUDGET SAMI-JF'!D13:D100000,SUMMARY!D99,'PLAN BUDGET SAMI-JF'!J13:J100000,SUMMARY!A99&amp;"*")</f>
        <v>0</v>
      </c>
      <c r="AC99" s="10">
        <f t="shared" si="8"/>
        <v>0</v>
      </c>
      <c r="AD99" s="10">
        <f t="shared" si="9"/>
        <v>0</v>
      </c>
      <c r="AE99" s="16"/>
      <c r="AF99" s="10">
        <v>2</v>
      </c>
      <c r="AG99" s="10">
        <v>8.2285772157026997</v>
      </c>
      <c r="AH99" s="20">
        <f t="shared" si="10"/>
        <v>-1</v>
      </c>
      <c r="AI99" s="20">
        <f t="shared" si="11"/>
        <v>-1</v>
      </c>
      <c r="AJ99" s="7" t="s">
        <v>494</v>
      </c>
    </row>
    <row r="100" spans="1:36" x14ac:dyDescent="0.35">
      <c r="A100" s="7" t="s">
        <v>47</v>
      </c>
      <c r="B100" s="7"/>
      <c r="C100" s="7"/>
      <c r="D100" s="7" t="s">
        <v>504</v>
      </c>
      <c r="E100" s="10">
        <f>SUMIFS('PLAN BUDGET SAMI-JF'!AN13:AN100000,'PLAN BUDGET SAMI-JF'!D13:D100000,SUMMARY!D100,'PLAN BUDGET SAMI-JF'!J13:J100000,SUMMARY!A100&amp;"*")</f>
        <v>0</v>
      </c>
      <c r="F100" s="10">
        <f>SUMIFS('PLAN BUDGET SAMI-JF'!AO13:AO100000,'PLAN BUDGET SAMI-JF'!D13:D100000,SUMMARY!D100,'PLAN BUDGET SAMI-JF'!J13:J100000,SUMMARY!A100&amp;"*")</f>
        <v>0</v>
      </c>
      <c r="G100" s="10">
        <f>SUMIFS('PLAN BUDGET SAMI-JF'!AP13:AP100000,'PLAN BUDGET SAMI-JF'!D13:D100000,SUMMARY!D100,'PLAN BUDGET SAMI-JF'!J13:J100000,SUMMARY!A100&amp;"*")</f>
        <v>0</v>
      </c>
      <c r="H100" s="10">
        <f>SUMIFS('PLAN BUDGET SAMI-JF'!AQ13:AQ100000,'PLAN BUDGET SAMI-JF'!D13:D100000,SUMMARY!D100,'PLAN BUDGET SAMI-JF'!J13:J100000,SUMMARY!A100&amp;"*")</f>
        <v>0</v>
      </c>
      <c r="I100" s="10">
        <f>SUMIFS('PLAN BUDGET SAMI-JF'!AR13:AR100000,'PLAN BUDGET SAMI-JF'!D13:D100000,SUMMARY!D100,'PLAN BUDGET SAMI-JF'!J13:J100000,SUMMARY!A100&amp;"*")</f>
        <v>0</v>
      </c>
      <c r="J100" s="10">
        <f>SUMIFS('PLAN BUDGET SAMI-JF'!AS13:AS100000,'PLAN BUDGET SAMI-JF'!D13:D100000,SUMMARY!D100,'PLAN BUDGET SAMI-JF'!J13:J100000,SUMMARY!A100&amp;"*")</f>
        <v>0</v>
      </c>
      <c r="K100" s="10">
        <f>SUMIFS('PLAN BUDGET SAMI-JF'!AT13:AT100000,'PLAN BUDGET SAMI-JF'!D13:D100000,SUMMARY!D100,'PLAN BUDGET SAMI-JF'!J13:J100000,SUMMARY!A100&amp;"*")</f>
        <v>0</v>
      </c>
      <c r="L100" s="10">
        <f>SUMIFS('PLAN BUDGET SAMI-JF'!AU13:AU100000,'PLAN BUDGET SAMI-JF'!D13:D100000,SUMMARY!D100,'PLAN BUDGET SAMI-JF'!J13:J100000,SUMMARY!A100&amp;"*")</f>
        <v>0</v>
      </c>
      <c r="M100" s="10">
        <f>SUMIFS('PLAN BUDGET SAMI-JF'!AV13:AV100000,'PLAN BUDGET SAMI-JF'!D13:D100000,SUMMARY!D100,'PLAN BUDGET SAMI-JF'!J13:J100000,SUMMARY!A100&amp;"*")</f>
        <v>0</v>
      </c>
      <c r="N100" s="10">
        <f>SUMIFS('PLAN BUDGET SAMI-JF'!AW13:AW100000,'PLAN BUDGET SAMI-JF'!D13:D100000,SUMMARY!D100,'PLAN BUDGET SAMI-JF'!J13:J100000,SUMMARY!A100&amp;"*")</f>
        <v>0</v>
      </c>
      <c r="O100" s="10">
        <f>SUMIFS('PLAN BUDGET SAMI-JF'!AX13:AX100000,'PLAN BUDGET SAMI-JF'!D13:D100000,SUMMARY!D100,'PLAN BUDGET SAMI-JF'!J13:J100000,SUMMARY!A100&amp;"*")</f>
        <v>0</v>
      </c>
      <c r="P100" s="10">
        <f>SUMIFS('PLAN BUDGET SAMI-JF'!AY13:AY100000,'PLAN BUDGET SAMI-JF'!D13:D100000,SUMMARY!D100,'PLAN BUDGET SAMI-JF'!J13:J100000,SUMMARY!A100&amp;"*")</f>
        <v>0</v>
      </c>
      <c r="Q100" s="10">
        <f>SUMIFS('PLAN BUDGET SAMI-JF'!BC13:BC100000,'PLAN BUDGET SAMI-JF'!D13:D100000,SUMMARY!D100,'PLAN BUDGET SAMI-JF'!J13:J100000,SUMMARY!A100&amp;"*")</f>
        <v>0</v>
      </c>
      <c r="R100" s="10">
        <f>SUMIFS('PLAN BUDGET SAMI-JF'!BD13:BD100000,'PLAN BUDGET SAMI-JF'!D13:D100000,SUMMARY!D100,'PLAN BUDGET SAMI-JF'!J13:J100000,SUMMARY!A100&amp;"*")</f>
        <v>0</v>
      </c>
      <c r="S100" s="10">
        <f>SUMIFS('PLAN BUDGET SAMI-JF'!BE13:BE100000,'PLAN BUDGET SAMI-JF'!D13:D100000,SUMMARY!D100,'PLAN BUDGET SAMI-JF'!J13:J100000,SUMMARY!A100&amp;"*")</f>
        <v>0</v>
      </c>
      <c r="T100" s="10">
        <f>SUMIFS('PLAN BUDGET SAMI-JF'!BF13:BF100000,'PLAN BUDGET SAMI-JF'!D13:D100000,SUMMARY!D100,'PLAN BUDGET SAMI-JF'!J13:J100000,SUMMARY!A100&amp;"*")</f>
        <v>0</v>
      </c>
      <c r="U100" s="10">
        <f>SUMIFS('PLAN BUDGET SAMI-JF'!BG13:BG100000,'PLAN BUDGET SAMI-JF'!D13:D100000,SUMMARY!D100,'PLAN BUDGET SAMI-JF'!J13:J100000,SUMMARY!A100&amp;"*")</f>
        <v>0</v>
      </c>
      <c r="V100" s="10">
        <f>SUMIFS('PLAN BUDGET SAMI-JF'!BH13:BH100000,'PLAN BUDGET SAMI-JF'!D13:D100000,SUMMARY!D100,'PLAN BUDGET SAMI-JF'!J13:J100000,SUMMARY!A100&amp;"*")</f>
        <v>0</v>
      </c>
      <c r="W100" s="10">
        <f>SUMIFS('PLAN BUDGET SAMI-JF'!BI13:BI100000,'PLAN BUDGET SAMI-JF'!D13:D100000,SUMMARY!D100,'PLAN BUDGET SAMI-JF'!J13:J100000,SUMMARY!A100&amp;"*")</f>
        <v>0</v>
      </c>
      <c r="X100" s="10">
        <f>SUMIFS('PLAN BUDGET SAMI-JF'!BJ13:BJ100000,'PLAN BUDGET SAMI-JF'!D13:D100000,SUMMARY!D100,'PLAN BUDGET SAMI-JF'!J13:J100000,SUMMARY!A100&amp;"*")</f>
        <v>0</v>
      </c>
      <c r="Y100" s="10">
        <f>SUMIFS('PLAN BUDGET SAMI-JF'!BK13:BK100000,'PLAN BUDGET SAMI-JF'!D13:D100000,SUMMARY!D100,'PLAN BUDGET SAMI-JF'!J13:J100000,SUMMARY!A100&amp;"*")</f>
        <v>0</v>
      </c>
      <c r="Z100" s="10">
        <f>SUMIFS('PLAN BUDGET SAMI-JF'!BL13:BL100000,'PLAN BUDGET SAMI-JF'!D13:D100000,SUMMARY!D100,'PLAN BUDGET SAMI-JF'!J13:J100000,SUMMARY!A100&amp;"*")</f>
        <v>0</v>
      </c>
      <c r="AA100" s="10">
        <f>SUMIFS('PLAN BUDGET SAMI-JF'!BM13:BM100000,'PLAN BUDGET SAMI-JF'!D13:D100000,SUMMARY!D100,'PLAN BUDGET SAMI-JF'!J13:J100000,SUMMARY!A100&amp;"*")</f>
        <v>0</v>
      </c>
      <c r="AB100" s="10">
        <f>SUMIFS('PLAN BUDGET SAMI-JF'!BN13:BN100000,'PLAN BUDGET SAMI-JF'!D13:D100000,SUMMARY!D100,'PLAN BUDGET SAMI-JF'!J13:J100000,SUMMARY!A100&amp;"*")</f>
        <v>0</v>
      </c>
      <c r="AC100" s="10">
        <f t="shared" si="8"/>
        <v>0</v>
      </c>
      <c r="AD100" s="10">
        <f t="shared" si="9"/>
        <v>0</v>
      </c>
      <c r="AE100" s="16"/>
      <c r="AF100" s="10">
        <v>30</v>
      </c>
      <c r="AG100" s="10">
        <v>14007.633587786</v>
      </c>
      <c r="AH100" s="20">
        <f t="shared" si="10"/>
        <v>-1</v>
      </c>
      <c r="AI100" s="20">
        <f t="shared" si="11"/>
        <v>-1</v>
      </c>
      <c r="AJ100" s="7" t="s">
        <v>494</v>
      </c>
    </row>
    <row r="101" spans="1:36" x14ac:dyDescent="0.35">
      <c r="A101" s="7" t="s">
        <v>47</v>
      </c>
      <c r="B101" s="7"/>
      <c r="C101" s="7"/>
      <c r="D101" s="7" t="s">
        <v>523</v>
      </c>
      <c r="E101" s="10">
        <f>SUMIFS('PLAN BUDGET SAMI-JF'!AN13:AN100000,'PLAN BUDGET SAMI-JF'!D13:D100000,SUMMARY!D101,'PLAN BUDGET SAMI-JF'!J13:J100000,SUMMARY!A101&amp;"*")</f>
        <v>0</v>
      </c>
      <c r="F101" s="10">
        <f>SUMIFS('PLAN BUDGET SAMI-JF'!AO13:AO100000,'PLAN BUDGET SAMI-JF'!D13:D100000,SUMMARY!D101,'PLAN BUDGET SAMI-JF'!J13:J100000,SUMMARY!A101&amp;"*")</f>
        <v>0</v>
      </c>
      <c r="G101" s="10">
        <f>SUMIFS('PLAN BUDGET SAMI-JF'!AP13:AP100000,'PLAN BUDGET SAMI-JF'!D13:D100000,SUMMARY!D101,'PLAN BUDGET SAMI-JF'!J13:J100000,SUMMARY!A101&amp;"*")</f>
        <v>0</v>
      </c>
      <c r="H101" s="10">
        <f>SUMIFS('PLAN BUDGET SAMI-JF'!AQ13:AQ100000,'PLAN BUDGET SAMI-JF'!D13:D100000,SUMMARY!D101,'PLAN BUDGET SAMI-JF'!J13:J100000,SUMMARY!A101&amp;"*")</f>
        <v>0</v>
      </c>
      <c r="I101" s="10">
        <f>SUMIFS('PLAN BUDGET SAMI-JF'!AR13:AR100000,'PLAN BUDGET SAMI-JF'!D13:D100000,SUMMARY!D101,'PLAN BUDGET SAMI-JF'!J13:J100000,SUMMARY!A101&amp;"*")</f>
        <v>0</v>
      </c>
      <c r="J101" s="10">
        <f>SUMIFS('PLAN BUDGET SAMI-JF'!AS13:AS100000,'PLAN BUDGET SAMI-JF'!D13:D100000,SUMMARY!D101,'PLAN BUDGET SAMI-JF'!J13:J100000,SUMMARY!A101&amp;"*")</f>
        <v>0</v>
      </c>
      <c r="K101" s="10">
        <f>SUMIFS('PLAN BUDGET SAMI-JF'!AT13:AT100000,'PLAN BUDGET SAMI-JF'!D13:D100000,SUMMARY!D101,'PLAN BUDGET SAMI-JF'!J13:J100000,SUMMARY!A101&amp;"*")</f>
        <v>0</v>
      </c>
      <c r="L101" s="10">
        <f>SUMIFS('PLAN BUDGET SAMI-JF'!AU13:AU100000,'PLAN BUDGET SAMI-JF'!D13:D100000,SUMMARY!D101,'PLAN BUDGET SAMI-JF'!J13:J100000,SUMMARY!A101&amp;"*")</f>
        <v>0</v>
      </c>
      <c r="M101" s="10">
        <f>SUMIFS('PLAN BUDGET SAMI-JF'!AV13:AV100000,'PLAN BUDGET SAMI-JF'!D13:D100000,SUMMARY!D101,'PLAN BUDGET SAMI-JF'!J13:J100000,SUMMARY!A101&amp;"*")</f>
        <v>0</v>
      </c>
      <c r="N101" s="10">
        <f>SUMIFS('PLAN BUDGET SAMI-JF'!AW13:AW100000,'PLAN BUDGET SAMI-JF'!D13:D100000,SUMMARY!D101,'PLAN BUDGET SAMI-JF'!J13:J100000,SUMMARY!A101&amp;"*")</f>
        <v>0</v>
      </c>
      <c r="O101" s="10">
        <f>SUMIFS('PLAN BUDGET SAMI-JF'!AX13:AX100000,'PLAN BUDGET SAMI-JF'!D13:D100000,SUMMARY!D101,'PLAN BUDGET SAMI-JF'!J13:J100000,SUMMARY!A101&amp;"*")</f>
        <v>0</v>
      </c>
      <c r="P101" s="10">
        <f>SUMIFS('PLAN BUDGET SAMI-JF'!AY13:AY100000,'PLAN BUDGET SAMI-JF'!D13:D100000,SUMMARY!D101,'PLAN BUDGET SAMI-JF'!J13:J100000,SUMMARY!A101&amp;"*")</f>
        <v>0</v>
      </c>
      <c r="Q101" s="10">
        <f>SUMIFS('PLAN BUDGET SAMI-JF'!BC13:BC100000,'PLAN BUDGET SAMI-JF'!D13:D100000,SUMMARY!D101,'PLAN BUDGET SAMI-JF'!J13:J100000,SUMMARY!A101&amp;"*")</f>
        <v>0</v>
      </c>
      <c r="R101" s="10">
        <f>SUMIFS('PLAN BUDGET SAMI-JF'!BD13:BD100000,'PLAN BUDGET SAMI-JF'!D13:D100000,SUMMARY!D101,'PLAN BUDGET SAMI-JF'!J13:J100000,SUMMARY!A101&amp;"*")</f>
        <v>0</v>
      </c>
      <c r="S101" s="10">
        <f>SUMIFS('PLAN BUDGET SAMI-JF'!BE13:BE100000,'PLAN BUDGET SAMI-JF'!D13:D100000,SUMMARY!D101,'PLAN BUDGET SAMI-JF'!J13:J100000,SUMMARY!A101&amp;"*")</f>
        <v>0</v>
      </c>
      <c r="T101" s="10">
        <f>SUMIFS('PLAN BUDGET SAMI-JF'!BF13:BF100000,'PLAN BUDGET SAMI-JF'!D13:D100000,SUMMARY!D101,'PLAN BUDGET SAMI-JF'!J13:J100000,SUMMARY!A101&amp;"*")</f>
        <v>0</v>
      </c>
      <c r="U101" s="10">
        <f>SUMIFS('PLAN BUDGET SAMI-JF'!BG13:BG100000,'PLAN BUDGET SAMI-JF'!D13:D100000,SUMMARY!D101,'PLAN BUDGET SAMI-JF'!J13:J100000,SUMMARY!A101&amp;"*")</f>
        <v>0</v>
      </c>
      <c r="V101" s="10">
        <f>SUMIFS('PLAN BUDGET SAMI-JF'!BH13:BH100000,'PLAN BUDGET SAMI-JF'!D13:D100000,SUMMARY!D101,'PLAN BUDGET SAMI-JF'!J13:J100000,SUMMARY!A101&amp;"*")</f>
        <v>0</v>
      </c>
      <c r="W101" s="10">
        <f>SUMIFS('PLAN BUDGET SAMI-JF'!BI13:BI100000,'PLAN BUDGET SAMI-JF'!D13:D100000,SUMMARY!D101,'PLAN BUDGET SAMI-JF'!J13:J100000,SUMMARY!A101&amp;"*")</f>
        <v>0</v>
      </c>
      <c r="X101" s="10">
        <f>SUMIFS('PLAN BUDGET SAMI-JF'!BJ13:BJ100000,'PLAN BUDGET SAMI-JF'!D13:D100000,SUMMARY!D101,'PLAN BUDGET SAMI-JF'!J13:J100000,SUMMARY!A101&amp;"*")</f>
        <v>0</v>
      </c>
      <c r="Y101" s="10">
        <f>SUMIFS('PLAN BUDGET SAMI-JF'!BK13:BK100000,'PLAN BUDGET SAMI-JF'!D13:D100000,SUMMARY!D101,'PLAN BUDGET SAMI-JF'!J13:J100000,SUMMARY!A101&amp;"*")</f>
        <v>0</v>
      </c>
      <c r="Z101" s="10">
        <f>SUMIFS('PLAN BUDGET SAMI-JF'!BL13:BL100000,'PLAN BUDGET SAMI-JF'!D13:D100000,SUMMARY!D101,'PLAN BUDGET SAMI-JF'!J13:J100000,SUMMARY!A101&amp;"*")</f>
        <v>0</v>
      </c>
      <c r="AA101" s="10">
        <f>SUMIFS('PLAN BUDGET SAMI-JF'!BM13:BM100000,'PLAN BUDGET SAMI-JF'!D13:D100000,SUMMARY!D101,'PLAN BUDGET SAMI-JF'!J13:J100000,SUMMARY!A101&amp;"*")</f>
        <v>0</v>
      </c>
      <c r="AB101" s="10">
        <f>SUMIFS('PLAN BUDGET SAMI-JF'!BN13:BN100000,'PLAN BUDGET SAMI-JF'!D13:D100000,SUMMARY!D101,'PLAN BUDGET SAMI-JF'!J13:J100000,SUMMARY!A101&amp;"*")</f>
        <v>0</v>
      </c>
      <c r="AC101" s="10">
        <f t="shared" si="8"/>
        <v>0</v>
      </c>
      <c r="AD101" s="10">
        <f t="shared" si="9"/>
        <v>0</v>
      </c>
      <c r="AE101" s="16"/>
      <c r="AF101" s="10">
        <v>4</v>
      </c>
      <c r="AG101" s="10">
        <v>253.18699125238999</v>
      </c>
      <c r="AH101" s="20">
        <f t="shared" si="10"/>
        <v>-1</v>
      </c>
      <c r="AI101" s="20">
        <f t="shared" si="11"/>
        <v>-1</v>
      </c>
      <c r="AJ101" s="7" t="s">
        <v>494</v>
      </c>
    </row>
    <row r="102" spans="1:36" x14ac:dyDescent="0.35">
      <c r="A102" s="7" t="s">
        <v>47</v>
      </c>
      <c r="B102" s="7"/>
      <c r="C102" s="7"/>
      <c r="D102" s="7" t="s">
        <v>506</v>
      </c>
      <c r="E102" s="10">
        <f>SUMIFS('PLAN BUDGET SAMI-JF'!AN13:AN100000,'PLAN BUDGET SAMI-JF'!D13:D100000,SUMMARY!D102,'PLAN BUDGET SAMI-JF'!J13:J100000,SUMMARY!A102&amp;"*")</f>
        <v>0</v>
      </c>
      <c r="F102" s="10">
        <f>SUMIFS('PLAN BUDGET SAMI-JF'!AO13:AO100000,'PLAN BUDGET SAMI-JF'!D13:D100000,SUMMARY!D102,'PLAN BUDGET SAMI-JF'!J13:J100000,SUMMARY!A102&amp;"*")</f>
        <v>0</v>
      </c>
      <c r="G102" s="10">
        <f>SUMIFS('PLAN BUDGET SAMI-JF'!AP13:AP100000,'PLAN BUDGET SAMI-JF'!D13:D100000,SUMMARY!D102,'PLAN BUDGET SAMI-JF'!J13:J100000,SUMMARY!A102&amp;"*")</f>
        <v>0</v>
      </c>
      <c r="H102" s="10">
        <f>SUMIFS('PLAN BUDGET SAMI-JF'!AQ13:AQ100000,'PLAN BUDGET SAMI-JF'!D13:D100000,SUMMARY!D102,'PLAN BUDGET SAMI-JF'!J13:J100000,SUMMARY!A102&amp;"*")</f>
        <v>0</v>
      </c>
      <c r="I102" s="10">
        <f>SUMIFS('PLAN BUDGET SAMI-JF'!AR13:AR100000,'PLAN BUDGET SAMI-JF'!D13:D100000,SUMMARY!D102,'PLAN BUDGET SAMI-JF'!J13:J100000,SUMMARY!A102&amp;"*")</f>
        <v>0</v>
      </c>
      <c r="J102" s="10">
        <f>SUMIFS('PLAN BUDGET SAMI-JF'!AS13:AS100000,'PLAN BUDGET SAMI-JF'!D13:D100000,SUMMARY!D102,'PLAN BUDGET SAMI-JF'!J13:J100000,SUMMARY!A102&amp;"*")</f>
        <v>0</v>
      </c>
      <c r="K102" s="10">
        <f>SUMIFS('PLAN BUDGET SAMI-JF'!AT13:AT100000,'PLAN BUDGET SAMI-JF'!D13:D100000,SUMMARY!D102,'PLAN BUDGET SAMI-JF'!J13:J100000,SUMMARY!A102&amp;"*")</f>
        <v>0</v>
      </c>
      <c r="L102" s="10">
        <f>SUMIFS('PLAN BUDGET SAMI-JF'!AU13:AU100000,'PLAN BUDGET SAMI-JF'!D13:D100000,SUMMARY!D102,'PLAN BUDGET SAMI-JF'!J13:J100000,SUMMARY!A102&amp;"*")</f>
        <v>0</v>
      </c>
      <c r="M102" s="10">
        <f>SUMIFS('PLAN BUDGET SAMI-JF'!AV13:AV100000,'PLAN BUDGET SAMI-JF'!D13:D100000,SUMMARY!D102,'PLAN BUDGET SAMI-JF'!J13:J100000,SUMMARY!A102&amp;"*")</f>
        <v>0</v>
      </c>
      <c r="N102" s="10">
        <f>SUMIFS('PLAN BUDGET SAMI-JF'!AW13:AW100000,'PLAN BUDGET SAMI-JF'!D13:D100000,SUMMARY!D102,'PLAN BUDGET SAMI-JF'!J13:J100000,SUMMARY!A102&amp;"*")</f>
        <v>0</v>
      </c>
      <c r="O102" s="10">
        <f>SUMIFS('PLAN BUDGET SAMI-JF'!AX13:AX100000,'PLAN BUDGET SAMI-JF'!D13:D100000,SUMMARY!D102,'PLAN BUDGET SAMI-JF'!J13:J100000,SUMMARY!A102&amp;"*")</f>
        <v>0</v>
      </c>
      <c r="P102" s="10">
        <f>SUMIFS('PLAN BUDGET SAMI-JF'!AY13:AY100000,'PLAN BUDGET SAMI-JF'!D13:D100000,SUMMARY!D102,'PLAN BUDGET SAMI-JF'!J13:J100000,SUMMARY!A102&amp;"*")</f>
        <v>0</v>
      </c>
      <c r="Q102" s="10">
        <f>SUMIFS('PLAN BUDGET SAMI-JF'!BC13:BC100000,'PLAN BUDGET SAMI-JF'!D13:D100000,SUMMARY!D102,'PLAN BUDGET SAMI-JF'!J13:J100000,SUMMARY!A102&amp;"*")</f>
        <v>0</v>
      </c>
      <c r="R102" s="10">
        <f>SUMIFS('PLAN BUDGET SAMI-JF'!BD13:BD100000,'PLAN BUDGET SAMI-JF'!D13:D100000,SUMMARY!D102,'PLAN BUDGET SAMI-JF'!J13:J100000,SUMMARY!A102&amp;"*")</f>
        <v>0</v>
      </c>
      <c r="S102" s="10">
        <f>SUMIFS('PLAN BUDGET SAMI-JF'!BE13:BE100000,'PLAN BUDGET SAMI-JF'!D13:D100000,SUMMARY!D102,'PLAN BUDGET SAMI-JF'!J13:J100000,SUMMARY!A102&amp;"*")</f>
        <v>0</v>
      </c>
      <c r="T102" s="10">
        <f>SUMIFS('PLAN BUDGET SAMI-JF'!BF13:BF100000,'PLAN BUDGET SAMI-JF'!D13:D100000,SUMMARY!D102,'PLAN BUDGET SAMI-JF'!J13:J100000,SUMMARY!A102&amp;"*")</f>
        <v>0</v>
      </c>
      <c r="U102" s="10">
        <f>SUMIFS('PLAN BUDGET SAMI-JF'!BG13:BG100000,'PLAN BUDGET SAMI-JF'!D13:D100000,SUMMARY!D102,'PLAN BUDGET SAMI-JF'!J13:J100000,SUMMARY!A102&amp;"*")</f>
        <v>0</v>
      </c>
      <c r="V102" s="10">
        <f>SUMIFS('PLAN BUDGET SAMI-JF'!BH13:BH100000,'PLAN BUDGET SAMI-JF'!D13:D100000,SUMMARY!D102,'PLAN BUDGET SAMI-JF'!J13:J100000,SUMMARY!A102&amp;"*")</f>
        <v>0</v>
      </c>
      <c r="W102" s="10">
        <f>SUMIFS('PLAN BUDGET SAMI-JF'!BI13:BI100000,'PLAN BUDGET SAMI-JF'!D13:D100000,SUMMARY!D102,'PLAN BUDGET SAMI-JF'!J13:J100000,SUMMARY!A102&amp;"*")</f>
        <v>0</v>
      </c>
      <c r="X102" s="10">
        <f>SUMIFS('PLAN BUDGET SAMI-JF'!BJ13:BJ100000,'PLAN BUDGET SAMI-JF'!D13:D100000,SUMMARY!D102,'PLAN BUDGET SAMI-JF'!J13:J100000,SUMMARY!A102&amp;"*")</f>
        <v>0</v>
      </c>
      <c r="Y102" s="10">
        <f>SUMIFS('PLAN BUDGET SAMI-JF'!BK13:BK100000,'PLAN BUDGET SAMI-JF'!D13:D100000,SUMMARY!D102,'PLAN BUDGET SAMI-JF'!J13:J100000,SUMMARY!A102&amp;"*")</f>
        <v>0</v>
      </c>
      <c r="Z102" s="10">
        <f>SUMIFS('PLAN BUDGET SAMI-JF'!BL13:BL100000,'PLAN BUDGET SAMI-JF'!D13:D100000,SUMMARY!D102,'PLAN BUDGET SAMI-JF'!J13:J100000,SUMMARY!A102&amp;"*")</f>
        <v>0</v>
      </c>
      <c r="AA102" s="10">
        <f>SUMIFS('PLAN BUDGET SAMI-JF'!BM13:BM100000,'PLAN BUDGET SAMI-JF'!D13:D100000,SUMMARY!D102,'PLAN BUDGET SAMI-JF'!J13:J100000,SUMMARY!A102&amp;"*")</f>
        <v>0</v>
      </c>
      <c r="AB102" s="10">
        <f>SUMIFS('PLAN BUDGET SAMI-JF'!BN13:BN100000,'PLAN BUDGET SAMI-JF'!D13:D100000,SUMMARY!D102,'PLAN BUDGET SAMI-JF'!J13:J100000,SUMMARY!A102&amp;"*")</f>
        <v>0</v>
      </c>
      <c r="AC102" s="10">
        <f t="shared" si="8"/>
        <v>0</v>
      </c>
      <c r="AD102" s="10">
        <f t="shared" si="9"/>
        <v>0</v>
      </c>
      <c r="AE102" s="16"/>
      <c r="AF102" s="10">
        <v>131</v>
      </c>
      <c r="AG102" s="10">
        <v>3087.0087586770001</v>
      </c>
      <c r="AH102" s="20">
        <f t="shared" si="10"/>
        <v>-1</v>
      </c>
      <c r="AI102" s="20">
        <f t="shared" si="11"/>
        <v>-1</v>
      </c>
      <c r="AJ102" s="7" t="s">
        <v>494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C7:AD7"/>
    <mergeCell ref="AF7:AJ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7"/>
  <sheetViews>
    <sheetView zoomScale="70" zoomScaleNormal="70" workbookViewId="0">
      <pane xSplit="3" ySplit="13" topLeftCell="K53" activePane="bottomRight" state="frozen"/>
      <selection pane="topRight" activeCell="D1" sqref="D1"/>
      <selection pane="bottomLeft" activeCell="A14" sqref="A14"/>
      <selection pane="bottomRight" activeCell="L73" sqref="L73"/>
    </sheetView>
    <sheetView tabSelected="1" zoomScale="70" zoomScaleNormal="70" workbookViewId="1">
      <pane xSplit="3" ySplit="13" topLeftCell="K47" activePane="bottomRight" state="frozen"/>
      <selection pane="topRight" activeCell="D1" sqref="D1"/>
      <selection pane="bottomLeft" activeCell="A14" sqref="A14"/>
      <selection pane="bottomRight" activeCell="L66" sqref="L66"/>
    </sheetView>
  </sheetViews>
  <sheetFormatPr defaultRowHeight="14.5" x14ac:dyDescent="0.35"/>
  <cols>
    <col min="1" max="1" width="12.453125" customWidth="1"/>
    <col min="2" max="2" width="33.81640625" customWidth="1"/>
    <col min="3" max="3" width="4.453125" customWidth="1"/>
    <col min="4" max="11" width="14.453125" customWidth="1"/>
    <col min="12" max="12" width="52" customWidth="1"/>
    <col min="13" max="13" width="12.453125" customWidth="1"/>
  </cols>
  <sheetData>
    <row r="1" spans="1:13" ht="16.25" customHeight="1" x14ac:dyDescent="0.35">
      <c r="B1" s="2" t="s">
        <v>524</v>
      </c>
      <c r="C1" s="30" t="s">
        <v>525</v>
      </c>
      <c r="D1" s="21" t="s">
        <v>526</v>
      </c>
      <c r="I1" s="27" t="s">
        <v>527</v>
      </c>
      <c r="J1" s="27" t="s">
        <v>528</v>
      </c>
      <c r="K1" s="27" t="s">
        <v>529</v>
      </c>
      <c r="M1" s="49"/>
    </row>
    <row r="2" spans="1:13" ht="16.25" customHeight="1" x14ac:dyDescent="0.35">
      <c r="B2" s="2" t="s">
        <v>530</v>
      </c>
      <c r="C2" s="30" t="s">
        <v>531</v>
      </c>
      <c r="D2" s="21" t="s">
        <v>532</v>
      </c>
      <c r="I2" s="55"/>
      <c r="J2" s="55"/>
      <c r="K2" s="55"/>
      <c r="M2" s="49"/>
    </row>
    <row r="3" spans="1:13" ht="16.25" customHeight="1" x14ac:dyDescent="0.35">
      <c r="B3" s="2" t="s">
        <v>533</v>
      </c>
      <c r="C3" s="1"/>
      <c r="I3" s="55"/>
      <c r="J3" s="55"/>
      <c r="K3" s="55"/>
      <c r="M3" s="49"/>
    </row>
    <row r="4" spans="1:13" ht="16.25" customHeight="1" x14ac:dyDescent="0.35">
      <c r="C4" s="1"/>
      <c r="I4" s="55"/>
      <c r="J4" s="55"/>
      <c r="K4" s="55"/>
      <c r="M4" s="49"/>
    </row>
    <row r="5" spans="1:13" ht="16.25" customHeight="1" x14ac:dyDescent="0.35">
      <c r="C5" s="1"/>
      <c r="I5" s="27" t="s">
        <v>534</v>
      </c>
      <c r="J5" s="27" t="s">
        <v>535</v>
      </c>
      <c r="K5" s="27" t="s">
        <v>536</v>
      </c>
      <c r="M5" s="49"/>
    </row>
    <row r="6" spans="1:13" ht="16.25" customHeight="1" x14ac:dyDescent="0.35">
      <c r="C6" s="1"/>
      <c r="M6" s="49"/>
    </row>
    <row r="7" spans="1:13" x14ac:dyDescent="0.35">
      <c r="B7" s="56" t="s">
        <v>473</v>
      </c>
      <c r="C7" s="59" t="s">
        <v>537</v>
      </c>
      <c r="D7" s="26" t="s">
        <v>538</v>
      </c>
      <c r="E7" s="26" t="s">
        <v>538</v>
      </c>
      <c r="F7" s="62" t="s">
        <v>539</v>
      </c>
      <c r="G7" s="62"/>
      <c r="H7" s="62"/>
      <c r="I7" s="62"/>
      <c r="J7" s="62"/>
      <c r="K7" s="63" t="s">
        <v>540</v>
      </c>
      <c r="L7" s="64" t="s">
        <v>541</v>
      </c>
      <c r="M7" s="49"/>
    </row>
    <row r="8" spans="1:13" x14ac:dyDescent="0.35">
      <c r="B8" s="57"/>
      <c r="C8" s="60"/>
      <c r="D8" s="24" t="s">
        <v>542</v>
      </c>
      <c r="E8" s="24" t="s">
        <v>543</v>
      </c>
      <c r="F8" s="37" t="s">
        <v>544</v>
      </c>
      <c r="G8" s="24" t="s">
        <v>545</v>
      </c>
      <c r="H8" s="24" t="s">
        <v>546</v>
      </c>
      <c r="I8" s="24" t="s">
        <v>547</v>
      </c>
      <c r="J8" s="43" t="s">
        <v>542</v>
      </c>
      <c r="K8" s="60"/>
      <c r="L8" s="65"/>
      <c r="M8" s="49"/>
    </row>
    <row r="9" spans="1:13" x14ac:dyDescent="0.35">
      <c r="B9" s="57"/>
      <c r="C9" s="60"/>
      <c r="D9" s="24" t="s">
        <v>548</v>
      </c>
      <c r="E9" s="24" t="s">
        <v>548</v>
      </c>
      <c r="F9" s="37" t="s">
        <v>548</v>
      </c>
      <c r="G9" s="24" t="s">
        <v>548</v>
      </c>
      <c r="H9" s="24" t="s">
        <v>548</v>
      </c>
      <c r="I9" s="24" t="s">
        <v>548</v>
      </c>
      <c r="J9" s="43" t="s">
        <v>548</v>
      </c>
      <c r="K9" s="60"/>
      <c r="L9" s="65"/>
      <c r="M9" s="49"/>
    </row>
    <row r="10" spans="1:13" x14ac:dyDescent="0.35">
      <c r="B10" s="58"/>
      <c r="C10" s="61"/>
      <c r="D10" s="25" t="s">
        <v>125</v>
      </c>
      <c r="E10" s="25" t="s">
        <v>80</v>
      </c>
      <c r="F10" s="38" t="s">
        <v>51</v>
      </c>
      <c r="G10" s="25" t="s">
        <v>63</v>
      </c>
      <c r="H10" s="25" t="s">
        <v>57</v>
      </c>
      <c r="I10" s="25" t="s">
        <v>525</v>
      </c>
      <c r="J10" s="44" t="s">
        <v>549</v>
      </c>
      <c r="K10" s="25" t="s">
        <v>550</v>
      </c>
      <c r="L10" s="66"/>
      <c r="M10" s="49"/>
    </row>
    <row r="11" spans="1:13" x14ac:dyDescent="0.35">
      <c r="B11" s="22" t="s">
        <v>551</v>
      </c>
      <c r="C11" s="31"/>
      <c r="D11" s="22">
        <v>4405516.3099999996</v>
      </c>
      <c r="E11" s="22">
        <v>4536287.55</v>
      </c>
      <c r="F11" s="39">
        <v>4162014.17</v>
      </c>
      <c r="G11" s="22"/>
      <c r="H11" s="22"/>
      <c r="I11" s="22"/>
      <c r="J11" s="45">
        <v>4162014.17</v>
      </c>
      <c r="K11" s="22"/>
      <c r="L11" s="22"/>
      <c r="M11" s="49"/>
    </row>
    <row r="12" spans="1:13" x14ac:dyDescent="0.35">
      <c r="B12" s="23" t="s">
        <v>552</v>
      </c>
      <c r="C12" s="32"/>
      <c r="D12" s="28">
        <f>D11/12</f>
        <v>367126.35916666663</v>
      </c>
      <c r="E12" s="23">
        <f>E11/12</f>
        <v>378023.96249999997</v>
      </c>
      <c r="F12" s="40">
        <f>J11/12</f>
        <v>346834.51416666666</v>
      </c>
      <c r="G12" s="23"/>
      <c r="H12" s="23"/>
      <c r="I12" s="23"/>
      <c r="J12" s="46">
        <f>J11/12</f>
        <v>346834.51416666666</v>
      </c>
      <c r="K12" s="23"/>
      <c r="L12" s="23"/>
      <c r="M12" s="49" t="s">
        <v>553</v>
      </c>
    </row>
    <row r="13" spans="1:13" ht="7.5" customHeight="1" x14ac:dyDescent="0.35">
      <c r="C13" s="1"/>
      <c r="D13" s="29"/>
      <c r="F13" s="41"/>
      <c r="J13" s="47"/>
      <c r="M13" s="49"/>
    </row>
    <row r="14" spans="1:13" x14ac:dyDescent="0.35">
      <c r="A14" t="s">
        <v>47</v>
      </c>
      <c r="B14" s="7" t="s">
        <v>133</v>
      </c>
      <c r="C14" s="33" t="s">
        <v>525</v>
      </c>
      <c r="D14" s="34">
        <v>1103.7499525274</v>
      </c>
      <c r="E14" s="12">
        <v>1103.7499525274</v>
      </c>
      <c r="F14" s="42">
        <f t="shared" ref="F14:F45" si="0">IF(C14="F",E14,E14/$E$12*$F$12)</f>
        <v>1103.7499525274</v>
      </c>
      <c r="G14" s="12">
        <f t="shared" ref="G14:G45" si="1">IF(F14&lt;J14,J14-F14,0)</f>
        <v>0</v>
      </c>
      <c r="H14" s="12">
        <f t="shared" ref="H14:H45" si="2">IF(F14&gt;J14,J14-F14,0)</f>
        <v>-508.76052308428996</v>
      </c>
      <c r="I14" s="12"/>
      <c r="J14" s="48">
        <f>SUMIFS('PLAN BUDGET SAMI-JF'!BO13:BO100000,'PLAN BUDGET SAMI-JF'!D13:D100000,B14,'PLAN BUDGET SAMI-JF'!J13:J100000,A14&amp;"*")</f>
        <v>594.98942944311</v>
      </c>
      <c r="K14" s="35">
        <f t="shared" ref="K14:K45" si="3">IFERROR(IF(F14&gt;0,(J14-F14)/F14,100%),0)</f>
        <v>-0.46093820608491509</v>
      </c>
      <c r="L14" s="36"/>
      <c r="M14" s="50">
        <f t="shared" ref="M14:M45" si="4">J14-SUM(F14:I14)</f>
        <v>0</v>
      </c>
    </row>
    <row r="15" spans="1:13" x14ac:dyDescent="0.35">
      <c r="A15" t="s">
        <v>47</v>
      </c>
      <c r="B15" s="7" t="s">
        <v>175</v>
      </c>
      <c r="C15" s="33" t="s">
        <v>525</v>
      </c>
      <c r="D15" s="34">
        <v>39.324750294330002</v>
      </c>
      <c r="E15" s="12">
        <v>29.829351967895999</v>
      </c>
      <c r="F15" s="42">
        <f t="shared" si="0"/>
        <v>29.829351967895999</v>
      </c>
      <c r="G15" s="12">
        <f t="shared" si="1"/>
        <v>7.0999962021948058</v>
      </c>
      <c r="H15" s="12">
        <f t="shared" si="2"/>
        <v>0</v>
      </c>
      <c r="I15" s="12"/>
      <c r="J15" s="48">
        <f>SUMIFS('PLAN BUDGET SAMI-JF'!BO13:BO100000,'PLAN BUDGET SAMI-JF'!D13:D100000,B15,'PLAN BUDGET SAMI-JF'!J13:J100000,A15&amp;"*")</f>
        <v>36.929348170090805</v>
      </c>
      <c r="K15" s="35">
        <f t="shared" si="3"/>
        <v>0.23802046420036932</v>
      </c>
      <c r="L15" s="36" t="s">
        <v>567</v>
      </c>
      <c r="M15" s="50">
        <f t="shared" si="4"/>
        <v>0</v>
      </c>
    </row>
    <row r="16" spans="1:13" x14ac:dyDescent="0.35">
      <c r="A16" t="s">
        <v>47</v>
      </c>
      <c r="B16" s="7" t="s">
        <v>231</v>
      </c>
      <c r="C16" s="33" t="s">
        <v>525</v>
      </c>
      <c r="D16" s="34">
        <v>126.59349562619001</v>
      </c>
      <c r="E16" s="12">
        <v>88.615446938336007</v>
      </c>
      <c r="F16" s="42">
        <f t="shared" si="0"/>
        <v>88.615446938336007</v>
      </c>
      <c r="G16" s="12">
        <f t="shared" si="1"/>
        <v>0</v>
      </c>
      <c r="H16" s="12">
        <f t="shared" si="2"/>
        <v>-25.318699125239007</v>
      </c>
      <c r="I16" s="12"/>
      <c r="J16" s="48">
        <f>SUMIFS('PLAN BUDGET SAMI-JF'!BO13:BO100000,'PLAN BUDGET SAMI-JF'!D13:D100000,B16,'PLAN BUDGET SAMI-JF'!J13:J100000,A16&amp;"*")</f>
        <v>63.296747813096999</v>
      </c>
      <c r="K16" s="35">
        <f t="shared" si="3"/>
        <v>-0.28571428571428736</v>
      </c>
      <c r="L16" s="36"/>
      <c r="M16" s="50">
        <f t="shared" si="4"/>
        <v>0</v>
      </c>
    </row>
    <row r="17" spans="1:13" x14ac:dyDescent="0.35">
      <c r="A17" t="s">
        <v>47</v>
      </c>
      <c r="B17" s="7" t="s">
        <v>78</v>
      </c>
      <c r="C17" s="33" t="s">
        <v>525</v>
      </c>
      <c r="D17" s="34">
        <v>0</v>
      </c>
      <c r="E17" s="12">
        <v>0</v>
      </c>
      <c r="F17" s="42">
        <f t="shared" si="0"/>
        <v>0</v>
      </c>
      <c r="G17" s="12">
        <f t="shared" si="1"/>
        <v>2.8806349929741</v>
      </c>
      <c r="H17" s="12">
        <f t="shared" si="2"/>
        <v>0</v>
      </c>
      <c r="I17" s="12"/>
      <c r="J17" s="48">
        <f>SUMIFS('PLAN BUDGET SAMI-JF'!BO13:BO100000,'PLAN BUDGET SAMI-JF'!D13:D100000,B17,'PLAN BUDGET SAMI-JF'!J13:J100000,A17&amp;"*")</f>
        <v>2.8806349929741</v>
      </c>
      <c r="K17" s="35">
        <f t="shared" si="3"/>
        <v>1</v>
      </c>
      <c r="L17" s="36" t="s">
        <v>568</v>
      </c>
      <c r="M17" s="50">
        <f t="shared" si="4"/>
        <v>0</v>
      </c>
    </row>
    <row r="18" spans="1:13" x14ac:dyDescent="0.35">
      <c r="A18" t="s">
        <v>47</v>
      </c>
      <c r="B18" s="7" t="s">
        <v>242</v>
      </c>
      <c r="C18" s="33" t="s">
        <v>525</v>
      </c>
      <c r="D18" s="34">
        <v>374.46356006228001</v>
      </c>
      <c r="E18" s="12">
        <v>212.67707265201</v>
      </c>
      <c r="F18" s="42">
        <f t="shared" si="0"/>
        <v>212.67707265201</v>
      </c>
      <c r="G18" s="12">
        <f t="shared" si="1"/>
        <v>0</v>
      </c>
      <c r="H18" s="12">
        <f t="shared" si="2"/>
        <v>-106.33853632600599</v>
      </c>
      <c r="I18" s="12"/>
      <c r="J18" s="48">
        <f>SUMIFS('PLAN BUDGET SAMI-JF'!BO13:BO100000,'PLAN BUDGET SAMI-JF'!D13:D100000,B18,'PLAN BUDGET SAMI-JF'!J13:J100000,A18&amp;"*")</f>
        <v>106.338536326004</v>
      </c>
      <c r="K18" s="35">
        <f t="shared" si="3"/>
        <v>-0.50000000000000466</v>
      </c>
      <c r="L18" s="36"/>
      <c r="M18" s="50">
        <f t="shared" si="4"/>
        <v>0</v>
      </c>
    </row>
    <row r="19" spans="1:13" x14ac:dyDescent="0.35">
      <c r="A19" t="s">
        <v>47</v>
      </c>
      <c r="B19" s="7" t="s">
        <v>323</v>
      </c>
      <c r="C19" s="33" t="s">
        <v>525</v>
      </c>
      <c r="D19" s="34">
        <v>207.97893484233001</v>
      </c>
      <c r="E19" s="12">
        <v>0</v>
      </c>
      <c r="F19" s="42">
        <f t="shared" si="0"/>
        <v>0</v>
      </c>
      <c r="G19" s="12">
        <f t="shared" si="1"/>
        <v>25.1895737597</v>
      </c>
      <c r="H19" s="12">
        <f t="shared" si="2"/>
        <v>0</v>
      </c>
      <c r="I19" s="12"/>
      <c r="J19" s="48">
        <f>SUMIFS('PLAN BUDGET SAMI-JF'!BO13:BO100000,'PLAN BUDGET SAMI-JF'!D13:D100000,B19,'PLAN BUDGET SAMI-JF'!J13:J100000,A19&amp;"*")</f>
        <v>25.1895737597</v>
      </c>
      <c r="K19" s="35">
        <f t="shared" si="3"/>
        <v>1</v>
      </c>
      <c r="L19" s="36" t="s">
        <v>589</v>
      </c>
      <c r="M19" s="50">
        <f t="shared" si="4"/>
        <v>0</v>
      </c>
    </row>
    <row r="20" spans="1:13" x14ac:dyDescent="0.35">
      <c r="A20" t="s">
        <v>47</v>
      </c>
      <c r="B20" s="7" t="s">
        <v>123</v>
      </c>
      <c r="C20" s="33" t="s">
        <v>525</v>
      </c>
      <c r="D20" s="34">
        <v>40419.233856163999</v>
      </c>
      <c r="E20" s="12">
        <v>35152.442621497998</v>
      </c>
      <c r="F20" s="42">
        <f t="shared" si="0"/>
        <v>35152.442621497998</v>
      </c>
      <c r="G20" s="12">
        <f t="shared" si="1"/>
        <v>0</v>
      </c>
      <c r="H20" s="12">
        <f t="shared" si="2"/>
        <v>-27686.132315521478</v>
      </c>
      <c r="I20" s="12"/>
      <c r="J20" s="48">
        <f>SUMIFS('PLAN BUDGET SAMI-JF'!BO13:BO100000,'PLAN BUDGET SAMI-JF'!D13:D100000,B20,'PLAN BUDGET SAMI-JF'!J13:J100000,A20&amp;"*")</f>
        <v>7466.3103059765199</v>
      </c>
      <c r="K20" s="35">
        <f t="shared" si="3"/>
        <v>-0.7876019488497682</v>
      </c>
      <c r="L20" s="36"/>
      <c r="M20" s="50">
        <f t="shared" si="4"/>
        <v>0</v>
      </c>
    </row>
    <row r="21" spans="1:13" x14ac:dyDescent="0.35">
      <c r="A21" t="s">
        <v>47</v>
      </c>
      <c r="B21" s="7" t="s">
        <v>193</v>
      </c>
      <c r="C21" s="33" t="s">
        <v>525</v>
      </c>
      <c r="D21" s="34">
        <v>0</v>
      </c>
      <c r="E21" s="12">
        <v>0</v>
      </c>
      <c r="F21" s="42">
        <f t="shared" si="0"/>
        <v>0</v>
      </c>
      <c r="G21" s="12">
        <f t="shared" si="1"/>
        <v>316.48373906549</v>
      </c>
      <c r="H21" s="12">
        <f t="shared" si="2"/>
        <v>0</v>
      </c>
      <c r="I21" s="12"/>
      <c r="J21" s="48">
        <f>SUMIFS('PLAN BUDGET SAMI-JF'!BO13:BO100000,'PLAN BUDGET SAMI-JF'!D13:D100000,B21,'PLAN BUDGET SAMI-JF'!J13:J100000,A21&amp;"*")</f>
        <v>316.48373906549</v>
      </c>
      <c r="K21" s="35">
        <f t="shared" si="3"/>
        <v>1</v>
      </c>
      <c r="L21" s="36" t="s">
        <v>569</v>
      </c>
      <c r="M21" s="50">
        <f t="shared" si="4"/>
        <v>0</v>
      </c>
    </row>
    <row r="22" spans="1:13" x14ac:dyDescent="0.35">
      <c r="A22" t="s">
        <v>47</v>
      </c>
      <c r="B22" s="7" t="s">
        <v>310</v>
      </c>
      <c r="C22" s="33" t="s">
        <v>525</v>
      </c>
      <c r="D22" s="34">
        <v>0</v>
      </c>
      <c r="E22" s="12">
        <v>0</v>
      </c>
      <c r="F22" s="42">
        <f t="shared" si="0"/>
        <v>0</v>
      </c>
      <c r="G22" s="12">
        <f t="shared" si="1"/>
        <v>91.780284328991002</v>
      </c>
      <c r="H22" s="12">
        <f t="shared" si="2"/>
        <v>0</v>
      </c>
      <c r="I22" s="12"/>
      <c r="J22" s="48">
        <f>SUMIFS('PLAN BUDGET SAMI-JF'!BO13:BO100000,'PLAN BUDGET SAMI-JF'!D13:D100000,B22,'PLAN BUDGET SAMI-JF'!J13:J100000,A22&amp;"*")</f>
        <v>91.780284328991002</v>
      </c>
      <c r="K22" s="35">
        <f t="shared" si="3"/>
        <v>1</v>
      </c>
      <c r="L22" s="36" t="s">
        <v>570</v>
      </c>
      <c r="M22" s="50">
        <f t="shared" si="4"/>
        <v>0</v>
      </c>
    </row>
    <row r="23" spans="1:13" x14ac:dyDescent="0.35">
      <c r="A23" t="s">
        <v>47</v>
      </c>
      <c r="B23" s="7" t="s">
        <v>65</v>
      </c>
      <c r="C23" s="33" t="s">
        <v>525</v>
      </c>
      <c r="D23" s="34">
        <v>3649.0575114251001</v>
      </c>
      <c r="E23" s="12">
        <v>2079.2981656602001</v>
      </c>
      <c r="F23" s="42">
        <f t="shared" si="0"/>
        <v>2079.2981656602001</v>
      </c>
      <c r="G23" s="12">
        <f t="shared" si="1"/>
        <v>0</v>
      </c>
      <c r="H23" s="12">
        <f t="shared" si="2"/>
        <v>-91.780284328942116</v>
      </c>
      <c r="I23" s="12"/>
      <c r="J23" s="48">
        <f>SUMIFS('PLAN BUDGET SAMI-JF'!BO13:BO100000,'PLAN BUDGET SAMI-JF'!D13:D100000,B23,'PLAN BUDGET SAMI-JF'!J13:J100000,A23&amp;"*")</f>
        <v>1987.517881331258</v>
      </c>
      <c r="K23" s="35">
        <f t="shared" si="3"/>
        <v>-4.4140030441377737E-2</v>
      </c>
      <c r="L23" s="36"/>
      <c r="M23" s="50">
        <f t="shared" si="4"/>
        <v>0</v>
      </c>
    </row>
    <row r="24" spans="1:13" x14ac:dyDescent="0.35">
      <c r="A24" t="s">
        <v>47</v>
      </c>
      <c r="B24" s="7" t="s">
        <v>179</v>
      </c>
      <c r="C24" s="33" t="s">
        <v>525</v>
      </c>
      <c r="D24" s="34">
        <v>506.37398250477997</v>
      </c>
      <c r="E24" s="12">
        <v>506.37398250477997</v>
      </c>
      <c r="F24" s="42">
        <f t="shared" si="0"/>
        <v>506.37398250477997</v>
      </c>
      <c r="G24" s="12">
        <f t="shared" si="1"/>
        <v>0</v>
      </c>
      <c r="H24" s="12">
        <f t="shared" si="2"/>
        <v>-237.36280429912</v>
      </c>
      <c r="I24" s="12"/>
      <c r="J24" s="48">
        <f>SUMIFS('PLAN BUDGET SAMI-JF'!BO13:BO100000,'PLAN BUDGET SAMI-JF'!D13:D100000,B24,'PLAN BUDGET SAMI-JF'!J13:J100000,A24&amp;"*")</f>
        <v>269.01117820565997</v>
      </c>
      <c r="K24" s="35">
        <f t="shared" si="3"/>
        <v>-0.46875000000000866</v>
      </c>
      <c r="L24" s="36"/>
      <c r="M24" s="50">
        <f t="shared" si="4"/>
        <v>0</v>
      </c>
    </row>
    <row r="25" spans="1:13" x14ac:dyDescent="0.35">
      <c r="A25" t="s">
        <v>47</v>
      </c>
      <c r="B25" s="7" t="s">
        <v>170</v>
      </c>
      <c r="C25" s="33" t="s">
        <v>525</v>
      </c>
      <c r="D25" s="34">
        <v>106.02205258694001</v>
      </c>
      <c r="E25" s="12">
        <v>94.628637980581004</v>
      </c>
      <c r="F25" s="42">
        <f t="shared" si="0"/>
        <v>94.628637980581004</v>
      </c>
      <c r="G25" s="12">
        <f t="shared" si="1"/>
        <v>0</v>
      </c>
      <c r="H25" s="12">
        <f t="shared" si="2"/>
        <v>-52.536300684871705</v>
      </c>
      <c r="I25" s="12"/>
      <c r="J25" s="48">
        <f>SUMIFS('PLAN BUDGET SAMI-JF'!BO13:BO100000,'PLAN BUDGET SAMI-JF'!D13:D100000,B25,'PLAN BUDGET SAMI-JF'!J13:J100000,A25&amp;"*")</f>
        <v>42.092337295709299</v>
      </c>
      <c r="K25" s="35">
        <f t="shared" si="3"/>
        <v>-0.55518394648830116</v>
      </c>
      <c r="L25" s="36"/>
      <c r="M25" s="50">
        <f t="shared" si="4"/>
        <v>0</v>
      </c>
    </row>
    <row r="26" spans="1:13" x14ac:dyDescent="0.35">
      <c r="A26" t="s">
        <v>47</v>
      </c>
      <c r="B26" s="7" t="s">
        <v>158</v>
      </c>
      <c r="C26" s="33" t="s">
        <v>525</v>
      </c>
      <c r="D26" s="34">
        <v>45.573658425429997</v>
      </c>
      <c r="E26" s="12">
        <v>34.180243819072999</v>
      </c>
      <c r="F26" s="42">
        <f t="shared" si="0"/>
        <v>34.180243819072999</v>
      </c>
      <c r="G26" s="12">
        <f t="shared" si="1"/>
        <v>0</v>
      </c>
      <c r="H26" s="12">
        <f t="shared" si="2"/>
        <v>-12.283050396871101</v>
      </c>
      <c r="I26" s="12"/>
      <c r="J26" s="48">
        <f>SUMIFS('PLAN BUDGET SAMI-JF'!BO13:BO100000,'PLAN BUDGET SAMI-JF'!D13:D100000,B26,'PLAN BUDGET SAMI-JF'!J13:J100000,A26&amp;"*")</f>
        <v>21.897193422201898</v>
      </c>
      <c r="K26" s="35">
        <f t="shared" si="3"/>
        <v>-0.35936111111112107</v>
      </c>
      <c r="L26" s="36"/>
      <c r="M26" s="50">
        <f t="shared" si="4"/>
        <v>0</v>
      </c>
    </row>
    <row r="27" spans="1:13" x14ac:dyDescent="0.35">
      <c r="A27" t="s">
        <v>47</v>
      </c>
      <c r="B27" s="7" t="s">
        <v>286</v>
      </c>
      <c r="C27" s="33" t="s">
        <v>525</v>
      </c>
      <c r="D27" s="34">
        <v>22.470345473649999</v>
      </c>
      <c r="E27" s="12">
        <v>22.470345473649999</v>
      </c>
      <c r="F27" s="42">
        <f t="shared" si="0"/>
        <v>22.470345473649999</v>
      </c>
      <c r="G27" s="12">
        <f t="shared" si="1"/>
        <v>0</v>
      </c>
      <c r="H27" s="12">
        <f t="shared" si="2"/>
        <v>-13.608800779816399</v>
      </c>
      <c r="I27" s="12"/>
      <c r="J27" s="48">
        <f>SUMIFS('PLAN BUDGET SAMI-JF'!BO13:BO100000,'PLAN BUDGET SAMI-JF'!D13:D100000,B27,'PLAN BUDGET SAMI-JF'!J13:J100000,A27&amp;"*")</f>
        <v>8.8615446938336007</v>
      </c>
      <c r="K27" s="35">
        <f t="shared" si="3"/>
        <v>-0.60563380281691037</v>
      </c>
      <c r="L27" s="36"/>
      <c r="M27" s="50">
        <f t="shared" si="4"/>
        <v>0</v>
      </c>
    </row>
    <row r="28" spans="1:13" x14ac:dyDescent="0.35">
      <c r="A28" t="s">
        <v>47</v>
      </c>
      <c r="B28" s="7" t="s">
        <v>314</v>
      </c>
      <c r="C28" s="33" t="s">
        <v>525</v>
      </c>
      <c r="D28" s="34">
        <v>0</v>
      </c>
      <c r="E28" s="12">
        <v>0</v>
      </c>
      <c r="F28" s="42">
        <f t="shared" si="0"/>
        <v>0</v>
      </c>
      <c r="G28" s="12">
        <f t="shared" si="1"/>
        <v>2.8483536515894001</v>
      </c>
      <c r="H28" s="12">
        <f t="shared" si="2"/>
        <v>0</v>
      </c>
      <c r="I28" s="12"/>
      <c r="J28" s="48">
        <f>SUMIFS('PLAN BUDGET SAMI-JF'!BO13:BO100000,'PLAN BUDGET SAMI-JF'!D13:D100000,B28,'PLAN BUDGET SAMI-JF'!J13:J100000,A28&amp;"*")</f>
        <v>2.8483536515894001</v>
      </c>
      <c r="K28" s="35">
        <f t="shared" si="3"/>
        <v>1</v>
      </c>
      <c r="L28" s="36" t="s">
        <v>571</v>
      </c>
      <c r="M28" s="50">
        <f t="shared" si="4"/>
        <v>0</v>
      </c>
    </row>
    <row r="29" spans="1:13" x14ac:dyDescent="0.35">
      <c r="A29" t="s">
        <v>47</v>
      </c>
      <c r="B29" s="7" t="s">
        <v>106</v>
      </c>
      <c r="C29" s="33" t="s">
        <v>525</v>
      </c>
      <c r="D29" s="34">
        <v>25.673160912992</v>
      </c>
      <c r="E29" s="12">
        <v>22.027268238958001</v>
      </c>
      <c r="F29" s="42">
        <f t="shared" si="0"/>
        <v>22.027268238958001</v>
      </c>
      <c r="G29" s="12">
        <f t="shared" si="1"/>
        <v>32.281341384679997</v>
      </c>
      <c r="H29" s="12">
        <f t="shared" si="2"/>
        <v>0</v>
      </c>
      <c r="I29" s="12"/>
      <c r="J29" s="48">
        <f>SUMIFS('PLAN BUDGET SAMI-JF'!BO13:BO100000,'PLAN BUDGET SAMI-JF'!D13:D100000,B29,'PLAN BUDGET SAMI-JF'!J13:J100000,A29&amp;"*")</f>
        <v>54.308609623637999</v>
      </c>
      <c r="K29" s="35">
        <f t="shared" si="3"/>
        <v>1.465517241379318</v>
      </c>
      <c r="L29" s="36" t="s">
        <v>572</v>
      </c>
      <c r="M29" s="50">
        <f t="shared" si="4"/>
        <v>0</v>
      </c>
    </row>
    <row r="30" spans="1:13" x14ac:dyDescent="0.35">
      <c r="A30" t="s">
        <v>47</v>
      </c>
      <c r="B30" s="7" t="s">
        <v>263</v>
      </c>
      <c r="C30" s="33" t="s">
        <v>525</v>
      </c>
      <c r="D30" s="34">
        <v>1288.0888179965</v>
      </c>
      <c r="E30" s="12">
        <v>351.29695036268998</v>
      </c>
      <c r="F30" s="42">
        <f t="shared" si="0"/>
        <v>351.29695036268998</v>
      </c>
      <c r="G30" s="12">
        <f t="shared" si="1"/>
        <v>0</v>
      </c>
      <c r="H30" s="12">
        <f t="shared" si="2"/>
        <v>-234.19796690845999</v>
      </c>
      <c r="I30" s="12"/>
      <c r="J30" s="48">
        <f>SUMIFS('PLAN BUDGET SAMI-JF'!BO13:BO100000,'PLAN BUDGET SAMI-JF'!D13:D100000,B30,'PLAN BUDGET SAMI-JF'!J13:J100000,A30&amp;"*")</f>
        <v>117.09898345422999</v>
      </c>
      <c r="K30" s="35">
        <f t="shared" si="3"/>
        <v>-0.66666666666666663</v>
      </c>
      <c r="L30" s="36"/>
      <c r="M30" s="50">
        <f t="shared" si="4"/>
        <v>0</v>
      </c>
    </row>
    <row r="31" spans="1:13" ht="16" customHeight="1" x14ac:dyDescent="0.35">
      <c r="A31" t="s">
        <v>47</v>
      </c>
      <c r="B31" s="7" t="s">
        <v>186</v>
      </c>
      <c r="C31" s="33" t="s">
        <v>525</v>
      </c>
      <c r="D31" s="34">
        <v>19.938475561126001</v>
      </c>
      <c r="E31" s="12">
        <v>19.938475561126001</v>
      </c>
      <c r="F31" s="42">
        <f t="shared" si="0"/>
        <v>19.938475561126001</v>
      </c>
      <c r="G31" s="12">
        <f t="shared" si="1"/>
        <v>39.876951122251</v>
      </c>
      <c r="H31" s="12">
        <f t="shared" si="2"/>
        <v>0</v>
      </c>
      <c r="I31" s="12"/>
      <c r="J31" s="48">
        <f>SUMIFS('PLAN BUDGET SAMI-JF'!BO13:BO100000,'PLAN BUDGET SAMI-JF'!D13:D100000,B31,'PLAN BUDGET SAMI-JF'!J13:J100000,A31&amp;"*")</f>
        <v>59.815426683376998</v>
      </c>
      <c r="K31" s="35">
        <f t="shared" si="3"/>
        <v>1.9999999999999498</v>
      </c>
      <c r="L31" s="36" t="s">
        <v>573</v>
      </c>
      <c r="M31" s="50">
        <f t="shared" si="4"/>
        <v>0</v>
      </c>
    </row>
    <row r="32" spans="1:13" ht="19" customHeight="1" x14ac:dyDescent="0.35">
      <c r="A32" t="s">
        <v>47</v>
      </c>
      <c r="B32" s="7" t="s">
        <v>292</v>
      </c>
      <c r="C32" s="33" t="s">
        <v>525</v>
      </c>
      <c r="D32" s="34">
        <v>0</v>
      </c>
      <c r="E32" s="12">
        <v>0</v>
      </c>
      <c r="F32" s="42">
        <f t="shared" si="0"/>
        <v>0</v>
      </c>
      <c r="G32" s="12">
        <f t="shared" si="1"/>
        <v>60.131910422441997</v>
      </c>
      <c r="H32" s="12">
        <f t="shared" si="2"/>
        <v>0</v>
      </c>
      <c r="I32" s="12"/>
      <c r="J32" s="48">
        <f>SUMIFS('PLAN BUDGET SAMI-JF'!BO13:BO100000,'PLAN BUDGET SAMI-JF'!D13:D100000,B32,'PLAN BUDGET SAMI-JF'!J13:J100000,A32&amp;"*")</f>
        <v>60.131910422441997</v>
      </c>
      <c r="K32" s="35">
        <f t="shared" si="3"/>
        <v>1</v>
      </c>
      <c r="L32" s="36" t="s">
        <v>574</v>
      </c>
      <c r="M32" s="50">
        <f t="shared" si="4"/>
        <v>0</v>
      </c>
    </row>
    <row r="33" spans="1:13" x14ac:dyDescent="0.35">
      <c r="A33" t="s">
        <v>47</v>
      </c>
      <c r="B33" s="7" t="s">
        <v>59</v>
      </c>
      <c r="C33" s="33" t="s">
        <v>525</v>
      </c>
      <c r="D33" s="34">
        <v>0</v>
      </c>
      <c r="E33" s="12">
        <v>0</v>
      </c>
      <c r="F33" s="42">
        <f t="shared" si="0"/>
        <v>0</v>
      </c>
      <c r="G33" s="12">
        <f t="shared" si="1"/>
        <v>12361.816943526639</v>
      </c>
      <c r="H33" s="12">
        <f t="shared" si="2"/>
        <v>0</v>
      </c>
      <c r="I33" s="12"/>
      <c r="J33" s="48">
        <f>SUMIFS('PLAN BUDGET SAMI-JF'!BO13:BO100000,'PLAN BUDGET SAMI-JF'!D13:D100000,B33,'PLAN BUDGET SAMI-JF'!J13:J100000,A33&amp;"*")</f>
        <v>12361.816943526639</v>
      </c>
      <c r="K33" s="35">
        <f t="shared" si="3"/>
        <v>1</v>
      </c>
      <c r="L33" s="36" t="s">
        <v>575</v>
      </c>
      <c r="M33" s="50">
        <f t="shared" si="4"/>
        <v>0</v>
      </c>
    </row>
    <row r="34" spans="1:13" x14ac:dyDescent="0.35">
      <c r="A34" t="s">
        <v>47</v>
      </c>
      <c r="B34" s="7" t="s">
        <v>43</v>
      </c>
      <c r="C34" s="33" t="s">
        <v>525</v>
      </c>
      <c r="D34" s="34">
        <v>237.35425923816001</v>
      </c>
      <c r="E34" s="12">
        <v>186.01401389997</v>
      </c>
      <c r="F34" s="42">
        <f t="shared" si="0"/>
        <v>186.01401389997</v>
      </c>
      <c r="G34" s="12">
        <f t="shared" si="1"/>
        <v>0</v>
      </c>
      <c r="H34" s="12">
        <f t="shared" si="2"/>
        <v>-5.0460800324109982</v>
      </c>
      <c r="I34" s="12"/>
      <c r="J34" s="48">
        <f>SUMIFS('PLAN BUDGET SAMI-JF'!BO13:BO100000,'PLAN BUDGET SAMI-JF'!D13:D100000,B34,'PLAN BUDGET SAMI-JF'!J13:J100000,A34&amp;"*")</f>
        <v>180.967933867559</v>
      </c>
      <c r="K34" s="35">
        <f t="shared" si="3"/>
        <v>-2.7127418663867735E-2</v>
      </c>
      <c r="L34" s="36"/>
      <c r="M34" s="50">
        <f t="shared" si="4"/>
        <v>0</v>
      </c>
    </row>
    <row r="35" spans="1:13" x14ac:dyDescent="0.35">
      <c r="A35" t="s">
        <v>47</v>
      </c>
      <c r="B35" s="7" t="s">
        <v>70</v>
      </c>
      <c r="C35" s="33" t="s">
        <v>525</v>
      </c>
      <c r="D35" s="34">
        <v>63.296747813096999</v>
      </c>
      <c r="E35" s="12">
        <v>58.233007988049998</v>
      </c>
      <c r="F35" s="42">
        <f t="shared" si="0"/>
        <v>58.233007988049998</v>
      </c>
      <c r="G35" s="12">
        <f t="shared" si="1"/>
        <v>1.7469902396410006</v>
      </c>
      <c r="H35" s="12">
        <f t="shared" si="2"/>
        <v>0</v>
      </c>
      <c r="I35" s="12"/>
      <c r="J35" s="48">
        <f>SUMIFS('PLAN BUDGET SAMI-JF'!BO13:BO100000,'PLAN BUDGET SAMI-JF'!D13:D100000,B35,'PLAN BUDGET SAMI-JF'!J13:J100000,A35&amp;"*")</f>
        <v>59.979998227690999</v>
      </c>
      <c r="K35" s="35">
        <f t="shared" si="3"/>
        <v>2.9999999999991426E-2</v>
      </c>
      <c r="L35" s="36"/>
      <c r="M35" s="50">
        <f t="shared" si="4"/>
        <v>0</v>
      </c>
    </row>
    <row r="36" spans="1:13" x14ac:dyDescent="0.35">
      <c r="A36" t="s">
        <v>47</v>
      </c>
      <c r="B36" s="7" t="s">
        <v>79</v>
      </c>
      <c r="C36" s="33" t="s">
        <v>525</v>
      </c>
      <c r="D36" s="34">
        <v>0</v>
      </c>
      <c r="E36" s="12">
        <v>0</v>
      </c>
      <c r="F36" s="42">
        <f t="shared" si="0"/>
        <v>0</v>
      </c>
      <c r="G36" s="12">
        <f t="shared" si="1"/>
        <v>741.72185430464003</v>
      </c>
      <c r="H36" s="12">
        <f t="shared" si="2"/>
        <v>0</v>
      </c>
      <c r="I36" s="12"/>
      <c r="J36" s="48">
        <f>SUMIFS('PLAN BUDGET SAMI-JF'!BO13:BO100000,'PLAN BUDGET SAMI-JF'!D13:D100000,B36,'PLAN BUDGET SAMI-JF'!J13:J100000,A36&amp;"*")</f>
        <v>741.72185430464003</v>
      </c>
      <c r="K36" s="35">
        <f t="shared" si="3"/>
        <v>1</v>
      </c>
      <c r="L36" s="36" t="s">
        <v>576</v>
      </c>
      <c r="M36" s="50">
        <f t="shared" si="4"/>
        <v>0</v>
      </c>
    </row>
    <row r="37" spans="1:13" x14ac:dyDescent="0.35">
      <c r="A37" t="s">
        <v>47</v>
      </c>
      <c r="B37" s="7" t="s">
        <v>110</v>
      </c>
      <c r="C37" s="33" t="s">
        <v>525</v>
      </c>
      <c r="D37" s="34">
        <v>1203.9041434051001</v>
      </c>
      <c r="E37" s="12">
        <v>1005.7853227501</v>
      </c>
      <c r="F37" s="42">
        <f t="shared" si="0"/>
        <v>1005.7853227501</v>
      </c>
      <c r="G37" s="12">
        <f t="shared" si="1"/>
        <v>494.34760042029984</v>
      </c>
      <c r="H37" s="12">
        <f t="shared" si="2"/>
        <v>0</v>
      </c>
      <c r="I37" s="12"/>
      <c r="J37" s="48">
        <f>SUMIFS('PLAN BUDGET SAMI-JF'!BO13:BO100000,'PLAN BUDGET SAMI-JF'!D13:D100000,B37,'PLAN BUDGET SAMI-JF'!J13:J100000,A37&amp;"*")</f>
        <v>1500.1329231703999</v>
      </c>
      <c r="K37" s="35">
        <f t="shared" si="3"/>
        <v>0.49150409062305106</v>
      </c>
      <c r="L37" s="36" t="s">
        <v>577</v>
      </c>
      <c r="M37" s="50">
        <f t="shared" si="4"/>
        <v>0</v>
      </c>
    </row>
    <row r="38" spans="1:13" x14ac:dyDescent="0.35">
      <c r="A38" t="s">
        <v>47</v>
      </c>
      <c r="B38" s="7" t="s">
        <v>54</v>
      </c>
      <c r="C38" s="33" t="s">
        <v>525</v>
      </c>
      <c r="D38" s="34">
        <v>75.956097375716993</v>
      </c>
      <c r="E38" s="12">
        <v>0</v>
      </c>
      <c r="F38" s="42">
        <f t="shared" si="0"/>
        <v>0</v>
      </c>
      <c r="G38" s="12">
        <f t="shared" si="1"/>
        <v>151.91219475143299</v>
      </c>
      <c r="H38" s="12">
        <f t="shared" si="2"/>
        <v>0</v>
      </c>
      <c r="I38" s="12"/>
      <c r="J38" s="48">
        <f>SUMIFS('PLAN BUDGET SAMI-JF'!BO13:BO100000,'PLAN BUDGET SAMI-JF'!D13:D100000,B38,'PLAN BUDGET SAMI-JF'!J13:J100000,A38&amp;"*")</f>
        <v>151.91219475143299</v>
      </c>
      <c r="K38" s="35">
        <f t="shared" si="3"/>
        <v>1</v>
      </c>
      <c r="L38" s="36" t="s">
        <v>578</v>
      </c>
      <c r="M38" s="50">
        <f t="shared" si="4"/>
        <v>0</v>
      </c>
    </row>
    <row r="39" spans="1:13" x14ac:dyDescent="0.35">
      <c r="A39" t="s">
        <v>47</v>
      </c>
      <c r="B39" s="7" t="s">
        <v>233</v>
      </c>
      <c r="C39" s="33" t="s">
        <v>525</v>
      </c>
      <c r="D39" s="34">
        <v>227.86829212715</v>
      </c>
      <c r="E39" s="12">
        <v>227.86829212715</v>
      </c>
      <c r="F39" s="42">
        <f t="shared" si="0"/>
        <v>227.86829212715</v>
      </c>
      <c r="G39" s="12">
        <f t="shared" si="1"/>
        <v>9.9475983006414026E-13</v>
      </c>
      <c r="H39" s="12">
        <f t="shared" si="2"/>
        <v>0</v>
      </c>
      <c r="I39" s="12"/>
      <c r="J39" s="48">
        <f>SUMIFS('PLAN BUDGET SAMI-JF'!BO13:BO100000,'PLAN BUDGET SAMI-JF'!D13:D100000,B39,'PLAN BUDGET SAMI-JF'!J13:J100000,A39&amp;"*")</f>
        <v>227.86829212715099</v>
      </c>
      <c r="K39" s="35">
        <f t="shared" si="3"/>
        <v>4.3655035142364889E-15</v>
      </c>
      <c r="L39" s="36"/>
      <c r="M39" s="50">
        <f t="shared" si="4"/>
        <v>0</v>
      </c>
    </row>
    <row r="40" spans="1:13" x14ac:dyDescent="0.35">
      <c r="A40" t="s">
        <v>47</v>
      </c>
      <c r="B40" s="7" t="s">
        <v>189</v>
      </c>
      <c r="C40" s="33" t="s">
        <v>525</v>
      </c>
      <c r="D40" s="34">
        <v>47.472560859822998</v>
      </c>
      <c r="E40" s="12">
        <v>47.472560859822998</v>
      </c>
      <c r="F40" s="42">
        <f t="shared" si="0"/>
        <v>47.472560859822998</v>
      </c>
      <c r="G40" s="12">
        <f t="shared" si="1"/>
        <v>0</v>
      </c>
      <c r="H40" s="12">
        <f t="shared" si="2"/>
        <v>0</v>
      </c>
      <c r="I40" s="12"/>
      <c r="J40" s="48">
        <f>SUMIFS('PLAN BUDGET SAMI-JF'!BO13:BO100000,'PLAN BUDGET SAMI-JF'!D13:D100000,B40,'PLAN BUDGET SAMI-JF'!J13:J100000,A40&amp;"*")</f>
        <v>47.472560859822998</v>
      </c>
      <c r="K40" s="35">
        <f t="shared" si="3"/>
        <v>0</v>
      </c>
      <c r="L40" s="36"/>
      <c r="M40" s="50">
        <f t="shared" si="4"/>
        <v>0</v>
      </c>
    </row>
    <row r="41" spans="1:13" x14ac:dyDescent="0.35">
      <c r="A41" t="s">
        <v>47</v>
      </c>
      <c r="B41" s="7" t="s">
        <v>101</v>
      </c>
      <c r="C41" s="33" t="s">
        <v>525</v>
      </c>
      <c r="D41" s="34">
        <v>1976.1244667249</v>
      </c>
      <c r="E41" s="12">
        <v>1556.4670287240999</v>
      </c>
      <c r="F41" s="42">
        <f t="shared" si="0"/>
        <v>1556.4670287240999</v>
      </c>
      <c r="G41" s="12">
        <f t="shared" si="1"/>
        <v>1108.3260542072965</v>
      </c>
      <c r="H41" s="12">
        <f t="shared" si="2"/>
        <v>0</v>
      </c>
      <c r="I41" s="12"/>
      <c r="J41" s="48">
        <f>SUMIFS('PLAN BUDGET SAMI-JF'!BO13:BO100000,'PLAN BUDGET SAMI-JF'!D13:D100000,B41,'PLAN BUDGET SAMI-JF'!J13:J100000,A41&amp;"*")</f>
        <v>2664.7930829313964</v>
      </c>
      <c r="K41" s="35">
        <f t="shared" si="3"/>
        <v>0.71207808052049582</v>
      </c>
      <c r="L41" s="36" t="s">
        <v>577</v>
      </c>
      <c r="M41" s="50">
        <f t="shared" si="4"/>
        <v>0</v>
      </c>
    </row>
    <row r="42" spans="1:13" ht="29" x14ac:dyDescent="0.35">
      <c r="A42" t="s">
        <v>47</v>
      </c>
      <c r="B42" s="7" t="s">
        <v>282</v>
      </c>
      <c r="C42" s="33" t="s">
        <v>525</v>
      </c>
      <c r="D42" s="34">
        <v>1022.6728950667</v>
      </c>
      <c r="E42" s="12">
        <v>1014.9253731343</v>
      </c>
      <c r="F42" s="42">
        <f t="shared" si="0"/>
        <v>1014.9253731343</v>
      </c>
      <c r="G42" s="12">
        <f t="shared" si="1"/>
        <v>994.11340245338022</v>
      </c>
      <c r="H42" s="12">
        <f t="shared" si="2"/>
        <v>0</v>
      </c>
      <c r="I42" s="12"/>
      <c r="J42" s="48">
        <f>SUMIFS('PLAN BUDGET SAMI-JF'!BO13:BO100000,'PLAN BUDGET SAMI-JF'!D13:D100000,B42,'PLAN BUDGET SAMI-JF'!J13:J100000,A42&amp;"*")</f>
        <v>2009.0387755876802</v>
      </c>
      <c r="K42" s="35">
        <f t="shared" si="3"/>
        <v>0.97949408771144608</v>
      </c>
      <c r="L42" s="36" t="s">
        <v>579</v>
      </c>
      <c r="M42" s="50">
        <f t="shared" si="4"/>
        <v>0</v>
      </c>
    </row>
    <row r="43" spans="1:13" x14ac:dyDescent="0.35">
      <c r="A43" t="s">
        <v>47</v>
      </c>
      <c r="B43" s="7" t="s">
        <v>259</v>
      </c>
      <c r="C43" s="33" t="s">
        <v>525</v>
      </c>
      <c r="D43" s="34">
        <v>0</v>
      </c>
      <c r="E43" s="12">
        <v>0</v>
      </c>
      <c r="F43" s="42">
        <f t="shared" si="0"/>
        <v>0</v>
      </c>
      <c r="G43" s="12">
        <f t="shared" si="1"/>
        <v>110.76930867292</v>
      </c>
      <c r="H43" s="12">
        <f t="shared" si="2"/>
        <v>0</v>
      </c>
      <c r="I43" s="12"/>
      <c r="J43" s="48">
        <f>SUMIFS('PLAN BUDGET SAMI-JF'!BO13:BO100000,'PLAN BUDGET SAMI-JF'!D13:D100000,B43,'PLAN BUDGET SAMI-JF'!J13:J100000,A43&amp;"*")</f>
        <v>110.76930867292</v>
      </c>
      <c r="K43" s="35">
        <f t="shared" si="3"/>
        <v>1</v>
      </c>
      <c r="L43" s="36" t="s">
        <v>571</v>
      </c>
      <c r="M43" s="50">
        <f t="shared" si="4"/>
        <v>0</v>
      </c>
    </row>
    <row r="44" spans="1:13" x14ac:dyDescent="0.35">
      <c r="A44" t="s">
        <v>47</v>
      </c>
      <c r="B44" s="7" t="s">
        <v>203</v>
      </c>
      <c r="C44" s="33" t="s">
        <v>525</v>
      </c>
      <c r="D44" s="34">
        <v>0</v>
      </c>
      <c r="E44" s="12">
        <v>0</v>
      </c>
      <c r="F44" s="42">
        <f t="shared" si="0"/>
        <v>0</v>
      </c>
      <c r="G44" s="12">
        <f t="shared" si="1"/>
        <v>2.2786829212714999</v>
      </c>
      <c r="H44" s="12">
        <f t="shared" si="2"/>
        <v>0</v>
      </c>
      <c r="I44" s="12"/>
      <c r="J44" s="48">
        <f>SUMIFS('PLAN BUDGET SAMI-JF'!BO13:BO100000,'PLAN BUDGET SAMI-JF'!D13:D100000,B44,'PLAN BUDGET SAMI-JF'!J13:J100000,A44&amp;"*")</f>
        <v>2.2786829212714999</v>
      </c>
      <c r="K44" s="35">
        <f t="shared" si="3"/>
        <v>1</v>
      </c>
      <c r="L44" s="36" t="s">
        <v>571</v>
      </c>
      <c r="M44" s="50">
        <f t="shared" si="4"/>
        <v>0</v>
      </c>
    </row>
    <row r="45" spans="1:13" x14ac:dyDescent="0.35">
      <c r="A45" t="s">
        <v>47</v>
      </c>
      <c r="B45" s="7" t="s">
        <v>330</v>
      </c>
      <c r="C45" s="33" t="s">
        <v>525</v>
      </c>
      <c r="D45" s="34">
        <v>14.241768257946999</v>
      </c>
      <c r="E45" s="12">
        <v>14.241768257946999</v>
      </c>
      <c r="F45" s="42">
        <f t="shared" si="0"/>
        <v>14.241768257946999</v>
      </c>
      <c r="G45" s="12">
        <f t="shared" si="1"/>
        <v>0</v>
      </c>
      <c r="H45" s="12">
        <f t="shared" si="2"/>
        <v>-8.5450609547682994</v>
      </c>
      <c r="I45" s="12"/>
      <c r="J45" s="48">
        <f>SUMIFS('PLAN BUDGET SAMI-JF'!BO13:BO100000,'PLAN BUDGET SAMI-JF'!D13:D100000,B45,'PLAN BUDGET SAMI-JF'!J13:J100000,A45&amp;"*")</f>
        <v>5.6967073031786999</v>
      </c>
      <c r="K45" s="35">
        <f t="shared" si="3"/>
        <v>-0.60000000000000697</v>
      </c>
      <c r="L45" s="36"/>
      <c r="M45" s="50">
        <f t="shared" si="4"/>
        <v>0</v>
      </c>
    </row>
    <row r="46" spans="1:13" x14ac:dyDescent="0.35">
      <c r="A46" t="s">
        <v>47</v>
      </c>
      <c r="B46" s="7" t="s">
        <v>73</v>
      </c>
      <c r="C46" s="33" t="s">
        <v>525</v>
      </c>
      <c r="D46" s="34">
        <v>0</v>
      </c>
      <c r="E46" s="12">
        <v>0</v>
      </c>
      <c r="F46" s="42">
        <f t="shared" ref="F46:F77" si="5">IF(C46="F",E46,E46/$E$12*$F$12)</f>
        <v>0</v>
      </c>
      <c r="G46" s="12">
        <f t="shared" ref="G46:G77" si="6">IF(F46&lt;J46,J46-F46,0)</f>
        <v>53554.598478997628</v>
      </c>
      <c r="H46" s="12">
        <f t="shared" ref="H46:H77" si="7">IF(F46&gt;J46,J46-F46,0)</f>
        <v>0</v>
      </c>
      <c r="I46" s="12"/>
      <c r="J46" s="48">
        <f>SUMIFS('PLAN BUDGET SAMI-JF'!BO13:BO100000,'PLAN BUDGET SAMI-JF'!D13:D100000,B46,'PLAN BUDGET SAMI-JF'!J13:J100000,A46&amp;"*")</f>
        <v>53554.598478997628</v>
      </c>
      <c r="K46" s="35">
        <f t="shared" ref="K46:K77" si="8">IFERROR(IF(F46&gt;0,(J46-F46)/F46,100%),0)</f>
        <v>1</v>
      </c>
      <c r="L46" s="36" t="s">
        <v>580</v>
      </c>
      <c r="M46" s="50">
        <f t="shared" ref="M46:M77" si="9">J46-SUM(F46:I46)</f>
        <v>0</v>
      </c>
    </row>
    <row r="47" spans="1:13" x14ac:dyDescent="0.35">
      <c r="A47" t="s">
        <v>47</v>
      </c>
      <c r="B47" s="7" t="s">
        <v>163</v>
      </c>
      <c r="C47" s="33" t="s">
        <v>525</v>
      </c>
      <c r="D47" s="34">
        <v>0</v>
      </c>
      <c r="E47" s="12">
        <v>0</v>
      </c>
      <c r="F47" s="42">
        <f t="shared" si="5"/>
        <v>0</v>
      </c>
      <c r="G47" s="12">
        <f t="shared" si="6"/>
        <v>132.92317040750001</v>
      </c>
      <c r="H47" s="12">
        <f t="shared" si="7"/>
        <v>0</v>
      </c>
      <c r="I47" s="12"/>
      <c r="J47" s="48">
        <f>SUMIFS('PLAN BUDGET SAMI-JF'!BO13:BO100000,'PLAN BUDGET SAMI-JF'!D13:D100000,B47,'PLAN BUDGET SAMI-JF'!J13:J100000,A47&amp;"*")</f>
        <v>132.92317040750001</v>
      </c>
      <c r="K47" s="35">
        <f t="shared" si="8"/>
        <v>1</v>
      </c>
      <c r="L47" s="36" t="s">
        <v>568</v>
      </c>
      <c r="M47" s="50">
        <f t="shared" si="9"/>
        <v>0</v>
      </c>
    </row>
    <row r="48" spans="1:13" x14ac:dyDescent="0.35">
      <c r="A48" t="s">
        <v>47</v>
      </c>
      <c r="B48" s="7" t="s">
        <v>326</v>
      </c>
      <c r="C48" s="33" t="s">
        <v>525</v>
      </c>
      <c r="D48" s="34">
        <v>0</v>
      </c>
      <c r="E48" s="12">
        <v>0</v>
      </c>
      <c r="F48" s="42">
        <f t="shared" si="5"/>
        <v>0</v>
      </c>
      <c r="G48" s="12">
        <f t="shared" si="6"/>
        <v>1164.6601597609999</v>
      </c>
      <c r="H48" s="12">
        <f t="shared" si="7"/>
        <v>0</v>
      </c>
      <c r="I48" s="12"/>
      <c r="J48" s="48">
        <f>SUMIFS('PLAN BUDGET SAMI-JF'!BO13:BO100000,'PLAN BUDGET SAMI-JF'!D13:D100000,B48,'PLAN BUDGET SAMI-JF'!J13:J100000,A48&amp;"*")</f>
        <v>1164.6601597609999</v>
      </c>
      <c r="K48" s="35">
        <f t="shared" si="8"/>
        <v>1</v>
      </c>
      <c r="L48" s="36" t="s">
        <v>581</v>
      </c>
      <c r="M48" s="50">
        <f t="shared" si="9"/>
        <v>0</v>
      </c>
    </row>
    <row r="49" spans="1:13" x14ac:dyDescent="0.35">
      <c r="A49" t="s">
        <v>47</v>
      </c>
      <c r="B49" s="7" t="s">
        <v>340</v>
      </c>
      <c r="C49" s="33" t="s">
        <v>525</v>
      </c>
      <c r="D49" s="34">
        <v>284.83536515894002</v>
      </c>
      <c r="E49" s="12">
        <v>265.84634081501002</v>
      </c>
      <c r="F49" s="42">
        <f t="shared" si="5"/>
        <v>265.84634081501002</v>
      </c>
      <c r="G49" s="12">
        <f t="shared" si="6"/>
        <v>17.75473776156997</v>
      </c>
      <c r="H49" s="12">
        <f t="shared" si="7"/>
        <v>0</v>
      </c>
      <c r="I49" s="12"/>
      <c r="J49" s="48">
        <f>SUMIFS('PLAN BUDGET SAMI-JF'!BO13:BO100000,'PLAN BUDGET SAMI-JF'!D13:D100000,B49,'PLAN BUDGET SAMI-JF'!J13:J100000,A49&amp;"*")</f>
        <v>283.60107857657999</v>
      </c>
      <c r="K49" s="35">
        <f t="shared" si="8"/>
        <v>6.6785714285699571E-2</v>
      </c>
      <c r="L49" s="36"/>
      <c r="M49" s="50">
        <f t="shared" si="9"/>
        <v>0</v>
      </c>
    </row>
    <row r="50" spans="1:13" x14ac:dyDescent="0.35">
      <c r="A50" t="s">
        <v>47</v>
      </c>
      <c r="B50" s="7" t="s">
        <v>182</v>
      </c>
      <c r="C50" s="33" t="s">
        <v>525</v>
      </c>
      <c r="D50" s="34">
        <v>204.44849543629999</v>
      </c>
      <c r="E50" s="12">
        <v>88.615446938336007</v>
      </c>
      <c r="F50" s="42">
        <f t="shared" si="5"/>
        <v>88.615446938336007</v>
      </c>
      <c r="G50" s="12">
        <f t="shared" si="6"/>
        <v>20.887926778321997</v>
      </c>
      <c r="H50" s="12">
        <f t="shared" si="7"/>
        <v>0</v>
      </c>
      <c r="I50" s="12"/>
      <c r="J50" s="48">
        <f>SUMIFS('PLAN BUDGET SAMI-JF'!BO13:BO100000,'PLAN BUDGET SAMI-JF'!D13:D100000,B50,'PLAN BUDGET SAMI-JF'!J13:J100000,A50&amp;"*")</f>
        <v>109.503373716658</v>
      </c>
      <c r="K50" s="35">
        <f t="shared" si="8"/>
        <v>0.23571428571428502</v>
      </c>
      <c r="L50" s="36" t="s">
        <v>582</v>
      </c>
      <c r="M50" s="50">
        <f t="shared" si="9"/>
        <v>0</v>
      </c>
    </row>
    <row r="51" spans="1:13" x14ac:dyDescent="0.35">
      <c r="A51" t="s">
        <v>47</v>
      </c>
      <c r="B51" s="7" t="s">
        <v>87</v>
      </c>
      <c r="C51" s="33" t="s">
        <v>525</v>
      </c>
      <c r="D51" s="34">
        <v>557.51775473776001</v>
      </c>
      <c r="E51" s="12">
        <v>417.75853556644</v>
      </c>
      <c r="F51" s="42">
        <f t="shared" si="5"/>
        <v>417.75853556644</v>
      </c>
      <c r="G51" s="12">
        <f t="shared" si="6"/>
        <v>0</v>
      </c>
      <c r="H51" s="12">
        <f t="shared" si="7"/>
        <v>-341.16947071259199</v>
      </c>
      <c r="I51" s="12"/>
      <c r="J51" s="48">
        <f>SUMIFS('PLAN BUDGET SAMI-JF'!BO13:BO100000,'PLAN BUDGET SAMI-JF'!D13:D100000,B51,'PLAN BUDGET SAMI-JF'!J13:J100000,A51&amp;"*")</f>
        <v>76.589064853848001</v>
      </c>
      <c r="K51" s="35">
        <f t="shared" si="8"/>
        <v>-0.81666666666666499</v>
      </c>
      <c r="L51" s="36"/>
      <c r="M51" s="50">
        <f t="shared" si="9"/>
        <v>0</v>
      </c>
    </row>
    <row r="52" spans="1:13" x14ac:dyDescent="0.35">
      <c r="A52" t="s">
        <v>47</v>
      </c>
      <c r="B52" s="7" t="s">
        <v>210</v>
      </c>
      <c r="C52" s="33" t="s">
        <v>525</v>
      </c>
      <c r="D52" s="34">
        <v>0</v>
      </c>
      <c r="E52" s="12">
        <v>0</v>
      </c>
      <c r="F52" s="42">
        <f t="shared" si="5"/>
        <v>0</v>
      </c>
      <c r="G52" s="12">
        <f t="shared" si="6"/>
        <v>269.01117820565997</v>
      </c>
      <c r="H52" s="12">
        <f t="shared" si="7"/>
        <v>0</v>
      </c>
      <c r="I52" s="12"/>
      <c r="J52" s="48">
        <f>SUMIFS('PLAN BUDGET SAMI-JF'!BO13:BO100000,'PLAN BUDGET SAMI-JF'!D13:D100000,B52,'PLAN BUDGET SAMI-JF'!J13:J100000,A52&amp;"*")</f>
        <v>269.01117820565997</v>
      </c>
      <c r="K52" s="35">
        <f t="shared" si="8"/>
        <v>1</v>
      </c>
      <c r="L52" s="36" t="s">
        <v>583</v>
      </c>
      <c r="M52" s="50">
        <f t="shared" si="9"/>
        <v>0</v>
      </c>
    </row>
    <row r="53" spans="1:13" x14ac:dyDescent="0.35">
      <c r="A53" t="s">
        <v>355</v>
      </c>
      <c r="B53" s="7" t="s">
        <v>420</v>
      </c>
      <c r="C53" s="33" t="s">
        <v>525</v>
      </c>
      <c r="D53" s="34">
        <v>0</v>
      </c>
      <c r="E53" s="12">
        <v>124.06162571367</v>
      </c>
      <c r="F53" s="42">
        <f t="shared" si="5"/>
        <v>124.06162571367</v>
      </c>
      <c r="G53" s="12">
        <f t="shared" si="6"/>
        <v>248.12325142734002</v>
      </c>
      <c r="H53" s="12">
        <f t="shared" si="7"/>
        <v>0</v>
      </c>
      <c r="I53" s="12"/>
      <c r="J53" s="48">
        <f>SUMIFS('PLAN BUDGET SAMI-JF'!BO13:BO100000,'PLAN BUDGET SAMI-JF'!D13:D100000,B53,'PLAN BUDGET SAMI-JF'!J13:J100000,A53&amp;"*")</f>
        <v>372.18487714101002</v>
      </c>
      <c r="K53" s="35">
        <f t="shared" si="8"/>
        <v>2.0000000000000004</v>
      </c>
      <c r="L53" s="36" t="s">
        <v>584</v>
      </c>
      <c r="M53" s="50">
        <f t="shared" si="9"/>
        <v>0</v>
      </c>
    </row>
    <row r="54" spans="1:13" x14ac:dyDescent="0.35">
      <c r="A54" t="s">
        <v>355</v>
      </c>
      <c r="B54" s="7" t="s">
        <v>242</v>
      </c>
      <c r="C54" s="33" t="s">
        <v>525</v>
      </c>
      <c r="D54" s="34">
        <v>0</v>
      </c>
      <c r="E54" s="12">
        <v>0</v>
      </c>
      <c r="F54" s="42">
        <f t="shared" si="5"/>
        <v>0</v>
      </c>
      <c r="G54" s="12">
        <f t="shared" si="6"/>
        <v>35.446178775335</v>
      </c>
      <c r="H54" s="12">
        <f t="shared" si="7"/>
        <v>0</v>
      </c>
      <c r="I54" s="12"/>
      <c r="J54" s="48">
        <f>SUMIFS('PLAN BUDGET SAMI-JF'!BO13:BO100000,'PLAN BUDGET SAMI-JF'!D13:D100000,B54,'PLAN BUDGET SAMI-JF'!J13:J100000,A54&amp;"*")</f>
        <v>35.446178775335</v>
      </c>
      <c r="K54" s="35">
        <f t="shared" si="8"/>
        <v>1</v>
      </c>
      <c r="L54" s="36" t="s">
        <v>585</v>
      </c>
      <c r="M54" s="50">
        <f t="shared" si="9"/>
        <v>0</v>
      </c>
    </row>
    <row r="55" spans="1:13" x14ac:dyDescent="0.35">
      <c r="A55" t="s">
        <v>355</v>
      </c>
      <c r="B55" s="7" t="s">
        <v>123</v>
      </c>
      <c r="C55" s="33" t="s">
        <v>525</v>
      </c>
      <c r="D55" s="34">
        <v>0</v>
      </c>
      <c r="E55" s="12">
        <v>0</v>
      </c>
      <c r="F55" s="42">
        <f t="shared" si="5"/>
        <v>0</v>
      </c>
      <c r="G55" s="12">
        <f t="shared" si="6"/>
        <v>2933.1712936590002</v>
      </c>
      <c r="H55" s="12">
        <f t="shared" si="7"/>
        <v>0</v>
      </c>
      <c r="I55" s="12"/>
      <c r="J55" s="48">
        <f>SUMIFS('PLAN BUDGET SAMI-JF'!BO13:BO100000,'PLAN BUDGET SAMI-JF'!D13:D100000,B55,'PLAN BUDGET SAMI-JF'!J13:J100000,A55&amp;"*")</f>
        <v>2933.1712936590002</v>
      </c>
      <c r="K55" s="35">
        <f t="shared" si="8"/>
        <v>1</v>
      </c>
      <c r="L55" s="36" t="s">
        <v>586</v>
      </c>
      <c r="M55" s="50">
        <f t="shared" si="9"/>
        <v>0</v>
      </c>
    </row>
    <row r="56" spans="1:13" x14ac:dyDescent="0.35">
      <c r="A56" t="s">
        <v>355</v>
      </c>
      <c r="B56" s="7" t="s">
        <v>380</v>
      </c>
      <c r="C56" s="33" t="s">
        <v>525</v>
      </c>
      <c r="D56" s="34">
        <v>1313.4075171218001</v>
      </c>
      <c r="E56" s="12">
        <v>1170.9898345423001</v>
      </c>
      <c r="F56" s="42">
        <f t="shared" si="5"/>
        <v>1170.9898345423001</v>
      </c>
      <c r="G56" s="12">
        <f t="shared" si="6"/>
        <v>0</v>
      </c>
      <c r="H56" s="12">
        <f t="shared" si="7"/>
        <v>-650.37408377957649</v>
      </c>
      <c r="I56" s="12"/>
      <c r="J56" s="48">
        <f>SUMIFS('PLAN BUDGET SAMI-JF'!BO13:BO100000,'PLAN BUDGET SAMI-JF'!D13:D100000,B56,'PLAN BUDGET SAMI-JF'!J13:J100000,A56&amp;"*")</f>
        <v>520.61575076272356</v>
      </c>
      <c r="K56" s="35">
        <f t="shared" si="8"/>
        <v>-0.55540540540540684</v>
      </c>
      <c r="L56" s="36"/>
      <c r="M56" s="50">
        <f t="shared" si="9"/>
        <v>0</v>
      </c>
    </row>
    <row r="57" spans="1:13" x14ac:dyDescent="0.35">
      <c r="A57" t="s">
        <v>355</v>
      </c>
      <c r="B57" s="7" t="s">
        <v>409</v>
      </c>
      <c r="C57" s="33" t="s">
        <v>525</v>
      </c>
      <c r="D57" s="34">
        <v>50.637398250478</v>
      </c>
      <c r="E57" s="12">
        <v>50.637398250478</v>
      </c>
      <c r="F57" s="42">
        <f t="shared" si="5"/>
        <v>50.637398250478</v>
      </c>
      <c r="G57" s="12">
        <f t="shared" si="6"/>
        <v>5.3802235641130025</v>
      </c>
      <c r="H57" s="12">
        <f t="shared" si="7"/>
        <v>0</v>
      </c>
      <c r="I57" s="12"/>
      <c r="J57" s="48">
        <f>SUMIFS('PLAN BUDGET SAMI-JF'!BO13:BO100000,'PLAN BUDGET SAMI-JF'!D13:D100000,B57,'PLAN BUDGET SAMI-JF'!J13:J100000,A57&amp;"*")</f>
        <v>56.017621814591003</v>
      </c>
      <c r="K57" s="35">
        <f t="shared" si="8"/>
        <v>0.10624999999999438</v>
      </c>
      <c r="L57" s="36" t="s">
        <v>587</v>
      </c>
      <c r="M57" s="50">
        <f t="shared" si="9"/>
        <v>0</v>
      </c>
    </row>
    <row r="58" spans="1:13" x14ac:dyDescent="0.35">
      <c r="A58" t="s">
        <v>355</v>
      </c>
      <c r="B58" s="7" t="s">
        <v>441</v>
      </c>
      <c r="C58" s="33" t="s">
        <v>525</v>
      </c>
      <c r="D58" s="34">
        <v>11.393414606358</v>
      </c>
      <c r="E58" s="12">
        <v>11.393414606358</v>
      </c>
      <c r="F58" s="42">
        <f t="shared" si="5"/>
        <v>11.393414606358</v>
      </c>
      <c r="G58" s="12">
        <f t="shared" si="6"/>
        <v>2.2153861734580005</v>
      </c>
      <c r="H58" s="12">
        <f t="shared" si="7"/>
        <v>0</v>
      </c>
      <c r="I58" s="12"/>
      <c r="J58" s="48">
        <f>SUMIFS('PLAN BUDGET SAMI-JF'!BO13:BO100000,'PLAN BUDGET SAMI-JF'!D13:D100000,B58,'PLAN BUDGET SAMI-JF'!J13:J100000,A58&amp;"*")</f>
        <v>13.608800779816001</v>
      </c>
      <c r="K58" s="35">
        <f t="shared" si="8"/>
        <v>0.19444444444440059</v>
      </c>
      <c r="L58" s="36" t="s">
        <v>587</v>
      </c>
      <c r="M58" s="50">
        <f t="shared" si="9"/>
        <v>0</v>
      </c>
    </row>
    <row r="59" spans="1:13" x14ac:dyDescent="0.35">
      <c r="A59" t="s">
        <v>355</v>
      </c>
      <c r="B59" s="7" t="s">
        <v>353</v>
      </c>
      <c r="C59" s="33" t="s">
        <v>525</v>
      </c>
      <c r="D59" s="34">
        <v>0</v>
      </c>
      <c r="E59" s="12">
        <v>0</v>
      </c>
      <c r="F59" s="42">
        <f t="shared" si="5"/>
        <v>0</v>
      </c>
      <c r="G59" s="12">
        <f t="shared" si="6"/>
        <v>37.978048687857999</v>
      </c>
      <c r="H59" s="12">
        <f t="shared" si="7"/>
        <v>0</v>
      </c>
      <c r="I59" s="12"/>
      <c r="J59" s="48">
        <f>SUMIFS('PLAN BUDGET SAMI-JF'!BO13:BO100000,'PLAN BUDGET SAMI-JF'!D13:D100000,B59,'PLAN BUDGET SAMI-JF'!J13:J100000,A59&amp;"*")</f>
        <v>37.978048687857999</v>
      </c>
      <c r="K59" s="35">
        <f t="shared" si="8"/>
        <v>1</v>
      </c>
      <c r="L59" s="36" t="s">
        <v>587</v>
      </c>
      <c r="M59" s="50">
        <f t="shared" si="9"/>
        <v>0</v>
      </c>
    </row>
    <row r="60" spans="1:13" x14ac:dyDescent="0.35">
      <c r="A60" t="s">
        <v>355</v>
      </c>
      <c r="B60" s="7" t="s">
        <v>372</v>
      </c>
      <c r="C60" s="33" t="s">
        <v>525</v>
      </c>
      <c r="D60" s="34">
        <v>0</v>
      </c>
      <c r="E60" s="12">
        <v>0</v>
      </c>
      <c r="F60" s="42">
        <f t="shared" si="5"/>
        <v>0</v>
      </c>
      <c r="G60" s="12">
        <f t="shared" si="6"/>
        <v>75.956097375716993</v>
      </c>
      <c r="H60" s="12">
        <f t="shared" si="7"/>
        <v>0</v>
      </c>
      <c r="I60" s="12"/>
      <c r="J60" s="48">
        <f>SUMIFS('PLAN BUDGET SAMI-JF'!BO13:BO100000,'PLAN BUDGET SAMI-JF'!D13:D100000,B60,'PLAN BUDGET SAMI-JF'!J13:J100000,A60&amp;"*")</f>
        <v>75.956097375716993</v>
      </c>
      <c r="K60" s="35">
        <f t="shared" si="8"/>
        <v>1</v>
      </c>
      <c r="L60" s="36" t="s">
        <v>587</v>
      </c>
      <c r="M60" s="50">
        <f t="shared" si="9"/>
        <v>0</v>
      </c>
    </row>
    <row r="61" spans="1:13" x14ac:dyDescent="0.35">
      <c r="A61" t="s">
        <v>355</v>
      </c>
      <c r="B61" s="7" t="s">
        <v>59</v>
      </c>
      <c r="C61" s="33" t="s">
        <v>525</v>
      </c>
      <c r="D61" s="34">
        <v>0</v>
      </c>
      <c r="E61" s="12">
        <v>0</v>
      </c>
      <c r="F61" s="42">
        <f t="shared" si="5"/>
        <v>0</v>
      </c>
      <c r="G61" s="12">
        <f t="shared" si="6"/>
        <v>2278.6829212714974</v>
      </c>
      <c r="H61" s="12">
        <f t="shared" si="7"/>
        <v>0</v>
      </c>
      <c r="I61" s="12"/>
      <c r="J61" s="48">
        <f>SUMIFS('PLAN BUDGET SAMI-JF'!BO13:BO100000,'PLAN BUDGET SAMI-JF'!D13:D100000,B61,'PLAN BUDGET SAMI-JF'!J13:J100000,A61&amp;"*")</f>
        <v>2278.6829212714974</v>
      </c>
      <c r="K61" s="35">
        <f t="shared" si="8"/>
        <v>1</v>
      </c>
      <c r="L61" s="36" t="s">
        <v>358</v>
      </c>
      <c r="M61" s="50">
        <f t="shared" si="9"/>
        <v>0</v>
      </c>
    </row>
    <row r="62" spans="1:13" x14ac:dyDescent="0.35">
      <c r="A62" t="s">
        <v>355</v>
      </c>
      <c r="B62" s="7" t="s">
        <v>73</v>
      </c>
      <c r="C62" s="33" t="s">
        <v>525</v>
      </c>
      <c r="D62" s="34">
        <v>0</v>
      </c>
      <c r="E62" s="12">
        <v>0</v>
      </c>
      <c r="F62" s="42">
        <f t="shared" si="5"/>
        <v>0</v>
      </c>
      <c r="G62" s="12">
        <f t="shared" si="6"/>
        <v>12458.036423841248</v>
      </c>
      <c r="H62" s="12">
        <f t="shared" si="7"/>
        <v>0</v>
      </c>
      <c r="I62" s="12"/>
      <c r="J62" s="48">
        <f>SUMIFS('PLAN BUDGET SAMI-JF'!BO13:BO100000,'PLAN BUDGET SAMI-JF'!D13:D100000,B62,'PLAN BUDGET SAMI-JF'!J13:J100000,A62&amp;"*")</f>
        <v>12458.036423841248</v>
      </c>
      <c r="K62" s="35">
        <f t="shared" si="8"/>
        <v>1</v>
      </c>
      <c r="L62" s="36" t="s">
        <v>358</v>
      </c>
      <c r="M62" s="50">
        <f t="shared" si="9"/>
        <v>0</v>
      </c>
    </row>
    <row r="63" spans="1:13" x14ac:dyDescent="0.35">
      <c r="A63" t="s">
        <v>355</v>
      </c>
      <c r="B63" s="7" t="s">
        <v>182</v>
      </c>
      <c r="C63" s="33" t="s">
        <v>525</v>
      </c>
      <c r="D63" s="34">
        <v>0</v>
      </c>
      <c r="E63" s="12">
        <v>0</v>
      </c>
      <c r="F63" s="42">
        <f t="shared" si="5"/>
        <v>0</v>
      </c>
      <c r="G63" s="12">
        <f t="shared" si="6"/>
        <v>8.8615446938336007</v>
      </c>
      <c r="H63" s="12">
        <f t="shared" si="7"/>
        <v>0</v>
      </c>
      <c r="I63" s="12"/>
      <c r="J63" s="48">
        <f>SUMIFS('PLAN BUDGET SAMI-JF'!BO13:BO100000,'PLAN BUDGET SAMI-JF'!D13:D100000,B63,'PLAN BUDGET SAMI-JF'!J13:J100000,A63&amp;"*")</f>
        <v>8.8615446938336007</v>
      </c>
      <c r="K63" s="35">
        <f t="shared" si="8"/>
        <v>1</v>
      </c>
      <c r="L63" s="36" t="s">
        <v>358</v>
      </c>
      <c r="M63" s="50">
        <f t="shared" si="9"/>
        <v>0</v>
      </c>
    </row>
    <row r="64" spans="1:13" x14ac:dyDescent="0.35">
      <c r="A64" t="s">
        <v>491</v>
      </c>
      <c r="B64" s="7" t="s">
        <v>158</v>
      </c>
      <c r="C64" s="33" t="s">
        <v>525</v>
      </c>
      <c r="D64" s="34">
        <v>26.584634081501001</v>
      </c>
      <c r="E64" s="12">
        <v>24.685731647108</v>
      </c>
      <c r="F64" s="42">
        <f t="shared" si="5"/>
        <v>24.685731647108</v>
      </c>
      <c r="G64" s="12">
        <f t="shared" si="6"/>
        <v>0</v>
      </c>
      <c r="H64" s="12">
        <f t="shared" si="7"/>
        <v>-15.926854278227299</v>
      </c>
      <c r="I64" s="12"/>
      <c r="J64" s="48">
        <f>SUMIFS('PLAN BUDGET SAMI-JF'!BO13:BO100000,'PLAN BUDGET SAMI-JF'!D13:D100000,B64,'PLAN BUDGET SAMI-JF'!J13:J100000,A64&amp;"*")</f>
        <v>8.7588773688807002</v>
      </c>
      <c r="K64" s="35">
        <f t="shared" si="8"/>
        <v>-0.64518461538461935</v>
      </c>
      <c r="L64" s="36"/>
      <c r="M64" s="50">
        <f t="shared" si="9"/>
        <v>0</v>
      </c>
    </row>
    <row r="65" spans="1:13" x14ac:dyDescent="0.35">
      <c r="A65" t="s">
        <v>491</v>
      </c>
      <c r="B65" s="7" t="s">
        <v>282</v>
      </c>
      <c r="C65" s="33" t="s">
        <v>525</v>
      </c>
      <c r="D65" s="34">
        <v>120.31445824314</v>
      </c>
      <c r="E65" s="12">
        <v>120.01063385363</v>
      </c>
      <c r="F65" s="42">
        <f t="shared" si="5"/>
        <v>120.01063385363</v>
      </c>
      <c r="G65" s="12">
        <f t="shared" si="6"/>
        <v>273.0621700657</v>
      </c>
      <c r="H65" s="12">
        <f t="shared" si="7"/>
        <v>0</v>
      </c>
      <c r="I65" s="12"/>
      <c r="J65" s="48">
        <f>SUMIFS('PLAN BUDGET SAMI-JF'!BO13:BO100000,'PLAN BUDGET SAMI-JF'!D13:D100000,B65,'PLAN BUDGET SAMI-JF'!J13:J100000,A65&amp;"*")</f>
        <v>393.07280391933</v>
      </c>
      <c r="K65" s="35">
        <f t="shared" si="8"/>
        <v>2.2753164556962351</v>
      </c>
      <c r="L65" s="36" t="s">
        <v>588</v>
      </c>
      <c r="M65" s="50">
        <f t="shared" si="9"/>
        <v>0</v>
      </c>
    </row>
    <row r="66" spans="1:13" x14ac:dyDescent="0.35">
      <c r="A66" t="s">
        <v>491</v>
      </c>
      <c r="B66" s="7" t="s">
        <v>330</v>
      </c>
      <c r="C66" s="33" t="s">
        <v>525</v>
      </c>
      <c r="D66" s="34">
        <v>0</v>
      </c>
      <c r="E66" s="12">
        <v>0</v>
      </c>
      <c r="F66" s="42">
        <f t="shared" si="5"/>
        <v>0</v>
      </c>
      <c r="G66" s="12">
        <f t="shared" si="6"/>
        <v>8.5450609547681999</v>
      </c>
      <c r="H66" s="12">
        <f t="shared" si="7"/>
        <v>0</v>
      </c>
      <c r="I66" s="12"/>
      <c r="J66" s="48">
        <f>SUMIFS('PLAN BUDGET SAMI-JF'!BO13:BO100000,'PLAN BUDGET SAMI-JF'!D13:D100000,B66,'PLAN BUDGET SAMI-JF'!J13:J100000,A66&amp;"*")</f>
        <v>8.5450609547681999</v>
      </c>
      <c r="K66" s="35">
        <f t="shared" si="8"/>
        <v>1</v>
      </c>
      <c r="L66" s="36" t="s">
        <v>588</v>
      </c>
      <c r="M66" s="50">
        <f t="shared" si="9"/>
        <v>0</v>
      </c>
    </row>
    <row r="67" spans="1:13" x14ac:dyDescent="0.35">
      <c r="A67" t="s">
        <v>491</v>
      </c>
      <c r="B67" s="7" t="s">
        <v>465</v>
      </c>
      <c r="C67" s="33" t="s">
        <v>525</v>
      </c>
      <c r="D67" s="34">
        <v>102.22424771815</v>
      </c>
      <c r="E67" s="12">
        <v>68.676971377211004</v>
      </c>
      <c r="F67" s="42">
        <f t="shared" si="5"/>
        <v>68.676971377211004</v>
      </c>
      <c r="G67" s="12">
        <f t="shared" si="6"/>
        <v>0</v>
      </c>
      <c r="H67" s="12">
        <f t="shared" si="7"/>
        <v>-46.5452635043615</v>
      </c>
      <c r="I67" s="12"/>
      <c r="J67" s="48">
        <f>SUMIFS('PLAN BUDGET SAMI-JF'!BO13:BO100000,'PLAN BUDGET SAMI-JF'!D13:D100000,B67,'PLAN BUDGET SAMI-JF'!J13:J100000,A67&amp;"*")</f>
        <v>22.1317078728495</v>
      </c>
      <c r="K67" s="35">
        <f t="shared" si="8"/>
        <v>-0.67774193548387252</v>
      </c>
      <c r="L67" s="36"/>
      <c r="M67" s="50">
        <f t="shared" si="9"/>
        <v>0</v>
      </c>
    </row>
    <row r="68" spans="1:13" x14ac:dyDescent="0.35">
      <c r="A68" t="s">
        <v>491</v>
      </c>
      <c r="B68" s="7" t="s">
        <v>87</v>
      </c>
      <c r="C68" s="33" t="s">
        <v>525</v>
      </c>
      <c r="D68" s="34">
        <v>278.75887736888001</v>
      </c>
      <c r="E68" s="12">
        <v>255.46567417366001</v>
      </c>
      <c r="F68" s="42">
        <f t="shared" si="5"/>
        <v>255.46567417366001</v>
      </c>
      <c r="G68" s="12">
        <f t="shared" si="6"/>
        <v>0</v>
      </c>
      <c r="H68" s="12">
        <f t="shared" si="7"/>
        <v>-25.698479612116017</v>
      </c>
      <c r="I68" s="12"/>
      <c r="J68" s="48">
        <f>SUMIFS('PLAN BUDGET SAMI-JF'!BO13:BO100000,'PLAN BUDGET SAMI-JF'!D13:D100000,B68,'PLAN BUDGET SAMI-JF'!J13:J100000,A68&amp;"*")</f>
        <v>229.76719456154399</v>
      </c>
      <c r="K68" s="35">
        <f t="shared" si="8"/>
        <v>-0.10059464816649594</v>
      </c>
      <c r="L68" s="36"/>
      <c r="M68" s="50">
        <f t="shared" si="9"/>
        <v>0</v>
      </c>
    </row>
    <row r="69" spans="1:13" x14ac:dyDescent="0.35">
      <c r="A69" t="s">
        <v>492</v>
      </c>
      <c r="B69" s="7" t="s">
        <v>493</v>
      </c>
      <c r="C69" s="33" t="s">
        <v>525</v>
      </c>
      <c r="D69" s="34">
        <v>24524.324940185001</v>
      </c>
      <c r="E69" s="12">
        <v>24524.324940185001</v>
      </c>
      <c r="F69" s="42">
        <f t="shared" si="5"/>
        <v>24524.324940185001</v>
      </c>
      <c r="G69" s="12">
        <f t="shared" si="6"/>
        <v>0</v>
      </c>
      <c r="H69" s="12">
        <f t="shared" si="7"/>
        <v>-24524.324940185001</v>
      </c>
      <c r="I69" s="12"/>
      <c r="J69" s="48">
        <f>SUMIFS('PLAN BUDGET SAMI-JF'!BO13:BO100000,'PLAN BUDGET SAMI-JF'!D13:D100000,B69,'PLAN BUDGET SAMI-JF'!J13:J100000,A69&amp;"*")</f>
        <v>0</v>
      </c>
      <c r="K69" s="35">
        <f t="shared" si="8"/>
        <v>-1</v>
      </c>
      <c r="L69" s="36" t="s">
        <v>494</v>
      </c>
      <c r="M69" s="50">
        <f t="shared" si="9"/>
        <v>0</v>
      </c>
    </row>
    <row r="70" spans="1:13" x14ac:dyDescent="0.35">
      <c r="A70" t="s">
        <v>355</v>
      </c>
      <c r="B70" s="7" t="s">
        <v>495</v>
      </c>
      <c r="C70" s="33" t="s">
        <v>525</v>
      </c>
      <c r="D70" s="34">
        <v>75.956097375716993</v>
      </c>
      <c r="E70" s="12">
        <v>46.523109642626999</v>
      </c>
      <c r="F70" s="42">
        <f t="shared" si="5"/>
        <v>46.523109642626999</v>
      </c>
      <c r="G70" s="12">
        <f t="shared" si="6"/>
        <v>0</v>
      </c>
      <c r="H70" s="12">
        <f t="shared" si="7"/>
        <v>-46.523109642626999</v>
      </c>
      <c r="I70" s="12"/>
      <c r="J70" s="48">
        <f>SUMIFS('PLAN BUDGET SAMI-JF'!BO13:BO100000,'PLAN BUDGET SAMI-JF'!D13:D100000,B70,'PLAN BUDGET SAMI-JF'!J13:J100000,A70&amp;"*")</f>
        <v>0</v>
      </c>
      <c r="K70" s="35">
        <f t="shared" si="8"/>
        <v>-1</v>
      </c>
      <c r="L70" s="36" t="s">
        <v>494</v>
      </c>
      <c r="M70" s="50">
        <f t="shared" si="9"/>
        <v>0</v>
      </c>
    </row>
    <row r="71" spans="1:13" x14ac:dyDescent="0.35">
      <c r="A71" t="s">
        <v>355</v>
      </c>
      <c r="B71" s="7" t="s">
        <v>496</v>
      </c>
      <c r="C71" s="33" t="s">
        <v>525</v>
      </c>
      <c r="D71" s="34">
        <v>31.648373906549001</v>
      </c>
      <c r="E71" s="12">
        <v>28.483536515893999</v>
      </c>
      <c r="F71" s="42">
        <f t="shared" si="5"/>
        <v>28.483536515893999</v>
      </c>
      <c r="G71" s="12">
        <f t="shared" si="6"/>
        <v>0</v>
      </c>
      <c r="H71" s="12">
        <f t="shared" si="7"/>
        <v>-28.483536515893999</v>
      </c>
      <c r="I71" s="12"/>
      <c r="J71" s="48">
        <f>SUMIFS('PLAN BUDGET SAMI-JF'!BO13:BO100000,'PLAN BUDGET SAMI-JF'!D13:D100000,B71,'PLAN BUDGET SAMI-JF'!J13:J100000,A71&amp;"*")</f>
        <v>0</v>
      </c>
      <c r="K71" s="35">
        <f t="shared" si="8"/>
        <v>-1</v>
      </c>
      <c r="L71" s="36" t="s">
        <v>494</v>
      </c>
      <c r="M71" s="50">
        <f t="shared" si="9"/>
        <v>0</v>
      </c>
    </row>
    <row r="72" spans="1:13" x14ac:dyDescent="0.35">
      <c r="A72" t="s">
        <v>355</v>
      </c>
      <c r="B72" s="7" t="s">
        <v>78</v>
      </c>
      <c r="C72" s="33" t="s">
        <v>525</v>
      </c>
      <c r="D72" s="34">
        <v>0</v>
      </c>
      <c r="E72" s="12">
        <v>2.8103756029014999</v>
      </c>
      <c r="F72" s="42">
        <f t="shared" si="5"/>
        <v>2.8103756029014999</v>
      </c>
      <c r="G72" s="12">
        <f t="shared" si="6"/>
        <v>0</v>
      </c>
      <c r="H72" s="12">
        <f t="shared" si="7"/>
        <v>-2.8103756029014999</v>
      </c>
      <c r="I72" s="12"/>
      <c r="J72" s="48">
        <f>SUMIFS('PLAN BUDGET SAMI-JF'!BO13:BO100000,'PLAN BUDGET SAMI-JF'!D13:D100000,B72,'PLAN BUDGET SAMI-JF'!J13:J100000,A72&amp;"*")</f>
        <v>0</v>
      </c>
      <c r="K72" s="35">
        <f t="shared" si="8"/>
        <v>-1</v>
      </c>
      <c r="L72" s="36" t="s">
        <v>494</v>
      </c>
      <c r="M72" s="50">
        <f t="shared" si="9"/>
        <v>0</v>
      </c>
    </row>
    <row r="73" spans="1:13" x14ac:dyDescent="0.35">
      <c r="A73" t="s">
        <v>355</v>
      </c>
      <c r="B73" s="7" t="s">
        <v>497</v>
      </c>
      <c r="C73" s="33" t="s">
        <v>525</v>
      </c>
      <c r="D73" s="34">
        <v>8.3551707113289009</v>
      </c>
      <c r="E73" s="12">
        <v>8.3551707113289009</v>
      </c>
      <c r="F73" s="42">
        <f t="shared" si="5"/>
        <v>8.3551707113289009</v>
      </c>
      <c r="G73" s="12">
        <f t="shared" si="6"/>
        <v>0</v>
      </c>
      <c r="H73" s="12">
        <f t="shared" si="7"/>
        <v>-8.3551707113289009</v>
      </c>
      <c r="I73" s="12"/>
      <c r="J73" s="48">
        <f>SUMIFS('PLAN BUDGET SAMI-JF'!BO13:BO100000,'PLAN BUDGET SAMI-JF'!D13:D100000,B73,'PLAN BUDGET SAMI-JF'!J13:J100000,A73&amp;"*")</f>
        <v>0</v>
      </c>
      <c r="K73" s="35">
        <f t="shared" si="8"/>
        <v>-1</v>
      </c>
      <c r="L73" s="36" t="s">
        <v>494</v>
      </c>
      <c r="M73" s="50">
        <f t="shared" si="9"/>
        <v>0</v>
      </c>
    </row>
    <row r="74" spans="1:13" x14ac:dyDescent="0.35">
      <c r="A74" t="s">
        <v>355</v>
      </c>
      <c r="B74" s="7" t="s">
        <v>498</v>
      </c>
      <c r="C74" s="33" t="s">
        <v>525</v>
      </c>
      <c r="D74" s="34">
        <v>0</v>
      </c>
      <c r="E74" s="12">
        <v>303.82438950287002</v>
      </c>
      <c r="F74" s="42">
        <f t="shared" si="5"/>
        <v>303.82438950287002</v>
      </c>
      <c r="G74" s="12">
        <f t="shared" si="6"/>
        <v>0</v>
      </c>
      <c r="H74" s="12">
        <f t="shared" si="7"/>
        <v>-303.82438950287002</v>
      </c>
      <c r="I74" s="12"/>
      <c r="J74" s="48">
        <f>SUMIFS('PLAN BUDGET SAMI-JF'!BO13:BO100000,'PLAN BUDGET SAMI-JF'!D13:D100000,B74,'PLAN BUDGET SAMI-JF'!J13:J100000,A74&amp;"*")</f>
        <v>0</v>
      </c>
      <c r="K74" s="35">
        <f t="shared" si="8"/>
        <v>-1</v>
      </c>
      <c r="L74" s="36" t="s">
        <v>494</v>
      </c>
      <c r="M74" s="50">
        <f t="shared" si="9"/>
        <v>0</v>
      </c>
    </row>
    <row r="75" spans="1:13" x14ac:dyDescent="0.35">
      <c r="A75" t="s">
        <v>355</v>
      </c>
      <c r="B75" s="7" t="s">
        <v>499</v>
      </c>
      <c r="C75" s="33" t="s">
        <v>525</v>
      </c>
      <c r="D75" s="34">
        <v>2060.2103983897</v>
      </c>
      <c r="E75" s="12">
        <v>1788.13312572</v>
      </c>
      <c r="F75" s="42">
        <f t="shared" si="5"/>
        <v>1788.13312572</v>
      </c>
      <c r="G75" s="12">
        <f t="shared" si="6"/>
        <v>0</v>
      </c>
      <c r="H75" s="12">
        <f t="shared" si="7"/>
        <v>-1788.13312572</v>
      </c>
      <c r="I75" s="12"/>
      <c r="J75" s="48">
        <f>SUMIFS('PLAN BUDGET SAMI-JF'!BO13:BO100000,'PLAN BUDGET SAMI-JF'!D13:D100000,B75,'PLAN BUDGET SAMI-JF'!J13:J100000,A75&amp;"*")</f>
        <v>0</v>
      </c>
      <c r="K75" s="35">
        <f t="shared" si="8"/>
        <v>-1</v>
      </c>
      <c r="L75" s="36" t="s">
        <v>494</v>
      </c>
      <c r="M75" s="50">
        <f t="shared" si="9"/>
        <v>0</v>
      </c>
    </row>
    <row r="76" spans="1:13" x14ac:dyDescent="0.35">
      <c r="A76" t="s">
        <v>355</v>
      </c>
      <c r="B76" s="7" t="s">
        <v>500</v>
      </c>
      <c r="C76" s="33" t="s">
        <v>525</v>
      </c>
      <c r="D76" s="34">
        <v>141.62976466269001</v>
      </c>
      <c r="E76" s="12">
        <v>175.96495892041</v>
      </c>
      <c r="F76" s="42">
        <f t="shared" si="5"/>
        <v>175.96495892041</v>
      </c>
      <c r="G76" s="12">
        <f t="shared" si="6"/>
        <v>0</v>
      </c>
      <c r="H76" s="12">
        <f t="shared" si="7"/>
        <v>-175.96495892041</v>
      </c>
      <c r="I76" s="12"/>
      <c r="J76" s="48">
        <f>SUMIFS('PLAN BUDGET SAMI-JF'!BO13:BO100000,'PLAN BUDGET SAMI-JF'!D13:D100000,B76,'PLAN BUDGET SAMI-JF'!J13:J100000,A76&amp;"*")</f>
        <v>0</v>
      </c>
      <c r="K76" s="35">
        <f t="shared" si="8"/>
        <v>-1</v>
      </c>
      <c r="L76" s="36" t="s">
        <v>494</v>
      </c>
      <c r="M76" s="50">
        <f t="shared" si="9"/>
        <v>0</v>
      </c>
    </row>
    <row r="77" spans="1:13" x14ac:dyDescent="0.35">
      <c r="A77" t="s">
        <v>355</v>
      </c>
      <c r="B77" s="7" t="s">
        <v>501</v>
      </c>
      <c r="C77" s="33" t="s">
        <v>525</v>
      </c>
      <c r="D77" s="34">
        <v>791.20934766372</v>
      </c>
      <c r="E77" s="12">
        <v>696.26422594406995</v>
      </c>
      <c r="F77" s="42">
        <f t="shared" si="5"/>
        <v>696.26422594406995</v>
      </c>
      <c r="G77" s="12">
        <f t="shared" si="6"/>
        <v>0</v>
      </c>
      <c r="H77" s="12">
        <f t="shared" si="7"/>
        <v>-696.26422594406995</v>
      </c>
      <c r="I77" s="12"/>
      <c r="J77" s="48">
        <f>SUMIFS('PLAN BUDGET SAMI-JF'!BO13:BO100000,'PLAN BUDGET SAMI-JF'!D13:D100000,B77,'PLAN BUDGET SAMI-JF'!J13:J100000,A77&amp;"*")</f>
        <v>0</v>
      </c>
      <c r="K77" s="35">
        <f t="shared" si="8"/>
        <v>-1</v>
      </c>
      <c r="L77" s="36" t="s">
        <v>494</v>
      </c>
      <c r="M77" s="50">
        <f t="shared" si="9"/>
        <v>0</v>
      </c>
    </row>
    <row r="78" spans="1:13" x14ac:dyDescent="0.35">
      <c r="A78" t="s">
        <v>355</v>
      </c>
      <c r="B78" s="7" t="s">
        <v>502</v>
      </c>
      <c r="C78" s="33" t="s">
        <v>525</v>
      </c>
      <c r="D78" s="34">
        <v>2848.3536515894002</v>
      </c>
      <c r="E78" s="12">
        <v>1784.9682883293001</v>
      </c>
      <c r="F78" s="42">
        <f t="shared" ref="F78:F109" si="10">IF(C78="F",E78,E78/$E$12*$F$12)</f>
        <v>1784.9682883293001</v>
      </c>
      <c r="G78" s="12">
        <f t="shared" ref="G78:G109" si="11">IF(F78&lt;J78,J78-F78,0)</f>
        <v>0</v>
      </c>
      <c r="H78" s="12">
        <f t="shared" ref="H78:H107" si="12">IF(F78&gt;J78,J78-F78,0)</f>
        <v>-1784.9682883293001</v>
      </c>
      <c r="I78" s="12"/>
      <c r="J78" s="48">
        <f>SUMIFS('PLAN BUDGET SAMI-JF'!BO13:BO100000,'PLAN BUDGET SAMI-JF'!D13:D100000,B78,'PLAN BUDGET SAMI-JF'!J13:J100000,A78&amp;"*")</f>
        <v>0</v>
      </c>
      <c r="K78" s="35">
        <f t="shared" ref="K78:K109" si="13">IFERROR(IF(F78&gt;0,(J78-F78)/F78,100%),0)</f>
        <v>-1</v>
      </c>
      <c r="L78" s="36" t="s">
        <v>494</v>
      </c>
      <c r="M78" s="50">
        <f t="shared" ref="M78:M107" si="14">J78-SUM(F78:I78)</f>
        <v>0</v>
      </c>
    </row>
    <row r="79" spans="1:13" x14ac:dyDescent="0.35">
      <c r="A79" t="s">
        <v>355</v>
      </c>
      <c r="B79" s="7" t="s">
        <v>503</v>
      </c>
      <c r="C79" s="33" t="s">
        <v>525</v>
      </c>
      <c r="D79" s="34">
        <v>224.70345473649999</v>
      </c>
      <c r="E79" s="12">
        <v>224.70345473649999</v>
      </c>
      <c r="F79" s="42">
        <f t="shared" si="10"/>
        <v>224.70345473649999</v>
      </c>
      <c r="G79" s="12">
        <f t="shared" si="11"/>
        <v>0</v>
      </c>
      <c r="H79" s="12">
        <f t="shared" si="12"/>
        <v>-224.70345473649999</v>
      </c>
      <c r="I79" s="12"/>
      <c r="J79" s="48">
        <f>SUMIFS('PLAN BUDGET SAMI-JF'!BO13:BO100000,'PLAN BUDGET SAMI-JF'!D13:D100000,B79,'PLAN BUDGET SAMI-JF'!J13:J100000,A79&amp;"*")</f>
        <v>0</v>
      </c>
      <c r="K79" s="35">
        <f t="shared" si="13"/>
        <v>-1</v>
      </c>
      <c r="L79" s="36" t="s">
        <v>494</v>
      </c>
      <c r="M79" s="50">
        <f t="shared" si="14"/>
        <v>0</v>
      </c>
    </row>
    <row r="80" spans="1:13" x14ac:dyDescent="0.35">
      <c r="A80" t="s">
        <v>355</v>
      </c>
      <c r="B80" s="7" t="s">
        <v>326</v>
      </c>
      <c r="C80" s="33" t="s">
        <v>525</v>
      </c>
      <c r="D80" s="34">
        <v>1424.1768257947001</v>
      </c>
      <c r="E80" s="12">
        <v>1746.9902396415</v>
      </c>
      <c r="F80" s="42">
        <f t="shared" si="10"/>
        <v>1746.9902396415</v>
      </c>
      <c r="G80" s="12">
        <f t="shared" si="11"/>
        <v>0</v>
      </c>
      <c r="H80" s="12">
        <f t="shared" si="12"/>
        <v>-1746.9902396415</v>
      </c>
      <c r="I80" s="12"/>
      <c r="J80" s="48">
        <f>SUMIFS('PLAN BUDGET SAMI-JF'!BO13:BO100000,'PLAN BUDGET SAMI-JF'!D13:D100000,B80,'PLAN BUDGET SAMI-JF'!J13:J100000,A80&amp;"*")</f>
        <v>0</v>
      </c>
      <c r="K80" s="35">
        <f t="shared" si="13"/>
        <v>-1</v>
      </c>
      <c r="L80" s="36" t="s">
        <v>494</v>
      </c>
      <c r="M80" s="50">
        <f t="shared" si="14"/>
        <v>0</v>
      </c>
    </row>
    <row r="81" spans="1:13" x14ac:dyDescent="0.35">
      <c r="A81" t="s">
        <v>355</v>
      </c>
      <c r="B81" s="7" t="s">
        <v>504</v>
      </c>
      <c r="C81" s="33" t="s">
        <v>525</v>
      </c>
      <c r="D81" s="34">
        <v>0</v>
      </c>
      <c r="E81" s="12">
        <v>39.598445431873998</v>
      </c>
      <c r="F81" s="42">
        <f t="shared" si="10"/>
        <v>39.598445431873998</v>
      </c>
      <c r="G81" s="12">
        <f t="shared" si="11"/>
        <v>0</v>
      </c>
      <c r="H81" s="12">
        <f t="shared" si="12"/>
        <v>-39.598445431873998</v>
      </c>
      <c r="I81" s="12"/>
      <c r="J81" s="48">
        <f>SUMIFS('PLAN BUDGET SAMI-JF'!BO13:BO100000,'PLAN BUDGET SAMI-JF'!D13:D100000,B81,'PLAN BUDGET SAMI-JF'!J13:J100000,A81&amp;"*")</f>
        <v>0</v>
      </c>
      <c r="K81" s="35">
        <f t="shared" si="13"/>
        <v>-1</v>
      </c>
      <c r="L81" s="36" t="s">
        <v>494</v>
      </c>
      <c r="M81" s="50">
        <f t="shared" si="14"/>
        <v>0</v>
      </c>
    </row>
    <row r="82" spans="1:13" x14ac:dyDescent="0.35">
      <c r="A82" t="s">
        <v>355</v>
      </c>
      <c r="B82" s="7" t="s">
        <v>505</v>
      </c>
      <c r="C82" s="33" t="s">
        <v>525</v>
      </c>
      <c r="D82" s="34">
        <v>104.43963389161</v>
      </c>
      <c r="E82" s="12">
        <v>104.43963389161</v>
      </c>
      <c r="F82" s="42">
        <f t="shared" si="10"/>
        <v>104.43963389161</v>
      </c>
      <c r="G82" s="12">
        <f t="shared" si="11"/>
        <v>0</v>
      </c>
      <c r="H82" s="12">
        <f t="shared" si="12"/>
        <v>-104.43963389161</v>
      </c>
      <c r="I82" s="12"/>
      <c r="J82" s="48">
        <f>SUMIFS('PLAN BUDGET SAMI-JF'!BO13:BO100000,'PLAN BUDGET SAMI-JF'!D13:D100000,B82,'PLAN BUDGET SAMI-JF'!J13:J100000,A82&amp;"*")</f>
        <v>0</v>
      </c>
      <c r="K82" s="35">
        <f t="shared" si="13"/>
        <v>-1</v>
      </c>
      <c r="L82" s="36" t="s">
        <v>494</v>
      </c>
      <c r="M82" s="50">
        <f t="shared" si="14"/>
        <v>0</v>
      </c>
    </row>
    <row r="83" spans="1:13" x14ac:dyDescent="0.35">
      <c r="A83" t="s">
        <v>355</v>
      </c>
      <c r="B83" s="7" t="s">
        <v>506</v>
      </c>
      <c r="C83" s="33" t="s">
        <v>525</v>
      </c>
      <c r="D83" s="34">
        <v>0</v>
      </c>
      <c r="E83" s="12">
        <v>345.63189143341998</v>
      </c>
      <c r="F83" s="42">
        <f t="shared" si="10"/>
        <v>345.63189143341998</v>
      </c>
      <c r="G83" s="12">
        <f t="shared" si="11"/>
        <v>0</v>
      </c>
      <c r="H83" s="12">
        <f t="shared" si="12"/>
        <v>-345.63189143341998</v>
      </c>
      <c r="I83" s="12"/>
      <c r="J83" s="48">
        <f>SUMIFS('PLAN BUDGET SAMI-JF'!BO13:BO100000,'PLAN BUDGET SAMI-JF'!D13:D100000,B83,'PLAN BUDGET SAMI-JF'!J13:J100000,A83&amp;"*")</f>
        <v>0</v>
      </c>
      <c r="K83" s="35">
        <f t="shared" si="13"/>
        <v>-1</v>
      </c>
      <c r="L83" s="36" t="s">
        <v>494</v>
      </c>
      <c r="M83" s="50">
        <f t="shared" si="14"/>
        <v>0</v>
      </c>
    </row>
    <row r="84" spans="1:13" x14ac:dyDescent="0.35">
      <c r="A84" t="s">
        <v>491</v>
      </c>
      <c r="B84" s="7" t="s">
        <v>507</v>
      </c>
      <c r="C84" s="33" t="s">
        <v>525</v>
      </c>
      <c r="D84" s="34">
        <v>112.94253921233999</v>
      </c>
      <c r="E84" s="12">
        <v>99.831757244312996</v>
      </c>
      <c r="F84" s="42">
        <f t="shared" si="10"/>
        <v>99.831757244312996</v>
      </c>
      <c r="G84" s="12">
        <f t="shared" si="11"/>
        <v>0</v>
      </c>
      <c r="H84" s="12">
        <f t="shared" si="12"/>
        <v>-99.831757244312996</v>
      </c>
      <c r="I84" s="12"/>
      <c r="J84" s="48">
        <f>SUMIFS('PLAN BUDGET SAMI-JF'!BO13:BO100000,'PLAN BUDGET SAMI-JF'!D13:D100000,B84,'PLAN BUDGET SAMI-JF'!J13:J100000,A84&amp;"*")</f>
        <v>0</v>
      </c>
      <c r="K84" s="35">
        <f t="shared" si="13"/>
        <v>-1</v>
      </c>
      <c r="L84" s="36" t="s">
        <v>494</v>
      </c>
      <c r="M84" s="50">
        <f t="shared" si="14"/>
        <v>0</v>
      </c>
    </row>
    <row r="85" spans="1:13" x14ac:dyDescent="0.35">
      <c r="A85" t="s">
        <v>47</v>
      </c>
      <c r="B85" s="7" t="s">
        <v>420</v>
      </c>
      <c r="C85" s="33" t="s">
        <v>525</v>
      </c>
      <c r="D85" s="34">
        <v>0</v>
      </c>
      <c r="E85" s="12">
        <v>62.030812856834999</v>
      </c>
      <c r="F85" s="42">
        <f t="shared" si="10"/>
        <v>62.030812856834999</v>
      </c>
      <c r="G85" s="12">
        <f t="shared" si="11"/>
        <v>0</v>
      </c>
      <c r="H85" s="12">
        <f t="shared" si="12"/>
        <v>-62.030812856834999</v>
      </c>
      <c r="I85" s="12"/>
      <c r="J85" s="48">
        <f>SUMIFS('PLAN BUDGET SAMI-JF'!BO13:BO100000,'PLAN BUDGET SAMI-JF'!D13:D100000,B85,'PLAN BUDGET SAMI-JF'!J13:J100000,A85&amp;"*")</f>
        <v>0</v>
      </c>
      <c r="K85" s="35">
        <f t="shared" si="13"/>
        <v>-1</v>
      </c>
      <c r="L85" s="36" t="s">
        <v>494</v>
      </c>
      <c r="M85" s="50">
        <f t="shared" si="14"/>
        <v>0</v>
      </c>
    </row>
    <row r="86" spans="1:13" x14ac:dyDescent="0.35">
      <c r="A86" t="s">
        <v>47</v>
      </c>
      <c r="B86" s="7" t="s">
        <v>508</v>
      </c>
      <c r="C86" s="33" t="s">
        <v>525</v>
      </c>
      <c r="D86" s="34">
        <v>224.37431164787</v>
      </c>
      <c r="E86" s="12">
        <v>132.92317040750001</v>
      </c>
      <c r="F86" s="42">
        <f t="shared" si="10"/>
        <v>132.92317040750001</v>
      </c>
      <c r="G86" s="12">
        <f t="shared" si="11"/>
        <v>0</v>
      </c>
      <c r="H86" s="12">
        <f t="shared" si="12"/>
        <v>-132.92317040750001</v>
      </c>
      <c r="I86" s="12"/>
      <c r="J86" s="48">
        <f>SUMIFS('PLAN BUDGET SAMI-JF'!BO13:BO100000,'PLAN BUDGET SAMI-JF'!D13:D100000,B86,'PLAN BUDGET SAMI-JF'!J13:J100000,A86&amp;"*")</f>
        <v>0</v>
      </c>
      <c r="K86" s="35">
        <f t="shared" si="13"/>
        <v>-1</v>
      </c>
      <c r="L86" s="36" t="s">
        <v>494</v>
      </c>
      <c r="M86" s="50">
        <f t="shared" si="14"/>
        <v>0</v>
      </c>
    </row>
    <row r="87" spans="1:13" x14ac:dyDescent="0.35">
      <c r="A87" t="s">
        <v>47</v>
      </c>
      <c r="B87" s="7" t="s">
        <v>509</v>
      </c>
      <c r="C87" s="33" t="s">
        <v>525</v>
      </c>
      <c r="D87" s="34">
        <v>0</v>
      </c>
      <c r="E87" s="12">
        <v>3.7978048687857999</v>
      </c>
      <c r="F87" s="42">
        <f t="shared" si="10"/>
        <v>3.7978048687857999</v>
      </c>
      <c r="G87" s="12">
        <f t="shared" si="11"/>
        <v>0</v>
      </c>
      <c r="H87" s="12">
        <f t="shared" si="12"/>
        <v>-3.7978048687857999</v>
      </c>
      <c r="I87" s="12"/>
      <c r="J87" s="48">
        <f>SUMIFS('PLAN BUDGET SAMI-JF'!BO13:BO100000,'PLAN BUDGET SAMI-JF'!D13:D100000,B87,'PLAN BUDGET SAMI-JF'!J13:J100000,A87&amp;"*")</f>
        <v>0</v>
      </c>
      <c r="K87" s="35">
        <f t="shared" si="13"/>
        <v>-1</v>
      </c>
      <c r="L87" s="36" t="s">
        <v>494</v>
      </c>
      <c r="M87" s="50">
        <f t="shared" si="14"/>
        <v>0</v>
      </c>
    </row>
    <row r="88" spans="1:13" x14ac:dyDescent="0.35">
      <c r="A88" t="s">
        <v>47</v>
      </c>
      <c r="B88" s="7" t="s">
        <v>498</v>
      </c>
      <c r="C88" s="33" t="s">
        <v>525</v>
      </c>
      <c r="D88" s="34">
        <v>7982.1211033923</v>
      </c>
      <c r="E88" s="12">
        <v>3240.9639426278</v>
      </c>
      <c r="F88" s="42">
        <f t="shared" si="10"/>
        <v>3240.9639426278</v>
      </c>
      <c r="G88" s="12">
        <f t="shared" si="11"/>
        <v>0</v>
      </c>
      <c r="H88" s="12">
        <f t="shared" si="12"/>
        <v>-3240.9639426278</v>
      </c>
      <c r="I88" s="12"/>
      <c r="J88" s="48">
        <f>SUMIFS('PLAN BUDGET SAMI-JF'!BO13:BO100000,'PLAN BUDGET SAMI-JF'!D13:D100000,B88,'PLAN BUDGET SAMI-JF'!J13:J100000,A88&amp;"*")</f>
        <v>0</v>
      </c>
      <c r="K88" s="35">
        <f t="shared" si="13"/>
        <v>-1</v>
      </c>
      <c r="L88" s="36" t="s">
        <v>494</v>
      </c>
      <c r="M88" s="50">
        <f t="shared" si="14"/>
        <v>0</v>
      </c>
    </row>
    <row r="89" spans="1:13" x14ac:dyDescent="0.35">
      <c r="A89" t="s">
        <v>47</v>
      </c>
      <c r="B89" s="7" t="s">
        <v>510</v>
      </c>
      <c r="C89" s="33" t="s">
        <v>525</v>
      </c>
      <c r="D89" s="34">
        <v>18.989024343929</v>
      </c>
      <c r="E89" s="12">
        <v>18.989024343929</v>
      </c>
      <c r="F89" s="42">
        <f t="shared" si="10"/>
        <v>18.989024343929</v>
      </c>
      <c r="G89" s="12">
        <f t="shared" si="11"/>
        <v>0</v>
      </c>
      <c r="H89" s="12">
        <f t="shared" si="12"/>
        <v>-18.989024343929</v>
      </c>
      <c r="I89" s="12"/>
      <c r="J89" s="48">
        <f>SUMIFS('PLAN BUDGET SAMI-JF'!BO13:BO100000,'PLAN BUDGET SAMI-JF'!D13:D100000,B89,'PLAN BUDGET SAMI-JF'!J13:J100000,A89&amp;"*")</f>
        <v>0</v>
      </c>
      <c r="K89" s="35">
        <f t="shared" si="13"/>
        <v>-1</v>
      </c>
      <c r="L89" s="36" t="s">
        <v>494</v>
      </c>
      <c r="M89" s="50">
        <f t="shared" si="14"/>
        <v>0</v>
      </c>
    </row>
    <row r="90" spans="1:13" x14ac:dyDescent="0.35">
      <c r="A90" t="s">
        <v>47</v>
      </c>
      <c r="B90" s="7" t="s">
        <v>511</v>
      </c>
      <c r="C90" s="33" t="s">
        <v>525</v>
      </c>
      <c r="D90" s="34">
        <v>3459.1672679858002</v>
      </c>
      <c r="E90" s="12">
        <v>1729.5836339929001</v>
      </c>
      <c r="F90" s="42">
        <f t="shared" si="10"/>
        <v>1729.5836339929001</v>
      </c>
      <c r="G90" s="12">
        <f t="shared" si="11"/>
        <v>0</v>
      </c>
      <c r="H90" s="12">
        <f t="shared" si="12"/>
        <v>-1729.5836339929001</v>
      </c>
      <c r="I90" s="12"/>
      <c r="J90" s="48">
        <f>SUMIFS('PLAN BUDGET SAMI-JF'!BO13:BO100000,'PLAN BUDGET SAMI-JF'!D13:D100000,B90,'PLAN BUDGET SAMI-JF'!J13:J100000,A90&amp;"*")</f>
        <v>0</v>
      </c>
      <c r="K90" s="35">
        <f t="shared" si="13"/>
        <v>-1</v>
      </c>
      <c r="L90" s="36" t="s">
        <v>494</v>
      </c>
      <c r="M90" s="50">
        <f t="shared" si="14"/>
        <v>0</v>
      </c>
    </row>
    <row r="91" spans="1:13" x14ac:dyDescent="0.35">
      <c r="A91" t="s">
        <v>47</v>
      </c>
      <c r="B91" s="7" t="s">
        <v>512</v>
      </c>
      <c r="C91" s="33" t="s">
        <v>525</v>
      </c>
      <c r="D91" s="34">
        <v>0</v>
      </c>
      <c r="E91" s="12">
        <v>0.82285772157027004</v>
      </c>
      <c r="F91" s="42">
        <f t="shared" si="10"/>
        <v>0.82285772157027004</v>
      </c>
      <c r="G91" s="12">
        <f t="shared" si="11"/>
        <v>0</v>
      </c>
      <c r="H91" s="12">
        <f t="shared" si="12"/>
        <v>-0.82285772157027004</v>
      </c>
      <c r="I91" s="12"/>
      <c r="J91" s="48">
        <f>SUMIFS('PLAN BUDGET SAMI-JF'!BO13:BO100000,'PLAN BUDGET SAMI-JF'!D13:D100000,B91,'PLAN BUDGET SAMI-JF'!J13:J100000,A91&amp;"*")</f>
        <v>0</v>
      </c>
      <c r="K91" s="35">
        <f t="shared" si="13"/>
        <v>-1</v>
      </c>
      <c r="L91" s="36" t="s">
        <v>494</v>
      </c>
      <c r="M91" s="50">
        <f t="shared" si="14"/>
        <v>0</v>
      </c>
    </row>
    <row r="92" spans="1:13" x14ac:dyDescent="0.35">
      <c r="A92" t="s">
        <v>47</v>
      </c>
      <c r="B92" s="7" t="s">
        <v>513</v>
      </c>
      <c r="C92" s="33" t="s">
        <v>525</v>
      </c>
      <c r="D92" s="34">
        <v>3762.5376624988999</v>
      </c>
      <c r="E92" s="12">
        <v>2657.9547095119001</v>
      </c>
      <c r="F92" s="42">
        <f t="shared" si="10"/>
        <v>2657.9547095119001</v>
      </c>
      <c r="G92" s="12">
        <f t="shared" si="11"/>
        <v>0</v>
      </c>
      <c r="H92" s="12">
        <f t="shared" si="12"/>
        <v>-2657.9547095119001</v>
      </c>
      <c r="I92" s="12"/>
      <c r="J92" s="48">
        <f>SUMIFS('PLAN BUDGET SAMI-JF'!BO13:BO100000,'PLAN BUDGET SAMI-JF'!D13:D100000,B92,'PLAN BUDGET SAMI-JF'!J13:J100000,A92&amp;"*")</f>
        <v>0</v>
      </c>
      <c r="K92" s="35">
        <f t="shared" si="13"/>
        <v>-1</v>
      </c>
      <c r="L92" s="36" t="s">
        <v>494</v>
      </c>
      <c r="M92" s="50">
        <f t="shared" si="14"/>
        <v>0</v>
      </c>
    </row>
    <row r="93" spans="1:13" x14ac:dyDescent="0.35">
      <c r="A93" t="s">
        <v>47</v>
      </c>
      <c r="B93" s="7" t="s">
        <v>514</v>
      </c>
      <c r="C93" s="33" t="s">
        <v>525</v>
      </c>
      <c r="D93" s="34">
        <v>101.30644487486001</v>
      </c>
      <c r="E93" s="12">
        <v>96.701606471459002</v>
      </c>
      <c r="F93" s="42">
        <f t="shared" si="10"/>
        <v>96.701606471459002</v>
      </c>
      <c r="G93" s="12">
        <f t="shared" si="11"/>
        <v>0</v>
      </c>
      <c r="H93" s="12">
        <f t="shared" si="12"/>
        <v>-96.701606471459002</v>
      </c>
      <c r="I93" s="12"/>
      <c r="J93" s="48">
        <f>SUMIFS('PLAN BUDGET SAMI-JF'!BO13:BO100000,'PLAN BUDGET SAMI-JF'!D13:D100000,B93,'PLAN BUDGET SAMI-JF'!J13:J100000,A93&amp;"*")</f>
        <v>0</v>
      </c>
      <c r="K93" s="35">
        <f t="shared" si="13"/>
        <v>-1</v>
      </c>
      <c r="L93" s="36" t="s">
        <v>494</v>
      </c>
      <c r="M93" s="50">
        <f t="shared" si="14"/>
        <v>0</v>
      </c>
    </row>
    <row r="94" spans="1:13" x14ac:dyDescent="0.35">
      <c r="A94" t="s">
        <v>47</v>
      </c>
      <c r="B94" s="7" t="s">
        <v>515</v>
      </c>
      <c r="C94" s="33" t="s">
        <v>525</v>
      </c>
      <c r="D94" s="34">
        <v>0</v>
      </c>
      <c r="E94" s="12">
        <v>5.5231476206751999</v>
      </c>
      <c r="F94" s="42">
        <f t="shared" si="10"/>
        <v>5.5231476206751999</v>
      </c>
      <c r="G94" s="12">
        <f t="shared" si="11"/>
        <v>0</v>
      </c>
      <c r="H94" s="12">
        <f t="shared" si="12"/>
        <v>-5.5231476206751999</v>
      </c>
      <c r="I94" s="12"/>
      <c r="J94" s="48">
        <f>SUMIFS('PLAN BUDGET SAMI-JF'!BO13:BO100000,'PLAN BUDGET SAMI-JF'!D13:D100000,B94,'PLAN BUDGET SAMI-JF'!J13:J100000,A94&amp;"*")</f>
        <v>0</v>
      </c>
      <c r="K94" s="35">
        <f t="shared" si="13"/>
        <v>-1</v>
      </c>
      <c r="L94" s="36" t="s">
        <v>494</v>
      </c>
      <c r="M94" s="50">
        <f t="shared" si="14"/>
        <v>0</v>
      </c>
    </row>
    <row r="95" spans="1:13" x14ac:dyDescent="0.35">
      <c r="A95" t="s">
        <v>47</v>
      </c>
      <c r="B95" s="7" t="s">
        <v>516</v>
      </c>
      <c r="C95" s="33" t="s">
        <v>525</v>
      </c>
      <c r="D95" s="34">
        <v>0</v>
      </c>
      <c r="E95" s="12">
        <v>1.7723089387666999</v>
      </c>
      <c r="F95" s="42">
        <f t="shared" si="10"/>
        <v>1.7723089387666999</v>
      </c>
      <c r="G95" s="12">
        <f t="shared" si="11"/>
        <v>0</v>
      </c>
      <c r="H95" s="12">
        <f t="shared" si="12"/>
        <v>-1.7723089387666999</v>
      </c>
      <c r="I95" s="12"/>
      <c r="J95" s="48">
        <f>SUMIFS('PLAN BUDGET SAMI-JF'!BO13:BO100000,'PLAN BUDGET SAMI-JF'!D13:D100000,B95,'PLAN BUDGET SAMI-JF'!J13:J100000,A95&amp;"*")</f>
        <v>0</v>
      </c>
      <c r="K95" s="35">
        <f t="shared" si="13"/>
        <v>-1</v>
      </c>
      <c r="L95" s="36" t="s">
        <v>494</v>
      </c>
      <c r="M95" s="50">
        <f t="shared" si="14"/>
        <v>0</v>
      </c>
    </row>
    <row r="96" spans="1:13" x14ac:dyDescent="0.35">
      <c r="A96" t="s">
        <v>47</v>
      </c>
      <c r="B96" s="7" t="s">
        <v>224</v>
      </c>
      <c r="C96" s="33" t="s">
        <v>525</v>
      </c>
      <c r="D96" s="34">
        <v>189.89024343929</v>
      </c>
      <c r="E96" s="12">
        <v>189.89024343929</v>
      </c>
      <c r="F96" s="42">
        <f t="shared" si="10"/>
        <v>189.89024343929</v>
      </c>
      <c r="G96" s="12">
        <f t="shared" si="11"/>
        <v>0</v>
      </c>
      <c r="H96" s="12">
        <f t="shared" si="12"/>
        <v>-189.89024343929</v>
      </c>
      <c r="I96" s="12"/>
      <c r="J96" s="48">
        <f>SUMIFS('PLAN BUDGET SAMI-JF'!BO13:BO100000,'PLAN BUDGET SAMI-JF'!D13:D100000,B96,'PLAN BUDGET SAMI-JF'!J13:J100000,A96&amp;"*")</f>
        <v>0</v>
      </c>
      <c r="K96" s="35">
        <f t="shared" si="13"/>
        <v>-1</v>
      </c>
      <c r="L96" s="36" t="s">
        <v>494</v>
      </c>
      <c r="M96" s="50">
        <f t="shared" si="14"/>
        <v>0</v>
      </c>
    </row>
    <row r="97" spans="1:13" x14ac:dyDescent="0.35">
      <c r="A97" t="s">
        <v>47</v>
      </c>
      <c r="B97" s="7" t="s">
        <v>517</v>
      </c>
      <c r="C97" s="33" t="s">
        <v>525</v>
      </c>
      <c r="D97" s="34">
        <v>189.89024343929</v>
      </c>
      <c r="E97" s="12">
        <v>189.89024343929</v>
      </c>
      <c r="F97" s="42">
        <f t="shared" si="10"/>
        <v>189.89024343929</v>
      </c>
      <c r="G97" s="12">
        <f t="shared" si="11"/>
        <v>0</v>
      </c>
      <c r="H97" s="12">
        <f t="shared" si="12"/>
        <v>-189.89024343929</v>
      </c>
      <c r="I97" s="12"/>
      <c r="J97" s="48">
        <f>SUMIFS('PLAN BUDGET SAMI-JF'!BO13:BO100000,'PLAN BUDGET SAMI-JF'!D13:D100000,B97,'PLAN BUDGET SAMI-JF'!J13:J100000,A97&amp;"*")</f>
        <v>0</v>
      </c>
      <c r="K97" s="35">
        <f t="shared" si="13"/>
        <v>-1</v>
      </c>
      <c r="L97" s="36" t="s">
        <v>494</v>
      </c>
      <c r="M97" s="50">
        <f t="shared" si="14"/>
        <v>0</v>
      </c>
    </row>
    <row r="98" spans="1:13" x14ac:dyDescent="0.35">
      <c r="A98" t="s">
        <v>47</v>
      </c>
      <c r="B98" s="7" t="s">
        <v>518</v>
      </c>
      <c r="C98" s="33" t="s">
        <v>525</v>
      </c>
      <c r="D98" s="34">
        <v>39408.741721853999</v>
      </c>
      <c r="E98" s="12">
        <v>22774.701986755001</v>
      </c>
      <c r="F98" s="42">
        <f t="shared" si="10"/>
        <v>22774.701986755001</v>
      </c>
      <c r="G98" s="12">
        <f t="shared" si="11"/>
        <v>0</v>
      </c>
      <c r="H98" s="12">
        <f t="shared" si="12"/>
        <v>-22774.701986755001</v>
      </c>
      <c r="I98" s="12"/>
      <c r="J98" s="48">
        <f>SUMIFS('PLAN BUDGET SAMI-JF'!BO13:BO100000,'PLAN BUDGET SAMI-JF'!D13:D100000,B98,'PLAN BUDGET SAMI-JF'!J13:J100000,A98&amp;"*")</f>
        <v>0</v>
      </c>
      <c r="K98" s="35">
        <f t="shared" si="13"/>
        <v>-1</v>
      </c>
      <c r="L98" s="36" t="s">
        <v>494</v>
      </c>
      <c r="M98" s="50">
        <f t="shared" si="14"/>
        <v>0</v>
      </c>
    </row>
    <row r="99" spans="1:13" x14ac:dyDescent="0.35">
      <c r="A99" t="s">
        <v>47</v>
      </c>
      <c r="B99" s="7" t="s">
        <v>507</v>
      </c>
      <c r="C99" s="33" t="s">
        <v>525</v>
      </c>
      <c r="D99" s="34">
        <v>13.922752648969</v>
      </c>
      <c r="E99" s="12">
        <v>58.494550150012998</v>
      </c>
      <c r="F99" s="42">
        <f t="shared" si="10"/>
        <v>58.494550150012998</v>
      </c>
      <c r="G99" s="12">
        <f t="shared" si="11"/>
        <v>0</v>
      </c>
      <c r="H99" s="12">
        <f t="shared" si="12"/>
        <v>-58.494550150012998</v>
      </c>
      <c r="I99" s="12"/>
      <c r="J99" s="48">
        <f>SUMIFS('PLAN BUDGET SAMI-JF'!BO13:BO100000,'PLAN BUDGET SAMI-JF'!D13:D100000,B99,'PLAN BUDGET SAMI-JF'!J13:J100000,A99&amp;"*")</f>
        <v>0</v>
      </c>
      <c r="K99" s="35">
        <f t="shared" si="13"/>
        <v>-1</v>
      </c>
      <c r="L99" s="36" t="s">
        <v>494</v>
      </c>
      <c r="M99" s="50">
        <f t="shared" si="14"/>
        <v>0</v>
      </c>
    </row>
    <row r="100" spans="1:13" x14ac:dyDescent="0.35">
      <c r="A100" t="s">
        <v>47</v>
      </c>
      <c r="B100" s="7" t="s">
        <v>519</v>
      </c>
      <c r="C100" s="33" t="s">
        <v>525</v>
      </c>
      <c r="D100" s="34">
        <v>2791.3865785575999</v>
      </c>
      <c r="E100" s="12">
        <v>1860.9243857050999</v>
      </c>
      <c r="F100" s="42">
        <f t="shared" si="10"/>
        <v>1860.9243857050999</v>
      </c>
      <c r="G100" s="12">
        <f t="shared" si="11"/>
        <v>0</v>
      </c>
      <c r="H100" s="12">
        <f t="shared" si="12"/>
        <v>-1860.9243857050999</v>
      </c>
      <c r="I100" s="12"/>
      <c r="J100" s="48">
        <f>SUMIFS('PLAN BUDGET SAMI-JF'!BO13:BO100000,'PLAN BUDGET SAMI-JF'!D13:D100000,B100,'PLAN BUDGET SAMI-JF'!J13:J100000,A100&amp;"*")</f>
        <v>0</v>
      </c>
      <c r="K100" s="35">
        <f t="shared" si="13"/>
        <v>-1</v>
      </c>
      <c r="L100" s="36" t="s">
        <v>494</v>
      </c>
      <c r="M100" s="50">
        <f t="shared" si="14"/>
        <v>0</v>
      </c>
    </row>
    <row r="101" spans="1:13" x14ac:dyDescent="0.35">
      <c r="A101" t="s">
        <v>47</v>
      </c>
      <c r="B101" s="7" t="s">
        <v>520</v>
      </c>
      <c r="C101" s="33" t="s">
        <v>525</v>
      </c>
      <c r="D101" s="34">
        <v>0</v>
      </c>
      <c r="E101" s="12">
        <v>24.749028394921002</v>
      </c>
      <c r="F101" s="42">
        <f t="shared" si="10"/>
        <v>24.749028394921002</v>
      </c>
      <c r="G101" s="12">
        <f t="shared" si="11"/>
        <v>0</v>
      </c>
      <c r="H101" s="12">
        <f t="shared" si="12"/>
        <v>-24.749028394921002</v>
      </c>
      <c r="I101" s="12"/>
      <c r="J101" s="48">
        <f>SUMIFS('PLAN BUDGET SAMI-JF'!BO13:BO100000,'PLAN BUDGET SAMI-JF'!D13:D100000,B101,'PLAN BUDGET SAMI-JF'!J13:J100000,A101&amp;"*")</f>
        <v>0</v>
      </c>
      <c r="K101" s="35">
        <f t="shared" si="13"/>
        <v>-1</v>
      </c>
      <c r="L101" s="36" t="s">
        <v>494</v>
      </c>
      <c r="M101" s="50">
        <f t="shared" si="14"/>
        <v>0</v>
      </c>
    </row>
    <row r="102" spans="1:13" x14ac:dyDescent="0.35">
      <c r="A102" t="s">
        <v>47</v>
      </c>
      <c r="B102" s="7" t="s">
        <v>521</v>
      </c>
      <c r="C102" s="33" t="s">
        <v>525</v>
      </c>
      <c r="D102" s="34">
        <v>0</v>
      </c>
      <c r="E102" s="12">
        <v>1253.2756066992999</v>
      </c>
      <c r="F102" s="42">
        <f t="shared" si="10"/>
        <v>1253.2756066992999</v>
      </c>
      <c r="G102" s="12">
        <f t="shared" si="11"/>
        <v>0</v>
      </c>
      <c r="H102" s="12">
        <f t="shared" si="12"/>
        <v>-1253.2756066992999</v>
      </c>
      <c r="I102" s="12"/>
      <c r="J102" s="48">
        <f>SUMIFS('PLAN BUDGET SAMI-JF'!BO13:BO100000,'PLAN BUDGET SAMI-JF'!D13:D100000,B102,'PLAN BUDGET SAMI-JF'!J13:J100000,A102&amp;"*")</f>
        <v>0</v>
      </c>
      <c r="K102" s="35">
        <f t="shared" si="13"/>
        <v>-1</v>
      </c>
      <c r="L102" s="36" t="s">
        <v>494</v>
      </c>
      <c r="M102" s="50">
        <f t="shared" si="14"/>
        <v>0</v>
      </c>
    </row>
    <row r="103" spans="1:13" x14ac:dyDescent="0.35">
      <c r="A103" t="s">
        <v>47</v>
      </c>
      <c r="B103" s="7" t="s">
        <v>522</v>
      </c>
      <c r="C103" s="33" t="s">
        <v>525</v>
      </c>
      <c r="D103" s="34">
        <v>140.51878014508</v>
      </c>
      <c r="E103" s="12">
        <v>140.51878014508</v>
      </c>
      <c r="F103" s="42">
        <f t="shared" si="10"/>
        <v>140.51878014508</v>
      </c>
      <c r="G103" s="12">
        <f t="shared" si="11"/>
        <v>0</v>
      </c>
      <c r="H103" s="12">
        <f t="shared" si="12"/>
        <v>-140.51878014508</v>
      </c>
      <c r="I103" s="12"/>
      <c r="J103" s="48">
        <f>SUMIFS('PLAN BUDGET SAMI-JF'!BO13:BO100000,'PLAN BUDGET SAMI-JF'!D13:D100000,B103,'PLAN BUDGET SAMI-JF'!J13:J100000,A103&amp;"*")</f>
        <v>0</v>
      </c>
      <c r="K103" s="35">
        <f t="shared" si="13"/>
        <v>-1</v>
      </c>
      <c r="L103" s="36" t="s">
        <v>494</v>
      </c>
      <c r="M103" s="50">
        <f t="shared" si="14"/>
        <v>0</v>
      </c>
    </row>
    <row r="104" spans="1:13" x14ac:dyDescent="0.35">
      <c r="A104" t="s">
        <v>47</v>
      </c>
      <c r="B104" s="7" t="s">
        <v>465</v>
      </c>
      <c r="C104" s="33" t="s">
        <v>525</v>
      </c>
      <c r="D104" s="34">
        <v>16.457154431405002</v>
      </c>
      <c r="E104" s="12">
        <v>8.2285772157026997</v>
      </c>
      <c r="F104" s="42">
        <f t="shared" si="10"/>
        <v>8.2285772157026997</v>
      </c>
      <c r="G104" s="12">
        <f t="shared" si="11"/>
        <v>0</v>
      </c>
      <c r="H104" s="12">
        <f t="shared" si="12"/>
        <v>-8.2285772157026997</v>
      </c>
      <c r="I104" s="12"/>
      <c r="J104" s="48">
        <f>SUMIFS('PLAN BUDGET SAMI-JF'!BO13:BO100000,'PLAN BUDGET SAMI-JF'!D13:D100000,B104,'PLAN BUDGET SAMI-JF'!J13:J100000,A104&amp;"*")</f>
        <v>0</v>
      </c>
      <c r="K104" s="35">
        <f t="shared" si="13"/>
        <v>-1</v>
      </c>
      <c r="L104" s="36" t="s">
        <v>494</v>
      </c>
      <c r="M104" s="50">
        <f t="shared" si="14"/>
        <v>0</v>
      </c>
    </row>
    <row r="105" spans="1:13" x14ac:dyDescent="0.35">
      <c r="A105" t="s">
        <v>47</v>
      </c>
      <c r="B105" s="7" t="s">
        <v>504</v>
      </c>
      <c r="C105" s="33" t="s">
        <v>525</v>
      </c>
      <c r="D105" s="34">
        <v>15193.953894648999</v>
      </c>
      <c r="E105" s="12">
        <v>14007.633587786</v>
      </c>
      <c r="F105" s="42">
        <f t="shared" si="10"/>
        <v>14007.633587786</v>
      </c>
      <c r="G105" s="12">
        <f t="shared" si="11"/>
        <v>0</v>
      </c>
      <c r="H105" s="12">
        <f t="shared" si="12"/>
        <v>-14007.633587786</v>
      </c>
      <c r="I105" s="12"/>
      <c r="J105" s="48">
        <f>SUMIFS('PLAN BUDGET SAMI-JF'!BO13:BO100000,'PLAN BUDGET SAMI-JF'!D13:D100000,B105,'PLAN BUDGET SAMI-JF'!J13:J100000,A105&amp;"*")</f>
        <v>0</v>
      </c>
      <c r="K105" s="35">
        <f t="shared" si="13"/>
        <v>-1</v>
      </c>
      <c r="L105" s="36" t="s">
        <v>494</v>
      </c>
      <c r="M105" s="50">
        <f t="shared" si="14"/>
        <v>0</v>
      </c>
    </row>
    <row r="106" spans="1:13" x14ac:dyDescent="0.35">
      <c r="A106" t="s">
        <v>47</v>
      </c>
      <c r="B106" s="7" t="s">
        <v>523</v>
      </c>
      <c r="C106" s="33" t="s">
        <v>525</v>
      </c>
      <c r="D106" s="34">
        <v>253.18699125238999</v>
      </c>
      <c r="E106" s="12">
        <v>253.18699125238999</v>
      </c>
      <c r="F106" s="42">
        <f t="shared" si="10"/>
        <v>253.18699125238999</v>
      </c>
      <c r="G106" s="12">
        <f t="shared" si="11"/>
        <v>0</v>
      </c>
      <c r="H106" s="12">
        <f t="shared" si="12"/>
        <v>-253.18699125238999</v>
      </c>
      <c r="I106" s="12"/>
      <c r="J106" s="48">
        <f>SUMIFS('PLAN BUDGET SAMI-JF'!BO13:BO100000,'PLAN BUDGET SAMI-JF'!D13:D100000,B106,'PLAN BUDGET SAMI-JF'!J13:J100000,A106&amp;"*")</f>
        <v>0</v>
      </c>
      <c r="K106" s="35">
        <f t="shared" si="13"/>
        <v>-1</v>
      </c>
      <c r="L106" s="36" t="s">
        <v>494</v>
      </c>
      <c r="M106" s="50">
        <f t="shared" si="14"/>
        <v>0</v>
      </c>
    </row>
    <row r="107" spans="1:13" x14ac:dyDescent="0.35">
      <c r="A107" t="s">
        <v>47</v>
      </c>
      <c r="B107" s="7" t="s">
        <v>506</v>
      </c>
      <c r="C107" s="33" t="s">
        <v>525</v>
      </c>
      <c r="D107" s="34">
        <v>3314.8923677787998</v>
      </c>
      <c r="E107" s="12">
        <v>3087.0087586770001</v>
      </c>
      <c r="F107" s="42">
        <f t="shared" si="10"/>
        <v>3087.0087586770001</v>
      </c>
      <c r="G107" s="12">
        <f t="shared" si="11"/>
        <v>0</v>
      </c>
      <c r="H107" s="12">
        <f t="shared" si="12"/>
        <v>-3087.0087586770001</v>
      </c>
      <c r="I107" s="12"/>
      <c r="J107" s="48">
        <f>SUMIFS('PLAN BUDGET SAMI-JF'!BO13:BO100000,'PLAN BUDGET SAMI-JF'!D13:D100000,B107,'PLAN BUDGET SAMI-JF'!J13:J100000,A107&amp;"*")</f>
        <v>0</v>
      </c>
      <c r="K107" s="35">
        <f t="shared" si="13"/>
        <v>-1</v>
      </c>
      <c r="L107" s="36" t="s">
        <v>494</v>
      </c>
      <c r="M107" s="50">
        <f t="shared" si="14"/>
        <v>0</v>
      </c>
    </row>
  </sheetData>
  <sheetProtection formatCells="0" formatColumns="0" formatRows="0" insertColumns="0" insertRows="0" insertHyperlinks="0" deleteColumns="0" deleteRows="0" sort="0" autoFilter="0" pivotTables="0"/>
  <mergeCells count="8">
    <mergeCell ref="L7:L10"/>
    <mergeCell ref="I2:I4"/>
    <mergeCell ref="J2:J4"/>
    <mergeCell ref="K2:K4"/>
    <mergeCell ref="B7:B10"/>
    <mergeCell ref="C7:C10"/>
    <mergeCell ref="F7:J7"/>
    <mergeCell ref="K7:K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A8" sqref="A8"/>
    </sheetView>
    <sheetView workbookViewId="1"/>
  </sheetViews>
  <sheetFormatPr defaultRowHeight="14.5" x14ac:dyDescent="0.35"/>
  <cols>
    <col min="1" max="1" width="5" customWidth="1"/>
    <col min="2" max="2" width="20" customWidth="1"/>
    <col min="3" max="3" width="15" customWidth="1"/>
    <col min="4" max="4" width="20" customWidth="1"/>
    <col min="5" max="5" width="15" customWidth="1"/>
    <col min="6" max="6" width="22" customWidth="1"/>
    <col min="7" max="7" width="20" customWidth="1"/>
    <col min="8" max="10" width="9" customWidth="1"/>
    <col min="11" max="11" width="22" customWidth="1"/>
    <col min="12" max="12" width="5" customWidth="1"/>
    <col min="13" max="15" width="15" customWidth="1"/>
    <col min="16" max="16" width="20" customWidth="1"/>
    <col min="17" max="20" width="15" customWidth="1"/>
    <col min="21" max="21" width="7" customWidth="1"/>
    <col min="22" max="22" width="5" customWidth="1"/>
    <col min="23" max="25" width="15" customWidth="1"/>
    <col min="26" max="26" width="7" customWidth="1"/>
    <col min="27" max="27" width="5" customWidth="1"/>
    <col min="28" max="30" width="15" customWidth="1"/>
    <col min="31" max="31" width="7" customWidth="1"/>
    <col min="32" max="32" width="5" customWidth="1"/>
    <col min="33" max="33" width="15" customWidth="1"/>
    <col min="34" max="34" width="5" customWidth="1"/>
    <col min="35" max="35" width="15" customWidth="1"/>
  </cols>
  <sheetData>
    <row r="1" spans="1:7" x14ac:dyDescent="0.35">
      <c r="A1" s="1"/>
      <c r="B1" s="1" t="s">
        <v>554</v>
      </c>
      <c r="C1" s="1" t="s">
        <v>555</v>
      </c>
      <c r="D1" s="1" t="s">
        <v>556</v>
      </c>
      <c r="E1" s="1"/>
      <c r="F1" s="1"/>
    </row>
    <row r="2" spans="1:7" x14ac:dyDescent="0.35">
      <c r="A2" s="1"/>
      <c r="B2" s="1" t="s">
        <v>557</v>
      </c>
      <c r="C2" s="1" t="s">
        <v>558</v>
      </c>
      <c r="D2" s="1" t="s">
        <v>559</v>
      </c>
      <c r="E2" s="1" t="s">
        <v>560</v>
      </c>
      <c r="F2" s="1" t="s">
        <v>546</v>
      </c>
    </row>
    <row r="8" spans="1:7" x14ac:dyDescent="0.35">
      <c r="A8" s="1" t="s">
        <v>561</v>
      </c>
      <c r="B8" s="1" t="s">
        <v>562</v>
      </c>
      <c r="C8" s="1" t="s">
        <v>548</v>
      </c>
      <c r="D8" s="1" t="s">
        <v>563</v>
      </c>
      <c r="E8" s="1" t="s">
        <v>564</v>
      </c>
      <c r="F8" s="1" t="s">
        <v>565</v>
      </c>
      <c r="G8" s="1" t="s">
        <v>566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 BUDGET SAMI-JF</vt:lpstr>
      <vt:lpstr>SUMMARY</vt:lpstr>
      <vt:lpstr>ANALYSIS</vt:lpstr>
      <vt:lpstr>TAKI GRAPH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PLAN BUDGET STP SAMI-JF</dc:creator>
  <cp:keywords/>
  <dc:description/>
  <cp:lastModifiedBy>TRN-JF05</cp:lastModifiedBy>
  <dcterms:created xsi:type="dcterms:W3CDTF">2025-04-10T02:10:45Z</dcterms:created>
  <dcterms:modified xsi:type="dcterms:W3CDTF">2025-04-10T02:33:45Z</dcterms:modified>
  <cp:category/>
</cp:coreProperties>
</file>